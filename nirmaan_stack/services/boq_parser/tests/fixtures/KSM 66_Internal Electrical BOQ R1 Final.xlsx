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ramki\Downloads\"/>
    </mc:Choice>
  </mc:AlternateContent>
  <xr:revisionPtr revIDLastSave="0" documentId="13_ncr:1_{B7DE5195-29AA-4BAE-BA23-D6AA1303547E}" xr6:coauthVersionLast="47" xr6:coauthVersionMax="47" xr10:uidLastSave="{00000000-0000-0000-0000-000000000000}"/>
  <bookViews>
    <workbookView xWindow="-108" yWindow="-108" windowWidth="23256" windowHeight="12456" activeTab="2" xr2:uid="{00000000-000D-0000-FFFF-FFFF00000000}"/>
  </bookViews>
  <sheets>
    <sheet name="Gerenal Notes" sheetId="18" r:id="rId1"/>
    <sheet name="SUMMARY" sheetId="10" r:id="rId2"/>
    <sheet name="ELECT BOQ" sheetId="9" r:id="rId3"/>
  </sheets>
  <definedNames>
    <definedName name="_xlnm._FilterDatabase" localSheetId="2" hidden="1">'ELECT BOQ'!$F$9:$F$925</definedName>
    <definedName name="Excel_BuiltIn_Print_Area_1" localSheetId="0">#REF!</definedName>
    <definedName name="Excel_BuiltIn_Print_Area_1">#REF!</definedName>
    <definedName name="_xlnm.Print_Area" localSheetId="2">'ELECT BOQ'!$A$1:$F$927</definedName>
    <definedName name="_xlnm.Print_Area" localSheetId="0">'Gerenal Notes'!$A$1:$F$30</definedName>
    <definedName name="_xlnm.Print_Area" localSheetId="1">SUMMARY!$A$1:$C$26</definedName>
    <definedName name="_xlnm.Print_Titles" localSheetId="2">'ELECT BOQ'!$3:$3</definedName>
    <definedName name="_xlnm.Print_Titles" localSheetId="0">'Gerenal Notes'!#REF!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924" i="9" l="1"/>
  <c r="F923" i="9"/>
  <c r="F922" i="9"/>
  <c r="F920" i="9"/>
  <c r="F913" i="9"/>
  <c r="F912" i="9"/>
  <c r="F911" i="9"/>
  <c r="F910" i="9"/>
  <c r="F909" i="9"/>
  <c r="F908" i="9"/>
  <c r="F907" i="9"/>
  <c r="F906" i="9"/>
  <c r="F905" i="9"/>
  <c r="F904" i="9"/>
  <c r="F903" i="9"/>
  <c r="F902" i="9"/>
  <c r="F901" i="9"/>
  <c r="F900" i="9"/>
  <c r="F899" i="9"/>
  <c r="F898" i="9"/>
  <c r="F897" i="9"/>
  <c r="F896" i="9"/>
  <c r="F895" i="9"/>
  <c r="F894" i="9"/>
  <c r="F893" i="9"/>
  <c r="F892" i="9"/>
  <c r="F891" i="9"/>
  <c r="F890" i="9"/>
  <c r="F889" i="9"/>
  <c r="F888" i="9"/>
  <c r="F887" i="9"/>
  <c r="F886" i="9"/>
  <c r="F885" i="9"/>
  <c r="F884" i="9"/>
  <c r="F883" i="9"/>
  <c r="F882" i="9"/>
  <c r="F881" i="9"/>
  <c r="F880" i="9"/>
  <c r="F879" i="9"/>
  <c r="F878" i="9"/>
  <c r="F877" i="9"/>
  <c r="F876" i="9"/>
  <c r="F875" i="9"/>
  <c r="F874" i="9"/>
  <c r="F873" i="9"/>
  <c r="F872" i="9"/>
  <c r="F871" i="9"/>
  <c r="F870" i="9"/>
  <c r="F869" i="9"/>
  <c r="F868" i="9"/>
  <c r="F867" i="9"/>
  <c r="F866" i="9"/>
  <c r="F865" i="9"/>
  <c r="F864" i="9"/>
  <c r="F863" i="9"/>
  <c r="F862" i="9"/>
  <c r="F861" i="9"/>
  <c r="F860" i="9"/>
  <c r="F859" i="9"/>
  <c r="F858" i="9"/>
  <c r="F857" i="9"/>
  <c r="F856" i="9"/>
  <c r="F855" i="9"/>
  <c r="F854" i="9"/>
  <c r="F853" i="9"/>
  <c r="F852" i="9"/>
  <c r="F851" i="9"/>
  <c r="F850" i="9"/>
  <c r="F849" i="9"/>
  <c r="F848" i="9"/>
  <c r="F847" i="9"/>
  <c r="F846" i="9"/>
  <c r="F845" i="9"/>
  <c r="F844" i="9"/>
  <c r="F843" i="9"/>
  <c r="F842" i="9"/>
  <c r="F841" i="9"/>
  <c r="F840" i="9"/>
  <c r="F839" i="9"/>
  <c r="F838" i="9"/>
  <c r="F837" i="9"/>
  <c r="F836" i="9"/>
  <c r="F835" i="9"/>
  <c r="F834" i="9"/>
  <c r="F833" i="9"/>
  <c r="F832" i="9"/>
  <c r="F831" i="9"/>
  <c r="F830" i="9"/>
  <c r="F829" i="9"/>
  <c r="F828" i="9"/>
  <c r="F827" i="9"/>
  <c r="F826" i="9"/>
  <c r="F825" i="9"/>
  <c r="F824" i="9"/>
  <c r="F823" i="9"/>
  <c r="F822" i="9"/>
  <c r="F821" i="9"/>
  <c r="F820" i="9"/>
  <c r="F819" i="9"/>
  <c r="F818" i="9"/>
  <c r="F817" i="9"/>
  <c r="F816" i="9"/>
  <c r="F815" i="9"/>
  <c r="F814" i="9"/>
  <c r="F813" i="9"/>
  <c r="F812" i="9"/>
  <c r="F811" i="9"/>
  <c r="F810" i="9"/>
  <c r="F809" i="9"/>
  <c r="F808" i="9"/>
  <c r="F807" i="9"/>
  <c r="F806" i="9"/>
  <c r="F805" i="9"/>
  <c r="F804" i="9"/>
  <c r="F803" i="9"/>
  <c r="F802" i="9"/>
  <c r="F801" i="9"/>
  <c r="F800" i="9"/>
  <c r="F799" i="9"/>
  <c r="F798" i="9"/>
  <c r="F797" i="9"/>
  <c r="F796" i="9"/>
  <c r="F795" i="9"/>
  <c r="F794" i="9"/>
  <c r="F793" i="9"/>
  <c r="F792" i="9"/>
  <c r="F791" i="9"/>
  <c r="F790" i="9"/>
  <c r="F789" i="9"/>
  <c r="F788" i="9"/>
  <c r="F787" i="9"/>
  <c r="F786" i="9"/>
  <c r="F785" i="9"/>
  <c r="F784" i="9"/>
  <c r="F783" i="9"/>
  <c r="F782" i="9"/>
  <c r="F781" i="9"/>
  <c r="F780" i="9"/>
  <c r="F779" i="9"/>
  <c r="F778" i="9"/>
  <c r="F777" i="9"/>
  <c r="F776" i="9"/>
  <c r="F775" i="9"/>
  <c r="F774" i="9"/>
  <c r="F773" i="9"/>
  <c r="F772" i="9"/>
  <c r="F771" i="9"/>
  <c r="F770" i="9"/>
  <c r="F769" i="9"/>
  <c r="F768" i="9"/>
  <c r="F767" i="9"/>
  <c r="F766" i="9"/>
  <c r="F765" i="9"/>
  <c r="F764" i="9"/>
  <c r="F763" i="9"/>
  <c r="F762" i="9"/>
  <c r="F761" i="9"/>
  <c r="F760" i="9"/>
  <c r="F759" i="9"/>
  <c r="F758" i="9"/>
  <c r="F757" i="9"/>
  <c r="F756" i="9"/>
  <c r="F755" i="9"/>
  <c r="F754" i="9"/>
  <c r="F753" i="9"/>
  <c r="F752" i="9"/>
  <c r="F751" i="9"/>
  <c r="F750" i="9"/>
  <c r="F749" i="9"/>
  <c r="F748" i="9"/>
  <c r="F747" i="9"/>
  <c r="F746" i="9"/>
  <c r="F745" i="9"/>
  <c r="F744" i="9"/>
  <c r="F743" i="9"/>
  <c r="F742" i="9"/>
  <c r="F741" i="9"/>
  <c r="F740" i="9"/>
  <c r="F739" i="9"/>
  <c r="F738" i="9"/>
  <c r="F737" i="9"/>
  <c r="F736" i="9"/>
  <c r="F735" i="9"/>
  <c r="F734" i="9"/>
  <c r="F733" i="9"/>
  <c r="F732" i="9"/>
  <c r="F731" i="9"/>
  <c r="F730" i="9"/>
  <c r="F729" i="9"/>
  <c r="F728" i="9"/>
  <c r="F727" i="9"/>
  <c r="F726" i="9"/>
  <c r="F725" i="9"/>
  <c r="F724" i="9"/>
  <c r="F723" i="9"/>
  <c r="F722" i="9"/>
  <c r="F721" i="9"/>
  <c r="F720" i="9"/>
  <c r="F719" i="9"/>
  <c r="F718" i="9"/>
  <c r="F717" i="9"/>
  <c r="F716" i="9"/>
  <c r="F715" i="9"/>
  <c r="F714" i="9"/>
  <c r="F713" i="9"/>
  <c r="F712" i="9"/>
  <c r="F711" i="9"/>
  <c r="F710" i="9"/>
  <c r="F709" i="9"/>
  <c r="F708" i="9"/>
  <c r="F707" i="9"/>
  <c r="F706" i="9"/>
  <c r="F705" i="9"/>
  <c r="F704" i="9"/>
  <c r="F703" i="9"/>
  <c r="F702" i="9"/>
  <c r="F701" i="9"/>
  <c r="F700" i="9"/>
  <c r="F699" i="9"/>
  <c r="F698" i="9"/>
  <c r="F697" i="9"/>
  <c r="F696" i="9"/>
  <c r="F695" i="9"/>
  <c r="F694" i="9"/>
  <c r="F693" i="9"/>
  <c r="F692" i="9"/>
  <c r="F691" i="9"/>
  <c r="F690" i="9"/>
  <c r="F689" i="9"/>
  <c r="F688" i="9"/>
  <c r="F687" i="9"/>
  <c r="F686" i="9"/>
  <c r="F685" i="9"/>
  <c r="F684" i="9"/>
  <c r="F683" i="9"/>
  <c r="F682" i="9"/>
  <c r="F681" i="9"/>
  <c r="F680" i="9"/>
  <c r="F679" i="9"/>
  <c r="F678" i="9"/>
  <c r="F677" i="9"/>
  <c r="F676" i="9"/>
  <c r="F675" i="9"/>
  <c r="F674" i="9"/>
  <c r="F673" i="9"/>
  <c r="F672" i="9"/>
  <c r="F671" i="9"/>
  <c r="F670" i="9"/>
  <c r="F669" i="9"/>
  <c r="F668" i="9"/>
  <c r="F667" i="9"/>
  <c r="F666" i="9"/>
  <c r="F665" i="9"/>
  <c r="F664" i="9"/>
  <c r="F663" i="9"/>
  <c r="F662" i="9"/>
  <c r="F661" i="9"/>
  <c r="F660" i="9"/>
  <c r="F659" i="9"/>
  <c r="F658" i="9"/>
  <c r="F657" i="9"/>
  <c r="F656" i="9"/>
  <c r="F655" i="9"/>
  <c r="F654" i="9"/>
  <c r="F653" i="9"/>
  <c r="F652" i="9"/>
  <c r="F651" i="9"/>
  <c r="F650" i="9"/>
  <c r="F649" i="9"/>
  <c r="F648" i="9"/>
  <c r="F647" i="9"/>
  <c r="F646" i="9"/>
  <c r="F645" i="9"/>
  <c r="F644" i="9"/>
  <c r="F643" i="9"/>
  <c r="F642" i="9"/>
  <c r="F641" i="9"/>
  <c r="F640" i="9"/>
  <c r="F639" i="9"/>
  <c r="F638" i="9"/>
  <c r="F637" i="9"/>
  <c r="F636" i="9"/>
  <c r="F635" i="9"/>
  <c r="F634" i="9"/>
  <c r="F633" i="9"/>
  <c r="F632" i="9"/>
  <c r="F631" i="9"/>
  <c r="F630" i="9"/>
  <c r="F629" i="9"/>
  <c r="F628" i="9"/>
  <c r="F627" i="9"/>
  <c r="F626" i="9"/>
  <c r="F625" i="9"/>
  <c r="F624" i="9"/>
  <c r="F623" i="9"/>
  <c r="F622" i="9"/>
  <c r="F621" i="9"/>
  <c r="F620" i="9"/>
  <c r="F619" i="9"/>
  <c r="F618" i="9"/>
  <c r="F617" i="9"/>
  <c r="F616" i="9"/>
  <c r="F615" i="9"/>
  <c r="F614" i="9"/>
  <c r="F613" i="9"/>
  <c r="F612" i="9"/>
  <c r="F611" i="9"/>
  <c r="F610" i="9"/>
  <c r="F609" i="9"/>
  <c r="F608" i="9"/>
  <c r="F607" i="9"/>
  <c r="F606" i="9"/>
  <c r="F605" i="9"/>
  <c r="F604" i="9"/>
  <c r="F603" i="9"/>
  <c r="F602" i="9"/>
  <c r="F601" i="9"/>
  <c r="F600" i="9"/>
  <c r="F599" i="9"/>
  <c r="F598" i="9"/>
  <c r="F597" i="9"/>
  <c r="F596" i="9"/>
  <c r="F595" i="9"/>
  <c r="F594" i="9"/>
  <c r="F593" i="9"/>
  <c r="F592" i="9"/>
  <c r="F591" i="9"/>
  <c r="F590" i="9"/>
  <c r="F589" i="9"/>
  <c r="F588" i="9"/>
  <c r="F587" i="9"/>
  <c r="F586" i="9"/>
  <c r="F585" i="9"/>
  <c r="F584" i="9"/>
  <c r="F583" i="9"/>
  <c r="F582" i="9"/>
  <c r="F581" i="9"/>
  <c r="F580" i="9"/>
  <c r="F579" i="9"/>
  <c r="F578" i="9"/>
  <c r="F577" i="9"/>
  <c r="F576" i="9"/>
  <c r="F575" i="9"/>
  <c r="F574" i="9"/>
  <c r="F573" i="9"/>
  <c r="F572" i="9"/>
  <c r="F571" i="9"/>
  <c r="F570" i="9"/>
  <c r="F569" i="9"/>
  <c r="F568" i="9"/>
  <c r="F567" i="9"/>
  <c r="F566" i="9"/>
  <c r="F565" i="9"/>
  <c r="F564" i="9"/>
  <c r="F563" i="9"/>
  <c r="F562" i="9"/>
  <c r="F561" i="9"/>
  <c r="F560" i="9"/>
  <c r="F559" i="9"/>
  <c r="F558" i="9"/>
  <c r="F557" i="9"/>
  <c r="F556" i="9"/>
  <c r="F555" i="9"/>
  <c r="F554" i="9"/>
  <c r="F553" i="9"/>
  <c r="F552" i="9"/>
  <c r="F551" i="9"/>
  <c r="F550" i="9"/>
  <c r="F549" i="9"/>
  <c r="F548" i="9"/>
  <c r="F547" i="9"/>
  <c r="F546" i="9"/>
  <c r="F545" i="9"/>
  <c r="F544" i="9"/>
  <c r="F543" i="9"/>
  <c r="F542" i="9"/>
  <c r="F541" i="9"/>
  <c r="F540" i="9"/>
  <c r="F539" i="9"/>
  <c r="F538" i="9"/>
  <c r="F537" i="9"/>
  <c r="F536" i="9"/>
  <c r="F535" i="9"/>
  <c r="F534" i="9"/>
  <c r="F533" i="9"/>
  <c r="F532" i="9"/>
  <c r="F531" i="9"/>
  <c r="F530" i="9"/>
  <c r="F529" i="9"/>
  <c r="F528" i="9"/>
  <c r="F527" i="9"/>
  <c r="F526" i="9"/>
  <c r="F525" i="9"/>
  <c r="F524" i="9"/>
  <c r="F523" i="9"/>
  <c r="F522" i="9"/>
  <c r="F521" i="9"/>
  <c r="F520" i="9"/>
  <c r="F519" i="9"/>
  <c r="F518" i="9"/>
  <c r="F517" i="9"/>
  <c r="F516" i="9"/>
  <c r="F515" i="9"/>
  <c r="F514" i="9"/>
  <c r="F513" i="9"/>
  <c r="F512" i="9"/>
  <c r="F511" i="9"/>
  <c r="F510" i="9"/>
  <c r="F509" i="9"/>
  <c r="F508" i="9"/>
  <c r="F507" i="9"/>
  <c r="F506" i="9"/>
  <c r="F505" i="9"/>
  <c r="F504" i="9"/>
  <c r="F503" i="9"/>
  <c r="F502" i="9"/>
  <c r="F501" i="9"/>
  <c r="F500" i="9"/>
  <c r="F499" i="9"/>
  <c r="F498" i="9"/>
  <c r="F497" i="9"/>
  <c r="F496" i="9"/>
  <c r="F495" i="9"/>
  <c r="F494" i="9"/>
  <c r="F493" i="9"/>
  <c r="F492" i="9"/>
  <c r="F491" i="9"/>
  <c r="F490" i="9"/>
  <c r="F489" i="9"/>
  <c r="F488" i="9"/>
  <c r="F487" i="9"/>
  <c r="F486" i="9"/>
  <c r="F485" i="9"/>
  <c r="F484" i="9"/>
  <c r="F483" i="9"/>
  <c r="F482" i="9"/>
  <c r="F481" i="9"/>
  <c r="F480" i="9"/>
  <c r="F479" i="9"/>
  <c r="F478" i="9"/>
  <c r="F477" i="9"/>
  <c r="F476" i="9"/>
  <c r="F475" i="9"/>
  <c r="F474" i="9"/>
  <c r="F473" i="9"/>
  <c r="F472" i="9"/>
  <c r="F471" i="9"/>
  <c r="F470" i="9"/>
  <c r="F469" i="9"/>
  <c r="F468" i="9"/>
  <c r="F467" i="9"/>
  <c r="F466" i="9"/>
  <c r="F465" i="9"/>
  <c r="F464" i="9"/>
  <c r="F463" i="9"/>
  <c r="F462" i="9"/>
  <c r="F461" i="9"/>
  <c r="F460" i="9"/>
  <c r="F459" i="9"/>
  <c r="F458" i="9"/>
  <c r="F457" i="9"/>
  <c r="F456" i="9"/>
  <c r="F455" i="9"/>
  <c r="F454" i="9"/>
  <c r="F453" i="9"/>
  <c r="F452" i="9"/>
  <c r="F451" i="9"/>
  <c r="F450" i="9"/>
  <c r="F449" i="9"/>
  <c r="F448" i="9"/>
  <c r="F447" i="9"/>
  <c r="F446" i="9"/>
  <c r="F445" i="9"/>
  <c r="F444" i="9"/>
  <c r="F443" i="9"/>
  <c r="F442" i="9"/>
  <c r="F441" i="9"/>
  <c r="F440" i="9"/>
  <c r="F439" i="9"/>
  <c r="F438" i="9"/>
  <c r="F437" i="9"/>
  <c r="F436" i="9"/>
  <c r="F435" i="9"/>
  <c r="F434" i="9"/>
  <c r="F433" i="9"/>
  <c r="F432" i="9"/>
  <c r="F431" i="9"/>
  <c r="F430" i="9"/>
  <c r="F429" i="9"/>
  <c r="F428" i="9"/>
  <c r="F427" i="9"/>
  <c r="F426" i="9"/>
  <c r="F425" i="9"/>
  <c r="F424" i="9"/>
  <c r="F423" i="9"/>
  <c r="F422" i="9"/>
  <c r="F421" i="9"/>
  <c r="F420" i="9"/>
  <c r="F419" i="9"/>
  <c r="F418" i="9"/>
  <c r="F417" i="9"/>
  <c r="F416" i="9"/>
  <c r="F415" i="9"/>
  <c r="F414" i="9"/>
  <c r="F413" i="9"/>
  <c r="F412" i="9"/>
  <c r="F411" i="9"/>
  <c r="F410" i="9"/>
  <c r="F409" i="9"/>
  <c r="F408" i="9"/>
  <c r="F407" i="9"/>
  <c r="F406" i="9"/>
  <c r="F405" i="9"/>
  <c r="F404" i="9"/>
  <c r="F403" i="9"/>
  <c r="F402" i="9"/>
  <c r="F401" i="9"/>
  <c r="F400" i="9"/>
  <c r="F399" i="9"/>
  <c r="F398" i="9"/>
  <c r="F397" i="9"/>
  <c r="F396" i="9"/>
  <c r="F395" i="9"/>
  <c r="F394" i="9"/>
  <c r="F393" i="9"/>
  <c r="F392" i="9"/>
  <c r="F391" i="9"/>
  <c r="F390" i="9"/>
  <c r="F389" i="9"/>
  <c r="F388" i="9"/>
  <c r="F387" i="9"/>
  <c r="F386" i="9"/>
  <c r="F385" i="9"/>
  <c r="F384" i="9"/>
  <c r="F383" i="9"/>
  <c r="F382" i="9"/>
  <c r="F381" i="9"/>
  <c r="F380" i="9"/>
  <c r="F379" i="9"/>
  <c r="F378" i="9"/>
  <c r="F377" i="9"/>
  <c r="F376" i="9"/>
  <c r="F375" i="9"/>
  <c r="F374" i="9"/>
  <c r="F373" i="9"/>
  <c r="F372" i="9"/>
  <c r="F371" i="9"/>
  <c r="F370" i="9"/>
  <c r="F369" i="9"/>
  <c r="F368" i="9"/>
  <c r="F367" i="9"/>
  <c r="F366" i="9"/>
  <c r="F365" i="9"/>
  <c r="F364" i="9"/>
  <c r="F363" i="9"/>
  <c r="F349" i="9"/>
  <c r="F348" i="9"/>
  <c r="F347" i="9"/>
  <c r="F346" i="9"/>
  <c r="F345" i="9"/>
  <c r="F344" i="9"/>
  <c r="F343" i="9"/>
  <c r="F342" i="9"/>
  <c r="F341" i="9"/>
  <c r="F340" i="9"/>
  <c r="F339" i="9"/>
  <c r="F338" i="9"/>
  <c r="F337" i="9"/>
  <c r="F336" i="9"/>
  <c r="F335" i="9"/>
  <c r="F334" i="9"/>
  <c r="F333" i="9"/>
  <c r="F320" i="9"/>
  <c r="F319" i="9"/>
  <c r="F318" i="9"/>
  <c r="F317" i="9"/>
  <c r="F316" i="9"/>
  <c r="F315" i="9"/>
  <c r="F314" i="9"/>
  <c r="F313" i="9"/>
  <c r="F311" i="9"/>
  <c r="F309" i="9"/>
  <c r="F308" i="9"/>
  <c r="F287" i="9"/>
  <c r="F286" i="9"/>
  <c r="F285" i="9"/>
  <c r="F284" i="9"/>
  <c r="F283" i="9"/>
  <c r="F282" i="9"/>
  <c r="F275" i="9"/>
  <c r="F273" i="9"/>
  <c r="F272" i="9"/>
  <c r="F271" i="9"/>
  <c r="F270" i="9"/>
  <c r="F268" i="9"/>
  <c r="F267" i="9"/>
  <c r="F266" i="9"/>
  <c r="F265" i="9"/>
  <c r="F263" i="9"/>
  <c r="F262" i="9"/>
  <c r="F261" i="9"/>
  <c r="F260" i="9"/>
  <c r="F259" i="9"/>
  <c r="F256" i="9"/>
  <c r="F254" i="9"/>
  <c r="F253" i="9"/>
  <c r="F252" i="9"/>
  <c r="F232" i="9"/>
  <c r="F231" i="9"/>
  <c r="F230" i="9"/>
  <c r="F229" i="9"/>
  <c r="F228" i="9"/>
  <c r="F227" i="9"/>
  <c r="F226" i="9"/>
  <c r="F225" i="9"/>
  <c r="F224" i="9"/>
  <c r="F223" i="9"/>
  <c r="F222" i="9"/>
  <c r="F220" i="9"/>
  <c r="F219" i="9"/>
  <c r="F218" i="9"/>
  <c r="F217" i="9"/>
  <c r="F216" i="9"/>
  <c r="F215" i="9"/>
  <c r="F214" i="9"/>
  <c r="F213" i="9"/>
  <c r="F212" i="9"/>
  <c r="F211" i="9"/>
  <c r="F209" i="9"/>
  <c r="F208" i="9"/>
  <c r="F207" i="9"/>
  <c r="F206" i="9"/>
  <c r="F198" i="9"/>
  <c r="F197" i="9"/>
  <c r="F196" i="9"/>
  <c r="F195" i="9"/>
  <c r="F194" i="9"/>
  <c r="F193" i="9"/>
  <c r="F192" i="9"/>
  <c r="F191" i="9"/>
  <c r="F190" i="9"/>
  <c r="F189" i="9"/>
  <c r="F188" i="9"/>
  <c r="F187" i="9"/>
  <c r="F185" i="9"/>
  <c r="F184" i="9"/>
  <c r="F183" i="9"/>
  <c r="F182" i="9"/>
  <c r="F181" i="9"/>
  <c r="F180" i="9"/>
  <c r="F179" i="9"/>
  <c r="F178" i="9"/>
  <c r="F165" i="9"/>
  <c r="F167" i="9" s="1"/>
  <c r="C9" i="10" s="1"/>
  <c r="F159" i="9"/>
  <c r="F158" i="9"/>
  <c r="F157" i="9"/>
  <c r="F156" i="9"/>
  <c r="F155" i="9"/>
  <c r="F154" i="9"/>
  <c r="F152" i="9"/>
  <c r="F151" i="9"/>
  <c r="F150" i="9"/>
  <c r="F149" i="9"/>
  <c r="F148" i="9"/>
  <c r="F147" i="9"/>
  <c r="F146" i="9"/>
  <c r="F136" i="9"/>
  <c r="F135" i="9"/>
  <c r="F134" i="9"/>
  <c r="F133" i="9"/>
  <c r="F132" i="9"/>
  <c r="F131" i="9"/>
  <c r="F130" i="9"/>
  <c r="F129" i="9"/>
  <c r="F128" i="9"/>
  <c r="F127" i="9"/>
  <c r="F126" i="9"/>
  <c r="F125" i="9"/>
  <c r="F124" i="9"/>
  <c r="F123" i="9"/>
  <c r="F122" i="9"/>
  <c r="F121" i="9"/>
  <c r="F119" i="9"/>
  <c r="F118" i="9"/>
  <c r="F117" i="9"/>
  <c r="F116" i="9"/>
  <c r="F115" i="9"/>
  <c r="F114" i="9"/>
  <c r="F113" i="9"/>
  <c r="F112" i="9"/>
  <c r="F111" i="9"/>
  <c r="F110" i="9"/>
  <c r="F109" i="9"/>
  <c r="F108" i="9"/>
  <c r="F107" i="9"/>
  <c r="F106" i="9"/>
  <c r="F104" i="9"/>
  <c r="F103" i="9"/>
  <c r="F102" i="9"/>
  <c r="F101" i="9"/>
  <c r="F100" i="9"/>
  <c r="F99" i="9"/>
  <c r="F98" i="9"/>
  <c r="F97" i="9"/>
  <c r="F96" i="9"/>
  <c r="F95" i="9"/>
  <c r="F94" i="9"/>
  <c r="F93" i="9"/>
  <c r="F92" i="9"/>
  <c r="F91" i="9"/>
  <c r="F90" i="9"/>
  <c r="F89" i="9"/>
  <c r="F87" i="9"/>
  <c r="F86" i="9"/>
  <c r="F69" i="9"/>
  <c r="F68" i="9"/>
  <c r="F67" i="9"/>
  <c r="F66" i="9"/>
  <c r="F64" i="9"/>
  <c r="F63" i="9"/>
  <c r="F62" i="9"/>
  <c r="F61" i="9"/>
  <c r="F59" i="9"/>
  <c r="F58" i="9"/>
  <c r="F54" i="9"/>
  <c r="F53" i="9"/>
  <c r="F52" i="9"/>
  <c r="F51" i="9"/>
  <c r="F50" i="9"/>
  <c r="F48" i="9"/>
  <c r="F45" i="9"/>
  <c r="F42" i="9"/>
  <c r="F41" i="9"/>
  <c r="F40" i="9"/>
  <c r="F39" i="9"/>
  <c r="F38" i="9"/>
  <c r="F37" i="9"/>
  <c r="F36" i="9"/>
  <c r="F35" i="9"/>
  <c r="F34" i="9"/>
  <c r="F33" i="9"/>
  <c r="F32" i="9"/>
  <c r="F31" i="9"/>
  <c r="F30" i="9"/>
  <c r="F29" i="9"/>
  <c r="F28" i="9"/>
  <c r="F27" i="9"/>
  <c r="F26" i="9"/>
  <c r="F25" i="9"/>
  <c r="F22" i="9"/>
  <c r="F21" i="9"/>
  <c r="F20" i="9"/>
  <c r="F19" i="9"/>
  <c r="F18" i="9"/>
  <c r="F17" i="9"/>
  <c r="F16" i="9"/>
  <c r="F15" i="9"/>
  <c r="F14" i="9"/>
  <c r="F13" i="9"/>
  <c r="F11" i="9"/>
  <c r="F10" i="9"/>
  <c r="F9" i="9"/>
  <c r="D274" i="9"/>
  <c r="F274" i="9" s="1"/>
  <c r="D269" i="9"/>
  <c r="D270" i="9" s="1"/>
  <c r="D264" i="9"/>
  <c r="F264" i="9" s="1"/>
  <c r="D61" i="9"/>
  <c r="D276" i="9"/>
  <c r="F276" i="9" s="1"/>
  <c r="F323" i="9" l="1"/>
  <c r="F161" i="9"/>
  <c r="C8" i="10" s="1"/>
  <c r="F200" i="9"/>
  <c r="C10" i="10" s="1"/>
  <c r="F915" i="9"/>
  <c r="C15" i="10" s="1"/>
  <c r="F71" i="9"/>
  <c r="C6" i="10" s="1"/>
  <c r="F142" i="9"/>
  <c r="C7" i="10" s="1"/>
  <c r="F292" i="9"/>
  <c r="C13" i="10" s="1"/>
  <c r="F351" i="9"/>
  <c r="F352" i="9" s="1"/>
  <c r="C14" i="10" s="1"/>
  <c r="F927" i="9"/>
  <c r="C16" i="10" s="1"/>
  <c r="F269" i="9"/>
  <c r="F278" i="9" s="1"/>
  <c r="C12" i="10" s="1"/>
  <c r="D221" i="9"/>
  <c r="F221" i="9" s="1"/>
  <c r="D210" i="9"/>
  <c r="F210" i="9" s="1"/>
  <c r="F234" i="9" s="1"/>
  <c r="C11" i="10" s="1"/>
  <c r="C18" i="10" l="1"/>
  <c r="D45" i="9"/>
  <c r="B15" i="10" l="1"/>
  <c r="B14" i="10"/>
  <c r="B13" i="10"/>
  <c r="B12" i="10"/>
  <c r="B11" i="10"/>
  <c r="B10" i="10"/>
  <c r="B9" i="10" l="1"/>
  <c r="B16" i="10" l="1"/>
  <c r="B8" i="10" l="1"/>
  <c r="B7" i="10"/>
  <c r="B6" i="10"/>
</calcChain>
</file>

<file path=xl/sharedStrings.xml><?xml version="1.0" encoding="utf-8"?>
<sst xmlns="http://schemas.openxmlformats.org/spreadsheetml/2006/main" count="1295" uniqueCount="547">
  <si>
    <t>Description</t>
  </si>
  <si>
    <t>c</t>
  </si>
  <si>
    <t>I</t>
  </si>
  <si>
    <t>a</t>
  </si>
  <si>
    <t>b</t>
  </si>
  <si>
    <t>d</t>
  </si>
  <si>
    <t>Unit</t>
  </si>
  <si>
    <t>Qty.</t>
  </si>
  <si>
    <t>Rate</t>
  </si>
  <si>
    <t>Amount</t>
  </si>
  <si>
    <t>S. No.</t>
  </si>
  <si>
    <t>Amount (In Rupees)</t>
  </si>
  <si>
    <t>INTERNAL ELECTRICAL WORK</t>
  </si>
  <si>
    <t>Nos.</t>
  </si>
  <si>
    <t>GENERAL NOTES</t>
  </si>
  <si>
    <t>The items given in this schedule are provisional. The Tenderer  shall be paid for the actual quantity of work executed as measured at the site at the rates tendered. The Client reserves the right to  increase  or decrease any of the quantities, or to ommit totally any item of work. Any claim by the Tenderer on these  accounts will not be entertained.</t>
  </si>
  <si>
    <t>All the items of work given in this schedule of quantities shall  be executed strictly in accordance with the latest Indian Standard Specifications and the requirements of the Electricity Supply Authority read in  conjunction with the relevant drawings and Specifications.</t>
  </si>
  <si>
    <t>The Tenderer shall visit the site and shall satisfy himself as to the conditions under which the work is to be performed. He shall also check and ascertain the location of any existing structure or equipment or  any other situation which may affect the work. No extra claim as a consequence of ignorance or on  ground of insufficient description will be allowed at a later date.</t>
  </si>
  <si>
    <t>All equipment and material shall be IS approved.</t>
  </si>
  <si>
    <t>All approvals shall be obtained from Client / Consultant</t>
  </si>
  <si>
    <t>All equipment and material shall be inspected at manufacturer’s works as per relevant IS by the Client or his representative before despatch to site.</t>
  </si>
  <si>
    <t>All vendor drawings shall be approved by the Client /Consultant before fabrication work starts.</t>
  </si>
  <si>
    <t xml:space="preserve">All Testing and Commissioning shall be as per relevant IS for equipment and S:732:1999 and amendanent upto date, for the installation. All testing records are to be maintained and submitted for Client’s representative. The rate shall include the wastage  on material &amp; Labour.. </t>
  </si>
  <si>
    <t>No alteration whatsoever is to be made to the text or quantities of this Schedule unless such alteration is authorised in writing by Services Consultant or Client. Any such alterations, notes or additions shall, unless authorized in writing, be disregarded when tender documents are considered.</t>
  </si>
  <si>
    <t>In the event of an error occurring in the amount of the Schedule, as a result of wrong extension of the unit rate and quantity, the unit rate quoted by the tenderer shall be regarded as firm and the extensions shall be amended on the basis of rates.</t>
  </si>
  <si>
    <t>Any error in totaling in the amount column and in carrying forward total shall be corrected. Any error, in description or in quantity, omission of items from this Schedule shall not vitiate this Contract but shall be corrected and deemed to be variation required by the Services Consultant/Project Manager.</t>
  </si>
  <si>
    <t>A.</t>
  </si>
  <si>
    <t>CIRCUIT CUM POINT WIRING</t>
  </si>
  <si>
    <t>The rates for all point wiring items shall also include  supplying and fixing of the following:</t>
  </si>
  <si>
    <t>Conduits,  conduit  specials, brass bushes and other fittings.</t>
  </si>
  <si>
    <t>Approved GI saddles and grouting the  same for exposed conduit work.</t>
  </si>
  <si>
    <t>1.2 mm thick Outlet boxes and junction box.</t>
  </si>
  <si>
    <t>All fixing accessories such as clips, brass screws etc.</t>
  </si>
  <si>
    <t>All  work necessary for wiring a point circuit of any  length  from  the  Final   Distribution  Board  to connector  via  switch and shall include the  circuit  wiring also except where identified.</t>
  </si>
  <si>
    <t>Embedding conduits and accessories in walls and floors  etc. during  construction and / or cutting chases  (with chase cutting machine) and making  good  the same as necessary in the case of concealed conduit work.</t>
  </si>
  <si>
    <t>Switch, socket outlet and necessary blank plates wherever required.</t>
  </si>
  <si>
    <t>FRLS  copper  conductor stranded flexible FRLS wire of  Green  colour or Green colour  with yellow band for  earthing  of fixtures, outlet boxes and third pin  of  socket  outlet.</t>
  </si>
  <si>
    <t>Repainting of outlet boxes and juction boxes where ever damaged.</t>
  </si>
  <si>
    <t>All wires shall be IS approved, 1100 volt grade, stranded flexible FRLS.</t>
  </si>
  <si>
    <t>All sockets shall be shuttered type with earth terminal.</t>
  </si>
  <si>
    <t xml:space="preserve"> </t>
  </si>
  <si>
    <t>Suitable rating of plugs top shall also be provided within the quoted rates for all metal clad splash proof socket outlets.</t>
  </si>
  <si>
    <t>Separate neutral and earthing wire shall be provided for each circuit.</t>
  </si>
  <si>
    <t>Lighting and power circuit to be kept separate.</t>
  </si>
  <si>
    <t>Primary points</t>
  </si>
  <si>
    <t>Pts</t>
  </si>
  <si>
    <t>Loop points</t>
  </si>
  <si>
    <t>Pts.</t>
  </si>
  <si>
    <t>Wiring  for light point as in item   No. A-1   above  but  controlled  by   SPMCB  provided in the DB. (Cost of MCB not to  be included here).</t>
  </si>
  <si>
    <t>RM</t>
  </si>
  <si>
    <t>RO</t>
  </si>
  <si>
    <t>Supply, laying &amp; testing of following PVC flexible conduit to drop down the circuit in false ceiling areas (For Light circuits)</t>
  </si>
  <si>
    <t>20mm dia</t>
  </si>
  <si>
    <t xml:space="preserve">25mm dia </t>
  </si>
  <si>
    <t>Supplying and fixing modular blanking plate on the existing modular plate &amp; switch box excluding modular plate as required.</t>
  </si>
  <si>
    <t>B</t>
  </si>
  <si>
    <t>Cables and Cable Trays</t>
  </si>
  <si>
    <t>The rate shall also include the following :</t>
  </si>
  <si>
    <t>Providing  and fixing junction boxes with covers including painting where ever required.</t>
  </si>
  <si>
    <t>Providing  all  fixing accessories such as  clAing  devices nuts, bolts and screws.</t>
  </si>
  <si>
    <t>Wherever the cables are of aluminium and bus bars of  copper bimetallic lugs shall be used.</t>
  </si>
  <si>
    <t>All cable shall be laid with one diameter gap.</t>
  </si>
  <si>
    <t>All cables shall be IS approved.</t>
  </si>
  <si>
    <t>Double compression glands with earthing provision.</t>
  </si>
  <si>
    <t>Fire retardent paint one meter on both side of wall penetration and at termination as per specifications.</t>
  </si>
  <si>
    <t>Burried LT cables to be laid atleast 750 mm below ground.</t>
  </si>
  <si>
    <t>i</t>
  </si>
  <si>
    <t>j</t>
  </si>
  <si>
    <t>k</t>
  </si>
  <si>
    <t>Notes-</t>
  </si>
  <si>
    <t>C</t>
  </si>
  <si>
    <t>LIGHT &amp; POWER DB</t>
  </si>
  <si>
    <t>Type  A</t>
  </si>
  <si>
    <t>Type  B</t>
  </si>
  <si>
    <t>D</t>
  </si>
  <si>
    <t>Effecting adequate and proper interconnections.</t>
  </si>
  <si>
    <t>E</t>
  </si>
  <si>
    <t>A</t>
  </si>
  <si>
    <t>G</t>
  </si>
  <si>
    <t>EARTHING INSTALLATION</t>
  </si>
  <si>
    <t xml:space="preserve">         </t>
  </si>
  <si>
    <t xml:space="preserve">The rates for earthing items shall also include the following </t>
  </si>
  <si>
    <t>All  fixing  accessories such as brass,  saddles,  brass screws, rawl plugs etc.</t>
  </si>
  <si>
    <t>Jointing by rivetting and brazing  after tinning.</t>
  </si>
  <si>
    <t>Cutting chases, holes and making good the same  wherever required.</t>
  </si>
  <si>
    <t>Use of copper thimbles.</t>
  </si>
  <si>
    <t>Excavation of earth, refilling, watering and ramming and making good as approved in all kinds of soil.</t>
  </si>
  <si>
    <t>All earthing pits shall be interconnected.</t>
  </si>
  <si>
    <t>Earthing shall be as per IS-3043-1987</t>
  </si>
  <si>
    <t>Supplying  and fixing of  following bare  copper / GI  tapes  including  all necessary  fixing  accessories  and effecting connections.</t>
  </si>
  <si>
    <t>GI Tape</t>
  </si>
  <si>
    <t>Copper Tape</t>
  </si>
  <si>
    <t xml:space="preserve">25 mm x 3 mm thick  </t>
  </si>
  <si>
    <t>Low impendance chemical Gel earthing system</t>
  </si>
  <si>
    <t>H</t>
  </si>
  <si>
    <t>LOW VOLTAGE DISTRIBUTION BOARDS</t>
  </si>
  <si>
    <t>The followings shall also be included in the Supply, Installation, testing &amp; commisssioning of panels &amp; boards as following :-</t>
  </si>
  <si>
    <t>Cubicle type, 14 gauge CRCA  sheet steel enclosed including supporting M.S frame work and boding to earth.</t>
  </si>
  <si>
    <t>Complete with internal wiring and distribution bus bars , clamps &amp; supports in cable alley.</t>
  </si>
  <si>
    <t>Lettering on Panels/ boards, the area they feed,  and the circuit diagram.</t>
  </si>
  <si>
    <t>TPN ACB’s / MCCB’s shall mean 3 pole with adequate size of neutral link.</t>
  </si>
  <si>
    <t>The  breaking  capacity of MCCB’s are mentioned  panel  wise. All MCCB’s shall be with thermal magnetic releases &amp; including 200 amps and microprocessor based above 250 amps (including 250 amps) capacity, unless specified otherwise.</t>
  </si>
  <si>
    <t>All motor feeders MCCBs shall be of motor duty.</t>
  </si>
  <si>
    <t>Distribution  panels shall be Powder Coated with Siemens gray paint shade no. RAL-7032 of IS-5.</t>
  </si>
  <si>
    <t>Degree of protection for following type of distribution panel enclosure shall be as per IS:13947-1993.</t>
  </si>
  <si>
    <t>a.</t>
  </si>
  <si>
    <t>IP 42 for indoor panels.</t>
  </si>
  <si>
    <t>b.</t>
  </si>
  <si>
    <t>IP 54 for kitchen and laundry panels.</t>
  </si>
  <si>
    <t>c.</t>
  </si>
  <si>
    <t>IP 55 for outdoor panels.</t>
  </si>
  <si>
    <t>All  MCCB’s   shall be provided with operating   mechanism  for door interlock.</t>
  </si>
  <si>
    <t>Current density of aluminium  shall be 1 sq mm for 1.0 amps for rated current of bus bars and current density of copper shall be 1 sq.mm for 1.25 amps for rated current of bus bars.</t>
  </si>
  <si>
    <t>Tinned copper / GI earth bus as specified in the BOQ shall be provided through out the length of each panel board.</t>
  </si>
  <si>
    <t>All measuring instruments (Meters) shall be of digital electronic with LED of approved make and compatible with BAS.</t>
  </si>
  <si>
    <t>All hinged door shall be earthed through 2.5 sq mm tinned braided copper wire.</t>
  </si>
  <si>
    <t>All panels shall have provision of the following:</t>
  </si>
  <si>
    <t>Pad locking of Switch board doors.</t>
  </si>
  <si>
    <t>Pad locking of MCCB’s handles in “OFF” Position.</t>
  </si>
  <si>
    <t xml:space="preserve">All MCB’s used for protection of resistive and lightly inductive load shall be type “B” characteristic and inductive (motor) load shall be of type “C” characteristic and discharge lamps and UPS etc. shall be of type D characteristic. </t>
  </si>
  <si>
    <t>All incoming and outgoing air circuit breakers shall be placed on middle portion of the vertical in single tier formation.</t>
  </si>
  <si>
    <t>All PTs / control transformer shall be provided with centre tap earth secondary.</t>
  </si>
  <si>
    <t>All panels shall be extendible type from both end.</t>
  </si>
  <si>
    <t>ii</t>
  </si>
  <si>
    <t>Real Time parameter</t>
  </si>
  <si>
    <t>Total active energy (KWH/MWH)</t>
  </si>
  <si>
    <t>Maximum demand (KVA/MVA) (KW/MW)</t>
  </si>
  <si>
    <t>d.</t>
  </si>
  <si>
    <t>Maximum demand reset count.</t>
  </si>
  <si>
    <t>e.</t>
  </si>
  <si>
    <t>Instantaneous power factor</t>
  </si>
  <si>
    <t>f.</t>
  </si>
  <si>
    <t>Logging of active energy eight time of a day</t>
  </si>
  <si>
    <t>g.</t>
  </si>
  <si>
    <t>Current</t>
  </si>
  <si>
    <t>h.</t>
  </si>
  <si>
    <t>Voltage</t>
  </si>
  <si>
    <t>Frequency / Harmonics</t>
  </si>
  <si>
    <t>Power factor</t>
  </si>
  <si>
    <t>iii</t>
  </si>
  <si>
    <t>1 Sets</t>
  </si>
  <si>
    <t>iv</t>
  </si>
  <si>
    <t>Breaker ON / OFF / TRIP indicating  lights with control MCB’s.</t>
  </si>
  <si>
    <t>1 Set.</t>
  </si>
  <si>
    <t>v</t>
  </si>
  <si>
    <t>1 Set</t>
  </si>
  <si>
    <t>vi</t>
  </si>
  <si>
    <t xml:space="preserve">  1 Set</t>
  </si>
  <si>
    <t>vii</t>
  </si>
  <si>
    <t>Auto-manual &amp; off selector  switch</t>
  </si>
  <si>
    <t>ix</t>
  </si>
  <si>
    <t>Protections:</t>
  </si>
  <si>
    <t>a)</t>
  </si>
  <si>
    <t>b)</t>
  </si>
  <si>
    <t>Under voltage relay (27)</t>
  </si>
  <si>
    <t>Over voltage realy (59)</t>
  </si>
  <si>
    <t>x</t>
  </si>
  <si>
    <t xml:space="preserve">Type II surge protection device </t>
  </si>
  <si>
    <t>xi</t>
  </si>
  <si>
    <t>Bus Bar</t>
  </si>
  <si>
    <t>Outgoings</t>
  </si>
  <si>
    <t>Set</t>
  </si>
  <si>
    <t>TOTAL CARRIED OVER TO SUMMARY</t>
  </si>
  <si>
    <t>F</t>
  </si>
  <si>
    <t>Bus Bars</t>
  </si>
  <si>
    <t>Outgoing</t>
  </si>
  <si>
    <t xml:space="preserve">LT panels fabricated out of 14 gauge CRCA sheet  steel in cubicle  compartmentalised free  standing floor/ Wall mounted, dust  and vermin  proof  with  reinforcement of suitable  size angle iron, channel  `T’  section and / or flats wherever necessary. 3 mm thick  cable gland plates shall be provided on top as well  as  at the bottom of  the  panels. Panels   shall  be treated with all anti corrosive process before powder coating as per specification and final approved shade. 2  Nos. earthing terminals shall  be  provided  for all panels. Panels  shall  be suitable  for 415 V, 3 phase, 4 wire,  50 HZ supply system. Lifting  hooks  shall also  be provided  in all panels. Approval shall be taken for each panel in the form of shop drawings  before fabrication. Galvanised hardwares with zinc passivation shall be used in fabrication of panels. </t>
  </si>
  <si>
    <t>Supply, Installation, testing &amp; commissioning of Low Impedence chemical GEL Earth pit sets and installation complete with consisting of 1 no. 3 meters long 17.2 mm dia MS Rod moleculerly bonded with 250 micron copper as per UL 467 and treated with 27 kgs (Minmum ) of Ground Enhancing compound as per IEEE 80 14.5 D per earth pit  as per approved make.  The Installation procedures should be followed as instructed by the Earth Electrode Supplier. One set of earth pit would consists of 1 No. of rod , 27 Kgs  of     earth enhancer Carbon / Graphite  based earth enhancer compound and 1 no. of suitable Double side  GI  clamp.</t>
  </si>
  <si>
    <t>J</t>
  </si>
  <si>
    <t>K</t>
  </si>
  <si>
    <t xml:space="preserve">TOTAL </t>
  </si>
  <si>
    <t xml:space="preserve">2 X 6 sq. mm + 1 X 4 sq. mm earth wire </t>
  </si>
  <si>
    <t xml:space="preserve">Note:-                                                                                                                                                                The contractor shall add space for DP RCCB provided in each phase as extra other than MCBs and not to be counted in Outgoing ways.                                                                                                                                                                    For example, the outgoings mentioned as 10way shall give 10 nos. of used MCB outputs only excluding DP RCCB. </t>
  </si>
  <si>
    <t>Cable end termination of the following XLPE aluminium/copper conductor armoured/Unarmoured cables of 1100 volt grade including supplying and fixing of bimettalic crimping lugs, double compression glands with earthing.</t>
  </si>
  <si>
    <t>S/F Modular Type Electronic Fan Regulator : Supplying and fixing stepped type, 2 module electronic fan regulator on the existing modular plate &amp; switch box including connections but excluding modular plate etc. as required.</t>
  </si>
  <si>
    <t>The Contractor has to draw exact routing of tray and raceway on the layout and got approved the same before going for fabrication. A sample of the same has to be hanged on the site with all necessary support. Cold Rolled process has to be adopted for Galvanization.</t>
  </si>
  <si>
    <t>Supply and fixing 3pin, 5 amp ceiling rose on the existing junction box/ wooden block including connection etc. as required for exhaust fan.</t>
  </si>
  <si>
    <t xml:space="preserve">25 mm x 3 mm thick GI tape </t>
  </si>
  <si>
    <t>8 SWG sqmm GI conductor</t>
  </si>
  <si>
    <t>Supplying and laying of following sizes of 10 KGF/ Cm2 pressure, HDPE coil pipe PE 80 IS:4984 on surface/buried in ground including cutting/filling/ trenching along with accessories etc. complete as required.</t>
  </si>
  <si>
    <t>Exclusion</t>
  </si>
  <si>
    <t>xii</t>
  </si>
  <si>
    <t>90mm inner diameter</t>
  </si>
  <si>
    <t>6sqmm copper conductor, PVC insulated flexible wire</t>
  </si>
  <si>
    <t>3.5 Core 300 sq. mm</t>
  </si>
  <si>
    <t>Providing and fixing in position the following heavy duty PVC conduit concealed or exposed as called for including all accessories i.e bends, junction boxes, outlet boxes with cover plates of approved make and design.</t>
  </si>
  <si>
    <t>20mm dia PVC conduit</t>
  </si>
  <si>
    <t>32mm dia PVC conduit</t>
  </si>
  <si>
    <t>ELECTRIC VEHICLE CHARGER</t>
  </si>
  <si>
    <t>TOTAL CARRIED TO SUMMARY</t>
  </si>
  <si>
    <t>Supply, installation, testing and commissioning of AC EV charger of rating
11 kW with 5 meter AC Type 2 cable,  as pe specification including all necessary accessories to complete the job.</t>
  </si>
  <si>
    <t>INSTALLATION OF EXTERNAL/ LANDSCAPE LIGHTING</t>
  </si>
  <si>
    <t xml:space="preserve">                                                                                                                             </t>
  </si>
  <si>
    <t>Rate for installation of fixtures shall also include the following :</t>
  </si>
  <si>
    <t>All component that may be required to make the installation complete in all respects, such as :</t>
  </si>
  <si>
    <t>a.   Suitable length of connecting wires.</t>
  </si>
  <si>
    <t>b.   Connecting wires to the point through connection block.</t>
  </si>
  <si>
    <t>c.   Bonding to earth wires.</t>
  </si>
  <si>
    <t>Drilling holes in supports wherever required.</t>
  </si>
  <si>
    <t>Fixing clamps, GI bolts and nuts/brass screws, saddles, rawl bolts and other fixing accessories as required.</t>
  </si>
  <si>
    <t>Painting with enamel paint of clamps and other fixing accessories.</t>
  </si>
  <si>
    <t>Suitable size junction boxes with connector block for loop in loop out where ever applicable.</t>
  </si>
  <si>
    <t>Testing of all fixture after installation.</t>
  </si>
  <si>
    <t>Cabling and Installation of Lighting Fixtures for External/Landscape Lighting</t>
  </si>
  <si>
    <t>Installation, testing and commissioning of the following lighting fixtures and poles including excavation and back filling as required.</t>
  </si>
  <si>
    <t>Supply, laying, testing and commissioning of following size PVC  insulated copper conductor 1100 V grade armoured cable including excavation of earth, sand/brick protection refilling, watering &amp; ramming complete.</t>
  </si>
  <si>
    <t>3 C x 4 Sq. mm. (Red, Black &amp; Green)</t>
  </si>
  <si>
    <t>3 C x 4 Sq. mm. (Yellow, Black &amp; Green)</t>
  </si>
  <si>
    <t>3 C x 4 Sq. mm. (Blue, Black &amp; Green)</t>
  </si>
  <si>
    <t>Supply and making end termination &amp; jointing of following size PVC insulated copper conductor 1100 V grade armored cable including cost of crimping lugs, sockets, insulation tapes, double compression glands etc. complete.</t>
  </si>
  <si>
    <t>3C x 4 Sq. mm.</t>
  </si>
  <si>
    <t>Primary point</t>
  </si>
  <si>
    <t>Loop point</t>
  </si>
  <si>
    <t xml:space="preserve">Supply, installation, testing and commissioning of surface/pendant mounted  motion sensor along with suitable mounting accessories, IP20 with a 360 degree detection pattern and detection area of 7m at a mounting height of 2.8m. The sensor shall work on advanced sensing Technology with  adjustable off delay timing of 1-90min through IR remote. It shall be suitable for maximum system load of 10A and supply voltage 230V AC±10%, 50 Hz having facility to by-pass the auto switch system and operate mannualy with necessary sensor control wiring. </t>
  </si>
  <si>
    <t>Supply of external light fixtures</t>
  </si>
  <si>
    <t>viii</t>
  </si>
  <si>
    <t>SECTION I</t>
  </si>
  <si>
    <t>Phase indicating light connected through same PT for connecting digital volt meter</t>
  </si>
  <si>
    <t>iv (a)</t>
  </si>
  <si>
    <t>(b)</t>
  </si>
  <si>
    <t>Spring charge / trip circuit healthy indication</t>
  </si>
  <si>
    <t>(c)</t>
  </si>
  <si>
    <t>DC "ON" indication</t>
  </si>
  <si>
    <t xml:space="preserve">Breaker control switch </t>
  </si>
  <si>
    <t>c)</t>
  </si>
  <si>
    <t>d)</t>
  </si>
  <si>
    <t>Master trip relay (86)</t>
  </si>
  <si>
    <t>e)</t>
  </si>
  <si>
    <t>Breaker TRIP/NEUTRAL/CLOSE (TNC) switch</t>
  </si>
  <si>
    <t>Auxiliary contacts required for necessary interlocking of breakers.</t>
  </si>
  <si>
    <t xml:space="preserve">CTs </t>
  </si>
  <si>
    <t>Logging of active energy eight time of a day.</t>
  </si>
  <si>
    <t>j.</t>
  </si>
  <si>
    <t xml:space="preserve">Timer for auto change over </t>
  </si>
  <si>
    <t>2 Set</t>
  </si>
  <si>
    <t>Incoming</t>
  </si>
  <si>
    <t>iii.</t>
  </si>
  <si>
    <t>i.</t>
  </si>
  <si>
    <t>0-500 volts digital electronic volt meter with in built selector switch protected by 6 amps TP MCB's.</t>
  </si>
  <si>
    <t>RS -485 Port with THDi+THDv (2 nos. port)</t>
  </si>
  <si>
    <t>Voltage Monitoring Relay (VMR)</t>
  </si>
  <si>
    <t>For detail, refer SLD.</t>
  </si>
  <si>
    <t xml:space="preserve">RS -485 Port with THDi+THDv </t>
  </si>
  <si>
    <t>Phase indicating light &amp; Breaker ON/OFF/TRIP indication protected by  MCB.</t>
  </si>
  <si>
    <t>All incoming feeder shall be provided with extra pair of NO+NC contact set for BMS integration</t>
  </si>
  <si>
    <t>Note:-</t>
  </si>
  <si>
    <t>160 amps 4P MCCB with inegral earth fault madule with following accessories:</t>
  </si>
  <si>
    <t>100 amps 4P MCCB with inegral earth fault madule with following accessories:</t>
  </si>
  <si>
    <t>Electronic multi function meter of accuracy class-I,  to measure and display the following electrical quantities :</t>
  </si>
  <si>
    <t>1 set</t>
  </si>
  <si>
    <t>3 set</t>
  </si>
  <si>
    <t>3 Job control flexible cabling from contactor to Timer</t>
  </si>
  <si>
    <t>3 Set</t>
  </si>
  <si>
    <t>EXTERNAL FEEDER PILLAR PANEL-1</t>
  </si>
  <si>
    <t xml:space="preserve"> 40 DP contactor with necessary NO&amp; NC auxilliary contacts </t>
  </si>
  <si>
    <t>40amp DP RCCB (300mA)</t>
  </si>
  <si>
    <t>Programmable Astrounomical timer with three distinct output</t>
  </si>
  <si>
    <t>Panel shall be extensible type.</t>
  </si>
  <si>
    <t>UPS SYSTEM</t>
  </si>
  <si>
    <t>LIGHTNING PROTECTION SYSTEM</t>
  </si>
  <si>
    <t xml:space="preserve">Nos. </t>
  </si>
  <si>
    <t>Mtr.</t>
  </si>
  <si>
    <t xml:space="preserve">DOWN CONDUCTOR &amp; RING CONDUCTOR  AS PER IEC 62305 </t>
  </si>
  <si>
    <t xml:space="preserve">EARTHING AS PER IEC 62561- 2 &amp; 7 </t>
  </si>
  <si>
    <t>Supply &amp; fixing of GLUE- Glue is used to fix roof conductor holder on roof.</t>
  </si>
  <si>
    <t>Supply, installation, testing &amp; commissioning of advance chemical gel earthing system for the proper dissipation of fault / leakage current to the ground and ensure the continuous electrical connectivity and proper functioning to the electrical system. The earth rod shall be of UL listed &amp; CPRI tested 3 meter long 17.2 mm dia 250 microns copper bonded steel rod with the connecting clamp (ss - rod to tape). The UL listed copper bonded rod also should be tested &amp; ceritifed from CPRI for a short circuit current of 46 KA or more. The UL listing shall be punched / engraved on the rod for the physical verification at site. The engravings shall contain the following details - UL Control number, Dimension details of the rod, Product model number &amp; UL certificate reference number as per detailed technical specification attached. To ensure the electrical conductivity, 50 Kgs (per pit) or more resistance grounding minerals per earth pit / earth rod shall be used along with the copper bonded rod. As per IEEE 80-2013 (Clause 14.5 d), the grounding minerals shall be tested &amp; certified for the resistivity of less than 0.12 ohm-mtr. The grounding minerals should be ROHS certified to ensure it does not pollute the ground water as per technical specification attached.</t>
  </si>
  <si>
    <t xml:space="preserve">Supply, installation, testing &amp; commissioning  8 mm round aluminium conductor for horizontal lightning protection - run in roof from approved make list. . 
</t>
  </si>
  <si>
    <t xml:space="preserve">Supply, installation, testing &amp; commissioning  of  roof conductor holder  for 8 mm round aluminium conductor made of SS 304 for horizontal installation at the roof The distance between each holder should be min of   1 mtr to meet the requirements of IS/IEC 62305 &amp; IEC 62561 2.
</t>
  </si>
  <si>
    <t xml:space="preserve">Supply, installation, testing &amp; commissioning  of Cross connector  for connecting of 8 mm Al round conductor . The connector should be of SS 304 with SS nuts and bolt to meet the requirements of IS/IEC 62305 &amp; IEC 62561 2.
</t>
  </si>
  <si>
    <t xml:space="preserve">Supply, installation, testing &amp; commissioning  of Expansion piece along with connector  to compensate the expansion of round 8 mm Al conductor  when temperature variation . Connection should be in every 20 mtr.  
</t>
  </si>
  <si>
    <t xml:space="preserve">Supply, installation, testing &amp; commissioning  of 8 mm round aluminium conductor as a down conductor  mounted in the surface of wall which will carry the lightning current to earth pit.  
</t>
  </si>
  <si>
    <t xml:space="preserve">Supply, installation, testing &amp; commissioning  of  Down conductor holder  for 8 mm round aluminium conductor made SS 304 for horizontal installation. The distance between each holder should be min of   1 mtr to meet the requirements of IS/IEC 62305 &amp; IEC 62561 2.
</t>
  </si>
  <si>
    <t xml:space="preserve">Supply, installation, testing &amp; commissioning of straight connector for connecting of 8 mm Al round conductor . The connector should be of Aluminium with SS nuts and bolt. 
</t>
  </si>
  <si>
    <t xml:space="preserve">Supply, installation, testing &amp; commissioning of 7 digit lightning strike counter.                                  </t>
  </si>
  <si>
    <t xml:space="preserve">Supply, installation, testing &amp; commissioning  of   Test Joint  Point  for 25X3MM CU STRIP  in ABS boxes. 
</t>
  </si>
  <si>
    <t>Supply, installation, testing &amp; commissioning of 25X6MM GI STRIP : For earthing connections</t>
  </si>
  <si>
    <t>Note :- 
Quantity is based on assumption as no landscape lighting layout is avaialable. Box requirement may change as per actual fixture selection.</t>
  </si>
  <si>
    <t>Supplying all the material for wiring with 3 x 2.5 sq. mm. PVC insulated copper conductor 1100 V in 16 gauge 20 mm dia G.I. flexible conduit including termination &amp; connecting at terminals of lighting fixtures complete. The cost shall include supply and  installation   of   G.I. flexible conduit.</t>
  </si>
  <si>
    <t>At present, the contractor shall make the infrastructure ready for EV charger i.e. underground pipe, cables etc., which may be brought in future and plug it to ready to use.</t>
  </si>
  <si>
    <t>HV INSTALLATION</t>
  </si>
  <si>
    <t>I.</t>
  </si>
  <si>
    <t>Installation of Sub-Station Equipment</t>
  </si>
  <si>
    <t>The rates under this section shall also include:</t>
  </si>
  <si>
    <t>Supporting rigid frame work.</t>
  </si>
  <si>
    <t>All fixing accessories such as foundation bolts, nuts and bolts etc as required.</t>
  </si>
  <si>
    <t>Touching up all damaged paint with approved paint shade.</t>
  </si>
  <si>
    <t>Rubber mats shall be provided in front and back of the HT switchgear as per IS-5424-1969.</t>
  </si>
  <si>
    <t>All control cabling including termination between transformer and HT switchgear as required.</t>
  </si>
  <si>
    <t>Interlocking shall be provided between transformer door and VCB HT breaker panel. When transformer door open respective VCB breaker shall be tripped.</t>
  </si>
  <si>
    <t>Degree of protection for transformer enclosure shall be IP-23.</t>
  </si>
  <si>
    <t>All protection relays shall be microprocessor based.</t>
  </si>
  <si>
    <t>Provision shall be made for all HT breakers to be hooked up with BAS for status indication.</t>
  </si>
  <si>
    <t>Sub-Station Equipment</t>
  </si>
  <si>
    <t>Supply, installation, testing and commissioning of 200 AH capacity 24 volts DC hermetically sealed maintenance free lead acid batteries duly charged for LT Panel &amp; HT Panel.</t>
  </si>
  <si>
    <t>Supply and fixing in position the approved “Shock Treatment Charts” written in English and Local Language.  These charts shall be framed in teak wood frame and covered with glass.</t>
  </si>
  <si>
    <t>Supply and fixing in position the fire extinguishers carbon-di-oxide type 2.5 Kgs capacity.</t>
  </si>
  <si>
    <t>Supply and fixing in position the best quality Danger Boards of approved shape and size as specified by Local Electricity Authorities written in English &amp; Local Languages.</t>
  </si>
  <si>
    <t>Mtrs.</t>
  </si>
  <si>
    <t>Supply and providing ISI marked electrical 1.1 kV grade anti-skid rubber mat as per IS:15652-2006 with upto date ammendment.</t>
  </si>
  <si>
    <t>II.</t>
  </si>
  <si>
    <t>HT Cables &amp; LT Control Cables</t>
  </si>
  <si>
    <t>The rates under this section shall also include the following:</t>
  </si>
  <si>
    <t>Providing and fixing approved cable supports and grouting the same as required.</t>
  </si>
  <si>
    <t>Effecting proper connections at terminations.</t>
  </si>
  <si>
    <t>Ensuring that provision is left in buildings and trenches as the work proceeds, for incorporating of cable supports at a later date.</t>
  </si>
  <si>
    <t>Providing all, fixing accessories such as clamping devices, nuts and bolts etc.</t>
  </si>
  <si>
    <t>ClAing to supports where laid in trenches.</t>
  </si>
  <si>
    <t>Providing proper supports for cable terminals as called for.</t>
  </si>
  <si>
    <t>Wherever cables cross walls provide proper sleeves at the time of civil work.</t>
  </si>
  <si>
    <t>Supplying and making cable end terminations for the following size of 11 KV grade, XLPE aluminium conductor armoured cable including termination kit complete heat shrinkable sleeve etc.</t>
  </si>
  <si>
    <t>Supplying and laying of following 1100 volts grade PVC insulated sheathed copper conductor armoured control cables in existing trenches cables trays, cladd on wall with suitable saddles, fixing bolts, including testing and commissioning.</t>
  </si>
  <si>
    <t>7 core 2.5 sq mm PVC insulated copper conductor armoured  control cables</t>
  </si>
  <si>
    <t>12 core 2.5 sq mm PVC insulated copper conductor armoured  control cables</t>
  </si>
  <si>
    <t>Cable end termination of the following PVC insulated sheathed aluminium  conductor armoured cables of 1100 volt grade including supplying and fixing of crimping lugs. Double compression glands with earthing provision and cable sockets</t>
  </si>
  <si>
    <t>7 core 2.5 sq.mm Control cable</t>
  </si>
  <si>
    <t>12 core 2.5 sq.mm Control cable</t>
  </si>
  <si>
    <t>TOTAL (I &amp; II)</t>
  </si>
  <si>
    <t>Supply of Internal lighting fixtures</t>
  </si>
  <si>
    <t>Elevators</t>
  </si>
  <si>
    <t xml:space="preserve">50 mm x 6 mm thick GI tape </t>
  </si>
  <si>
    <t xml:space="preserve">25 mm x 6 mm thick GI tape </t>
  </si>
  <si>
    <t>Type  C</t>
  </si>
  <si>
    <t>12 way TPN DB, 12 Nos. 10/16/20 A SP MCB’s per phase  with 3 Nos. 63 A DP RCCB’s  of 100 mA leakage  current and  1 No. 63 A 4 pole MCB as  incomer   with  separate  neutral link for each phase.</t>
  </si>
  <si>
    <t>8 way TPN DB, 8 Nos. 10/16/20 A SP MCB’s per phase  with 3 Nos. 63 A DP RCCB’s  of 100 mA leakage  current and  1 No. 63 A 4 pole MCB as  incomer   with  separate  neutral link for each phase.</t>
  </si>
  <si>
    <t>3.5 Core 185 sq. mm</t>
  </si>
  <si>
    <t>3.5 Core 150 sq. mm</t>
  </si>
  <si>
    <t>e</t>
  </si>
  <si>
    <t>f</t>
  </si>
  <si>
    <t>g</t>
  </si>
  <si>
    <t>h</t>
  </si>
  <si>
    <t>3.5 Core 50 sq. mm</t>
  </si>
  <si>
    <t>3.5 Core 35 sq. mm</t>
  </si>
  <si>
    <t>4 Core 25 sq. mm</t>
  </si>
  <si>
    <t>4 Core 16 sq. mm</t>
  </si>
  <si>
    <t>4 Core 4  sq. mm (Cu cable)</t>
  </si>
  <si>
    <t>4 Core 6 sq. mm  (Cu cable)</t>
  </si>
  <si>
    <t xml:space="preserve">1000  mm x 50 x 50 x 2 mm thick </t>
  </si>
  <si>
    <t xml:space="preserve">750  mm x 50 x 50 x 2 mm thick </t>
  </si>
  <si>
    <t xml:space="preserve">600  mm x 50 x 50 x 2 mm thick </t>
  </si>
  <si>
    <t xml:space="preserve">450  mm x 40 x 40 x 1.6 mm thick </t>
  </si>
  <si>
    <t xml:space="preserve">300  mm x 40 x 40 x 1.6 mm thick </t>
  </si>
  <si>
    <t xml:space="preserve">150  mm x 40 x 40 x 1.6 mm thick  </t>
  </si>
  <si>
    <t>Supplying and fixing of cable tags made out of aluminum anodized plate of size 90mm × 20 mm , tag to be fixed at both ends of the cable , stating cable size and Source to Termination point in form of From &amp; To</t>
  </si>
  <si>
    <t>Supply &amp; laying of  following 1100 volt  grade XLPE sheathed copper conductor multi-strand flexible confirming to IS 694 unarmoured cable  as per specification in existing trenches, cable trays ducts over bed of sand, clad to wall with suitable clamp, including fixing bolts, connecting testing and commissioning.</t>
  </si>
  <si>
    <t>Each</t>
  </si>
  <si>
    <t>meter</t>
  </si>
  <si>
    <t>150mm x 35mm x 2.0 mm  with 3 mm top cover</t>
  </si>
  <si>
    <t>100mm x 35mm x 2.0 mm  with 3 mm top cover</t>
  </si>
  <si>
    <t>Wiring     for   the  following  light/ceiling fan/exhaust fan  points     with  1.5  sq.mm (including circuit wiring) PVC insulated FRLS copper  conductor   1100   volts   grade  stranded  flexible  wires  of  approved  make   in concealed/ surface 25 mm dia heavy duty PVC conduit including providing and fixing of 6 amps single pole  rocker operated   flush   mounted modular  switch  of approved quality, colour, make and design in 1.2 mm  thick  GI  box  and  earthing  of fixtures  and  the outlet box  with  1.5 sq.mm  PVC  insulated  FRLS copper  conductor  stranded flexible  wire.</t>
  </si>
  <si>
    <t xml:space="preserve">2 X 1.5 sq. mm + 1 X 1.5 sq. mm earth wire </t>
  </si>
  <si>
    <t xml:space="preserve">2 X 2.5 sq. mm + 1 X 1.5sq. mm earth wire </t>
  </si>
  <si>
    <t xml:space="preserve">2 X 4 sq. mm + 1 X 2.5sq. mm earth wire </t>
  </si>
  <si>
    <t>25mm dia PVC conduit</t>
  </si>
  <si>
    <t>63A  FP RCCB For Lift</t>
  </si>
  <si>
    <t>Supply  and installation of  following following size high density polyethylene corrugated two layers DWC pipe (Outer layer corrugated and inner surface plain and smooth) including Accessories like HDPE snap fit coupler with neoprene ‘O’ ring to make the joints water / damp proof. 
The pipe shall be laid burried and to be protective by brick/ stone bedding all around before directly burrying in soil.</t>
  </si>
  <si>
    <t>110 mm dia ID / 95 mm ID</t>
  </si>
  <si>
    <t>200 mm dia ID / 175 mm ID</t>
  </si>
  <si>
    <t>Charger is considered with average charging time of 8 to 10 hours for an indian SUV.</t>
  </si>
  <si>
    <t xml:space="preserve">Supply, installation, testing and commissioning of locally wall mounted 220 volts,  single phase, AC energy meter with enclosure near to the EV charger to record energy consumption with RS 485 port and terminals of suitable rating with glands for cable entry/ exit with accessories for completeness of job. </t>
  </si>
  <si>
    <t>FINAL DISTRIBUTION BOARDS</t>
  </si>
  <si>
    <t>EARTHING SYSTEM</t>
  </si>
  <si>
    <t>EXTERNAL PIPE WORK</t>
  </si>
  <si>
    <t>SUPPLY &amp; INSTALLATION OF LT PANELS</t>
  </si>
  <si>
    <t>CABLES &amp; CABLE TRAYS</t>
  </si>
  <si>
    <t>Supply, Transportation, storing at site, shifting at work place, installation, Testing and commissioning of the following  rating  UPS as per specifications and complete in all respects. The scope also includes supply, Installation, Testing and Commissioning of Sealed Maintenance Free lead acid Batteries  complete with intercell connectors &amp; copper cables, Battery breaker, battery stand made out of Powder Coated MS Angles with adequate supports to carry the load of the batteries &amp; also TVSS at the input of each UPS to protect against transients, surges &amp; Noise as per the tender specifications. UPS shall also have Modbus communication port. UPS shall also have parallel mode of operation in-built and RS485 port for BMS integartion</t>
  </si>
  <si>
    <t>Wiring for the twin control light points with 1.5  sq. mm  PVC  insulated  FRLS  copper    conductor   1100   volts  grade stranded flexible wires in concealed 25mm dia heavy duty PVC conduit including providing and fixing  2 No. 6 amps 2 way  rocker  operated  flush  mounted modular switches of approved quality &amp; colour  make and design in 1.2 mm thick GI box and earthing  of fixture &amp; the outlet box with  1.5  Sq.mm  PVC  insulated  FRLS copper  conductor stranded flexible   wire.</t>
  </si>
  <si>
    <t xml:space="preserve">MAIN LT PANEL </t>
  </si>
  <si>
    <t xml:space="preserve">Incoming Air Circuit  Breaker `A’ (For Transformer Supply)   </t>
  </si>
  <si>
    <t>Separate set of class 1, 15VA CTs for protection for Solar PV integration</t>
  </si>
  <si>
    <t xml:space="preserve">Incoming Air Circuit Breaker ‘C’ </t>
  </si>
  <si>
    <t xml:space="preserve">Incoming Air Circuit Breaker ‘B’ </t>
  </si>
  <si>
    <t>Main LT  Panel as described above</t>
  </si>
  <si>
    <t>Civil work</t>
  </si>
  <si>
    <t>Supply, installation, testing and commissioning of the following FDB's fabricated out of 1.2 mm thick CRCA sheet steel, double door  &amp; IP-43 construction, powder coated with approved shade and partitions to segregate phases.  Approved lockable covers with padlocking arrangement for each phase, recessed in wall or surface  mounted final distribution boards of the following description: All MCB should be 10KA breaking capacity. Copper bus bars, Neutral &amp; Earth Links and all required accessories for interconnection.</t>
  </si>
  <si>
    <t>Supply, Installation, testing &amp; commissioning of  MS powder coated green coloured earthing box with tentative size 300mm x 300mm x 200mm having copper earth bus bar inside it mounted with insulation from box, having holes for connecting copper earth wires with suitable dia hardwares to terminate O type lugs  including all necessary accessories to complete the work. (For Server)</t>
  </si>
  <si>
    <t>Supplying &amp; installation of following MCB/ RCCB's in polycarbonate encloser, IP 20 with ON indication lamp :-</t>
  </si>
  <si>
    <t>Supplying and laying following size 11 KV grade un-earthed (UE) XLPE aluminium conductor, flat armoured cables laid within in existing trenches and RCC hume pipes.</t>
  </si>
  <si>
    <t>Supply  &amp; laying of  following 1100 volt  grade  XLPE FRLS inner sheathed PVC aluminium/copper  conductor armoured cables  (Confirming To IS:7098 Part-I) as per specification in existing trenches, cable trays, ducts, over bed of sand, clad to wall with suitable clamp including, saddles fixing bolts, connecting testing and commissioning.</t>
  </si>
  <si>
    <t>Supply, installation, testing and commissioning of following PVC insulated FRLS  copper conductor 1100 volt grade stranded flexible wire in heavy duty PVC conduit for circuit wiring including providing and fixing of conduits concealed or surface mounted including green colour with yellow band copper wire for earthing and making connections complete. (Submain/Circuit wiring required other than the items mentioned in BOQ)</t>
  </si>
  <si>
    <t>Separate set of class 1, 15VA CTs for protection for Hybrid power factor correction panel</t>
  </si>
  <si>
    <t xml:space="preserve">Design, supply, installation, testing &amp; commissioning of cubicle type semi compartementalized floor mounted free standing type with configration of  Static Var Generator 600 Kvar Modular design  ,415V, 50HZ, 3 phase 4 wire supply, moisture, dust and vermin proof  IP-42 with cooling intrinsic design of voltage sourced IGBT based technology with multi modular design for parallel operation ,intelligent 3-Level topology with 12 IGBT Hybrid PFC panel with Programmable Microprocessor controller  to maintain Power Factor, Harmonics &amp; Unbalancing duly housed in epoxy powder coated 2mm thick  CRCA sheet steel compatmentalised enclosure  free standing type with all supports, accessories, switch gears, control gears, protections, wiring, interconnections, control MCBs and maintain PF,I-THD,V-THD upto 51 th level of harmonics.Certification Standard having  surge test IEC61000-4-5, conducted suseptiablity IEC 61000-6-4 and fast transient test IEC61000-4-4 </t>
  </si>
  <si>
    <t>IP Rating: IP 42</t>
  </si>
  <si>
    <t>Short Circuit Fault with stand Capacity: 50 KA</t>
  </si>
  <si>
    <t>Incomer :</t>
  </si>
  <si>
    <t>Bus bars:</t>
  </si>
  <si>
    <t>Common HMI Controller 7" inch - Micro processor based, *BMS Compatible:</t>
  </si>
  <si>
    <t xml:space="preserve">3 Phase Display with 7" TFT touch Screen with RS 485 communication port </t>
  </si>
  <si>
    <t>Multi Protection functions including over and under  volatge /frequency/pase failure/over temp/ high harmonic protection</t>
  </si>
  <si>
    <t>ii.</t>
  </si>
  <si>
    <t>Total Current</t>
  </si>
  <si>
    <t>iv.</t>
  </si>
  <si>
    <t>Power Factor</t>
  </si>
  <si>
    <t>v.</t>
  </si>
  <si>
    <t>Instantly displays power information with data before and data after compensation.</t>
  </si>
  <si>
    <t>Outgoings:</t>
  </si>
  <si>
    <t xml:space="preserve"> 3 phase ASVG current, current shall be shown with different colors (Red, yellow, blue, black color) Each module shall have separate protection MCCB. For easy repairability the IGBT driver cards shall be separate for different phases, separate common control cards and these should be fitted on main PCB. DC capacitors shall not be mounted on PCB. ASVG shall used powder iron core instead of CRGO and LCL circuit to reduce noises created by switching frequency.. The ASVG shall also be suitable for unbalanced load usage.</t>
  </si>
  <si>
    <t xml:space="preserve">40 Amps 4P MCB                                                          6 Nos. </t>
  </si>
  <si>
    <t xml:space="preserve">40 Amps 4P MCB                                                          2 Nos. </t>
  </si>
  <si>
    <t>Wiring     for   the  following  dimmer module controlled light  points with  1.5  sq.mm (including circuit wiring) PVC insulated FRLS copper  conductor   1100   volts   grade  stranded  flexible  wires  of  approved  make   in concealed/surface FRLS heavy duty PVC conduit with approved quality, colour, make and design and  earthing  of fixtures  1.5 sq.mm  PVC  insulated  FRLS copper  conductor  stranded flexible  wire. (Includes DALI and analogue  circuits)</t>
  </si>
  <si>
    <t xml:space="preserve">4 X 6 sq. mm + 2 X 4sq. mm earth wire  </t>
  </si>
  <si>
    <t>Ceiling Fan : Supplying of BLDC technology based 1200 mm sweep ceiling fan complete with blades, shakle, hanging rod etc. with high breeze, low speed for operation on 230V, 50 Cy, low power consumption , low noise and in-built AC to DC supply converter from approved make  in colour as per interior designer. Single phase A.C. supply confirming to IS 374-1979.  
The fan shall be star rated with 5 star as per BEE norms.                                                                                                     (Contractor shall submit the fan models for approval to client before procurement)</t>
  </si>
  <si>
    <t xml:space="preserve">Supply, installation, testing &amp; commissioning of Vertical Aluminium Lighting Arrester of 16MM dia, 2000 mm long  with Gun Metal base plate from approved make list. 
</t>
  </si>
  <si>
    <t>Supply, installation, testing and commissioning of  EV charger of rating
2.5 kW with 5 meter AC Type 2 cable for 2 Wheelers ,  as pe specification including all necessary accessories to complete the job.</t>
  </si>
  <si>
    <t>The method of billing shall be decided by client once the charger are purchased by client</t>
  </si>
  <si>
    <t>(From Solar PV System)</t>
  </si>
  <si>
    <t>MCCB rotary handle</t>
  </si>
  <si>
    <t>Electronic multi function meter of accuracy class-I, with 3 Nos. 100/5 amps 15VA CTs to measure and display the following electrical quantities :</t>
  </si>
  <si>
    <t xml:space="preserve">96 x  96 mm sq. 0-500 Volt  digital voltmeter  protected by 6 amp TP MPCB’s  </t>
  </si>
  <si>
    <t xml:space="preserve">Phase indicating light connected through </t>
  </si>
  <si>
    <t xml:space="preserve">iv  </t>
  </si>
  <si>
    <t>100amp, AC3, Contactor</t>
  </si>
  <si>
    <t>125 amps 4P MCCB                 2 Nos.</t>
  </si>
  <si>
    <t xml:space="preserve">100 KVAR  IGBT MODULE BASED HYBRID ACTIVE PANEL </t>
  </si>
  <si>
    <t>1 No.. 250A, TPN,  MCCB with integral earth fault protection with following accessories.</t>
  </si>
  <si>
    <t>300A, TP, Aluminium Bus Bars of Electrolytic grade with heat shrinkable sleeves.</t>
  </si>
  <si>
    <t>2 Nos. 50 KVAR  ASVG IGBT Modular Sets, each comprising :</t>
  </si>
  <si>
    <t>(IGBT based active technology with gate driver,interfacing,voltage sensing &amp; control cards, heat sinks, cooling fan, current tranducers, SMPS, SSR etc.) each have following.</t>
  </si>
  <si>
    <t>100kVAr IGBT MODULE BASED HYBRID ACTIVE PANEL   as described above</t>
  </si>
  <si>
    <t>VENTILATION FANS PANEL - BASEMENT</t>
  </si>
  <si>
    <t>63 amps 4P MCCB with inegral earth fault madule with following accessories:</t>
  </si>
  <si>
    <t xml:space="preserve">25 Amps 4P MCB                                                          3 Nos. </t>
  </si>
  <si>
    <t xml:space="preserve">16 Amps 4P MCB                                                          3 Nos. </t>
  </si>
  <si>
    <t xml:space="preserve">VENTILATION FANS PANEL - BASEMENT described as above </t>
  </si>
  <si>
    <t>AC ODU PANEL - TERRACE</t>
  </si>
  <si>
    <t>250 amps 4P MCCB with inegral earth fault madule with following accessories:</t>
  </si>
  <si>
    <t xml:space="preserve">160 Amps 4P MCCB                                                          4 Nos. </t>
  </si>
  <si>
    <t xml:space="preserve">AC ODU PANEL - TERRACE described as above </t>
  </si>
  <si>
    <t>STACK PARKING PANEL - BASEMENT</t>
  </si>
  <si>
    <t xml:space="preserve">32 Amps 4P MCB                                                          4 Nos. </t>
  </si>
  <si>
    <t xml:space="preserve">STACK PARKING PANEL - BASEMENT described as above </t>
  </si>
  <si>
    <t>STAIRWELL &amp; LIFT PRESS FAN PANEL - TERRACE</t>
  </si>
  <si>
    <t>150 amps TPN aluminium bus bars (25kA) with coloured heat shrinkable insulation sleeve.</t>
  </si>
  <si>
    <t>100 amps TPN aluminium bus bars (25kA) with coloured heat shrinkable insulation sleeve.</t>
  </si>
  <si>
    <t xml:space="preserve">32 Amps 4P MCB                                                          5 Nos. </t>
  </si>
  <si>
    <t xml:space="preserve">STAIRWELL &amp; LIFT PRESS FAN PANEL  - BASEMENT 
described as above </t>
  </si>
  <si>
    <t xml:space="preserve">EV CHARGER PANEL  - BASEMENT 
described as above </t>
  </si>
  <si>
    <t>200 amps 4P MCCB                 1 Nos.</t>
  </si>
  <si>
    <t>200 amps TPN aluminium bus bars (25kA) with coloured heat shrinkable insulation sleeve.</t>
  </si>
  <si>
    <t>II</t>
  </si>
  <si>
    <t xml:space="preserve">25 Amps DP MCB                                                          8 Nos. </t>
  </si>
  <si>
    <t>UPS PANEL 1</t>
  </si>
  <si>
    <t xml:space="preserve">UPS PANEL 1 described as above </t>
  </si>
  <si>
    <t xml:space="preserve">UPS PANEL 2 </t>
  </si>
  <si>
    <t xml:space="preserve">32 Amps 4P MCB                                                           6 Nos. </t>
  </si>
  <si>
    <t xml:space="preserve">UPS PANEL 2 described as above </t>
  </si>
  <si>
    <t>40 amps 4P MCCB (25kA) .</t>
  </si>
  <si>
    <t>60 amps SPN aluminium bus bars (25 kA) with coloured heat shrinkable insulation sleeve.</t>
  </si>
  <si>
    <t>Wiring  for  250 volt single  phase  and  neutral  6/13 amps  universal switch socket outlet with 2.5 sq.mm PVC insulated FRLS copper conductor 1100 volts grade stranded flexible wires in  concealed/ surface 25 (including circuit wiring)  mm dia  heavy duty PVC conduit, including providing and  fixing  of 6 amps  3   pin   switched   socket    of  approved  make  colour   and   design    in  1.2 mm thick GI box with  grid  plate  and earthing of third pin of  the     socket outlet and  the   GI box  with  2.5  Sq.mm   FRLS copper conductor stranded flexible  wire.</t>
  </si>
  <si>
    <t>Type  D</t>
  </si>
  <si>
    <t xml:space="preserve">10 Amps DP MCB                                                     30Nos. </t>
  </si>
  <si>
    <t xml:space="preserve">External feeder pillar panel-1 described as above </t>
  </si>
  <si>
    <t xml:space="preserve">40 mm x 10 mm thick GI tape </t>
  </si>
  <si>
    <t xml:space="preserve">32 mm x 6 mm thick  </t>
  </si>
  <si>
    <t>Note: -The LA system shall be based on risk protection and is a specialized job. The specialized OEM/ vendor shall prepare his desgin &amp; and BOQ and submit for consultant approval prior to procurement.</t>
  </si>
  <si>
    <t>Installation, testing &amp; commissioning of following external lighting fixtures as per landscape selection with UGR 19 or less)</t>
  </si>
  <si>
    <t>Ground light for WB</t>
  </si>
  <si>
    <t>LED Strip light</t>
  </si>
  <si>
    <t>Note :-Boudary wall light Quantity is based on assumption as no lighting layout is avaialable. Box requirement may change as per actual fixture selection.</t>
  </si>
  <si>
    <t xml:space="preserve">Installation, testing &amp; commissioning of external lighting fixtures as per landscape selection with UGR 19 or less)  suitable to be mounted on boundary wall with 1 meter high structure, heavy duty  external GI tubular simple pole &amp; IP65 type driver.
</t>
  </si>
  <si>
    <t>INTERNAL ELECTRICAL WORKS, KSM 66 OFFICE, HYDERABAD</t>
  </si>
  <si>
    <t>xiii</t>
  </si>
  <si>
    <t>AMF relay with all necessary components for DG AMF operation</t>
  </si>
  <si>
    <t>xiv</t>
  </si>
  <si>
    <t>PLC controller for load management and operation control along with grid and solar PV system</t>
  </si>
  <si>
    <t>Breaker control switch</t>
  </si>
  <si>
    <t>Wiring for following 250 volts single phase and neutral 20 amps switched socket outlet and one light point (bulkhead) for lift shafts with 4 sq.mm PVC insulated FRLS  copper conductor 1100 volts grade stranded flexible wires in concealed 25 mm dia  stove enamled black MS conduit including providing and fixing    of   16   amps   3 pin switched socket of approved make and design  in 1.2 mm thick GI boxes with grid plates and earthing of third pin of socket   outlet and GI box with 4 sq.mm PVC insulated  FRLS  copper conductor stranded flexible wire for following sets(point for lift shaft): (Cost of MCB/ bulk head light fixture not to be included)</t>
  </si>
  <si>
    <t>Three sets of above controlled by one 20 A SP MCB in DB</t>
  </si>
  <si>
    <t>Supply and fixing of Hot dipped perforated type G.I. cable trays of the following sizes including providing suitable angle suspenders at 1800 mm C/C as per specifications.</t>
  </si>
  <si>
    <t>8 way TPN DB, 8 Nos. 10/16/20 A SP MCB’s per phase  with 3 Nos. 32 A DP RCCB’s  of 100 mA leakage  current and  1 No. 32 A 4 pole MCB as  incomer   with  separate  neutral link for each phase. (UDB 1st to 3rd  floor)</t>
  </si>
  <si>
    <t>Strip ligh @ ground</t>
  </si>
  <si>
    <t>Wash light @ ground (wide)</t>
  </si>
  <si>
    <t>Supply, installation, Testing &amp; commissioning of  70 kVA  on line 415 V AC UPS  with 15minutes balancing battery  back up.</t>
  </si>
  <si>
    <t>6 way TPN DB, 6 Nos. 10/16/20 A SP MCB’s per phase  with 3 Nos. 25 A DP RCCB’s  of 100 mA leakage  current and  1 No. 25 A 4 pole MCB as  incomer   with  separate  neutral link for each phase.  (UDB Basement, LGF, UGF)</t>
  </si>
  <si>
    <t xml:space="preserve">150  mm x 40 x 40 x 1.6 mm thick with top cover on boundary wall </t>
  </si>
  <si>
    <t>Design, manufacturing, supply and installation of overhead raceways made from 1.6mm thick G.I. sheet in following size complete with suitable knockouts, suspended rods / angle iron, reducer,  1.6 mm thick removable top cover and cable holding arrangement commplete for installationas required:</t>
  </si>
  <si>
    <t>300mm x 40mm x 1.6 thick with one compartments.</t>
  </si>
  <si>
    <t>150mm x 40mm x 1.6 thick with one compartments.</t>
  </si>
  <si>
    <t>100mm x 40mm x 1.6 thick with one compartments.</t>
  </si>
  <si>
    <t>Design, manufacturing, supply and installation of pre-galvalized floor raceways made from 2.0mm thick G.I. sheet in following size for industrial power outlet wiring, tele, data, etc complete with inlcuding junction boxes suitable knockouts, junction box, tap off points, reducer, removable top cover, coupler plate and cable holding arrangement :</t>
  </si>
  <si>
    <t>Four sets of above controlled by one 20 A SP MCB in DB</t>
  </si>
  <si>
    <t>Wiring  for  250 volt single  phase  and  neutral  6 amps   switch socket outlet with 2.5 sq.mm PVC insulated FRLS copper conductor 1100 volts grade stranded flexible wires in  concealed/ surface 25 (including circuit wiring)  mm dia  heavy duty PVC conduit, including providing and  fixing  of 6 amps  3   pin   switched   socket    of  approved  make  colour   and   design    in  1.2 mm thick GI box with  grid  plate  and earthing of third pin of  the     socket outlet and  the   GI box  with  2.5  Sq.mm   FRLS copper conductor stranded flexible  wire.</t>
  </si>
  <si>
    <t xml:space="preserve">Wiring  for 250 volts single  phase and  neutral  16 amps switched socket  outlet with 4 sq.mm   (including circuit wiring) PVC insulated FRLS  copper conductor 1100 volts grade  stranded flexible  wires in concealed/ surface 25 mm dia  heavy duty PVC conduit,  including providing  and fixing of 16 amps 3 pin  switched  socket of approved make and design in 1.2 mm thick GI boxes with  grid  plates  and  earthing  the third  pin  of socket   outlet   with    2.5  Sq. mm   PVC   insulated  FRLS copper  conductor  stranded flexible   wire.  . </t>
  </si>
  <si>
    <t>Wiring  for 250 volts single  phase and  neutral  16 amps switched socket  outlet with 4 sq.mm   (including circuit wiring) PVC insulated FRLS  copper conductor 1100 volts grade  stranded flexible  wires in concealed/ surface 25 mm dia  heavy duty PVC conduit,  including providing  and fixing of 16 amps 3 pin  switched  socket of approved make and design in 1.2 mm thick GI boxes with  grid  plates  and  earthing  the third  pin  of socket   outlet   with    2.54  Sq. mm   PVC   insulated  FRLS copper  conductor  stranded flexible   wire.  Switch to be installed at +1050mm FFL and socket to be provided at +2200mm FFL. (For AC Split unit)</t>
  </si>
  <si>
    <t xml:space="preserve">Wiring  for 250 volts single  phase and  neutral  6/16 amps weather proof switched socket  outlet with 4 sq.mm   (including circuit wiring) PVC insulated FRLS  copper conductor 1100 volts grade  stranded flexible  wires in concealed/ surface 25 mm dia  heavy duty PVC conduit,  including providing  and fixing of 6/16 amps 5 pin  switched  socket of approved make and design in 1.2 mm thick GI boxes with  grid  plates  and  earthing  the third  pin  of socket   outlet   with    2.5  Sq. mm   PVC   insulated  FRLS copper  conductor  stranded flexible   wire. </t>
  </si>
  <si>
    <t xml:space="preserve">Wiring  for 250 volts single  phase and  neutral  6/16 amps switched socket  outlet with 4 sq.mm   (including circuit wiring) PVC insulated FRLS  copper conductor 1100 volts grade  stranded flexible  wires in concealed/ surface 25 mm dia  heavy duty PVC conduit,  including providing  and fixing of 6/16 amps 5 pin  switched  socket of approved make and design in 1.2 mm thick GI boxes with  grid  plates  and  earthing  the third  pin  of socket   outlet   with    2.5  Sq. mm   PVC   insulated  FRLS copper  conductor  stranded flexible   wire. </t>
  </si>
  <si>
    <t xml:space="preserve">Wiring  for 250 volts single  phase and  neutral  25 amps Industrial type polycarbonate switched socket  outlet with 6 sq.mm   (including circuit wiring) PVC insulated FRLS  copper conductor 1100 volts grade  stranded flexible  wires  in concealed/ surface 25 (including circuit wiring)  mm dia  heavy duty PVC conduit,  including providing  and fixing of 25 amps 3pin  switched  socket of approved make and design in 1.2 mm thick GI boxes with  grid  plates  and  earthing  the third  pin  of socket   outlet   with    4  Sq. mm   PVC   insulated  FRLS copper  conductor  stranded flexible   wire. (For IT main Server Rack)
</t>
  </si>
  <si>
    <t>Conventional Type system</t>
  </si>
  <si>
    <t xml:space="preserve">In Ground mounted Shrub Uplighter </t>
  </si>
  <si>
    <t>Under water light</t>
  </si>
  <si>
    <t>Tree uplighter (On Ground at soil level of planter)</t>
  </si>
  <si>
    <t>Sculpture uplighter (On Ground at soil level of planter)</t>
  </si>
  <si>
    <t>Supply &amp; installation of suitable size polycarbonate weather proof (IP-65) junction box with tentative size 100mm x 100mm x 50mm including excavation and back filling &amp; connector. These shall be supplied only in case if fixture does not have its provision.</t>
  </si>
  <si>
    <t>Note:
The final quantity &amp; selection of Landscape/ external lighting shall be as  per landscape consultant and shall be part of their BOQ. Presently, quantity is available for UGF/ 1st/ 2nd and 3rd floor landscape. No detail was available for ground landscape and the same is considered on assumption basis.</t>
  </si>
  <si>
    <t>Installation, testing and commissioning of 400 KVA capacity 11/0.433 kV Oil type Compact sub-station (CSS) with ON load tap changer, as per specifications, including RTCC Panel.</t>
  </si>
  <si>
    <t>3 C x 150 sq.mm 11 KV XLPE cable</t>
  </si>
  <si>
    <t>3 C x 150 sq.mm 11 KV XLPE cable (indoor)</t>
  </si>
  <si>
    <t>300 mm dia ID / 260mm ID</t>
  </si>
  <si>
    <t>4 Core 10 sq. mm  (Cu cable)</t>
  </si>
  <si>
    <t>4 Core 6  sq. mm (Cu cable)</t>
  </si>
  <si>
    <t>4 Core 4 sq. mm  (Cu cable)</t>
  </si>
  <si>
    <t>1 core  70 sq.mm copper  cable</t>
  </si>
  <si>
    <t>4 core  6 sq.mm copper  cable</t>
  </si>
  <si>
    <t>1 core  70 sq.mm copper  cable (With PVC Glands)</t>
  </si>
  <si>
    <t>800 amps 4 pole electrically operated  fully drawout  type  air circuit breaker with built in microprocessor based release unit for short circuit, over current and earth fault protection with adjustable setting as per specification and with following accessories:</t>
  </si>
  <si>
    <t>Electronic multi function meter of accuracy class-I, with 3 Nos. 800/5 amps 15VA CTs to measure and display the following electrical quantities :</t>
  </si>
  <si>
    <t>(From 500kVA Genset)</t>
  </si>
  <si>
    <t>Electronic multi function meter of accuracy class-I, with 3 Nos 800/5 amps 15VA CTs to measure and display the following electrical quantities :</t>
  </si>
  <si>
    <t>Instantaneous over current and earth fault relay (50+50N)</t>
  </si>
  <si>
    <t>Separate set of class 5P10, 15VA CTs for protection for protection</t>
  </si>
  <si>
    <t xml:space="preserve">900 A, TPN Al. Bus Bar with PVC heat shrinkable sleeves of suitable length to withstand fault current of 35 KA for 1 Sec. </t>
  </si>
  <si>
    <t>250 amps 4P MCCB                 4 Nos.</t>
  </si>
  <si>
    <t>160 amps 4P MCCB                 3 Nos.</t>
  </si>
  <si>
    <t>100 amps 4P MCCB                 2 No.</t>
  </si>
  <si>
    <t xml:space="preserve">63 amps 4P  MCCB                  4 No. </t>
  </si>
  <si>
    <t xml:space="preserve">63 amps 4P  MCB                    5 No. </t>
  </si>
  <si>
    <t xml:space="preserve">32 amps 4P  MCB                    3 No. </t>
  </si>
  <si>
    <t xml:space="preserve">40 amps 4P  MCB                    2 No. </t>
  </si>
  <si>
    <t>All incoming and outgoing (MCCB) feeder shall be provided with extra pair of NO+NC contact set for BMS integration except spare feeders.</t>
  </si>
  <si>
    <t>EV CHARGER PANEL - BASEMENT</t>
  </si>
  <si>
    <t xml:space="preserve">25 Amps DP MCB                                                          3 Nos. </t>
  </si>
  <si>
    <t xml:space="preserve">63 Amps 4P MCB                                                          8 Nos. </t>
  </si>
  <si>
    <t>SDB LIGHT &amp; POWER (LOWER FLOOR)</t>
  </si>
  <si>
    <t xml:space="preserve">SDB LIGHT &amp; POWER (LOWER FLOOR)
described as above </t>
  </si>
  <si>
    <t>200 amps 4P MCCB with inegral earth fault madule with following accessories:</t>
  </si>
  <si>
    <t>300 amps TPN aluminium bus bars  with coloured heat shrinkable insulation sleeve.</t>
  </si>
  <si>
    <t xml:space="preserve">160 Amps 4P MCCB                                                       3 Nos. </t>
  </si>
  <si>
    <t>2 Nos.  160 amps 4P MCB (10kA) with following accessories:</t>
  </si>
  <si>
    <t>300 amps TPN aluminium bus bars (25 kA) with coloured heat shrinkable insulation sleeve.</t>
  </si>
  <si>
    <t xml:space="preserve">63 Amps 4P MCB                                                           7 Nos. </t>
  </si>
  <si>
    <t xml:space="preserve">25 Amps 4P MCB                                                           2 Nos. </t>
  </si>
  <si>
    <t xml:space="preserve">32 Amps DP MCB                                                           4 Nos. </t>
  </si>
  <si>
    <t xml:space="preserve">25 Amps DP MCB                                                           3 Nos. </t>
  </si>
  <si>
    <t xml:space="preserve">Incoming cum outgoing </t>
  </si>
  <si>
    <t>Phase indicating light &amp; Breaker ON/OFF/TRIP indication protected by Same  MCB connected in PT.</t>
  </si>
  <si>
    <t>ISOLATOR PANEL DG (LOC. Site level) (OUTDOOR TYPE)</t>
  </si>
  <si>
    <t>800amps 4P MCCB (25kA) with following accessories:</t>
  </si>
  <si>
    <t xml:space="preserve">ISOLATOR PANEL DG (LOC. Site level) (OUTDOOR TYPE) described as above </t>
  </si>
  <si>
    <r>
      <t xml:space="preserve">Supply, installation, testing and commissioning of battery charger unit with provisions of Boost Charing, and Float charging.  Suitable for 240 V single phase </t>
    </r>
    <r>
      <rPr>
        <u/>
        <sz val="11"/>
        <rFont val="Cambria"/>
        <family val="1"/>
        <scheme val="major"/>
      </rPr>
      <t>+</t>
    </r>
    <r>
      <rPr>
        <sz val="11"/>
        <rFont val="Cambria"/>
        <family val="1"/>
        <scheme val="major"/>
      </rPr>
      <t xml:space="preserve"> 10% AC, 50 Hz power supply as per specifications.</t>
    </r>
  </si>
  <si>
    <r>
      <t xml:space="preserve">50 Kvar ASVG module (3 -Level Topology ,12 IGBT Circuit) with Proper Surge protection meeting,Three-level Neutral point clamped IGBT modules- 3 numbers
a)650V/1300V PIV, 300 Amps rated current for 100 Kvar,  modular IGBT based design should be a power electronic device to be connected in parallel with the loads that require inductive and/or capacitive reactive powers, for their operation. DC link capacitor Board -900V tolerant,Safe discharging circuit,Relay board
Main relays (3 numbers),AC ripple filter
Third order LCL filter.
Passive damping resistors,Digital signal processing board
32-bit DSP 
RS485 based isolated communication,Cooling circuit
Aluminium heatsink 
80 CFM / 24V BLDC fans... 5numbers
Auto ON/OFF control, </t>
    </r>
    <r>
      <rPr>
        <i/>
        <sz val="11"/>
        <rFont val="Cambria"/>
        <family val="1"/>
        <scheme val="major"/>
      </rPr>
      <t xml:space="preserve"> </t>
    </r>
    <r>
      <rPr>
        <sz val="11"/>
        <rFont val="Cambria"/>
        <family val="1"/>
        <scheme val="major"/>
      </rPr>
      <t xml:space="preserve">IOT Enbled
</t>
    </r>
  </si>
  <si>
    <t xml:space="preserve">Wiring  for 250 volts single  phase and  neutral  20 amps Industrial type polycarbonate switched socket  outlet with 4 sq.mm   (including circuit wiring) PVC insulated FRLS  copper conductor 1100 volts grade  stranded flexible  wires  in concealed/ surface 25   mm dia  heavy duty PVC conduit/  cable tray/ raceway,  including providing  and fixing of 20 amps 3pin  switched  socket of approved make and design in 1.2 mm thick GI boxes with  grid  plates  and  earthing  the third  pin  of socket   outlet   with    2.5  Sq. mm   PVC   insulated  FRLS copper  conductor  stranded flexible   wire. (For EV charger for 2 wheelers)
</t>
  </si>
  <si>
    <t>3 core  6 sq.mm copper  cable</t>
  </si>
  <si>
    <t>l</t>
  </si>
  <si>
    <t>m</t>
  </si>
  <si>
    <t>4 core  6 sq.mm copper  cable (With PVC Glands)</t>
  </si>
  <si>
    <t>3 core  6 sq.mm copper  cable (With PVC Glands)</t>
  </si>
  <si>
    <t>DETAILED BOQ FOR INTERNAL ELECTRICAL WORKS</t>
  </si>
  <si>
    <t>eLV/ CCTV/ ACS / AV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</si>
</sst>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_ * #,##0_ ;_ * \-#,##0_ ;_ * &quot;-&quot;??_ ;_ @_ "/>
    <numFmt numFmtId="166" formatCode="&quot;Yes&quot;;&quot;Yes&quot;;&quot;No&quot;"/>
    <numFmt numFmtId="167" formatCode="_(* #,##0_);_(* \(#,##0\);_(* &quot;-&quot;??_);_(@_)"/>
  </numFmts>
  <fonts count="21">
    <font>
      <sz val="11"/>
      <color theme="1"/>
      <name val="Calibri"/>
      <family val="2"/>
      <scheme val="minor"/>
    </font>
    <font>
      <sz val="10"/>
      <name val="Arial"/>
      <family val="2"/>
    </font>
    <font>
      <sz val="11"/>
      <color theme="1"/>
      <name val="Calibri"/>
      <family val="2"/>
      <scheme val="minor"/>
    </font>
    <font>
      <sz val="11"/>
      <color indexed="8"/>
      <name val="Calibri"/>
      <family val="2"/>
    </font>
    <font>
      <sz val="10"/>
      <name val="Helv"/>
      <charset val="204"/>
    </font>
    <font>
      <b/>
      <sz val="12"/>
      <color theme="1"/>
      <name val="Times New Roman"/>
      <family val="1"/>
    </font>
    <font>
      <b/>
      <u/>
      <sz val="12"/>
      <color theme="1"/>
      <name val="Times New Roman"/>
      <family val="1"/>
    </font>
    <font>
      <sz val="12"/>
      <color theme="1"/>
      <name val="Times New Roman"/>
      <family val="1"/>
    </font>
    <font>
      <sz val="12"/>
      <color theme="1"/>
      <name val="Cambria"/>
      <family val="1"/>
      <scheme val="major"/>
    </font>
    <font>
      <b/>
      <sz val="12"/>
      <color theme="1"/>
      <name val="Cambria"/>
      <family val="1"/>
      <scheme val="major"/>
    </font>
    <font>
      <b/>
      <u/>
      <sz val="12"/>
      <color theme="1"/>
      <name val="Cambria"/>
      <family val="1"/>
      <scheme val="major"/>
    </font>
    <font>
      <sz val="8"/>
      <name val="Calibri"/>
      <family val="2"/>
      <scheme val="minor"/>
    </font>
    <font>
      <sz val="11"/>
      <name val="Cambria"/>
      <family val="1"/>
      <scheme val="major"/>
    </font>
    <font>
      <b/>
      <u/>
      <sz val="11"/>
      <name val="Cambria"/>
      <family val="1"/>
      <scheme val="major"/>
    </font>
    <font>
      <b/>
      <sz val="11"/>
      <name val="Cambria"/>
      <family val="1"/>
      <scheme val="major"/>
    </font>
    <font>
      <sz val="10"/>
      <name val="Arial"/>
      <family val="2"/>
    </font>
    <font>
      <u/>
      <sz val="11"/>
      <name val="Cambria"/>
      <family val="1"/>
      <scheme val="major"/>
    </font>
    <font>
      <sz val="11"/>
      <color theme="1"/>
      <name val="Cambria"/>
      <family val="1"/>
      <scheme val="major"/>
    </font>
    <font>
      <sz val="10"/>
      <name val="Cambria"/>
      <family val="1"/>
      <scheme val="major"/>
    </font>
    <font>
      <sz val="12"/>
      <name val="Cambria"/>
      <family val="1"/>
      <scheme val="major"/>
    </font>
    <font>
      <i/>
      <sz val="11"/>
      <name val="Cambria"/>
      <family val="1"/>
      <scheme val="major"/>
    </font>
  </fonts>
  <fills count="7">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FF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medium">
        <color indexed="64"/>
      </left>
      <right/>
      <top style="thin">
        <color auto="1"/>
      </top>
      <bottom style="thin">
        <color auto="1"/>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3">
    <xf numFmtId="0" fontId="0" fillId="0" borderId="0"/>
    <xf numFmtId="0" fontId="1" fillId="0" borderId="0"/>
    <xf numFmtId="43" fontId="2" fillId="0" borderId="0" applyFont="0" applyFill="0" applyBorder="0" applyAlignment="0" applyProtection="0"/>
    <xf numFmtId="0" fontId="1" fillId="0" borderId="0"/>
    <xf numFmtId="0" fontId="2" fillId="0" borderId="0"/>
    <xf numFmtId="0" fontId="3" fillId="0" borderId="0"/>
    <xf numFmtId="0" fontId="4" fillId="0" borderId="0"/>
    <xf numFmtId="0" fontId="4" fillId="0" borderId="0"/>
    <xf numFmtId="0" fontId="1" fillId="0" borderId="0"/>
    <xf numFmtId="0" fontId="4" fillId="0" borderId="0"/>
    <xf numFmtId="0" fontId="1" fillId="0" borderId="0"/>
    <xf numFmtId="166" fontId="1" fillId="0" borderId="0" applyFill="0" applyBorder="0" applyAlignment="0" applyProtection="0"/>
    <xf numFmtId="0" fontId="15" fillId="0" borderId="0"/>
  </cellStyleXfs>
  <cellXfs count="216">
    <xf numFmtId="0" fontId="0" fillId="0" borderId="0" xfId="0"/>
    <xf numFmtId="0" fontId="7" fillId="0" borderId="0" xfId="0" applyFont="1" applyAlignment="1">
      <alignment vertical="top"/>
    </xf>
    <xf numFmtId="0" fontId="7" fillId="0" borderId="0" xfId="0" applyFont="1" applyAlignment="1">
      <alignment horizontal="justify" vertical="top"/>
    </xf>
    <xf numFmtId="0" fontId="7" fillId="3" borderId="0" xfId="0" applyFont="1" applyFill="1" applyAlignment="1">
      <alignment vertical="justify"/>
    </xf>
    <xf numFmtId="0" fontId="7" fillId="3" borderId="0" xfId="0" applyFont="1" applyFill="1" applyAlignment="1">
      <alignment horizontal="left" vertical="top"/>
    </xf>
    <xf numFmtId="0" fontId="7" fillId="3" borderId="0" xfId="0" applyFont="1" applyFill="1" applyAlignment="1">
      <alignment horizontal="center" vertical="center"/>
    </xf>
    <xf numFmtId="1" fontId="7" fillId="3" borderId="0" xfId="0" applyNumberFormat="1" applyFont="1" applyFill="1" applyAlignment="1">
      <alignment horizontal="center" vertical="center"/>
    </xf>
    <xf numFmtId="1" fontId="7" fillId="3" borderId="0" xfId="2" applyNumberFormat="1" applyFont="1" applyFill="1" applyAlignment="1">
      <alignment horizontal="center" vertical="center"/>
    </xf>
    <xf numFmtId="0" fontId="7" fillId="3" borderId="0" xfId="0" applyFont="1" applyFill="1" applyAlignment="1">
      <alignment horizontal="center" vertical="top"/>
    </xf>
    <xf numFmtId="0" fontId="5" fillId="3" borderId="0" xfId="0" applyFont="1" applyFill="1" applyAlignment="1">
      <alignment horizontal="center" vertical="top"/>
    </xf>
    <xf numFmtId="0" fontId="7" fillId="0" borderId="0" xfId="0" applyFont="1" applyAlignment="1">
      <alignment horizontal="center" vertical="center"/>
    </xf>
    <xf numFmtId="1" fontId="7" fillId="0" borderId="0" xfId="0" applyNumberFormat="1" applyFont="1" applyAlignment="1">
      <alignment horizontal="center" vertical="center"/>
    </xf>
    <xf numFmtId="2" fontId="7" fillId="0" borderId="0" xfId="0" applyNumberFormat="1" applyFont="1" applyAlignment="1">
      <alignment horizontal="center" vertical="center"/>
    </xf>
    <xf numFmtId="0" fontId="7" fillId="3" borderId="0" xfId="0" applyFont="1" applyFill="1" applyAlignment="1">
      <alignment horizontal="justify" vertical="top"/>
    </xf>
    <xf numFmtId="0" fontId="7" fillId="0" borderId="0" xfId="0" applyFont="1" applyAlignment="1">
      <alignment horizontal="center" vertical="top"/>
    </xf>
    <xf numFmtId="0" fontId="8" fillId="0" borderId="0" xfId="0" applyFont="1" applyAlignment="1">
      <alignment vertical="top"/>
    </xf>
    <xf numFmtId="0" fontId="8" fillId="0" borderId="1" xfId="0" applyFont="1" applyBorder="1" applyAlignment="1">
      <alignment horizontal="justify" vertical="top"/>
    </xf>
    <xf numFmtId="0" fontId="9" fillId="2" borderId="1" xfId="0" applyFont="1" applyFill="1" applyBorder="1" applyAlignment="1">
      <alignment horizontal="center" vertical="center"/>
    </xf>
    <xf numFmtId="0" fontId="9" fillId="4" borderId="1" xfId="0" applyFont="1" applyFill="1" applyBorder="1" applyAlignment="1">
      <alignment horizontal="justify" vertical="top"/>
    </xf>
    <xf numFmtId="0" fontId="8" fillId="0" borderId="0" xfId="0" applyFont="1" applyAlignment="1">
      <alignment horizontal="center" vertical="top"/>
    </xf>
    <xf numFmtId="0" fontId="8" fillId="0" borderId="0" xfId="0" applyFont="1" applyAlignment="1">
      <alignment horizontal="justify" vertical="top"/>
    </xf>
    <xf numFmtId="1" fontId="8" fillId="0" borderId="0" xfId="0" applyNumberFormat="1" applyFont="1" applyAlignment="1">
      <alignment horizontal="center" vertical="top"/>
    </xf>
    <xf numFmtId="0" fontId="12" fillId="3" borderId="1" xfId="0" applyFont="1" applyFill="1" applyBorder="1" applyAlignment="1">
      <alignment horizontal="center" vertical="center"/>
    </xf>
    <xf numFmtId="1" fontId="12" fillId="3"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1" fontId="12" fillId="0" borderId="1" xfId="0" applyNumberFormat="1" applyFont="1" applyBorder="1" applyAlignment="1">
      <alignment horizontal="center" vertical="center" wrapText="1"/>
    </xf>
    <xf numFmtId="165" fontId="12" fillId="0" borderId="1" xfId="2" applyNumberFormat="1" applyFont="1" applyFill="1" applyBorder="1" applyAlignment="1">
      <alignment horizontal="center" vertical="center" wrapText="1"/>
    </xf>
    <xf numFmtId="0" fontId="12" fillId="0" borderId="1" xfId="0" applyFont="1" applyBorder="1" applyAlignment="1">
      <alignment horizontal="justify" vertical="top" wrapText="1"/>
    </xf>
    <xf numFmtId="165" fontId="12" fillId="0" borderId="1" xfId="2" applyNumberFormat="1" applyFont="1" applyFill="1" applyBorder="1" applyAlignment="1">
      <alignment horizontal="center" vertical="center"/>
    </xf>
    <xf numFmtId="0" fontId="12" fillId="0" borderId="1" xfId="0" applyFont="1" applyBorder="1" applyAlignment="1">
      <alignment horizontal="center" vertical="center"/>
    </xf>
    <xf numFmtId="1" fontId="12" fillId="0" borderId="1" xfId="0" applyNumberFormat="1" applyFont="1" applyBorder="1" applyAlignment="1">
      <alignment horizontal="center" vertical="center"/>
    </xf>
    <xf numFmtId="0" fontId="14" fillId="5" borderId="1" xfId="0" applyFont="1" applyFill="1" applyBorder="1" applyAlignment="1">
      <alignment horizontal="center" vertical="center" wrapText="1"/>
    </xf>
    <xf numFmtId="1" fontId="14" fillId="5"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1" fontId="14" fillId="0" borderId="1" xfId="0" applyNumberFormat="1" applyFont="1" applyBorder="1" applyAlignment="1">
      <alignment horizontal="center" vertical="center" wrapText="1"/>
    </xf>
    <xf numFmtId="0" fontId="8" fillId="0" borderId="1" xfId="0" applyFont="1" applyBorder="1" applyAlignment="1">
      <alignment vertical="top"/>
    </xf>
    <xf numFmtId="0" fontId="12" fillId="3" borderId="0" xfId="0" applyFont="1" applyFill="1" applyAlignment="1">
      <alignment horizontal="center" vertical="center"/>
    </xf>
    <xf numFmtId="1" fontId="12" fillId="3" borderId="0" xfId="0" applyNumberFormat="1" applyFont="1" applyFill="1" applyAlignment="1">
      <alignment horizontal="center" vertical="center"/>
    </xf>
    <xf numFmtId="165" fontId="12" fillId="3" borderId="0" xfId="2" applyNumberFormat="1" applyFont="1" applyFill="1" applyBorder="1" applyAlignment="1">
      <alignment horizontal="center" vertical="center"/>
    </xf>
    <xf numFmtId="0" fontId="14" fillId="3" borderId="1" xfId="0" applyFont="1" applyFill="1" applyBorder="1" applyAlignment="1">
      <alignment horizontal="center" vertical="center"/>
    </xf>
    <xf numFmtId="1" fontId="14" fillId="3" borderId="1" xfId="0" applyNumberFormat="1" applyFont="1" applyFill="1" applyBorder="1" applyAlignment="1">
      <alignment horizontal="center" vertical="center"/>
    </xf>
    <xf numFmtId="0" fontId="12" fillId="0" borderId="1" xfId="0" applyFont="1" applyBorder="1" applyAlignment="1">
      <alignment horizontal="justify" vertical="center" wrapText="1"/>
    </xf>
    <xf numFmtId="0" fontId="14" fillId="0" borderId="1" xfId="0" applyFont="1" applyBorder="1" applyAlignment="1">
      <alignment horizontal="center" vertical="center"/>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7" fillId="0" borderId="1" xfId="0" applyFont="1" applyBorder="1" applyAlignment="1">
      <alignment horizontal="justify" vertical="top"/>
    </xf>
    <xf numFmtId="0" fontId="17" fillId="0" borderId="1" xfId="0" applyFont="1" applyBorder="1" applyAlignment="1">
      <alignment horizontal="justify" vertical="top" wrapText="1"/>
    </xf>
    <xf numFmtId="0" fontId="12" fillId="3" borderId="0" xfId="0" applyFont="1" applyFill="1" applyAlignment="1">
      <alignment horizontal="justify" vertical="center"/>
    </xf>
    <xf numFmtId="0" fontId="12" fillId="3" borderId="0" xfId="0" applyFont="1" applyFill="1" applyAlignment="1">
      <alignment vertical="center"/>
    </xf>
    <xf numFmtId="165" fontId="12" fillId="3" borderId="0" xfId="2" applyNumberFormat="1" applyFont="1" applyFill="1" applyBorder="1" applyAlignment="1">
      <alignment vertical="center"/>
    </xf>
    <xf numFmtId="165" fontId="12" fillId="3" borderId="1" xfId="2" applyNumberFormat="1" applyFont="1" applyFill="1" applyBorder="1" applyAlignment="1">
      <alignment vertical="center"/>
    </xf>
    <xf numFmtId="165" fontId="12" fillId="0" borderId="1" xfId="2" applyNumberFormat="1" applyFont="1" applyFill="1" applyBorder="1" applyAlignment="1">
      <alignment vertical="center" wrapText="1"/>
    </xf>
    <xf numFmtId="165" fontId="12" fillId="0" borderId="1" xfId="2" applyNumberFormat="1" applyFont="1" applyBorder="1" applyAlignment="1">
      <alignment vertical="center" wrapText="1"/>
    </xf>
    <xf numFmtId="165" fontId="12" fillId="5" borderId="1" xfId="2" applyNumberFormat="1" applyFont="1" applyFill="1" applyBorder="1" applyAlignment="1">
      <alignment vertical="center" wrapText="1"/>
    </xf>
    <xf numFmtId="165" fontId="12" fillId="0" borderId="1" xfId="2" applyNumberFormat="1" applyFont="1" applyBorder="1" applyAlignment="1">
      <alignment vertical="center"/>
    </xf>
    <xf numFmtId="165" fontId="12" fillId="0" borderId="1" xfId="2" applyNumberFormat="1" applyFont="1" applyBorder="1" applyAlignment="1">
      <alignment horizontal="center" vertical="center" wrapText="1"/>
    </xf>
    <xf numFmtId="165" fontId="12" fillId="0" borderId="1" xfId="2" applyNumberFormat="1" applyFont="1" applyFill="1" applyBorder="1" applyAlignment="1">
      <alignment vertical="center"/>
    </xf>
    <xf numFmtId="165" fontId="16" fillId="0" borderId="1" xfId="2" applyNumberFormat="1" applyFont="1" applyBorder="1" applyAlignment="1">
      <alignment vertical="center" wrapText="1"/>
    </xf>
    <xf numFmtId="0" fontId="12" fillId="0" borderId="4" xfId="0" applyFont="1" applyBorder="1" applyAlignment="1">
      <alignment horizontal="center" vertical="center" wrapText="1"/>
    </xf>
    <xf numFmtId="0" fontId="12" fillId="0" borderId="4" xfId="0" applyFont="1" applyBorder="1" applyAlignment="1">
      <alignment vertical="center" wrapText="1"/>
    </xf>
    <xf numFmtId="165" fontId="12" fillId="0" borderId="4" xfId="2" applyNumberFormat="1" applyFont="1" applyBorder="1" applyAlignment="1">
      <alignment vertical="center" wrapText="1"/>
    </xf>
    <xf numFmtId="165" fontId="14" fillId="0" borderId="1" xfId="2" applyNumberFormat="1" applyFont="1" applyBorder="1" applyAlignment="1">
      <alignment vertical="center"/>
    </xf>
    <xf numFmtId="0" fontId="12" fillId="3" borderId="1" xfId="0" applyFont="1" applyFill="1" applyBorder="1" applyAlignment="1">
      <alignment horizontal="center" vertical="center" wrapText="1"/>
    </xf>
    <xf numFmtId="0" fontId="12" fillId="0" borderId="1" xfId="3" applyFont="1" applyBorder="1" applyAlignment="1">
      <alignment horizontal="center" vertical="center" wrapText="1"/>
    </xf>
    <xf numFmtId="43" fontId="12" fillId="0" borderId="1" xfId="2" applyFont="1" applyFill="1" applyBorder="1" applyAlignment="1" applyProtection="1">
      <alignment horizontal="center" vertical="center" wrapText="1"/>
      <protection locked="0"/>
    </xf>
    <xf numFmtId="1" fontId="12" fillId="0" borderId="1" xfId="3" applyNumberFormat="1" applyFont="1" applyBorder="1" applyAlignment="1">
      <alignment horizontal="center" vertical="center" wrapText="1"/>
    </xf>
    <xf numFmtId="2" fontId="12" fillId="0" borderId="1" xfId="3" applyNumberFormat="1" applyFont="1" applyBorder="1" applyAlignment="1">
      <alignment horizontal="center" vertical="center" wrapText="1"/>
    </xf>
    <xf numFmtId="43" fontId="12" fillId="0" borderId="1" xfId="2" applyFont="1" applyFill="1" applyBorder="1" applyAlignment="1">
      <alignment horizontal="center" vertical="center" wrapText="1"/>
    </xf>
    <xf numFmtId="167" fontId="12" fillId="0" borderId="1" xfId="2" applyNumberFormat="1" applyFont="1" applyFill="1" applyBorder="1" applyAlignment="1">
      <alignment horizontal="center" vertical="center" wrapText="1"/>
    </xf>
    <xf numFmtId="0" fontId="19" fillId="0" borderId="1" xfId="0" applyFont="1" applyBorder="1" applyAlignment="1">
      <alignment horizontal="center" vertical="center" wrapText="1"/>
    </xf>
    <xf numFmtId="1" fontId="19" fillId="0" borderId="1" xfId="0" applyNumberFormat="1" applyFont="1" applyBorder="1" applyAlignment="1">
      <alignment horizontal="center" vertical="center" wrapText="1"/>
    </xf>
    <xf numFmtId="167" fontId="19" fillId="0" borderId="1" xfId="2" applyNumberFormat="1" applyFont="1" applyFill="1" applyBorder="1" applyAlignment="1">
      <alignment horizontal="center" vertical="center" wrapText="1"/>
    </xf>
    <xf numFmtId="165" fontId="12" fillId="3" borderId="1" xfId="2" applyNumberFormat="1" applyFont="1" applyFill="1" applyBorder="1" applyAlignment="1">
      <alignment vertical="center" wrapText="1"/>
    </xf>
    <xf numFmtId="1" fontId="12" fillId="3"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xf>
    <xf numFmtId="1" fontId="12" fillId="5" borderId="1" xfId="0" applyNumberFormat="1" applyFont="1" applyFill="1" applyBorder="1" applyAlignment="1">
      <alignment horizontal="center" vertical="center"/>
    </xf>
    <xf numFmtId="0" fontId="12" fillId="5" borderId="1" xfId="0"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0" fontId="16" fillId="0" borderId="1" xfId="0" applyFont="1" applyBorder="1" applyAlignment="1">
      <alignment horizontal="center" vertical="center"/>
    </xf>
    <xf numFmtId="0" fontId="14" fillId="5" borderId="1" xfId="0" applyFont="1" applyFill="1" applyBorder="1" applyAlignment="1">
      <alignment horizontal="center" vertical="center"/>
    </xf>
    <xf numFmtId="0" fontId="12" fillId="5" borderId="1" xfId="6" applyFont="1" applyFill="1" applyBorder="1" applyAlignment="1">
      <alignment horizontal="center" vertical="center" wrapText="1"/>
    </xf>
    <xf numFmtId="1" fontId="14" fillId="0" borderId="1" xfId="0" applyNumberFormat="1" applyFont="1" applyBorder="1" applyAlignment="1">
      <alignment horizontal="center" vertical="center"/>
    </xf>
    <xf numFmtId="165" fontId="12" fillId="5" borderId="1" xfId="2" applyNumberFormat="1" applyFont="1" applyFill="1" applyBorder="1" applyAlignment="1">
      <alignment vertical="center"/>
    </xf>
    <xf numFmtId="0" fontId="14" fillId="0" borderId="1" xfId="0" applyFont="1" applyBorder="1" applyAlignment="1">
      <alignment vertical="center" wrapText="1"/>
    </xf>
    <xf numFmtId="0" fontId="12" fillId="0" borderId="3" xfId="0" applyFont="1" applyBorder="1" applyAlignment="1">
      <alignment horizontal="justify" vertical="center" wrapText="1"/>
    </xf>
    <xf numFmtId="0" fontId="12" fillId="0" borderId="3" xfId="0" applyFont="1" applyBorder="1" applyAlignment="1">
      <alignment horizontal="center" vertical="center" wrapText="1"/>
    </xf>
    <xf numFmtId="165" fontId="12" fillId="0" borderId="3" xfId="2" applyNumberFormat="1" applyFont="1" applyBorder="1" applyAlignment="1">
      <alignment vertical="center" wrapText="1"/>
    </xf>
    <xf numFmtId="0" fontId="14" fillId="0" borderId="3" xfId="0" applyFont="1" applyBorder="1" applyAlignment="1">
      <alignment vertical="center" wrapText="1"/>
    </xf>
    <xf numFmtId="0" fontId="14" fillId="0" borderId="3" xfId="0" applyFont="1" applyBorder="1" applyAlignment="1">
      <alignment horizontal="center" vertical="center" wrapText="1"/>
    </xf>
    <xf numFmtId="0" fontId="12" fillId="0" borderId="1" xfId="9" applyFont="1" applyBorder="1" applyAlignment="1">
      <alignment horizontal="center" vertical="center" wrapText="1"/>
    </xf>
    <xf numFmtId="0" fontId="12" fillId="0" borderId="1" xfId="9" applyFont="1" applyBorder="1" applyAlignment="1">
      <alignment horizontal="center" vertical="center"/>
    </xf>
    <xf numFmtId="165" fontId="16" fillId="0" borderId="1" xfId="2" applyNumberFormat="1" applyFont="1" applyBorder="1" applyAlignment="1">
      <alignment vertical="center"/>
    </xf>
    <xf numFmtId="0" fontId="12" fillId="0" borderId="1" xfId="0" applyFont="1" applyBorder="1"/>
    <xf numFmtId="0" fontId="14" fillId="0" borderId="1" xfId="0" applyFont="1" applyBorder="1"/>
    <xf numFmtId="0" fontId="12" fillId="0" borderId="1" xfId="6" applyFont="1" applyBorder="1" applyAlignment="1">
      <alignment horizontal="center" vertical="center" wrapText="1"/>
    </xf>
    <xf numFmtId="165" fontId="14" fillId="3" borderId="1" xfId="2" applyNumberFormat="1" applyFont="1" applyFill="1" applyBorder="1" applyAlignment="1">
      <alignment vertical="center"/>
    </xf>
    <xf numFmtId="0" fontId="8" fillId="0" borderId="8" xfId="0" applyFont="1" applyBorder="1" applyAlignment="1">
      <alignment horizontal="center" vertical="top"/>
    </xf>
    <xf numFmtId="1" fontId="8" fillId="0" borderId="9" xfId="0" applyNumberFormat="1" applyFont="1" applyBorder="1" applyAlignment="1">
      <alignment horizontal="center" vertical="top"/>
    </xf>
    <xf numFmtId="0" fontId="9" fillId="2" borderId="10" xfId="0" applyFont="1" applyFill="1" applyBorder="1" applyAlignment="1">
      <alignment horizontal="center" vertical="center"/>
    </xf>
    <xf numFmtId="1" fontId="9" fillId="2" borderId="11" xfId="0" applyNumberFormat="1" applyFont="1" applyFill="1" applyBorder="1" applyAlignment="1">
      <alignment horizontal="center" vertical="center" wrapText="1"/>
    </xf>
    <xf numFmtId="0" fontId="8" fillId="0" borderId="10" xfId="0" applyFont="1" applyBorder="1" applyAlignment="1">
      <alignment horizontal="center" vertical="top"/>
    </xf>
    <xf numFmtId="3" fontId="8" fillId="0" borderId="11" xfId="0" applyNumberFormat="1" applyFont="1" applyBorder="1" applyAlignment="1">
      <alignment horizontal="center" vertical="top"/>
    </xf>
    <xf numFmtId="0" fontId="17" fillId="0" borderId="10" xfId="0" applyFont="1" applyBorder="1" applyAlignment="1">
      <alignment horizontal="center" vertical="top"/>
    </xf>
    <xf numFmtId="0" fontId="8" fillId="0" borderId="11" xfId="0" applyFont="1" applyBorder="1" applyAlignment="1">
      <alignment vertical="top"/>
    </xf>
    <xf numFmtId="0" fontId="8" fillId="4" borderId="10" xfId="0" applyFont="1" applyFill="1" applyBorder="1" applyAlignment="1">
      <alignment horizontal="center" vertical="top"/>
    </xf>
    <xf numFmtId="3" fontId="9" fillId="4" borderId="11" xfId="0" applyNumberFormat="1" applyFont="1" applyFill="1" applyBorder="1" applyAlignment="1">
      <alignment horizontal="center" vertical="top"/>
    </xf>
    <xf numFmtId="0" fontId="8" fillId="0" borderId="9" xfId="0" applyFont="1" applyBorder="1" applyAlignment="1">
      <alignment horizontal="left" vertical="top"/>
    </xf>
    <xf numFmtId="0" fontId="8" fillId="0" borderId="12" xfId="0" applyFont="1" applyBorder="1" applyAlignment="1">
      <alignment horizontal="center" vertical="top"/>
    </xf>
    <xf numFmtId="0" fontId="8" fillId="0" borderId="13" xfId="0" applyFont="1" applyBorder="1" applyAlignment="1">
      <alignment horizontal="justify" vertical="top"/>
    </xf>
    <xf numFmtId="1" fontId="8" fillId="0" borderId="14" xfId="0" applyNumberFormat="1" applyFont="1" applyBorder="1" applyAlignment="1">
      <alignment horizontal="center" vertical="top"/>
    </xf>
    <xf numFmtId="0" fontId="12" fillId="3" borderId="0" xfId="0" applyFont="1" applyFill="1" applyAlignment="1">
      <alignment vertical="justify" wrapText="1"/>
    </xf>
    <xf numFmtId="0" fontId="12" fillId="3" borderId="0" xfId="0" applyFont="1" applyFill="1" applyAlignment="1">
      <alignment vertical="top"/>
    </xf>
    <xf numFmtId="0" fontId="12" fillId="3" borderId="0" xfId="0" applyFont="1" applyFill="1" applyAlignment="1">
      <alignment horizontal="center" vertical="top"/>
    </xf>
    <xf numFmtId="0" fontId="19" fillId="3" borderId="0" xfId="0" applyFont="1" applyFill="1" applyAlignment="1">
      <alignment vertical="top"/>
    </xf>
    <xf numFmtId="0" fontId="19" fillId="3" borderId="0" xfId="0" applyFont="1" applyFill="1" applyAlignment="1">
      <alignment horizontal="center" vertical="top"/>
    </xf>
    <xf numFmtId="0" fontId="12" fillId="3" borderId="0" xfId="0" applyFont="1" applyFill="1" applyAlignment="1">
      <alignment vertical="center" wrapText="1"/>
    </xf>
    <xf numFmtId="0" fontId="14" fillId="3" borderId="0" xfId="0" applyFont="1" applyFill="1" applyAlignment="1">
      <alignment vertical="center"/>
    </xf>
    <xf numFmtId="0" fontId="14" fillId="3" borderId="0" xfId="0" applyFont="1" applyFill="1" applyAlignment="1">
      <alignment vertical="center" wrapText="1"/>
    </xf>
    <xf numFmtId="0" fontId="12" fillId="3" borderId="0" xfId="0" applyFont="1" applyFill="1"/>
    <xf numFmtId="0" fontId="14" fillId="3" borderId="0" xfId="0" applyFont="1" applyFill="1"/>
    <xf numFmtId="0" fontId="12" fillId="3" borderId="0" xfId="0" applyFont="1" applyFill="1" applyAlignment="1">
      <alignment vertical="justify"/>
    </xf>
    <xf numFmtId="0" fontId="14" fillId="3" borderId="0" xfId="0" applyFont="1" applyFill="1" applyAlignment="1">
      <alignment vertical="justify"/>
    </xf>
    <xf numFmtId="0" fontId="14"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2" fillId="0" borderId="2" xfId="0" applyFont="1" applyBorder="1" applyAlignment="1">
      <alignment horizontal="center" vertical="top" wrapText="1"/>
    </xf>
    <xf numFmtId="0" fontId="12" fillId="3" borderId="2" xfId="0" applyFont="1" applyFill="1" applyBorder="1" applyAlignment="1">
      <alignment horizontal="center" vertical="top" wrapText="1"/>
    </xf>
    <xf numFmtId="0" fontId="19" fillId="3" borderId="2" xfId="0" applyFont="1" applyFill="1" applyBorder="1" applyAlignment="1">
      <alignment horizontal="center" vertical="top" wrapText="1"/>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2" fontId="12" fillId="5" borderId="2" xfId="0" applyNumberFormat="1" applyFont="1" applyFill="1" applyBorder="1" applyAlignment="1">
      <alignment horizontal="center" vertical="center"/>
    </xf>
    <xf numFmtId="0" fontId="14" fillId="0" borderId="2" xfId="0" applyFont="1" applyBorder="1" applyAlignment="1">
      <alignment horizontal="center" vertical="center" wrapText="1"/>
    </xf>
    <xf numFmtId="164" fontId="12" fillId="0" borderId="2" xfId="0" applyNumberFormat="1" applyFont="1" applyBorder="1" applyAlignment="1">
      <alignment horizontal="center" vertical="center" wrapText="1"/>
    </xf>
    <xf numFmtId="0" fontId="12" fillId="0" borderId="2" xfId="0" applyFont="1" applyBorder="1" applyAlignment="1">
      <alignment horizontal="left" vertical="center"/>
    </xf>
    <xf numFmtId="0" fontId="12" fillId="5" borderId="2" xfId="0" applyFont="1" applyFill="1" applyBorder="1" applyAlignment="1">
      <alignment horizontal="center" vertical="center" wrapText="1"/>
    </xf>
    <xf numFmtId="0" fontId="14" fillId="5" borderId="2" xfId="0" applyFont="1" applyFill="1" applyBorder="1" applyAlignment="1">
      <alignment horizontal="center" vertical="center"/>
    </xf>
    <xf numFmtId="0" fontId="14" fillId="0" borderId="2" xfId="0" applyFont="1" applyBorder="1" applyAlignment="1">
      <alignment horizontal="center" vertical="center"/>
    </xf>
    <xf numFmtId="1" fontId="13" fillId="5" borderId="2" xfId="7" applyNumberFormat="1" applyFont="1" applyFill="1" applyBorder="1" applyAlignment="1">
      <alignment horizontal="center" vertical="center" wrapText="1"/>
    </xf>
    <xf numFmtId="0" fontId="12" fillId="5" borderId="2" xfId="0" applyFont="1" applyFill="1" applyBorder="1" applyAlignment="1">
      <alignment horizontal="center" vertical="center"/>
    </xf>
    <xf numFmtId="1" fontId="12" fillId="0" borderId="2" xfId="0" applyNumberFormat="1" applyFont="1" applyBorder="1" applyAlignment="1">
      <alignment horizontal="center" vertical="center" wrapText="1"/>
    </xf>
    <xf numFmtId="0" fontId="14" fillId="5" borderId="2"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2" fillId="0" borderId="2" xfId="0" applyFont="1" applyBorder="1" applyAlignment="1">
      <alignment vertical="center" wrapText="1"/>
    </xf>
    <xf numFmtId="0" fontId="12" fillId="6" borderId="2"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0" borderId="15" xfId="0" applyFont="1" applyBorder="1" applyAlignment="1">
      <alignment horizontal="center" vertical="center" wrapText="1"/>
    </xf>
    <xf numFmtId="0" fontId="14" fillId="0" borderId="2" xfId="0" applyFont="1" applyBorder="1" applyAlignment="1">
      <alignment horizontal="center" vertical="top"/>
    </xf>
    <xf numFmtId="0" fontId="18" fillId="0" borderId="2" xfId="0" applyFont="1" applyBorder="1" applyAlignment="1">
      <alignment horizontal="center" vertical="top" wrapText="1"/>
    </xf>
    <xf numFmtId="0" fontId="14" fillId="0" borderId="2" xfId="0" applyFont="1" applyBorder="1" applyAlignment="1">
      <alignment horizontal="center" vertical="top" wrapText="1"/>
    </xf>
    <xf numFmtId="1" fontId="13" fillId="0" borderId="2" xfId="7" applyNumberFormat="1" applyFont="1" applyBorder="1" applyAlignment="1">
      <alignment horizontal="center" vertical="center" wrapText="1"/>
    </xf>
    <xf numFmtId="0" fontId="12" fillId="3" borderId="5" xfId="0" applyFont="1" applyFill="1" applyBorder="1" applyAlignment="1">
      <alignment horizontal="justify" vertical="center"/>
    </xf>
    <xf numFmtId="0" fontId="12" fillId="3" borderId="6" xfId="0" applyFont="1" applyFill="1" applyBorder="1" applyAlignment="1">
      <alignment horizontal="center" vertical="center"/>
    </xf>
    <xf numFmtId="1" fontId="12" fillId="3" borderId="6" xfId="0" applyNumberFormat="1" applyFont="1" applyFill="1" applyBorder="1" applyAlignment="1">
      <alignment horizontal="center" vertical="center"/>
    </xf>
    <xf numFmtId="165" fontId="12" fillId="3" borderId="6" xfId="2" applyNumberFormat="1" applyFont="1" applyFill="1" applyBorder="1" applyAlignment="1">
      <alignment vertical="center"/>
    </xf>
    <xf numFmtId="165" fontId="12" fillId="3" borderId="7" xfId="2" applyNumberFormat="1" applyFont="1" applyFill="1" applyBorder="1" applyAlignment="1">
      <alignment horizontal="center" vertical="center"/>
    </xf>
    <xf numFmtId="0" fontId="14" fillId="3" borderId="10" xfId="0" applyFont="1" applyFill="1" applyBorder="1" applyAlignment="1">
      <alignment horizontal="justify" vertical="center"/>
    </xf>
    <xf numFmtId="165" fontId="14" fillId="3" borderId="11" xfId="2" applyNumberFormat="1" applyFont="1" applyFill="1" applyBorder="1" applyAlignment="1">
      <alignment horizontal="center" vertical="center"/>
    </xf>
    <xf numFmtId="0" fontId="12" fillId="3" borderId="10" xfId="0" applyFont="1" applyFill="1" applyBorder="1" applyAlignment="1">
      <alignment horizontal="justify" vertical="center"/>
    </xf>
    <xf numFmtId="165" fontId="12" fillId="3" borderId="11" xfId="2" applyNumberFormat="1" applyFont="1" applyFill="1" applyBorder="1" applyAlignment="1">
      <alignment horizontal="center" vertical="center"/>
    </xf>
    <xf numFmtId="0" fontId="14" fillId="3" borderId="10" xfId="0" applyFont="1" applyFill="1" applyBorder="1" applyAlignment="1">
      <alignment horizontal="justify" vertical="center" wrapText="1"/>
    </xf>
    <xf numFmtId="0" fontId="12" fillId="3" borderId="10" xfId="0" applyFont="1" applyFill="1" applyBorder="1" applyAlignment="1">
      <alignment horizontal="justify" vertical="center" wrapText="1"/>
    </xf>
    <xf numFmtId="165" fontId="12" fillId="0" borderId="11" xfId="2" applyNumberFormat="1" applyFont="1" applyFill="1" applyBorder="1" applyAlignment="1">
      <alignment horizontal="center" vertical="center" wrapText="1"/>
    </xf>
    <xf numFmtId="0" fontId="12" fillId="0" borderId="10" xfId="0" applyFont="1" applyBorder="1" applyAlignment="1">
      <alignment horizontal="justify" vertical="top" wrapText="1"/>
    </xf>
    <xf numFmtId="0" fontId="12" fillId="3" borderId="10" xfId="0" applyFont="1" applyFill="1" applyBorder="1" applyAlignment="1">
      <alignment horizontal="justify" vertical="top" wrapText="1"/>
    </xf>
    <xf numFmtId="0" fontId="19" fillId="3" borderId="10" xfId="0" applyFont="1" applyFill="1" applyBorder="1" applyAlignment="1">
      <alignment horizontal="justify" vertical="top" wrapText="1"/>
    </xf>
    <xf numFmtId="0" fontId="12" fillId="0" borderId="10" xfId="0" applyFont="1" applyBorder="1" applyAlignment="1">
      <alignment horizontal="justify" vertical="center" wrapText="1"/>
    </xf>
    <xf numFmtId="0" fontId="12" fillId="0" borderId="10" xfId="0" applyFont="1" applyBorder="1" applyAlignment="1">
      <alignment horizontal="justify" vertical="center"/>
    </xf>
    <xf numFmtId="0" fontId="12" fillId="3" borderId="10" xfId="3" applyFont="1" applyFill="1" applyBorder="1" applyAlignment="1">
      <alignment horizontal="justify" vertical="center" wrapText="1"/>
    </xf>
    <xf numFmtId="0" fontId="14" fillId="5" borderId="10" xfId="6" applyFont="1" applyFill="1" applyBorder="1" applyAlignment="1">
      <alignment horizontal="justify" vertical="center" wrapText="1"/>
    </xf>
    <xf numFmtId="165" fontId="14" fillId="5" borderId="11" xfId="2" applyNumberFormat="1" applyFont="1" applyFill="1" applyBorder="1" applyAlignment="1">
      <alignment vertical="center" wrapText="1"/>
    </xf>
    <xf numFmtId="0" fontId="13" fillId="0" borderId="10" xfId="0" applyFont="1" applyBorder="1" applyAlignment="1">
      <alignment horizontal="justify" vertical="center"/>
    </xf>
    <xf numFmtId="0" fontId="14" fillId="0" borderId="10" xfId="0" applyFont="1" applyBorder="1" applyAlignment="1">
      <alignment horizontal="justify" vertical="center" wrapText="1"/>
    </xf>
    <xf numFmtId="0" fontId="16" fillId="3" borderId="10" xfId="0" applyFont="1" applyFill="1" applyBorder="1" applyAlignment="1">
      <alignment horizontal="justify" vertical="center" wrapText="1"/>
    </xf>
    <xf numFmtId="0" fontId="14" fillId="0" borderId="10" xfId="6" applyFont="1" applyBorder="1" applyAlignment="1">
      <alignment horizontal="justify" vertical="center" wrapText="1"/>
    </xf>
    <xf numFmtId="165" fontId="14" fillId="5" borderId="11" xfId="2" applyNumberFormat="1" applyFont="1" applyFill="1" applyBorder="1" applyAlignment="1">
      <alignment vertical="center"/>
    </xf>
    <xf numFmtId="0" fontId="14" fillId="0" borderId="10" xfId="0" applyFont="1" applyBorder="1" applyAlignment="1">
      <alignment horizontal="justify" vertical="center"/>
    </xf>
    <xf numFmtId="0" fontId="13" fillId="3" borderId="10" xfId="0" applyFont="1" applyFill="1" applyBorder="1" applyAlignment="1">
      <alignment horizontal="justify" vertical="center"/>
    </xf>
    <xf numFmtId="0" fontId="12" fillId="0" borderId="8" xfId="0" applyFont="1" applyBorder="1" applyAlignment="1">
      <alignment horizontal="justify" vertical="center" wrapText="1"/>
    </xf>
    <xf numFmtId="0" fontId="12" fillId="0" borderId="16" xfId="0" applyFont="1" applyBorder="1" applyAlignment="1">
      <alignment horizontal="justify" vertical="center" wrapText="1"/>
    </xf>
    <xf numFmtId="0" fontId="14" fillId="0" borderId="17" xfId="0" applyFont="1" applyBorder="1" applyAlignment="1">
      <alignment vertical="center" wrapText="1"/>
    </xf>
    <xf numFmtId="0" fontId="12" fillId="0" borderId="17" xfId="0" applyFont="1" applyBorder="1" applyAlignment="1">
      <alignment horizontal="justify" vertical="center" wrapText="1"/>
    </xf>
    <xf numFmtId="0" fontId="14" fillId="5" borderId="10" xfId="0" applyFont="1" applyFill="1" applyBorder="1" applyAlignment="1">
      <alignment horizontal="justify" vertical="center"/>
    </xf>
    <xf numFmtId="0" fontId="13" fillId="0" borderId="10" xfId="0" applyFont="1" applyBorder="1" applyAlignment="1">
      <alignment horizontal="justify" vertical="center" wrapText="1"/>
    </xf>
    <xf numFmtId="165" fontId="12" fillId="0" borderId="11" xfId="2" applyNumberFormat="1" applyFont="1" applyBorder="1" applyAlignment="1">
      <alignment vertical="center" wrapText="1"/>
    </xf>
    <xf numFmtId="0" fontId="12" fillId="0" borderId="10" xfId="0" applyFont="1" applyBorder="1" applyAlignment="1">
      <alignment horizontal="right" vertical="center" wrapText="1"/>
    </xf>
    <xf numFmtId="2" fontId="14" fillId="0" borderId="10" xfId="0" applyNumberFormat="1" applyFont="1" applyBorder="1" applyAlignment="1">
      <alignment horizontal="justify" vertical="center" wrapText="1"/>
    </xf>
    <xf numFmtId="0" fontId="16" fillId="0" borderId="10" xfId="0" applyFont="1" applyBorder="1" applyAlignment="1">
      <alignment horizontal="justify" vertical="center"/>
    </xf>
    <xf numFmtId="0" fontId="12" fillId="6" borderId="10" xfId="0" applyFont="1" applyFill="1" applyBorder="1" applyAlignment="1">
      <alignment horizontal="justify" vertical="center" wrapText="1"/>
    </xf>
    <xf numFmtId="0" fontId="18" fillId="6" borderId="10" xfId="0" applyFont="1" applyFill="1" applyBorder="1" applyAlignment="1">
      <alignment vertical="center" wrapText="1"/>
    </xf>
    <xf numFmtId="0" fontId="13" fillId="6" borderId="10" xfId="0" applyFont="1" applyFill="1" applyBorder="1" applyAlignment="1">
      <alignment horizontal="justify" vertical="center" wrapText="1"/>
    </xf>
    <xf numFmtId="0" fontId="16" fillId="6" borderId="10" xfId="0" applyFont="1" applyFill="1" applyBorder="1" applyAlignment="1">
      <alignment horizontal="justify" vertical="center" wrapText="1"/>
    </xf>
    <xf numFmtId="0" fontId="12" fillId="0" borderId="18" xfId="0" applyFont="1" applyBorder="1" applyAlignment="1">
      <alignment horizontal="justify" vertical="center"/>
    </xf>
    <xf numFmtId="0" fontId="12" fillId="0" borderId="10" xfId="3" applyFont="1" applyBorder="1" applyAlignment="1">
      <alignment horizontal="justify" vertical="center"/>
    </xf>
    <xf numFmtId="0" fontId="13" fillId="0" borderId="10" xfId="0" applyFont="1" applyBorder="1" applyAlignment="1">
      <alignment horizontal="justify" vertical="top"/>
    </xf>
    <xf numFmtId="0" fontId="13" fillId="0" borderId="10" xfId="0" applyFont="1" applyBorder="1" applyAlignment="1">
      <alignment horizontal="justify" vertical="top" wrapText="1"/>
    </xf>
    <xf numFmtId="0" fontId="12" fillId="0" borderId="10" xfId="0" applyFont="1" applyBorder="1" applyAlignment="1">
      <alignment horizontal="right" vertical="top" wrapText="1"/>
    </xf>
    <xf numFmtId="0" fontId="14" fillId="0" borderId="10" xfId="0" applyFont="1" applyBorder="1" applyAlignment="1">
      <alignment horizontal="justify" vertical="top" wrapText="1"/>
    </xf>
    <xf numFmtId="165" fontId="12" fillId="0" borderId="11" xfId="2" applyNumberFormat="1" applyFont="1" applyBorder="1" applyAlignment="1">
      <alignment horizontal="center" vertical="center" wrapText="1"/>
    </xf>
    <xf numFmtId="0" fontId="14" fillId="5" borderId="19" xfId="6" applyFont="1" applyFill="1" applyBorder="1" applyAlignment="1">
      <alignment horizontal="justify" vertical="center" wrapText="1"/>
    </xf>
    <xf numFmtId="0" fontId="14" fillId="5" borderId="20" xfId="0" applyFont="1" applyFill="1" applyBorder="1" applyAlignment="1">
      <alignment horizontal="center" vertical="center" wrapText="1"/>
    </xf>
    <xf numFmtId="1" fontId="14" fillId="5" borderId="20" xfId="0" applyNumberFormat="1" applyFont="1" applyFill="1" applyBorder="1" applyAlignment="1">
      <alignment horizontal="center" vertical="center" wrapText="1"/>
    </xf>
    <xf numFmtId="165" fontId="12" fillId="5" borderId="20" xfId="2" applyNumberFormat="1" applyFont="1" applyFill="1" applyBorder="1" applyAlignment="1">
      <alignment vertical="center" wrapText="1"/>
    </xf>
    <xf numFmtId="165" fontId="14" fillId="5" borderId="21" xfId="2" applyNumberFormat="1" applyFont="1" applyFill="1" applyBorder="1" applyAlignment="1">
      <alignment horizontal="center" vertical="center"/>
    </xf>
    <xf numFmtId="0" fontId="8" fillId="0" borderId="9" xfId="0" applyFont="1" applyBorder="1" applyAlignment="1">
      <alignment vertical="top"/>
    </xf>
    <xf numFmtId="0" fontId="9" fillId="0" borderId="0" xfId="0" applyFont="1" applyAlignment="1">
      <alignment horizontal="justify" vertical="top"/>
    </xf>
    <xf numFmtId="0" fontId="10" fillId="0" borderId="5" xfId="0" applyFont="1" applyBorder="1" applyAlignment="1">
      <alignment horizontal="center" vertical="top"/>
    </xf>
    <xf numFmtId="0" fontId="10" fillId="0" borderId="6" xfId="0" applyFont="1" applyBorder="1" applyAlignment="1">
      <alignment horizontal="center" vertical="top"/>
    </xf>
    <xf numFmtId="0" fontId="10" fillId="0" borderId="7" xfId="0" applyFont="1" applyBorder="1" applyAlignment="1">
      <alignment horizontal="center" vertical="top"/>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10" fillId="0" borderId="9" xfId="0" applyFont="1" applyBorder="1" applyAlignment="1">
      <alignment horizontal="center" vertical="center" wrapText="1"/>
    </xf>
    <xf numFmtId="0" fontId="7" fillId="3" borderId="0" xfId="0" applyFont="1" applyFill="1" applyAlignment="1">
      <alignment horizontal="justify" vertical="top"/>
    </xf>
    <xf numFmtId="0" fontId="5" fillId="3" borderId="0" xfId="0" applyFont="1" applyFill="1" applyAlignment="1">
      <alignment horizontal="justify" vertical="top"/>
    </xf>
    <xf numFmtId="0" fontId="6" fillId="3" borderId="0" xfId="0" applyFont="1" applyFill="1" applyAlignment="1">
      <alignment horizontal="left" vertical="top"/>
    </xf>
    <xf numFmtId="0" fontId="13" fillId="3" borderId="0" xfId="0" applyFont="1" applyFill="1" applyAlignment="1">
      <alignment horizontal="center" vertical="center"/>
    </xf>
  </cellXfs>
  <cellStyles count="13">
    <cellStyle name="Comma" xfId="2" builtinId="3"/>
    <cellStyle name="Comma 10" xfId="11" xr:uid="{BD3CD41E-8413-46B6-8163-5AA37C3F69A2}"/>
    <cellStyle name="Excel Built-in Normal 1" xfId="5" xr:uid="{00000000-0005-0000-0000-000001000000}"/>
    <cellStyle name="Normal" xfId="0" builtinId="0"/>
    <cellStyle name="Normal 10 10" xfId="3" xr:uid="{00000000-0005-0000-0000-000003000000}"/>
    <cellStyle name="Normal 2 10" xfId="1" xr:uid="{00000000-0005-0000-0000-000004000000}"/>
    <cellStyle name="Normal 2 2 2" xfId="8" xr:uid="{EFB73925-58BE-46A5-A8FC-2F23152C725C}"/>
    <cellStyle name="Normal 2 2 3" xfId="12" xr:uid="{854B5ECE-793C-4969-9F53-3FCA1E9AD69C}"/>
    <cellStyle name="Normal 4" xfId="10" xr:uid="{161BE6AC-ACAC-4494-B467-21179286E882}"/>
    <cellStyle name="Normal 6" xfId="4" xr:uid="{00000000-0005-0000-0000-000005000000}"/>
    <cellStyle name="Normal_FA AND SECURITY BOQ" xfId="6" xr:uid="{00000000-0005-0000-0000-000007000000}"/>
    <cellStyle name="Normal_FA AND SECURITY SYSTEM BOQ" xfId="7" xr:uid="{00000000-0005-0000-0000-000008000000}"/>
    <cellStyle name="Style 1" xfId="9" xr:uid="{51E909E2-3789-4016-91DF-022D87FB6E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zoomScale="85" zoomScaleNormal="85" zoomScaleSheetLayoutView="85" workbookViewId="0">
      <selection activeCell="P4" sqref="P4"/>
    </sheetView>
  </sheetViews>
  <sheetFormatPr defaultColWidth="9.109375" defaultRowHeight="15.6"/>
  <cols>
    <col min="1" max="1" width="5.6640625" style="14" customWidth="1"/>
    <col min="2" max="2" width="40.6640625" style="2" customWidth="1"/>
    <col min="3" max="3" width="5.6640625" style="10" customWidth="1"/>
    <col min="4" max="4" width="9.6640625" style="11" customWidth="1"/>
    <col min="5" max="5" width="9.6640625" style="12" customWidth="1"/>
    <col min="6" max="6" width="15.6640625" style="12" customWidth="1"/>
    <col min="7" max="7" width="41.5546875" style="1" hidden="1" customWidth="1"/>
    <col min="8" max="9" width="0" style="1" hidden="1" customWidth="1"/>
    <col min="10" max="16384" width="9.109375" style="1"/>
  </cols>
  <sheetData>
    <row r="1" spans="1:6" s="3" customFormat="1">
      <c r="A1" s="214" t="s">
        <v>14</v>
      </c>
      <c r="B1" s="214"/>
      <c r="C1" s="214"/>
      <c r="D1" s="214"/>
      <c r="E1" s="214"/>
      <c r="F1" s="214"/>
    </row>
    <row r="2" spans="1:6" s="3" customFormat="1">
      <c r="A2" s="4"/>
      <c r="B2" s="13"/>
      <c r="C2" s="5"/>
      <c r="D2" s="6"/>
      <c r="E2" s="6"/>
      <c r="F2" s="7"/>
    </row>
    <row r="3" spans="1:6" s="3" customFormat="1" ht="51.75" customHeight="1">
      <c r="A3" s="8">
        <v>1</v>
      </c>
      <c r="B3" s="212" t="s">
        <v>15</v>
      </c>
      <c r="C3" s="212"/>
      <c r="D3" s="212"/>
      <c r="E3" s="212"/>
      <c r="F3" s="212"/>
    </row>
    <row r="4" spans="1:6" s="3" customFormat="1" ht="49.5" customHeight="1">
      <c r="A4" s="8">
        <v>2</v>
      </c>
      <c r="B4" s="212" t="s">
        <v>16</v>
      </c>
      <c r="C4" s="212"/>
      <c r="D4" s="212"/>
      <c r="E4" s="212"/>
      <c r="F4" s="212"/>
    </row>
    <row r="5" spans="1:6" s="3" customFormat="1" ht="47.25" customHeight="1">
      <c r="A5" s="8">
        <v>3</v>
      </c>
      <c r="B5" s="212" t="s">
        <v>17</v>
      </c>
      <c r="C5" s="212"/>
      <c r="D5" s="212"/>
      <c r="E5" s="212"/>
      <c r="F5" s="212"/>
    </row>
    <row r="6" spans="1:6" s="3" customFormat="1" ht="18.75" customHeight="1">
      <c r="A6" s="8">
        <v>4</v>
      </c>
      <c r="B6" s="212" t="s">
        <v>18</v>
      </c>
      <c r="C6" s="212"/>
      <c r="D6" s="212"/>
      <c r="E6" s="212"/>
      <c r="F6" s="212"/>
    </row>
    <row r="7" spans="1:6" s="3" customFormat="1" ht="18" customHeight="1">
      <c r="A7" s="8">
        <v>5</v>
      </c>
      <c r="B7" s="212" t="s">
        <v>19</v>
      </c>
      <c r="C7" s="212"/>
      <c r="D7" s="212"/>
      <c r="E7" s="212"/>
      <c r="F7" s="212"/>
    </row>
    <row r="8" spans="1:6" s="3" customFormat="1" ht="33.75" customHeight="1">
      <c r="A8" s="8">
        <v>6</v>
      </c>
      <c r="B8" s="212" t="s">
        <v>20</v>
      </c>
      <c r="C8" s="212"/>
      <c r="D8" s="212"/>
      <c r="E8" s="212"/>
      <c r="F8" s="212"/>
    </row>
    <row r="9" spans="1:6" s="3" customFormat="1" ht="18.75" customHeight="1">
      <c r="A9" s="8">
        <v>7</v>
      </c>
      <c r="B9" s="212" t="s">
        <v>21</v>
      </c>
      <c r="C9" s="212"/>
      <c r="D9" s="212"/>
      <c r="E9" s="212"/>
      <c r="F9" s="212"/>
    </row>
    <row r="10" spans="1:6" s="3" customFormat="1" ht="47.25" customHeight="1">
      <c r="A10" s="8">
        <v>8</v>
      </c>
      <c r="B10" s="212" t="s">
        <v>22</v>
      </c>
      <c r="C10" s="212"/>
      <c r="D10" s="212"/>
      <c r="E10" s="212"/>
      <c r="F10" s="212"/>
    </row>
    <row r="11" spans="1:6" s="3" customFormat="1" ht="43.5" customHeight="1">
      <c r="A11" s="8">
        <v>9</v>
      </c>
      <c r="B11" s="212" t="s">
        <v>23</v>
      </c>
      <c r="C11" s="212"/>
      <c r="D11" s="212"/>
      <c r="E11" s="212"/>
      <c r="F11" s="212"/>
    </row>
    <row r="12" spans="1:6" s="3" customFormat="1" ht="35.25" customHeight="1">
      <c r="A12" s="8">
        <v>10</v>
      </c>
      <c r="B12" s="212" t="s">
        <v>24</v>
      </c>
      <c r="C12" s="212"/>
      <c r="D12" s="212"/>
      <c r="E12" s="212"/>
      <c r="F12" s="212"/>
    </row>
    <row r="13" spans="1:6" s="3" customFormat="1" ht="45.75" customHeight="1">
      <c r="A13" s="8">
        <v>11</v>
      </c>
      <c r="B13" s="212" t="s">
        <v>25</v>
      </c>
      <c r="C13" s="212"/>
      <c r="D13" s="212"/>
      <c r="E13" s="212"/>
      <c r="F13" s="212"/>
    </row>
    <row r="14" spans="1:6" s="3" customFormat="1" ht="13.5" customHeight="1">
      <c r="A14" s="8"/>
      <c r="B14" s="212"/>
      <c r="C14" s="212"/>
      <c r="D14" s="212"/>
      <c r="E14" s="212"/>
      <c r="F14" s="212"/>
    </row>
    <row r="15" spans="1:6" s="3" customFormat="1">
      <c r="A15" s="9" t="s">
        <v>26</v>
      </c>
      <c r="B15" s="213" t="s">
        <v>27</v>
      </c>
      <c r="C15" s="213"/>
      <c r="D15" s="213"/>
      <c r="E15" s="213"/>
      <c r="F15" s="213"/>
    </row>
    <row r="16" spans="1:6" s="3" customFormat="1" ht="14.25" customHeight="1">
      <c r="A16" s="8"/>
      <c r="B16" s="212" t="s">
        <v>28</v>
      </c>
      <c r="C16" s="212"/>
      <c r="D16" s="212"/>
      <c r="E16" s="212"/>
      <c r="F16" s="212"/>
    </row>
    <row r="17" spans="1:6" s="3" customFormat="1">
      <c r="A17" s="8">
        <v>1</v>
      </c>
      <c r="B17" s="212" t="s">
        <v>29</v>
      </c>
      <c r="C17" s="212"/>
      <c r="D17" s="212"/>
      <c r="E17" s="212"/>
      <c r="F17" s="212"/>
    </row>
    <row r="18" spans="1:6" s="3" customFormat="1">
      <c r="A18" s="8">
        <v>2</v>
      </c>
      <c r="B18" s="212" t="s">
        <v>30</v>
      </c>
      <c r="C18" s="212"/>
      <c r="D18" s="212"/>
      <c r="E18" s="212"/>
      <c r="F18" s="212"/>
    </row>
    <row r="19" spans="1:6" s="3" customFormat="1">
      <c r="A19" s="8">
        <v>3</v>
      </c>
      <c r="B19" s="212" t="s">
        <v>31</v>
      </c>
      <c r="C19" s="212"/>
      <c r="D19" s="212"/>
      <c r="E19" s="212"/>
      <c r="F19" s="212"/>
    </row>
    <row r="20" spans="1:6" s="3" customFormat="1">
      <c r="A20" s="8">
        <v>4</v>
      </c>
      <c r="B20" s="212" t="s">
        <v>32</v>
      </c>
      <c r="C20" s="212"/>
      <c r="D20" s="212"/>
      <c r="E20" s="212"/>
      <c r="F20" s="212"/>
    </row>
    <row r="21" spans="1:6" s="3" customFormat="1" ht="33" customHeight="1">
      <c r="A21" s="8">
        <v>5</v>
      </c>
      <c r="B21" s="212" t="s">
        <v>33</v>
      </c>
      <c r="C21" s="212"/>
      <c r="D21" s="212"/>
      <c r="E21" s="212"/>
      <c r="F21" s="212"/>
    </row>
    <row r="22" spans="1:6" s="3" customFormat="1" ht="35.25" customHeight="1">
      <c r="A22" s="8">
        <v>6</v>
      </c>
      <c r="B22" s="212" t="s">
        <v>34</v>
      </c>
      <c r="C22" s="212"/>
      <c r="D22" s="212"/>
      <c r="E22" s="212"/>
      <c r="F22" s="212"/>
    </row>
    <row r="23" spans="1:6" s="3" customFormat="1">
      <c r="A23" s="8">
        <v>7</v>
      </c>
      <c r="B23" s="212" t="s">
        <v>35</v>
      </c>
      <c r="C23" s="212"/>
      <c r="D23" s="212"/>
      <c r="E23" s="212"/>
      <c r="F23" s="212"/>
    </row>
    <row r="24" spans="1:6" s="3" customFormat="1" ht="29.25" customHeight="1">
      <c r="A24" s="8">
        <v>8</v>
      </c>
      <c r="B24" s="212" t="s">
        <v>36</v>
      </c>
      <c r="C24" s="212"/>
      <c r="D24" s="212"/>
      <c r="E24" s="212"/>
      <c r="F24" s="212"/>
    </row>
    <row r="25" spans="1:6" s="3" customFormat="1">
      <c r="A25" s="8">
        <v>9</v>
      </c>
      <c r="B25" s="212" t="s">
        <v>37</v>
      </c>
      <c r="C25" s="212"/>
      <c r="D25" s="212"/>
      <c r="E25" s="212"/>
      <c r="F25" s="212"/>
    </row>
    <row r="26" spans="1:6" s="3" customFormat="1">
      <c r="A26" s="8">
        <v>10</v>
      </c>
      <c r="B26" s="212" t="s">
        <v>38</v>
      </c>
      <c r="C26" s="212"/>
      <c r="D26" s="212"/>
      <c r="E26" s="212"/>
      <c r="F26" s="212"/>
    </row>
    <row r="27" spans="1:6" s="3" customFormat="1">
      <c r="A27" s="8">
        <v>11</v>
      </c>
      <c r="B27" s="212" t="s">
        <v>39</v>
      </c>
      <c r="C27" s="212"/>
      <c r="D27" s="212" t="s">
        <v>40</v>
      </c>
      <c r="E27" s="212"/>
      <c r="F27" s="212"/>
    </row>
    <row r="28" spans="1:6" s="3" customFormat="1" ht="17.25" customHeight="1">
      <c r="A28" s="8">
        <v>12</v>
      </c>
      <c r="B28" s="212" t="s">
        <v>41</v>
      </c>
      <c r="C28" s="212"/>
      <c r="D28" s="212"/>
      <c r="E28" s="212"/>
      <c r="F28" s="212"/>
    </row>
    <row r="29" spans="1:6" s="3" customFormat="1" ht="17.25" customHeight="1">
      <c r="A29" s="8">
        <v>13</v>
      </c>
      <c r="B29" s="212" t="s">
        <v>42</v>
      </c>
      <c r="C29" s="212"/>
      <c r="D29" s="212"/>
      <c r="E29" s="212"/>
      <c r="F29" s="212"/>
    </row>
    <row r="30" spans="1:6" s="3" customFormat="1">
      <c r="A30" s="8">
        <v>14</v>
      </c>
      <c r="B30" s="212" t="s">
        <v>43</v>
      </c>
      <c r="C30" s="212"/>
      <c r="D30" s="212"/>
      <c r="E30" s="212"/>
      <c r="F30" s="212"/>
    </row>
    <row r="31" spans="1:6" s="3" customFormat="1">
      <c r="A31" s="8"/>
      <c r="B31" s="13"/>
      <c r="C31" s="5"/>
      <c r="D31" s="6"/>
      <c r="E31" s="5"/>
      <c r="F31" s="5"/>
    </row>
  </sheetData>
  <mergeCells count="29">
    <mergeCell ref="B6:F6"/>
    <mergeCell ref="A1:F1"/>
    <mergeCell ref="B3:F3"/>
    <mergeCell ref="B4:F4"/>
    <mergeCell ref="B5:F5"/>
    <mergeCell ref="B18:F18"/>
    <mergeCell ref="B7:F7"/>
    <mergeCell ref="B8:F8"/>
    <mergeCell ref="B9:F9"/>
    <mergeCell ref="B10:F10"/>
    <mergeCell ref="B11:F11"/>
    <mergeCell ref="B12:F12"/>
    <mergeCell ref="B13:F13"/>
    <mergeCell ref="B14:F14"/>
    <mergeCell ref="B15:F15"/>
    <mergeCell ref="B16:F16"/>
    <mergeCell ref="B17:F17"/>
    <mergeCell ref="B30:F30"/>
    <mergeCell ref="B19:F19"/>
    <mergeCell ref="B20:F20"/>
    <mergeCell ref="B21:F21"/>
    <mergeCell ref="B22:F22"/>
    <mergeCell ref="B23:F23"/>
    <mergeCell ref="B24:F24"/>
    <mergeCell ref="B25:F25"/>
    <mergeCell ref="B26:F26"/>
    <mergeCell ref="B27:F27"/>
    <mergeCell ref="B28:F28"/>
    <mergeCell ref="B29:F29"/>
  </mergeCells>
  <printOptions horizontalCentered="1"/>
  <pageMargins left="0.7" right="0.7" top="0.75" bottom="0.75" header="0.3" footer="0.3"/>
  <pageSetup paperSize="9" scale="98" orientation="portrait" r:id="rId1"/>
  <headerFooter>
    <oddFooter xml:space="preserve">&amp;R&amp;"-,Bold"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zoomScale="85" zoomScaleNormal="85" zoomScaleSheetLayoutView="85" workbookViewId="0">
      <selection activeCell="C18" sqref="C18"/>
    </sheetView>
  </sheetViews>
  <sheetFormatPr defaultColWidth="9.109375" defaultRowHeight="15"/>
  <cols>
    <col min="1" max="1" width="10.6640625" style="19" customWidth="1"/>
    <col min="2" max="2" width="64.44140625" style="20" customWidth="1"/>
    <col min="3" max="3" width="15.6640625" style="21" customWidth="1"/>
    <col min="4" max="16384" width="9.109375" style="15"/>
  </cols>
  <sheetData>
    <row r="1" spans="1:3">
      <c r="A1" s="206"/>
      <c r="B1" s="207"/>
      <c r="C1" s="208"/>
    </row>
    <row r="2" spans="1:3" ht="41.25" customHeight="1">
      <c r="A2" s="209" t="s">
        <v>459</v>
      </c>
      <c r="B2" s="210"/>
      <c r="C2" s="211"/>
    </row>
    <row r="3" spans="1:3">
      <c r="A3" s="96"/>
      <c r="C3" s="97"/>
    </row>
    <row r="4" spans="1:3" ht="30">
      <c r="A4" s="98" t="s">
        <v>10</v>
      </c>
      <c r="B4" s="17" t="s">
        <v>0</v>
      </c>
      <c r="C4" s="99" t="s">
        <v>11</v>
      </c>
    </row>
    <row r="5" spans="1:3">
      <c r="A5" s="100"/>
      <c r="B5" s="16"/>
      <c r="C5" s="101"/>
    </row>
    <row r="6" spans="1:3">
      <c r="A6" s="102" t="s">
        <v>77</v>
      </c>
      <c r="B6" s="27" t="str">
        <f>'ELECT BOQ'!B7</f>
        <v>CIRCUIT CUM POINT WIRING</v>
      </c>
      <c r="C6" s="101">
        <f>'ELECT BOQ'!F71</f>
        <v>0</v>
      </c>
    </row>
    <row r="7" spans="1:3">
      <c r="A7" s="102" t="s">
        <v>55</v>
      </c>
      <c r="B7" s="27" t="str">
        <f>'ELECT BOQ'!B73</f>
        <v>CABLES &amp; CABLE TRAYS</v>
      </c>
      <c r="C7" s="101">
        <f>'ELECT BOQ'!F142</f>
        <v>0</v>
      </c>
    </row>
    <row r="8" spans="1:3">
      <c r="A8" s="102" t="s">
        <v>70</v>
      </c>
      <c r="B8" s="27" t="str">
        <f>'ELECT BOQ'!B144</f>
        <v>FINAL DISTRIBUTION BOARDS</v>
      </c>
      <c r="C8" s="101">
        <f>'ELECT BOQ'!F161</f>
        <v>0</v>
      </c>
    </row>
    <row r="9" spans="1:3">
      <c r="A9" s="102" t="s">
        <v>74</v>
      </c>
      <c r="B9" s="27" t="str">
        <f>'ELECT BOQ'!B163</f>
        <v>UPS SYSTEM</v>
      </c>
      <c r="C9" s="101">
        <f>'ELECT BOQ'!F167</f>
        <v>0</v>
      </c>
    </row>
    <row r="10" spans="1:3">
      <c r="A10" s="102" t="s">
        <v>76</v>
      </c>
      <c r="B10" s="27" t="str">
        <f>'ELECT BOQ'!B169</f>
        <v>EARTHING SYSTEM</v>
      </c>
      <c r="C10" s="101">
        <f>'ELECT BOQ'!F200</f>
        <v>0</v>
      </c>
    </row>
    <row r="11" spans="1:3">
      <c r="A11" s="102" t="s">
        <v>163</v>
      </c>
      <c r="B11" s="27" t="str">
        <f>'ELECT BOQ'!B202</f>
        <v>LIGHTNING PROTECTION SYSTEM</v>
      </c>
      <c r="C11" s="101">
        <f>'ELECT BOQ'!F234</f>
        <v>0</v>
      </c>
    </row>
    <row r="12" spans="1:3">
      <c r="A12" s="102" t="s">
        <v>78</v>
      </c>
      <c r="B12" s="27" t="str">
        <f>'ELECT BOQ'!B236</f>
        <v>INSTALLATION OF EXTERNAL/ LANDSCAPE LIGHTING</v>
      </c>
      <c r="C12" s="101">
        <f>'ELECT BOQ'!F278</f>
        <v>0</v>
      </c>
    </row>
    <row r="13" spans="1:3">
      <c r="A13" s="102" t="s">
        <v>94</v>
      </c>
      <c r="B13" s="45" t="str">
        <f>'ELECT BOQ'!B280</f>
        <v>ELECTRIC VEHICLE CHARGER</v>
      </c>
      <c r="C13" s="101">
        <f>'ELECT BOQ'!F292</f>
        <v>0</v>
      </c>
    </row>
    <row r="14" spans="1:3">
      <c r="A14" s="102" t="s">
        <v>2</v>
      </c>
      <c r="B14" s="46" t="str">
        <f>'ELECT BOQ'!B294</f>
        <v>HV INSTALLATION</v>
      </c>
      <c r="C14" s="101">
        <f>'ELECT BOQ'!F352</f>
        <v>0</v>
      </c>
    </row>
    <row r="15" spans="1:3" ht="18" customHeight="1">
      <c r="A15" s="102" t="s">
        <v>168</v>
      </c>
      <c r="B15" s="27" t="str">
        <f>'ELECT BOQ'!B354</f>
        <v>SUPPLY &amp; INSTALLATION OF LT PANELS</v>
      </c>
      <c r="C15" s="101">
        <f>'ELECT BOQ'!F915</f>
        <v>0</v>
      </c>
    </row>
    <row r="16" spans="1:3">
      <c r="A16" s="102" t="s">
        <v>169</v>
      </c>
      <c r="B16" s="27" t="str">
        <f>'ELECT BOQ'!B918</f>
        <v>EXTERNAL PIPE WORK</v>
      </c>
      <c r="C16" s="101">
        <f>'ELECT BOQ'!F927</f>
        <v>0</v>
      </c>
    </row>
    <row r="17" spans="1:3">
      <c r="A17" s="100"/>
      <c r="B17" s="35"/>
      <c r="C17" s="103"/>
    </row>
    <row r="18" spans="1:3">
      <c r="A18" s="104"/>
      <c r="B18" s="18" t="s">
        <v>170</v>
      </c>
      <c r="C18" s="105">
        <f>SUM(C6:C17)</f>
        <v>0</v>
      </c>
    </row>
    <row r="19" spans="1:3">
      <c r="A19" s="96"/>
      <c r="C19" s="97"/>
    </row>
    <row r="20" spans="1:3">
      <c r="A20" s="96"/>
      <c r="B20" s="205" t="s">
        <v>180</v>
      </c>
      <c r="C20" s="97"/>
    </row>
    <row r="21" spans="1:3">
      <c r="A21" s="96">
        <v>1</v>
      </c>
      <c r="B21" s="20" t="s">
        <v>214</v>
      </c>
      <c r="C21" s="97"/>
    </row>
    <row r="22" spans="1:3">
      <c r="A22" s="96">
        <v>2</v>
      </c>
      <c r="B22" s="15" t="s">
        <v>317</v>
      </c>
      <c r="C22" s="204"/>
    </row>
    <row r="23" spans="1:3">
      <c r="A23" s="96">
        <v>3</v>
      </c>
      <c r="B23" s="15" t="s">
        <v>318</v>
      </c>
      <c r="C23" s="204"/>
    </row>
    <row r="24" spans="1:3">
      <c r="A24" s="96">
        <v>4</v>
      </c>
      <c r="B24" s="20" t="s">
        <v>546</v>
      </c>
      <c r="C24" s="106"/>
    </row>
    <row r="25" spans="1:3">
      <c r="A25" s="96">
        <v>5</v>
      </c>
      <c r="B25" s="15" t="s">
        <v>372</v>
      </c>
      <c r="C25" s="204"/>
    </row>
    <row r="26" spans="1:3" ht="15.6" thickBot="1">
      <c r="A26" s="107"/>
      <c r="B26" s="108"/>
      <c r="C26" s="109"/>
    </row>
  </sheetData>
  <mergeCells count="2">
    <mergeCell ref="A1:C1"/>
    <mergeCell ref="A2:C2"/>
  </mergeCells>
  <printOptions horizontalCentered="1"/>
  <pageMargins left="0.70866141732283472" right="0.70866141732283472" top="0.74803149606299213" bottom="0.74803149606299213" header="0.31496062992125984" footer="0.31496062992125984"/>
  <pageSetup paperSize="9" scale="96" orientation="portrait" r:id="rId1"/>
  <headerFooter>
    <oddHeader>&amp;L&amp;"-,Bold"&amp;8IIAD CAMPUS, GURUGRAM, HARAYANA&amp;R&amp;"-,Bold"&amp;8SUMMARY : &amp;N</oddHeader>
    <oddFooter>&amp;R&amp;"-,Bold"&amp;8ENVIRONMENTAL DESIGN SOLUTIONS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27"/>
  <sheetViews>
    <sheetView tabSelected="1" zoomScale="85" zoomScaleNormal="85" zoomScaleSheetLayoutView="85" workbookViewId="0">
      <pane ySplit="3" topLeftCell="A4" activePane="bottomLeft" state="frozen"/>
      <selection pane="bottomLeft" activeCell="H8" sqref="H8"/>
    </sheetView>
  </sheetViews>
  <sheetFormatPr defaultColWidth="9.109375" defaultRowHeight="13.8"/>
  <cols>
    <col min="1" max="1" width="5.6640625" style="36" customWidth="1"/>
    <col min="2" max="2" width="68.109375" style="47" customWidth="1"/>
    <col min="3" max="3" width="7.44140625" style="36" customWidth="1"/>
    <col min="4" max="4" width="11.6640625" style="37" customWidth="1"/>
    <col min="5" max="5" width="14.88671875" style="49" customWidth="1"/>
    <col min="6" max="6" width="14.88671875" style="38" customWidth="1"/>
    <col min="7" max="7" width="9.109375" style="48"/>
    <col min="8" max="8" width="35.6640625" style="36" customWidth="1"/>
    <col min="9" max="9" width="25.33203125" style="36" customWidth="1"/>
    <col min="10" max="16384" width="9.109375" style="48"/>
  </cols>
  <sheetData>
    <row r="1" spans="1:6" ht="14.4" thickBot="1">
      <c r="A1" s="215" t="s">
        <v>545</v>
      </c>
      <c r="B1" s="215"/>
      <c r="C1" s="215"/>
      <c r="D1" s="215"/>
      <c r="E1" s="215"/>
      <c r="F1" s="215"/>
    </row>
    <row r="2" spans="1:6">
      <c r="B2" s="151"/>
      <c r="C2" s="152"/>
      <c r="D2" s="153"/>
      <c r="E2" s="154"/>
      <c r="F2" s="155"/>
    </row>
    <row r="3" spans="1:6">
      <c r="A3" s="122" t="s">
        <v>10</v>
      </c>
      <c r="B3" s="156" t="s">
        <v>0</v>
      </c>
      <c r="C3" s="39" t="s">
        <v>6</v>
      </c>
      <c r="D3" s="40" t="s">
        <v>7</v>
      </c>
      <c r="E3" s="95" t="s">
        <v>8</v>
      </c>
      <c r="F3" s="157" t="s">
        <v>9</v>
      </c>
    </row>
    <row r="4" spans="1:6">
      <c r="A4" s="123"/>
      <c r="B4" s="158"/>
      <c r="C4" s="22"/>
      <c r="D4" s="23"/>
      <c r="E4" s="50"/>
      <c r="F4" s="159"/>
    </row>
    <row r="5" spans="1:6">
      <c r="A5" s="123">
        <v>1</v>
      </c>
      <c r="B5" s="160" t="s">
        <v>12</v>
      </c>
      <c r="C5" s="22"/>
      <c r="D5" s="23"/>
      <c r="E5" s="50"/>
      <c r="F5" s="159"/>
    </row>
    <row r="6" spans="1:6">
      <c r="A6" s="123"/>
      <c r="B6" s="158"/>
      <c r="C6" s="22"/>
      <c r="D6" s="23"/>
      <c r="E6" s="50"/>
      <c r="F6" s="159"/>
    </row>
    <row r="7" spans="1:6">
      <c r="A7" s="123" t="s">
        <v>77</v>
      </c>
      <c r="B7" s="160" t="s">
        <v>27</v>
      </c>
      <c r="C7" s="22"/>
      <c r="D7" s="23"/>
      <c r="E7" s="50"/>
      <c r="F7" s="159"/>
    </row>
    <row r="8" spans="1:6" ht="110.4">
      <c r="A8" s="124">
        <v>1</v>
      </c>
      <c r="B8" s="161" t="s">
        <v>348</v>
      </c>
      <c r="C8" s="24"/>
      <c r="D8" s="25"/>
      <c r="E8" s="51"/>
      <c r="F8" s="162"/>
    </row>
    <row r="9" spans="1:6">
      <c r="A9" s="124" t="s">
        <v>3</v>
      </c>
      <c r="B9" s="161" t="s">
        <v>44</v>
      </c>
      <c r="C9" s="24" t="s">
        <v>45</v>
      </c>
      <c r="D9" s="25">
        <v>30</v>
      </c>
      <c r="E9" s="51"/>
      <c r="F9" s="162">
        <f>E9*D9</f>
        <v>0</v>
      </c>
    </row>
    <row r="10" spans="1:6">
      <c r="A10" s="124" t="s">
        <v>4</v>
      </c>
      <c r="B10" s="161" t="s">
        <v>46</v>
      </c>
      <c r="C10" s="24" t="s">
        <v>45</v>
      </c>
      <c r="D10" s="25">
        <v>10</v>
      </c>
      <c r="E10" s="51"/>
      <c r="F10" s="162">
        <f t="shared" ref="F10:F69" si="0">E10*D10</f>
        <v>0</v>
      </c>
    </row>
    <row r="11" spans="1:6">
      <c r="A11" s="124"/>
      <c r="B11" s="161"/>
      <c r="C11" s="24"/>
      <c r="D11" s="25"/>
      <c r="E11" s="51"/>
      <c r="F11" s="162">
        <f t="shared" si="0"/>
        <v>0</v>
      </c>
    </row>
    <row r="12" spans="1:6" ht="96.6">
      <c r="A12" s="124">
        <v>2</v>
      </c>
      <c r="B12" s="161" t="s">
        <v>398</v>
      </c>
      <c r="C12" s="24" t="s">
        <v>45</v>
      </c>
      <c r="D12" s="25" t="s">
        <v>50</v>
      </c>
      <c r="E12" s="51"/>
      <c r="F12" s="162"/>
    </row>
    <row r="13" spans="1:6">
      <c r="A13" s="124"/>
      <c r="B13" s="161"/>
      <c r="C13" s="24"/>
      <c r="D13" s="25"/>
      <c r="E13" s="51"/>
      <c r="F13" s="162">
        <f t="shared" si="0"/>
        <v>0</v>
      </c>
    </row>
    <row r="14" spans="1:6" s="110" customFormat="1" ht="124.2">
      <c r="A14" s="125">
        <v>3</v>
      </c>
      <c r="B14" s="163" t="s">
        <v>465</v>
      </c>
      <c r="C14" s="63"/>
      <c r="D14" s="64"/>
      <c r="E14" s="65"/>
      <c r="F14" s="162">
        <f t="shared" si="0"/>
        <v>0</v>
      </c>
    </row>
    <row r="15" spans="1:6" s="110" customFormat="1">
      <c r="A15" s="125" t="s">
        <v>3</v>
      </c>
      <c r="B15" s="163" t="s">
        <v>466</v>
      </c>
      <c r="C15" s="66" t="s">
        <v>47</v>
      </c>
      <c r="D15" s="24">
        <v>2</v>
      </c>
      <c r="E15" s="64"/>
      <c r="F15" s="162">
        <f t="shared" si="0"/>
        <v>0</v>
      </c>
    </row>
    <row r="16" spans="1:6" s="110" customFormat="1">
      <c r="A16" s="125" t="s">
        <v>4</v>
      </c>
      <c r="B16" s="163" t="s">
        <v>479</v>
      </c>
      <c r="C16" s="66" t="s">
        <v>47</v>
      </c>
      <c r="D16" s="24">
        <v>2</v>
      </c>
      <c r="E16" s="67"/>
      <c r="F16" s="162">
        <f t="shared" si="0"/>
        <v>0</v>
      </c>
    </row>
    <row r="17" spans="1:10" s="110" customFormat="1">
      <c r="A17" s="125"/>
      <c r="B17" s="163"/>
      <c r="C17" s="66"/>
      <c r="D17" s="24"/>
      <c r="E17" s="67"/>
      <c r="F17" s="162">
        <f t="shared" si="0"/>
        <v>0</v>
      </c>
    </row>
    <row r="18" spans="1:10" s="111" customFormat="1" ht="27.6">
      <c r="A18" s="126">
        <v>4</v>
      </c>
      <c r="B18" s="164" t="s">
        <v>48</v>
      </c>
      <c r="C18" s="24"/>
      <c r="D18" s="25"/>
      <c r="E18" s="68"/>
      <c r="F18" s="162">
        <f t="shared" si="0"/>
        <v>0</v>
      </c>
      <c r="I18" s="112"/>
      <c r="J18" s="112"/>
    </row>
    <row r="19" spans="1:10" s="111" customFormat="1">
      <c r="A19" s="126" t="s">
        <v>3</v>
      </c>
      <c r="B19" s="164" t="s">
        <v>44</v>
      </c>
      <c r="C19" s="24" t="s">
        <v>45</v>
      </c>
      <c r="D19" s="25">
        <v>30</v>
      </c>
      <c r="E19" s="68"/>
      <c r="F19" s="162">
        <f t="shared" si="0"/>
        <v>0</v>
      </c>
      <c r="I19" s="112"/>
      <c r="J19" s="112"/>
    </row>
    <row r="20" spans="1:10" s="111" customFormat="1">
      <c r="A20" s="126" t="s">
        <v>4</v>
      </c>
      <c r="B20" s="164" t="s">
        <v>46</v>
      </c>
      <c r="C20" s="24" t="s">
        <v>45</v>
      </c>
      <c r="D20" s="25">
        <v>300</v>
      </c>
      <c r="E20" s="68"/>
      <c r="F20" s="162">
        <f t="shared" si="0"/>
        <v>0</v>
      </c>
      <c r="I20" s="112"/>
      <c r="J20" s="112"/>
    </row>
    <row r="21" spans="1:10" s="113" customFormat="1" ht="15">
      <c r="A21" s="127"/>
      <c r="B21" s="165"/>
      <c r="C21" s="69"/>
      <c r="D21" s="70"/>
      <c r="E21" s="71"/>
      <c r="F21" s="162">
        <f t="shared" si="0"/>
        <v>0</v>
      </c>
      <c r="I21" s="114"/>
      <c r="J21" s="114"/>
    </row>
    <row r="22" spans="1:10" s="115" customFormat="1" ht="96.6">
      <c r="A22" s="124">
        <v>5</v>
      </c>
      <c r="B22" s="161" t="s">
        <v>365</v>
      </c>
      <c r="C22" s="62"/>
      <c r="D22" s="24"/>
      <c r="E22" s="52"/>
      <c r="F22" s="162">
        <f t="shared" si="0"/>
        <v>0</v>
      </c>
    </row>
    <row r="23" spans="1:10" s="115" customFormat="1">
      <c r="A23" s="124" t="s">
        <v>3</v>
      </c>
      <c r="B23" s="161" t="s">
        <v>211</v>
      </c>
      <c r="C23" s="62" t="s">
        <v>47</v>
      </c>
      <c r="D23" s="24" t="s">
        <v>50</v>
      </c>
      <c r="E23" s="52"/>
      <c r="F23" s="162"/>
    </row>
    <row r="24" spans="1:10" s="115" customFormat="1">
      <c r="A24" s="124" t="s">
        <v>4</v>
      </c>
      <c r="B24" s="161" t="s">
        <v>212</v>
      </c>
      <c r="C24" s="62" t="s">
        <v>47</v>
      </c>
      <c r="D24" s="24" t="s">
        <v>50</v>
      </c>
      <c r="E24" s="52"/>
      <c r="F24" s="162"/>
    </row>
    <row r="25" spans="1:10">
      <c r="A25" s="124"/>
      <c r="B25" s="161"/>
      <c r="C25" s="24"/>
      <c r="D25" s="25"/>
      <c r="E25" s="51"/>
      <c r="F25" s="162">
        <f t="shared" si="0"/>
        <v>0</v>
      </c>
    </row>
    <row r="26" spans="1:10" ht="110.4">
      <c r="A26" s="124">
        <v>6</v>
      </c>
      <c r="B26" s="161" t="s">
        <v>480</v>
      </c>
      <c r="C26" s="24" t="s">
        <v>47</v>
      </c>
      <c r="D26" s="25">
        <v>90</v>
      </c>
      <c r="E26" s="51"/>
      <c r="F26" s="162">
        <f t="shared" si="0"/>
        <v>0</v>
      </c>
    </row>
    <row r="27" spans="1:10">
      <c r="A27" s="124"/>
      <c r="B27" s="161"/>
      <c r="C27" s="24"/>
      <c r="D27" s="25"/>
      <c r="E27" s="51"/>
      <c r="F27" s="162">
        <f t="shared" si="0"/>
        <v>0</v>
      </c>
    </row>
    <row r="28" spans="1:10" ht="110.4">
      <c r="A28" s="124">
        <v>7</v>
      </c>
      <c r="B28" s="161" t="s">
        <v>447</v>
      </c>
      <c r="C28" s="24" t="s">
        <v>47</v>
      </c>
      <c r="D28" s="25">
        <v>275</v>
      </c>
      <c r="E28" s="51"/>
      <c r="F28" s="162">
        <f t="shared" si="0"/>
        <v>0</v>
      </c>
    </row>
    <row r="29" spans="1:10">
      <c r="A29" s="124"/>
      <c r="B29" s="161"/>
      <c r="C29" s="24"/>
      <c r="D29" s="25"/>
      <c r="E29" s="51"/>
      <c r="F29" s="162">
        <f t="shared" si="0"/>
        <v>0</v>
      </c>
    </row>
    <row r="30" spans="1:10" ht="110.4">
      <c r="A30" s="124">
        <v>8</v>
      </c>
      <c r="B30" s="161" t="s">
        <v>484</v>
      </c>
      <c r="C30" s="24" t="s">
        <v>47</v>
      </c>
      <c r="D30" s="25">
        <v>26</v>
      </c>
      <c r="E30" s="51"/>
      <c r="F30" s="162">
        <f t="shared" si="0"/>
        <v>0</v>
      </c>
    </row>
    <row r="31" spans="1:10">
      <c r="A31" s="124"/>
      <c r="B31" s="161"/>
      <c r="C31" s="24"/>
      <c r="D31" s="25"/>
      <c r="E31" s="51"/>
      <c r="F31" s="162">
        <f t="shared" si="0"/>
        <v>0</v>
      </c>
    </row>
    <row r="32" spans="1:10" ht="110.4">
      <c r="A32" s="124">
        <v>9</v>
      </c>
      <c r="B32" s="161" t="s">
        <v>483</v>
      </c>
      <c r="C32" s="24" t="s">
        <v>47</v>
      </c>
      <c r="D32" s="25">
        <v>2</v>
      </c>
      <c r="E32" s="51"/>
      <c r="F32" s="162">
        <f t="shared" si="0"/>
        <v>0</v>
      </c>
    </row>
    <row r="33" spans="1:6">
      <c r="A33" s="124"/>
      <c r="B33" s="161"/>
      <c r="C33" s="24"/>
      <c r="D33" s="25"/>
      <c r="E33" s="51"/>
      <c r="F33" s="162">
        <f t="shared" si="0"/>
        <v>0</v>
      </c>
    </row>
    <row r="34" spans="1:6" ht="124.2">
      <c r="A34" s="124">
        <v>10</v>
      </c>
      <c r="B34" s="161" t="s">
        <v>482</v>
      </c>
      <c r="C34" s="24" t="s">
        <v>47</v>
      </c>
      <c r="D34" s="25">
        <v>2</v>
      </c>
      <c r="E34" s="51"/>
      <c r="F34" s="162">
        <f t="shared" si="0"/>
        <v>0</v>
      </c>
    </row>
    <row r="35" spans="1:6">
      <c r="A35" s="124"/>
      <c r="B35" s="161"/>
      <c r="C35" s="24"/>
      <c r="D35" s="25"/>
      <c r="E35" s="51"/>
      <c r="F35" s="162">
        <f t="shared" si="0"/>
        <v>0</v>
      </c>
    </row>
    <row r="36" spans="1:6" ht="110.4">
      <c r="A36" s="124">
        <v>11</v>
      </c>
      <c r="B36" s="161" t="s">
        <v>481</v>
      </c>
      <c r="C36" s="24" t="s">
        <v>47</v>
      </c>
      <c r="D36" s="25">
        <v>38</v>
      </c>
      <c r="E36" s="51"/>
      <c r="F36" s="162">
        <f t="shared" si="0"/>
        <v>0</v>
      </c>
    </row>
    <row r="37" spans="1:6">
      <c r="A37" s="124"/>
      <c r="B37" s="161"/>
      <c r="C37" s="24"/>
      <c r="D37" s="25"/>
      <c r="E37" s="51"/>
      <c r="F37" s="162">
        <f t="shared" si="0"/>
        <v>0</v>
      </c>
    </row>
    <row r="38" spans="1:6" ht="138">
      <c r="A38" s="124">
        <v>12</v>
      </c>
      <c r="B38" s="161" t="s">
        <v>539</v>
      </c>
      <c r="C38" s="24" t="s">
        <v>47</v>
      </c>
      <c r="D38" s="25">
        <v>7</v>
      </c>
      <c r="E38" s="51"/>
      <c r="F38" s="162">
        <f t="shared" si="0"/>
        <v>0</v>
      </c>
    </row>
    <row r="39" spans="1:6">
      <c r="A39" s="124"/>
      <c r="B39" s="161"/>
      <c r="C39" s="24"/>
      <c r="D39" s="25"/>
      <c r="E39" s="51"/>
      <c r="F39" s="162">
        <f t="shared" si="0"/>
        <v>0</v>
      </c>
    </row>
    <row r="40" spans="1:6" ht="138">
      <c r="A40" s="124">
        <v>13</v>
      </c>
      <c r="B40" s="161" t="s">
        <v>485</v>
      </c>
      <c r="C40" s="24" t="s">
        <v>47</v>
      </c>
      <c r="D40" s="25">
        <v>4</v>
      </c>
      <c r="E40" s="51"/>
      <c r="F40" s="162">
        <f t="shared" si="0"/>
        <v>0</v>
      </c>
    </row>
    <row r="41" spans="1:6">
      <c r="A41" s="124"/>
      <c r="B41" s="161"/>
      <c r="C41" s="24"/>
      <c r="D41" s="25"/>
      <c r="E41" s="51"/>
      <c r="F41" s="162">
        <f t="shared" si="0"/>
        <v>0</v>
      </c>
    </row>
    <row r="42" spans="1:6" s="115" customFormat="1" ht="82.8">
      <c r="A42" s="124">
        <v>14</v>
      </c>
      <c r="B42" s="161" t="s">
        <v>378</v>
      </c>
      <c r="C42" s="62"/>
      <c r="D42" s="62"/>
      <c r="E42" s="72"/>
      <c r="F42" s="162">
        <f t="shared" si="0"/>
        <v>0</v>
      </c>
    </row>
    <row r="43" spans="1:6" s="115" customFormat="1">
      <c r="A43" s="124" t="s">
        <v>3</v>
      </c>
      <c r="B43" s="161" t="s">
        <v>349</v>
      </c>
      <c r="C43" s="62" t="s">
        <v>49</v>
      </c>
      <c r="D43" s="24" t="s">
        <v>50</v>
      </c>
      <c r="E43" s="54"/>
      <c r="F43" s="162"/>
    </row>
    <row r="44" spans="1:6" s="115" customFormat="1">
      <c r="A44" s="124" t="s">
        <v>4</v>
      </c>
      <c r="B44" s="161" t="s">
        <v>350</v>
      </c>
      <c r="C44" s="62" t="s">
        <v>49</v>
      </c>
      <c r="D44" s="24" t="s">
        <v>50</v>
      </c>
      <c r="E44" s="54"/>
      <c r="F44" s="162"/>
    </row>
    <row r="45" spans="1:6" s="115" customFormat="1">
      <c r="A45" s="124" t="s">
        <v>1</v>
      </c>
      <c r="B45" s="161" t="s">
        <v>351</v>
      </c>
      <c r="C45" s="62" t="s">
        <v>49</v>
      </c>
      <c r="D45" s="24">
        <f>5*30</f>
        <v>150</v>
      </c>
      <c r="E45" s="54"/>
      <c r="F45" s="162">
        <f t="shared" si="0"/>
        <v>0</v>
      </c>
    </row>
    <row r="46" spans="1:6" s="115" customFormat="1">
      <c r="A46" s="124" t="s">
        <v>5</v>
      </c>
      <c r="B46" s="161" t="s">
        <v>171</v>
      </c>
      <c r="C46" s="62" t="s">
        <v>49</v>
      </c>
      <c r="D46" s="24" t="s">
        <v>50</v>
      </c>
      <c r="E46" s="54"/>
      <c r="F46" s="162"/>
    </row>
    <row r="47" spans="1:6" s="115" customFormat="1">
      <c r="A47" s="124" t="s">
        <v>326</v>
      </c>
      <c r="B47" s="161" t="s">
        <v>399</v>
      </c>
      <c r="C47" s="62" t="s">
        <v>49</v>
      </c>
      <c r="D47" s="24" t="s">
        <v>50</v>
      </c>
      <c r="E47" s="54"/>
      <c r="F47" s="162"/>
    </row>
    <row r="48" spans="1:6" s="115" customFormat="1">
      <c r="A48" s="124"/>
      <c r="B48" s="161"/>
      <c r="C48" s="62"/>
      <c r="D48" s="24"/>
      <c r="E48" s="54"/>
      <c r="F48" s="162">
        <f t="shared" si="0"/>
        <v>0</v>
      </c>
    </row>
    <row r="49" spans="1:6" ht="122.25" customHeight="1">
      <c r="A49" s="128">
        <v>15</v>
      </c>
      <c r="B49" s="166" t="s">
        <v>213</v>
      </c>
      <c r="C49" s="24" t="s">
        <v>13</v>
      </c>
      <c r="D49" s="25" t="s">
        <v>50</v>
      </c>
      <c r="E49" s="51"/>
      <c r="F49" s="162"/>
    </row>
    <row r="50" spans="1:6">
      <c r="A50" s="128"/>
      <c r="B50" s="166"/>
      <c r="C50" s="24"/>
      <c r="D50" s="25"/>
      <c r="E50" s="51"/>
      <c r="F50" s="162">
        <f t="shared" si="0"/>
        <v>0</v>
      </c>
    </row>
    <row r="51" spans="1:6" ht="27.6">
      <c r="A51" s="128">
        <v>16</v>
      </c>
      <c r="B51" s="166" t="s">
        <v>375</v>
      </c>
      <c r="C51" s="24"/>
      <c r="D51" s="25"/>
      <c r="E51" s="51"/>
      <c r="F51" s="162">
        <f t="shared" si="0"/>
        <v>0</v>
      </c>
    </row>
    <row r="52" spans="1:6">
      <c r="A52" s="128" t="s">
        <v>3</v>
      </c>
      <c r="B52" s="166" t="s">
        <v>353</v>
      </c>
      <c r="C52" s="24" t="s">
        <v>13</v>
      </c>
      <c r="D52" s="25">
        <v>2</v>
      </c>
      <c r="E52" s="51"/>
      <c r="F52" s="162">
        <f t="shared" si="0"/>
        <v>0</v>
      </c>
    </row>
    <row r="53" spans="1:6">
      <c r="A53" s="128"/>
      <c r="B53" s="166"/>
      <c r="C53" s="24"/>
      <c r="D53" s="25"/>
      <c r="E53" s="51"/>
      <c r="F53" s="162">
        <f t="shared" si="0"/>
        <v>0</v>
      </c>
    </row>
    <row r="54" spans="1:6" ht="41.4">
      <c r="A54" s="124">
        <v>17</v>
      </c>
      <c r="B54" s="166" t="s">
        <v>185</v>
      </c>
      <c r="C54" s="24"/>
      <c r="D54" s="25"/>
      <c r="E54" s="51"/>
      <c r="F54" s="162">
        <f t="shared" si="0"/>
        <v>0</v>
      </c>
    </row>
    <row r="55" spans="1:6">
      <c r="A55" s="124" t="s">
        <v>3</v>
      </c>
      <c r="B55" s="161" t="s">
        <v>186</v>
      </c>
      <c r="C55" s="62" t="s">
        <v>49</v>
      </c>
      <c r="D55" s="73" t="s">
        <v>50</v>
      </c>
      <c r="E55" s="54"/>
      <c r="F55" s="162"/>
    </row>
    <row r="56" spans="1:6">
      <c r="A56" s="124" t="s">
        <v>4</v>
      </c>
      <c r="B56" s="161" t="s">
        <v>352</v>
      </c>
      <c r="C56" s="62" t="s">
        <v>49</v>
      </c>
      <c r="D56" s="73" t="s">
        <v>50</v>
      </c>
      <c r="E56" s="54"/>
      <c r="F56" s="162"/>
    </row>
    <row r="57" spans="1:6">
      <c r="A57" s="124" t="s">
        <v>1</v>
      </c>
      <c r="B57" s="161" t="s">
        <v>187</v>
      </c>
      <c r="C57" s="62" t="s">
        <v>49</v>
      </c>
      <c r="D57" s="73" t="s">
        <v>50</v>
      </c>
      <c r="E57" s="54"/>
      <c r="F57" s="162"/>
    </row>
    <row r="58" spans="1:6">
      <c r="A58" s="124"/>
      <c r="B58" s="161"/>
      <c r="C58" s="62"/>
      <c r="D58" s="73"/>
      <c r="E58" s="54"/>
      <c r="F58" s="162">
        <f t="shared" si="0"/>
        <v>0</v>
      </c>
    </row>
    <row r="59" spans="1:6" ht="27.6">
      <c r="A59" s="128">
        <v>18</v>
      </c>
      <c r="B59" s="167" t="s">
        <v>51</v>
      </c>
      <c r="C59" s="24"/>
      <c r="D59" s="25"/>
      <c r="E59" s="51"/>
      <c r="F59" s="162">
        <f t="shared" si="0"/>
        <v>0</v>
      </c>
    </row>
    <row r="60" spans="1:6">
      <c r="A60" s="128" t="s">
        <v>3</v>
      </c>
      <c r="B60" s="166" t="s">
        <v>52</v>
      </c>
      <c r="C60" s="24" t="s">
        <v>49</v>
      </c>
      <c r="D60" s="25" t="s">
        <v>50</v>
      </c>
      <c r="E60" s="51"/>
      <c r="F60" s="162"/>
    </row>
    <row r="61" spans="1:6">
      <c r="A61" s="128" t="s">
        <v>4</v>
      </c>
      <c r="B61" s="166" t="s">
        <v>53</v>
      </c>
      <c r="C61" s="24" t="s">
        <v>49</v>
      </c>
      <c r="D61" s="25">
        <f>600</f>
        <v>600</v>
      </c>
      <c r="E61" s="51"/>
      <c r="F61" s="162">
        <f t="shared" si="0"/>
        <v>0</v>
      </c>
    </row>
    <row r="62" spans="1:6">
      <c r="A62" s="124"/>
      <c r="B62" s="161"/>
      <c r="C62" s="24"/>
      <c r="D62" s="25"/>
      <c r="E62" s="51"/>
      <c r="F62" s="162">
        <f t="shared" si="0"/>
        <v>0</v>
      </c>
    </row>
    <row r="63" spans="1:6" ht="27.6">
      <c r="A63" s="124">
        <v>19</v>
      </c>
      <c r="B63" s="158" t="s">
        <v>54</v>
      </c>
      <c r="C63" s="62" t="s">
        <v>13</v>
      </c>
      <c r="D63" s="73">
        <v>5</v>
      </c>
      <c r="E63" s="72"/>
      <c r="F63" s="162">
        <f t="shared" si="0"/>
        <v>0</v>
      </c>
    </row>
    <row r="64" spans="1:6">
      <c r="A64" s="124"/>
      <c r="B64" s="168"/>
      <c r="C64" s="62"/>
      <c r="D64" s="73"/>
      <c r="E64" s="72"/>
      <c r="F64" s="162">
        <f t="shared" si="0"/>
        <v>0</v>
      </c>
    </row>
    <row r="65" spans="1:9" s="115" customFormat="1" ht="27.6">
      <c r="A65" s="124">
        <v>20</v>
      </c>
      <c r="B65" s="158" t="s">
        <v>176</v>
      </c>
      <c r="C65" s="62" t="s">
        <v>13</v>
      </c>
      <c r="D65" s="24" t="s">
        <v>50</v>
      </c>
      <c r="E65" s="72"/>
      <c r="F65" s="162"/>
    </row>
    <row r="66" spans="1:9" s="115" customFormat="1">
      <c r="A66" s="124"/>
      <c r="B66" s="158"/>
      <c r="C66" s="62"/>
      <c r="D66" s="24"/>
      <c r="E66" s="72"/>
      <c r="F66" s="162">
        <f t="shared" si="0"/>
        <v>0</v>
      </c>
    </row>
    <row r="67" spans="1:9" ht="55.2">
      <c r="A67" s="124">
        <v>21</v>
      </c>
      <c r="B67" s="167" t="s">
        <v>174</v>
      </c>
      <c r="C67" s="62" t="s">
        <v>13</v>
      </c>
      <c r="D67" s="25">
        <v>1</v>
      </c>
      <c r="E67" s="72"/>
      <c r="F67" s="162">
        <f t="shared" si="0"/>
        <v>0</v>
      </c>
    </row>
    <row r="68" spans="1:9">
      <c r="A68" s="124"/>
      <c r="B68" s="167"/>
      <c r="C68" s="62"/>
      <c r="D68" s="25"/>
      <c r="E68" s="72"/>
      <c r="F68" s="162">
        <f t="shared" si="0"/>
        <v>0</v>
      </c>
    </row>
    <row r="69" spans="1:9" ht="110.4">
      <c r="A69" s="129">
        <v>22</v>
      </c>
      <c r="B69" s="166" t="s">
        <v>400</v>
      </c>
      <c r="C69" s="24" t="s">
        <v>13</v>
      </c>
      <c r="D69" s="25">
        <v>1</v>
      </c>
      <c r="E69" s="51"/>
      <c r="F69" s="162">
        <f t="shared" si="0"/>
        <v>0</v>
      </c>
      <c r="H69" s="48"/>
      <c r="I69" s="48"/>
    </row>
    <row r="70" spans="1:9">
      <c r="A70" s="129"/>
      <c r="B70" s="166"/>
      <c r="C70" s="24"/>
      <c r="D70" s="25"/>
      <c r="E70" s="52"/>
      <c r="F70" s="162"/>
      <c r="H70" s="48"/>
      <c r="I70" s="48"/>
    </row>
    <row r="71" spans="1:9">
      <c r="A71" s="130"/>
      <c r="B71" s="169" t="s">
        <v>162</v>
      </c>
      <c r="C71" s="74"/>
      <c r="D71" s="75"/>
      <c r="E71" s="53"/>
      <c r="F71" s="170">
        <f>SUM(F9:F70)</f>
        <v>0</v>
      </c>
    </row>
    <row r="72" spans="1:9">
      <c r="A72" s="123"/>
      <c r="B72" s="160"/>
      <c r="C72" s="29"/>
      <c r="D72" s="30"/>
      <c r="E72" s="56"/>
      <c r="F72" s="162"/>
    </row>
    <row r="73" spans="1:9">
      <c r="A73" s="122" t="s">
        <v>55</v>
      </c>
      <c r="B73" s="160" t="s">
        <v>363</v>
      </c>
      <c r="C73" s="29"/>
      <c r="D73" s="30"/>
      <c r="E73" s="56"/>
      <c r="F73" s="162"/>
    </row>
    <row r="74" spans="1:9">
      <c r="A74" s="123"/>
      <c r="B74" s="161" t="s">
        <v>57</v>
      </c>
      <c r="C74" s="24"/>
      <c r="D74" s="25"/>
      <c r="E74" s="51"/>
      <c r="F74" s="162"/>
    </row>
    <row r="75" spans="1:9" ht="27.6">
      <c r="A75" s="123">
        <v>1</v>
      </c>
      <c r="B75" s="161" t="s">
        <v>58</v>
      </c>
      <c r="C75" s="24"/>
      <c r="D75" s="25"/>
      <c r="E75" s="51"/>
      <c r="F75" s="162"/>
    </row>
    <row r="76" spans="1:9" ht="27.6">
      <c r="A76" s="123">
        <v>2</v>
      </c>
      <c r="B76" s="161" t="s">
        <v>59</v>
      </c>
      <c r="C76" s="24"/>
      <c r="D76" s="25"/>
      <c r="E76" s="51"/>
      <c r="F76" s="162"/>
    </row>
    <row r="77" spans="1:9" ht="27.6">
      <c r="A77" s="123">
        <v>3</v>
      </c>
      <c r="B77" s="161" t="s">
        <v>60</v>
      </c>
      <c r="C77" s="24"/>
      <c r="D77" s="25"/>
      <c r="E77" s="51"/>
      <c r="F77" s="162"/>
    </row>
    <row r="78" spans="1:9">
      <c r="A78" s="123">
        <v>4</v>
      </c>
      <c r="B78" s="161" t="s">
        <v>61</v>
      </c>
      <c r="C78" s="24"/>
      <c r="D78" s="25"/>
      <c r="E78" s="51"/>
      <c r="F78" s="162"/>
    </row>
    <row r="79" spans="1:9">
      <c r="A79" s="123">
        <v>5</v>
      </c>
      <c r="B79" s="161" t="s">
        <v>62</v>
      </c>
      <c r="C79" s="24"/>
      <c r="D79" s="25"/>
      <c r="E79" s="51"/>
      <c r="F79" s="162"/>
    </row>
    <row r="80" spans="1:9">
      <c r="A80" s="123">
        <v>6</v>
      </c>
      <c r="B80" s="161" t="s">
        <v>63</v>
      </c>
      <c r="C80" s="24"/>
      <c r="D80" s="25"/>
      <c r="E80" s="51"/>
      <c r="F80" s="162"/>
    </row>
    <row r="81" spans="1:9" ht="27.6">
      <c r="A81" s="123">
        <v>7</v>
      </c>
      <c r="B81" s="161" t="s">
        <v>64</v>
      </c>
      <c r="C81" s="24"/>
      <c r="D81" s="25"/>
      <c r="E81" s="51"/>
      <c r="F81" s="162"/>
    </row>
    <row r="82" spans="1:9">
      <c r="A82" s="123">
        <v>8</v>
      </c>
      <c r="B82" s="161" t="s">
        <v>65</v>
      </c>
      <c r="C82" s="24"/>
      <c r="D82" s="25"/>
      <c r="E82" s="51"/>
      <c r="F82" s="162"/>
    </row>
    <row r="83" spans="1:9">
      <c r="A83" s="123"/>
      <c r="B83" s="161"/>
      <c r="C83" s="24"/>
      <c r="D83" s="25"/>
      <c r="E83" s="51"/>
      <c r="F83" s="162"/>
    </row>
    <row r="84" spans="1:9">
      <c r="A84" s="131"/>
      <c r="B84" s="171" t="s">
        <v>56</v>
      </c>
      <c r="C84" s="24"/>
      <c r="D84" s="25"/>
      <c r="E84" s="51"/>
      <c r="F84" s="162"/>
    </row>
    <row r="85" spans="1:9" ht="72" customHeight="1">
      <c r="A85" s="128">
        <v>1</v>
      </c>
      <c r="B85" s="166" t="s">
        <v>377</v>
      </c>
      <c r="C85" s="24"/>
      <c r="D85" s="25"/>
      <c r="E85" s="51"/>
      <c r="F85" s="162"/>
    </row>
    <row r="86" spans="1:9">
      <c r="A86" s="128" t="s">
        <v>3</v>
      </c>
      <c r="B86" s="166" t="s">
        <v>184</v>
      </c>
      <c r="C86" s="24" t="s">
        <v>345</v>
      </c>
      <c r="D86" s="24">
        <v>275</v>
      </c>
      <c r="E86" s="56"/>
      <c r="F86" s="162">
        <f t="shared" ref="F86:F136" si="1">E86*D86</f>
        <v>0</v>
      </c>
      <c r="H86" s="48"/>
      <c r="I86" s="48"/>
    </row>
    <row r="87" spans="1:9">
      <c r="A87" s="128" t="s">
        <v>4</v>
      </c>
      <c r="B87" s="166" t="s">
        <v>324</v>
      </c>
      <c r="C87" s="24" t="s">
        <v>345</v>
      </c>
      <c r="D87" s="24">
        <v>175</v>
      </c>
      <c r="E87" s="56"/>
      <c r="F87" s="162">
        <f t="shared" si="1"/>
        <v>0</v>
      </c>
      <c r="H87" s="48"/>
      <c r="I87" s="48"/>
    </row>
    <row r="88" spans="1:9">
      <c r="A88" s="128" t="s">
        <v>1</v>
      </c>
      <c r="B88" s="166" t="s">
        <v>325</v>
      </c>
      <c r="C88" s="24" t="s">
        <v>345</v>
      </c>
      <c r="D88" s="24" t="s">
        <v>50</v>
      </c>
      <c r="E88" s="56"/>
      <c r="F88" s="162"/>
      <c r="H88" s="48"/>
      <c r="I88" s="48"/>
    </row>
    <row r="89" spans="1:9">
      <c r="A89" s="128" t="s">
        <v>5</v>
      </c>
      <c r="B89" s="166" t="s">
        <v>330</v>
      </c>
      <c r="C89" s="24" t="s">
        <v>345</v>
      </c>
      <c r="D89" s="24">
        <v>60</v>
      </c>
      <c r="E89" s="56"/>
      <c r="F89" s="162">
        <f t="shared" si="1"/>
        <v>0</v>
      </c>
      <c r="H89" s="48"/>
      <c r="I89" s="48"/>
    </row>
    <row r="90" spans="1:9">
      <c r="A90" s="128" t="s">
        <v>326</v>
      </c>
      <c r="B90" s="166" t="s">
        <v>331</v>
      </c>
      <c r="C90" s="24" t="s">
        <v>345</v>
      </c>
      <c r="D90" s="24">
        <v>215</v>
      </c>
      <c r="E90" s="56"/>
      <c r="F90" s="162">
        <f t="shared" si="1"/>
        <v>0</v>
      </c>
      <c r="H90" s="48"/>
      <c r="I90" s="48"/>
    </row>
    <row r="91" spans="1:9">
      <c r="A91" s="128" t="s">
        <v>327</v>
      </c>
      <c r="B91" s="166" t="s">
        <v>332</v>
      </c>
      <c r="C91" s="24" t="s">
        <v>345</v>
      </c>
      <c r="D91" s="24">
        <v>70</v>
      </c>
      <c r="E91" s="56"/>
      <c r="F91" s="162">
        <f t="shared" si="1"/>
        <v>0</v>
      </c>
      <c r="H91" s="48"/>
      <c r="I91" s="48"/>
    </row>
    <row r="92" spans="1:9">
      <c r="A92" s="128" t="s">
        <v>328</v>
      </c>
      <c r="B92" s="166" t="s">
        <v>333</v>
      </c>
      <c r="C92" s="24" t="s">
        <v>345</v>
      </c>
      <c r="D92" s="24">
        <v>650</v>
      </c>
      <c r="E92" s="56"/>
      <c r="F92" s="162">
        <f t="shared" si="1"/>
        <v>0</v>
      </c>
      <c r="H92" s="48"/>
      <c r="I92" s="48"/>
    </row>
    <row r="93" spans="1:9">
      <c r="A93" s="128" t="s">
        <v>329</v>
      </c>
      <c r="B93" s="166" t="s">
        <v>497</v>
      </c>
      <c r="C93" s="24" t="s">
        <v>345</v>
      </c>
      <c r="D93" s="24">
        <v>300</v>
      </c>
      <c r="E93" s="56"/>
      <c r="F93" s="162">
        <f t="shared" si="1"/>
        <v>0</v>
      </c>
      <c r="H93" s="48"/>
      <c r="I93" s="48"/>
    </row>
    <row r="94" spans="1:9">
      <c r="A94" s="128" t="s">
        <v>66</v>
      </c>
      <c r="B94" s="166" t="s">
        <v>498</v>
      </c>
      <c r="C94" s="24" t="s">
        <v>345</v>
      </c>
      <c r="D94" s="24">
        <v>575</v>
      </c>
      <c r="E94" s="56"/>
      <c r="F94" s="162">
        <f t="shared" si="1"/>
        <v>0</v>
      </c>
      <c r="H94" s="48"/>
      <c r="I94" s="48"/>
    </row>
    <row r="95" spans="1:9">
      <c r="A95" s="128" t="s">
        <v>67</v>
      </c>
      <c r="B95" s="166" t="s">
        <v>499</v>
      </c>
      <c r="C95" s="24" t="s">
        <v>345</v>
      </c>
      <c r="D95" s="24">
        <v>215</v>
      </c>
      <c r="E95" s="56"/>
      <c r="F95" s="162">
        <f t="shared" si="1"/>
        <v>0</v>
      </c>
      <c r="H95" s="48"/>
      <c r="I95" s="48"/>
    </row>
    <row r="96" spans="1:9">
      <c r="A96" s="128"/>
      <c r="B96" s="167"/>
      <c r="C96" s="29"/>
      <c r="D96" s="30"/>
      <c r="E96" s="51"/>
      <c r="F96" s="162">
        <f t="shared" si="1"/>
        <v>0</v>
      </c>
    </row>
    <row r="97" spans="1:9" ht="69">
      <c r="A97" s="128">
        <v>2</v>
      </c>
      <c r="B97" s="166" t="s">
        <v>343</v>
      </c>
      <c r="C97" s="24"/>
      <c r="D97" s="24"/>
      <c r="E97" s="52"/>
      <c r="F97" s="162">
        <f t="shared" si="1"/>
        <v>0</v>
      </c>
      <c r="H97" s="48"/>
      <c r="I97" s="48"/>
    </row>
    <row r="98" spans="1:9">
      <c r="A98" s="132" t="s">
        <v>3</v>
      </c>
      <c r="B98" s="166" t="s">
        <v>500</v>
      </c>
      <c r="C98" s="24" t="s">
        <v>345</v>
      </c>
      <c r="D98" s="24">
        <v>300</v>
      </c>
      <c r="E98" s="52"/>
      <c r="F98" s="162">
        <f t="shared" si="1"/>
        <v>0</v>
      </c>
      <c r="H98" s="48"/>
      <c r="I98" s="48"/>
    </row>
    <row r="99" spans="1:9">
      <c r="A99" s="132" t="s">
        <v>4</v>
      </c>
      <c r="B99" s="166" t="s">
        <v>501</v>
      </c>
      <c r="C99" s="24" t="s">
        <v>345</v>
      </c>
      <c r="D99" s="24">
        <v>300</v>
      </c>
      <c r="E99" s="52"/>
      <c r="F99" s="162">
        <f t="shared" si="1"/>
        <v>0</v>
      </c>
      <c r="H99" s="48"/>
      <c r="I99" s="48"/>
    </row>
    <row r="100" spans="1:9">
      <c r="A100" s="132" t="s">
        <v>1</v>
      </c>
      <c r="B100" s="166" t="s">
        <v>540</v>
      </c>
      <c r="C100" s="24" t="s">
        <v>345</v>
      </c>
      <c r="D100" s="24">
        <v>350</v>
      </c>
      <c r="E100" s="52"/>
      <c r="F100" s="162">
        <f t="shared" si="1"/>
        <v>0</v>
      </c>
      <c r="H100" s="48"/>
      <c r="I100" s="48"/>
    </row>
    <row r="101" spans="1:9">
      <c r="A101" s="132"/>
      <c r="B101" s="166"/>
      <c r="C101" s="24"/>
      <c r="D101" s="24"/>
      <c r="E101" s="52"/>
      <c r="F101" s="162">
        <f t="shared" si="1"/>
        <v>0</v>
      </c>
      <c r="H101" s="48"/>
      <c r="I101" s="48"/>
    </row>
    <row r="102" spans="1:9" ht="41.4">
      <c r="A102" s="128">
        <v>3</v>
      </c>
      <c r="B102" s="166" t="s">
        <v>173</v>
      </c>
      <c r="C102" s="24"/>
      <c r="D102" s="25"/>
      <c r="E102" s="51"/>
      <c r="F102" s="162">
        <f t="shared" si="1"/>
        <v>0</v>
      </c>
    </row>
    <row r="103" spans="1:9">
      <c r="A103" s="128" t="s">
        <v>3</v>
      </c>
      <c r="B103" s="166" t="s">
        <v>184</v>
      </c>
      <c r="C103" s="24" t="s">
        <v>344</v>
      </c>
      <c r="D103" s="24">
        <v>12</v>
      </c>
      <c r="E103" s="56"/>
      <c r="F103" s="162">
        <f t="shared" si="1"/>
        <v>0</v>
      </c>
      <c r="H103" s="48"/>
      <c r="I103" s="48"/>
    </row>
    <row r="104" spans="1:9">
      <c r="A104" s="128" t="s">
        <v>4</v>
      </c>
      <c r="B104" s="166" t="s">
        <v>324</v>
      </c>
      <c r="C104" s="24" t="s">
        <v>344</v>
      </c>
      <c r="D104" s="24">
        <v>4</v>
      </c>
      <c r="E104" s="56"/>
      <c r="F104" s="162">
        <f t="shared" si="1"/>
        <v>0</v>
      </c>
      <c r="H104" s="48"/>
      <c r="I104" s="48"/>
    </row>
    <row r="105" spans="1:9">
      <c r="A105" s="128" t="s">
        <v>1</v>
      </c>
      <c r="B105" s="166" t="s">
        <v>325</v>
      </c>
      <c r="C105" s="24" t="s">
        <v>344</v>
      </c>
      <c r="D105" s="24" t="s">
        <v>50</v>
      </c>
      <c r="E105" s="56"/>
      <c r="F105" s="162"/>
      <c r="H105" s="48"/>
      <c r="I105" s="48"/>
    </row>
    <row r="106" spans="1:9">
      <c r="A106" s="128" t="s">
        <v>5</v>
      </c>
      <c r="B106" s="166" t="s">
        <v>330</v>
      </c>
      <c r="C106" s="24" t="s">
        <v>344</v>
      </c>
      <c r="D106" s="24">
        <v>2</v>
      </c>
      <c r="E106" s="56"/>
      <c r="F106" s="162">
        <f t="shared" si="1"/>
        <v>0</v>
      </c>
      <c r="H106" s="48"/>
      <c r="I106" s="48"/>
    </row>
    <row r="107" spans="1:9">
      <c r="A107" s="128" t="s">
        <v>326</v>
      </c>
      <c r="B107" s="166" t="s">
        <v>331</v>
      </c>
      <c r="C107" s="24" t="s">
        <v>344</v>
      </c>
      <c r="D107" s="24">
        <v>10</v>
      </c>
      <c r="E107" s="56"/>
      <c r="F107" s="162">
        <f t="shared" si="1"/>
        <v>0</v>
      </c>
      <c r="H107" s="48"/>
      <c r="I107" s="48"/>
    </row>
    <row r="108" spans="1:9">
      <c r="A108" s="128" t="s">
        <v>327</v>
      </c>
      <c r="B108" s="166" t="s">
        <v>332</v>
      </c>
      <c r="C108" s="24" t="s">
        <v>344</v>
      </c>
      <c r="D108" s="24">
        <v>2</v>
      </c>
      <c r="E108" s="56"/>
      <c r="F108" s="162">
        <f t="shared" si="1"/>
        <v>0</v>
      </c>
      <c r="H108" s="48"/>
      <c r="I108" s="48"/>
    </row>
    <row r="109" spans="1:9">
      <c r="A109" s="128" t="s">
        <v>328</v>
      </c>
      <c r="B109" s="166" t="s">
        <v>333</v>
      </c>
      <c r="C109" s="24" t="s">
        <v>344</v>
      </c>
      <c r="D109" s="24">
        <v>16</v>
      </c>
      <c r="E109" s="56"/>
      <c r="F109" s="162">
        <f t="shared" si="1"/>
        <v>0</v>
      </c>
      <c r="H109" s="48"/>
      <c r="I109" s="48"/>
    </row>
    <row r="110" spans="1:9">
      <c r="A110" s="128" t="s">
        <v>329</v>
      </c>
      <c r="B110" s="166" t="s">
        <v>497</v>
      </c>
      <c r="C110" s="24" t="s">
        <v>344</v>
      </c>
      <c r="D110" s="24">
        <v>12</v>
      </c>
      <c r="E110" s="56"/>
      <c r="F110" s="162">
        <f t="shared" si="1"/>
        <v>0</v>
      </c>
      <c r="H110" s="48"/>
      <c r="I110" s="48"/>
    </row>
    <row r="111" spans="1:9">
      <c r="A111" s="128" t="s">
        <v>66</v>
      </c>
      <c r="B111" s="166" t="s">
        <v>335</v>
      </c>
      <c r="C111" s="24" t="s">
        <v>344</v>
      </c>
      <c r="D111" s="24">
        <v>26</v>
      </c>
      <c r="E111" s="56"/>
      <c r="F111" s="162">
        <f t="shared" si="1"/>
        <v>0</v>
      </c>
      <c r="H111" s="48"/>
      <c r="I111" s="48"/>
    </row>
    <row r="112" spans="1:9">
      <c r="A112" s="128" t="s">
        <v>67</v>
      </c>
      <c r="B112" s="166" t="s">
        <v>334</v>
      </c>
      <c r="C112" s="24" t="s">
        <v>344</v>
      </c>
      <c r="D112" s="24">
        <v>10</v>
      </c>
      <c r="E112" s="56"/>
      <c r="F112" s="162">
        <f t="shared" si="1"/>
        <v>0</v>
      </c>
      <c r="H112" s="48"/>
      <c r="I112" s="48"/>
    </row>
    <row r="113" spans="1:6" s="48" customFormat="1">
      <c r="A113" s="132" t="s">
        <v>68</v>
      </c>
      <c r="B113" s="166" t="s">
        <v>502</v>
      </c>
      <c r="C113" s="24" t="s">
        <v>344</v>
      </c>
      <c r="D113" s="24">
        <v>20</v>
      </c>
      <c r="E113" s="52"/>
      <c r="F113" s="162">
        <f t="shared" si="1"/>
        <v>0</v>
      </c>
    </row>
    <row r="114" spans="1:6" s="48" customFormat="1">
      <c r="A114" s="132" t="s">
        <v>541</v>
      </c>
      <c r="B114" s="166" t="s">
        <v>543</v>
      </c>
      <c r="C114" s="24" t="s">
        <v>344</v>
      </c>
      <c r="D114" s="24">
        <v>20</v>
      </c>
      <c r="E114" s="52"/>
      <c r="F114" s="162">
        <f t="shared" si="1"/>
        <v>0</v>
      </c>
    </row>
    <row r="115" spans="1:6" s="48" customFormat="1">
      <c r="A115" s="132" t="s">
        <v>542</v>
      </c>
      <c r="B115" s="166" t="s">
        <v>544</v>
      </c>
      <c r="C115" s="24" t="s">
        <v>344</v>
      </c>
      <c r="D115" s="24">
        <v>14</v>
      </c>
      <c r="E115" s="52"/>
      <c r="F115" s="162">
        <f t="shared" si="1"/>
        <v>0</v>
      </c>
    </row>
    <row r="116" spans="1:6" s="48" customFormat="1">
      <c r="A116" s="128"/>
      <c r="B116" s="166"/>
      <c r="C116" s="24"/>
      <c r="D116" s="24"/>
      <c r="E116" s="56"/>
      <c r="F116" s="162">
        <f t="shared" si="1"/>
        <v>0</v>
      </c>
    </row>
    <row r="117" spans="1:6" s="48" customFormat="1" ht="43.5" customHeight="1">
      <c r="A117" s="128">
        <v>4</v>
      </c>
      <c r="B117" s="166" t="s">
        <v>467</v>
      </c>
      <c r="C117" s="24"/>
      <c r="D117" s="24"/>
      <c r="E117" s="56"/>
      <c r="F117" s="162">
        <f t="shared" si="1"/>
        <v>0</v>
      </c>
    </row>
    <row r="118" spans="1:6" s="48" customFormat="1">
      <c r="A118" s="128" t="s">
        <v>3</v>
      </c>
      <c r="B118" s="166" t="s">
        <v>336</v>
      </c>
      <c r="C118" s="24" t="s">
        <v>345</v>
      </c>
      <c r="D118" s="24">
        <v>15</v>
      </c>
      <c r="E118" s="28"/>
      <c r="F118" s="162">
        <f t="shared" si="1"/>
        <v>0</v>
      </c>
    </row>
    <row r="119" spans="1:6" s="48" customFormat="1">
      <c r="A119" s="128" t="s">
        <v>4</v>
      </c>
      <c r="B119" s="166" t="s">
        <v>337</v>
      </c>
      <c r="C119" s="24" t="s">
        <v>345</v>
      </c>
      <c r="D119" s="24">
        <v>30</v>
      </c>
      <c r="E119" s="28"/>
      <c r="F119" s="162">
        <f t="shared" si="1"/>
        <v>0</v>
      </c>
    </row>
    <row r="120" spans="1:6" s="48" customFormat="1">
      <c r="A120" s="128" t="s">
        <v>1</v>
      </c>
      <c r="B120" s="166" t="s">
        <v>338</v>
      </c>
      <c r="C120" s="24" t="s">
        <v>345</v>
      </c>
      <c r="D120" s="24" t="s">
        <v>50</v>
      </c>
      <c r="E120" s="28"/>
      <c r="F120" s="162"/>
    </row>
    <row r="121" spans="1:6" s="48" customFormat="1">
      <c r="A121" s="128" t="s">
        <v>5</v>
      </c>
      <c r="B121" s="166" t="s">
        <v>339</v>
      </c>
      <c r="C121" s="24" t="s">
        <v>345</v>
      </c>
      <c r="D121" s="24">
        <v>5</v>
      </c>
      <c r="E121" s="28"/>
      <c r="F121" s="162">
        <f t="shared" si="1"/>
        <v>0</v>
      </c>
    </row>
    <row r="122" spans="1:6" s="48" customFormat="1">
      <c r="A122" s="128" t="s">
        <v>326</v>
      </c>
      <c r="B122" s="166" t="s">
        <v>340</v>
      </c>
      <c r="C122" s="24" t="s">
        <v>345</v>
      </c>
      <c r="D122" s="24">
        <v>30</v>
      </c>
      <c r="E122" s="28"/>
      <c r="F122" s="162">
        <f t="shared" si="1"/>
        <v>0</v>
      </c>
    </row>
    <row r="123" spans="1:6" s="48" customFormat="1">
      <c r="A123" s="128" t="s">
        <v>327</v>
      </c>
      <c r="B123" s="166" t="s">
        <v>341</v>
      </c>
      <c r="C123" s="24" t="s">
        <v>345</v>
      </c>
      <c r="D123" s="24">
        <v>150</v>
      </c>
      <c r="E123" s="28"/>
      <c r="F123" s="162">
        <f t="shared" si="1"/>
        <v>0</v>
      </c>
    </row>
    <row r="124" spans="1:6" s="48" customFormat="1">
      <c r="A124" s="128" t="s">
        <v>328</v>
      </c>
      <c r="B124" s="166" t="s">
        <v>473</v>
      </c>
      <c r="C124" s="24" t="s">
        <v>345</v>
      </c>
      <c r="D124" s="24">
        <v>150</v>
      </c>
      <c r="E124" s="28"/>
      <c r="F124" s="162">
        <f t="shared" si="1"/>
        <v>0</v>
      </c>
    </row>
    <row r="125" spans="1:6" s="48" customFormat="1">
      <c r="A125" s="128"/>
      <c r="B125" s="166"/>
      <c r="C125" s="24"/>
      <c r="D125" s="24"/>
      <c r="E125" s="28"/>
      <c r="F125" s="162">
        <f t="shared" si="1"/>
        <v>0</v>
      </c>
    </row>
    <row r="126" spans="1:6" s="48" customFormat="1">
      <c r="A126" s="133"/>
      <c r="B126" s="167"/>
      <c r="C126" s="29"/>
      <c r="D126" s="29"/>
      <c r="E126" s="56"/>
      <c r="F126" s="162">
        <f t="shared" si="1"/>
        <v>0</v>
      </c>
    </row>
    <row r="127" spans="1:6" s="48" customFormat="1" ht="75" customHeight="1">
      <c r="A127" s="128">
        <v>5</v>
      </c>
      <c r="B127" s="166" t="s">
        <v>474</v>
      </c>
      <c r="C127" s="24"/>
      <c r="D127" s="28"/>
      <c r="E127" s="56"/>
      <c r="F127" s="162">
        <f t="shared" si="1"/>
        <v>0</v>
      </c>
    </row>
    <row r="128" spans="1:6" s="48" customFormat="1" ht="14.25" customHeight="1">
      <c r="A128" s="128" t="s">
        <v>3</v>
      </c>
      <c r="B128" s="166" t="s">
        <v>475</v>
      </c>
      <c r="C128" s="24" t="s">
        <v>345</v>
      </c>
      <c r="D128" s="24">
        <v>50</v>
      </c>
      <c r="E128" s="56"/>
      <c r="F128" s="162">
        <f t="shared" si="1"/>
        <v>0</v>
      </c>
    </row>
    <row r="129" spans="1:9" ht="14.25" customHeight="1">
      <c r="A129" s="128" t="s">
        <v>4</v>
      </c>
      <c r="B129" s="166" t="s">
        <v>476</v>
      </c>
      <c r="C129" s="24" t="s">
        <v>345</v>
      </c>
      <c r="D129" s="24">
        <v>155</v>
      </c>
      <c r="E129" s="56"/>
      <c r="F129" s="162">
        <f t="shared" si="1"/>
        <v>0</v>
      </c>
      <c r="H129" s="48"/>
      <c r="I129" s="48"/>
    </row>
    <row r="130" spans="1:9" ht="14.25" customHeight="1">
      <c r="A130" s="128" t="s">
        <v>1</v>
      </c>
      <c r="B130" s="166" t="s">
        <v>477</v>
      </c>
      <c r="C130" s="24" t="s">
        <v>345</v>
      </c>
      <c r="D130" s="24">
        <v>20</v>
      </c>
      <c r="E130" s="56"/>
      <c r="F130" s="162">
        <f t="shared" si="1"/>
        <v>0</v>
      </c>
      <c r="H130" s="48"/>
      <c r="I130" s="48"/>
    </row>
    <row r="131" spans="1:9" ht="14.25" customHeight="1">
      <c r="A131" s="128"/>
      <c r="B131" s="166"/>
      <c r="C131" s="24"/>
      <c r="D131" s="26"/>
      <c r="E131" s="56"/>
      <c r="F131" s="162">
        <f t="shared" si="1"/>
        <v>0</v>
      </c>
      <c r="H131" s="48"/>
      <c r="I131" s="48"/>
    </row>
    <row r="132" spans="1:9" ht="69">
      <c r="A132" s="128">
        <v>6</v>
      </c>
      <c r="B132" s="166" t="s">
        <v>478</v>
      </c>
      <c r="C132" s="29"/>
      <c r="D132" s="29"/>
      <c r="E132" s="56"/>
      <c r="F132" s="162">
        <f t="shared" si="1"/>
        <v>0</v>
      </c>
      <c r="H132" s="48"/>
      <c r="I132" s="48"/>
    </row>
    <row r="133" spans="1:9" ht="14.25" customHeight="1">
      <c r="A133" s="128" t="s">
        <v>3</v>
      </c>
      <c r="B133" s="161" t="s">
        <v>346</v>
      </c>
      <c r="C133" s="24" t="s">
        <v>345</v>
      </c>
      <c r="D133" s="24">
        <v>230</v>
      </c>
      <c r="E133" s="28"/>
      <c r="F133" s="162">
        <f t="shared" si="1"/>
        <v>0</v>
      </c>
      <c r="H133" s="48"/>
      <c r="I133" s="48"/>
    </row>
    <row r="134" spans="1:9" ht="14.25" customHeight="1">
      <c r="A134" s="128" t="s">
        <v>4</v>
      </c>
      <c r="B134" s="161" t="s">
        <v>347</v>
      </c>
      <c r="C134" s="24" t="s">
        <v>345</v>
      </c>
      <c r="D134" s="24">
        <v>20</v>
      </c>
      <c r="E134" s="28"/>
      <c r="F134" s="162">
        <f t="shared" si="1"/>
        <v>0</v>
      </c>
      <c r="H134" s="48"/>
      <c r="I134" s="48"/>
    </row>
    <row r="135" spans="1:9">
      <c r="A135" s="133"/>
      <c r="B135" s="167"/>
      <c r="C135" s="29"/>
      <c r="D135" s="29"/>
      <c r="E135" s="56"/>
      <c r="F135" s="162">
        <f t="shared" si="1"/>
        <v>0</v>
      </c>
      <c r="H135" s="48"/>
      <c r="I135" s="48"/>
    </row>
    <row r="136" spans="1:9" ht="14.25" customHeight="1">
      <c r="A136" s="128"/>
      <c r="B136" s="166"/>
      <c r="C136" s="24"/>
      <c r="D136" s="24"/>
      <c r="E136" s="56"/>
      <c r="F136" s="162">
        <f t="shared" si="1"/>
        <v>0</v>
      </c>
      <c r="H136" s="48"/>
      <c r="I136" s="48"/>
    </row>
    <row r="137" spans="1:9" ht="41.4">
      <c r="A137" s="128">
        <v>7</v>
      </c>
      <c r="B137" s="166" t="s">
        <v>342</v>
      </c>
      <c r="C137" s="24" t="s">
        <v>13</v>
      </c>
      <c r="D137" s="24" t="s">
        <v>50</v>
      </c>
      <c r="E137" s="56"/>
      <c r="F137" s="162"/>
      <c r="H137" s="48"/>
      <c r="I137" s="48"/>
    </row>
    <row r="138" spans="1:9">
      <c r="A138" s="128"/>
      <c r="B138" s="166"/>
      <c r="C138" s="24"/>
      <c r="D138" s="25"/>
      <c r="E138" s="51"/>
      <c r="F138" s="162"/>
    </row>
    <row r="139" spans="1:9">
      <c r="A139" s="128"/>
      <c r="B139" s="172" t="s">
        <v>69</v>
      </c>
      <c r="C139" s="24"/>
      <c r="D139" s="25"/>
      <c r="E139" s="51"/>
      <c r="F139" s="162"/>
    </row>
    <row r="140" spans="1:9" ht="55.2">
      <c r="A140" s="128"/>
      <c r="B140" s="167" t="s">
        <v>175</v>
      </c>
      <c r="C140" s="24"/>
      <c r="D140" s="25"/>
      <c r="E140" s="51"/>
      <c r="F140" s="162"/>
    </row>
    <row r="141" spans="1:9">
      <c r="A141" s="128"/>
      <c r="B141" s="167"/>
      <c r="C141" s="24"/>
      <c r="D141" s="25"/>
      <c r="E141" s="51"/>
      <c r="F141" s="162"/>
    </row>
    <row r="142" spans="1:9">
      <c r="A142" s="134"/>
      <c r="B142" s="169" t="s">
        <v>162</v>
      </c>
      <c r="C142" s="76"/>
      <c r="D142" s="77"/>
      <c r="E142" s="53"/>
      <c r="F142" s="170">
        <f>SUM(F83:F141)</f>
        <v>0</v>
      </c>
    </row>
    <row r="143" spans="1:9" ht="15.75" customHeight="1">
      <c r="A143" s="128"/>
      <c r="B143" s="172"/>
      <c r="C143" s="24"/>
      <c r="D143" s="25"/>
      <c r="E143" s="51"/>
      <c r="F143" s="162"/>
    </row>
    <row r="144" spans="1:9">
      <c r="A144" s="122" t="s">
        <v>70</v>
      </c>
      <c r="B144" s="160" t="s">
        <v>359</v>
      </c>
      <c r="C144" s="29"/>
      <c r="D144" s="30"/>
      <c r="E144" s="56"/>
      <c r="F144" s="162"/>
    </row>
    <row r="145" spans="1:6" ht="110.4">
      <c r="A145" s="124"/>
      <c r="B145" s="166" t="s">
        <v>373</v>
      </c>
      <c r="C145" s="78"/>
      <c r="D145" s="30"/>
      <c r="E145" s="51"/>
      <c r="F145" s="162"/>
    </row>
    <row r="146" spans="1:6" ht="69">
      <c r="A146" s="124"/>
      <c r="B146" s="172" t="s">
        <v>172</v>
      </c>
      <c r="C146" s="78"/>
      <c r="D146" s="30"/>
      <c r="E146" s="51"/>
      <c r="F146" s="162">
        <f t="shared" ref="F146:F198" si="2">E146*D146</f>
        <v>0</v>
      </c>
    </row>
    <row r="147" spans="1:6">
      <c r="A147" s="124"/>
      <c r="B147" s="172" t="s">
        <v>71</v>
      </c>
      <c r="C147" s="24"/>
      <c r="D147" s="25"/>
      <c r="E147" s="51"/>
      <c r="F147" s="162">
        <f t="shared" si="2"/>
        <v>0</v>
      </c>
    </row>
    <row r="148" spans="1:6">
      <c r="A148" s="124"/>
      <c r="B148" s="172"/>
      <c r="C148" s="24"/>
      <c r="D148" s="25"/>
      <c r="E148" s="51"/>
      <c r="F148" s="162">
        <f t="shared" si="2"/>
        <v>0</v>
      </c>
    </row>
    <row r="149" spans="1:6">
      <c r="A149" s="124">
        <v>1</v>
      </c>
      <c r="B149" s="173" t="s">
        <v>72</v>
      </c>
      <c r="C149" s="24"/>
      <c r="D149" s="25"/>
      <c r="E149" s="51"/>
      <c r="F149" s="162">
        <f t="shared" si="2"/>
        <v>0</v>
      </c>
    </row>
    <row r="150" spans="1:6" ht="41.4">
      <c r="A150" s="124"/>
      <c r="B150" s="161" t="s">
        <v>322</v>
      </c>
      <c r="C150" s="24" t="s">
        <v>13</v>
      </c>
      <c r="D150" s="25">
        <v>7</v>
      </c>
      <c r="E150" s="51"/>
      <c r="F150" s="162">
        <f t="shared" si="2"/>
        <v>0</v>
      </c>
    </row>
    <row r="151" spans="1:6">
      <c r="A151" s="123"/>
      <c r="B151" s="160"/>
      <c r="C151" s="24"/>
      <c r="D151" s="25"/>
      <c r="E151" s="51"/>
      <c r="F151" s="162">
        <f t="shared" si="2"/>
        <v>0</v>
      </c>
    </row>
    <row r="152" spans="1:6">
      <c r="A152" s="124">
        <v>2</v>
      </c>
      <c r="B152" s="173" t="s">
        <v>73</v>
      </c>
      <c r="C152" s="24"/>
      <c r="D152" s="25"/>
      <c r="E152" s="51"/>
      <c r="F152" s="162">
        <f t="shared" si="2"/>
        <v>0</v>
      </c>
    </row>
    <row r="153" spans="1:6" ht="41.4">
      <c r="A153" s="124"/>
      <c r="B153" s="161" t="s">
        <v>323</v>
      </c>
      <c r="C153" s="24" t="s">
        <v>13</v>
      </c>
      <c r="D153" s="25" t="s">
        <v>50</v>
      </c>
      <c r="E153" s="51"/>
      <c r="F153" s="162"/>
    </row>
    <row r="154" spans="1:6">
      <c r="A154" s="123"/>
      <c r="B154" s="160"/>
      <c r="C154" s="24"/>
      <c r="D154" s="25"/>
      <c r="E154" s="51"/>
      <c r="F154" s="162">
        <f t="shared" si="2"/>
        <v>0</v>
      </c>
    </row>
    <row r="155" spans="1:6">
      <c r="A155" s="124">
        <v>3</v>
      </c>
      <c r="B155" s="173" t="s">
        <v>321</v>
      </c>
      <c r="C155" s="24"/>
      <c r="D155" s="25"/>
      <c r="E155" s="51"/>
      <c r="F155" s="162">
        <f t="shared" si="2"/>
        <v>0</v>
      </c>
    </row>
    <row r="156" spans="1:6" ht="41.4">
      <c r="A156" s="124"/>
      <c r="B156" s="161" t="s">
        <v>468</v>
      </c>
      <c r="C156" s="24" t="s">
        <v>13</v>
      </c>
      <c r="D156" s="25">
        <v>3</v>
      </c>
      <c r="E156" s="51"/>
      <c r="F156" s="162">
        <f t="shared" si="2"/>
        <v>0</v>
      </c>
    </row>
    <row r="157" spans="1:6">
      <c r="A157" s="123"/>
      <c r="B157" s="160"/>
      <c r="C157" s="24"/>
      <c r="D157" s="25"/>
      <c r="E157" s="51"/>
      <c r="F157" s="162">
        <f t="shared" si="2"/>
        <v>0</v>
      </c>
    </row>
    <row r="158" spans="1:6">
      <c r="A158" s="124">
        <v>5</v>
      </c>
      <c r="B158" s="173" t="s">
        <v>448</v>
      </c>
      <c r="C158" s="24"/>
      <c r="D158" s="25"/>
      <c r="E158" s="51"/>
      <c r="F158" s="162">
        <f t="shared" si="2"/>
        <v>0</v>
      </c>
    </row>
    <row r="159" spans="1:6" ht="41.4">
      <c r="A159" s="124"/>
      <c r="B159" s="161" t="s">
        <v>472</v>
      </c>
      <c r="C159" s="24" t="s">
        <v>13</v>
      </c>
      <c r="D159" s="25">
        <v>3</v>
      </c>
      <c r="E159" s="51"/>
      <c r="F159" s="162">
        <f t="shared" si="2"/>
        <v>0</v>
      </c>
    </row>
    <row r="160" spans="1:6">
      <c r="A160" s="124"/>
      <c r="B160" s="161"/>
      <c r="C160" s="24"/>
      <c r="D160" s="25"/>
      <c r="E160" s="51"/>
      <c r="F160" s="162"/>
    </row>
    <row r="161" spans="1:9">
      <c r="A161" s="135"/>
      <c r="B161" s="169" t="s">
        <v>162</v>
      </c>
      <c r="C161" s="31"/>
      <c r="D161" s="32"/>
      <c r="E161" s="53"/>
      <c r="F161" s="170">
        <f>SUM(F146:F160)</f>
        <v>0</v>
      </c>
    </row>
    <row r="162" spans="1:9">
      <c r="A162" s="136"/>
      <c r="B162" s="174"/>
      <c r="C162" s="33"/>
      <c r="D162" s="34"/>
      <c r="E162" s="51"/>
      <c r="F162" s="162"/>
    </row>
    <row r="163" spans="1:9">
      <c r="A163" s="136" t="s">
        <v>74</v>
      </c>
      <c r="B163" s="171" t="s">
        <v>258</v>
      </c>
      <c r="C163" s="24"/>
      <c r="D163" s="24"/>
      <c r="E163" s="51"/>
      <c r="F163" s="162"/>
      <c r="H163" s="48"/>
      <c r="I163" s="48"/>
    </row>
    <row r="164" spans="1:9" ht="151.80000000000001">
      <c r="A164" s="128"/>
      <c r="B164" s="166" t="s">
        <v>364</v>
      </c>
      <c r="C164" s="24"/>
      <c r="D164" s="24"/>
      <c r="E164" s="51"/>
      <c r="F164" s="162"/>
      <c r="H164" s="48"/>
      <c r="I164" s="48"/>
    </row>
    <row r="165" spans="1:9" ht="32.25" customHeight="1">
      <c r="A165" s="128" t="s">
        <v>3</v>
      </c>
      <c r="B165" s="166" t="s">
        <v>471</v>
      </c>
      <c r="C165" s="24" t="s">
        <v>13</v>
      </c>
      <c r="D165" s="24">
        <v>2</v>
      </c>
      <c r="E165" s="51"/>
      <c r="F165" s="162">
        <f t="shared" si="2"/>
        <v>0</v>
      </c>
      <c r="H165" s="48"/>
      <c r="I165" s="48"/>
    </row>
    <row r="166" spans="1:9">
      <c r="A166" s="122"/>
      <c r="B166" s="158"/>
      <c r="C166" s="62"/>
      <c r="D166" s="24"/>
      <c r="E166" s="72"/>
      <c r="F166" s="162"/>
      <c r="H166" s="48"/>
      <c r="I166" s="48"/>
    </row>
    <row r="167" spans="1:9">
      <c r="A167" s="137"/>
      <c r="B167" s="169" t="s">
        <v>162</v>
      </c>
      <c r="C167" s="80"/>
      <c r="D167" s="80"/>
      <c r="E167" s="53"/>
      <c r="F167" s="170">
        <f>SUM(F164:F166)</f>
        <v>0</v>
      </c>
    </row>
    <row r="168" spans="1:9">
      <c r="A168" s="123"/>
      <c r="B168" s="160"/>
      <c r="C168" s="22"/>
      <c r="D168" s="23"/>
      <c r="E168" s="50"/>
      <c r="F168" s="162"/>
    </row>
    <row r="169" spans="1:9">
      <c r="A169" s="136" t="s">
        <v>76</v>
      </c>
      <c r="B169" s="172" t="s">
        <v>360</v>
      </c>
      <c r="C169" s="29"/>
      <c r="D169" s="34"/>
      <c r="E169" s="56"/>
      <c r="F169" s="162"/>
    </row>
    <row r="170" spans="1:9">
      <c r="A170" s="129" t="s">
        <v>80</v>
      </c>
      <c r="B170" s="167" t="s">
        <v>81</v>
      </c>
      <c r="C170" s="24"/>
      <c r="D170" s="25"/>
      <c r="E170" s="51"/>
      <c r="F170" s="162"/>
    </row>
    <row r="171" spans="1:9">
      <c r="A171" s="129">
        <v>1</v>
      </c>
      <c r="B171" s="167" t="s">
        <v>82</v>
      </c>
      <c r="C171" s="24"/>
      <c r="D171" s="25"/>
      <c r="E171" s="51"/>
      <c r="F171" s="162"/>
    </row>
    <row r="172" spans="1:9">
      <c r="A172" s="129">
        <v>2</v>
      </c>
      <c r="B172" s="167" t="s">
        <v>83</v>
      </c>
      <c r="C172" s="24"/>
      <c r="D172" s="25"/>
      <c r="E172" s="51"/>
      <c r="F172" s="162"/>
    </row>
    <row r="173" spans="1:9">
      <c r="A173" s="129">
        <v>3</v>
      </c>
      <c r="B173" s="167" t="s">
        <v>84</v>
      </c>
      <c r="C173" s="29"/>
      <c r="D173" s="30"/>
      <c r="E173" s="56"/>
      <c r="F173" s="162"/>
    </row>
    <row r="174" spans="1:9">
      <c r="A174" s="129">
        <v>4</v>
      </c>
      <c r="B174" s="167" t="s">
        <v>75</v>
      </c>
      <c r="C174" s="29"/>
      <c r="D174" s="30"/>
      <c r="E174" s="56"/>
      <c r="F174" s="162"/>
    </row>
    <row r="175" spans="1:9">
      <c r="A175" s="129">
        <v>5</v>
      </c>
      <c r="B175" s="167" t="s">
        <v>85</v>
      </c>
      <c r="C175" s="29"/>
      <c r="D175" s="30"/>
      <c r="E175" s="56"/>
      <c r="F175" s="162"/>
    </row>
    <row r="176" spans="1:9" ht="27.6">
      <c r="A176" s="129">
        <v>6</v>
      </c>
      <c r="B176" s="167" t="s">
        <v>86</v>
      </c>
      <c r="C176" s="29"/>
      <c r="D176" s="30"/>
      <c r="E176" s="56"/>
      <c r="F176" s="162"/>
    </row>
    <row r="177" spans="1:6">
      <c r="A177" s="129">
        <v>7</v>
      </c>
      <c r="B177" s="167" t="s">
        <v>87</v>
      </c>
      <c r="C177" s="29"/>
      <c r="D177" s="30"/>
      <c r="E177" s="56"/>
      <c r="F177" s="162"/>
    </row>
    <row r="178" spans="1:6">
      <c r="A178" s="129">
        <v>8</v>
      </c>
      <c r="B178" s="167" t="s">
        <v>88</v>
      </c>
      <c r="C178" s="29"/>
      <c r="D178" s="30"/>
      <c r="E178" s="56"/>
      <c r="F178" s="162">
        <f t="shared" si="2"/>
        <v>0</v>
      </c>
    </row>
    <row r="179" spans="1:6">
      <c r="A179" s="128"/>
      <c r="B179" s="172"/>
      <c r="C179" s="29"/>
      <c r="D179" s="30"/>
      <c r="E179" s="56"/>
      <c r="F179" s="162">
        <f t="shared" si="2"/>
        <v>0</v>
      </c>
    </row>
    <row r="180" spans="1:6">
      <c r="A180" s="131"/>
      <c r="B180" s="172" t="s">
        <v>79</v>
      </c>
      <c r="C180" s="29"/>
      <c r="D180" s="30"/>
      <c r="E180" s="56"/>
      <c r="F180" s="162">
        <f t="shared" si="2"/>
        <v>0</v>
      </c>
    </row>
    <row r="181" spans="1:6" ht="27.6">
      <c r="A181" s="128">
        <v>1</v>
      </c>
      <c r="B181" s="166" t="s">
        <v>89</v>
      </c>
      <c r="C181" s="29"/>
      <c r="D181" s="30"/>
      <c r="E181" s="56"/>
      <c r="F181" s="162">
        <f t="shared" si="2"/>
        <v>0</v>
      </c>
    </row>
    <row r="182" spans="1:6">
      <c r="A182" s="131" t="s">
        <v>3</v>
      </c>
      <c r="B182" s="172" t="s">
        <v>90</v>
      </c>
      <c r="C182" s="42"/>
      <c r="D182" s="81"/>
      <c r="E182" s="56"/>
      <c r="F182" s="162">
        <f t="shared" si="2"/>
        <v>0</v>
      </c>
    </row>
    <row r="183" spans="1:6">
      <c r="A183" s="128">
        <v>1.1000000000000001</v>
      </c>
      <c r="B183" s="166" t="s">
        <v>319</v>
      </c>
      <c r="C183" s="29" t="s">
        <v>49</v>
      </c>
      <c r="D183" s="25">
        <v>220</v>
      </c>
      <c r="E183" s="51"/>
      <c r="F183" s="162">
        <f t="shared" si="2"/>
        <v>0</v>
      </c>
    </row>
    <row r="184" spans="1:6">
      <c r="A184" s="128">
        <v>1.2</v>
      </c>
      <c r="B184" s="166" t="s">
        <v>451</v>
      </c>
      <c r="C184" s="29" t="s">
        <v>49</v>
      </c>
      <c r="D184" s="25">
        <v>80</v>
      </c>
      <c r="E184" s="51"/>
      <c r="F184" s="162">
        <f t="shared" si="2"/>
        <v>0</v>
      </c>
    </row>
    <row r="185" spans="1:6">
      <c r="A185" s="128">
        <v>1.3</v>
      </c>
      <c r="B185" s="166" t="s">
        <v>320</v>
      </c>
      <c r="C185" s="29" t="s">
        <v>49</v>
      </c>
      <c r="D185" s="25">
        <v>250</v>
      </c>
      <c r="E185" s="51"/>
      <c r="F185" s="162">
        <f t="shared" si="2"/>
        <v>0</v>
      </c>
    </row>
    <row r="186" spans="1:6">
      <c r="A186" s="128">
        <v>1.4</v>
      </c>
      <c r="B186" s="166" t="s">
        <v>177</v>
      </c>
      <c r="C186" s="29" t="s">
        <v>49</v>
      </c>
      <c r="D186" s="25" t="s">
        <v>50</v>
      </c>
      <c r="E186" s="51"/>
      <c r="F186" s="162"/>
    </row>
    <row r="187" spans="1:6">
      <c r="A187" s="128">
        <v>1.5</v>
      </c>
      <c r="B187" s="166" t="s">
        <v>178</v>
      </c>
      <c r="C187" s="29" t="s">
        <v>49</v>
      </c>
      <c r="D187" s="25">
        <v>120</v>
      </c>
      <c r="E187" s="51"/>
      <c r="F187" s="162">
        <f t="shared" si="2"/>
        <v>0</v>
      </c>
    </row>
    <row r="188" spans="1:6">
      <c r="A188" s="128"/>
      <c r="B188" s="166"/>
      <c r="C188" s="29"/>
      <c r="D188" s="25"/>
      <c r="E188" s="51"/>
      <c r="F188" s="162">
        <f t="shared" si="2"/>
        <v>0</v>
      </c>
    </row>
    <row r="189" spans="1:6">
      <c r="A189" s="131" t="s">
        <v>4</v>
      </c>
      <c r="B189" s="172" t="s">
        <v>91</v>
      </c>
      <c r="C189" s="42"/>
      <c r="D189" s="34"/>
      <c r="E189" s="51"/>
      <c r="F189" s="162">
        <f t="shared" si="2"/>
        <v>0</v>
      </c>
    </row>
    <row r="190" spans="1:6">
      <c r="A190" s="128">
        <v>1.1000000000000001</v>
      </c>
      <c r="B190" s="166" t="s">
        <v>452</v>
      </c>
      <c r="C190" s="29" t="s">
        <v>49</v>
      </c>
      <c r="D190" s="25">
        <v>60</v>
      </c>
      <c r="E190" s="51"/>
      <c r="F190" s="162">
        <f t="shared" si="2"/>
        <v>0</v>
      </c>
    </row>
    <row r="191" spans="1:6">
      <c r="A191" s="128">
        <v>1.2</v>
      </c>
      <c r="B191" s="166" t="s">
        <v>92</v>
      </c>
      <c r="C191" s="29" t="s">
        <v>49</v>
      </c>
      <c r="D191" s="25">
        <v>300</v>
      </c>
      <c r="E191" s="51"/>
      <c r="F191" s="162">
        <f t="shared" si="2"/>
        <v>0</v>
      </c>
    </row>
    <row r="192" spans="1:6">
      <c r="A192" s="128">
        <v>1.3</v>
      </c>
      <c r="B192" s="166" t="s">
        <v>92</v>
      </c>
      <c r="C192" s="29" t="s">
        <v>49</v>
      </c>
      <c r="D192" s="25">
        <v>300</v>
      </c>
      <c r="E192" s="51"/>
      <c r="F192" s="162">
        <f t="shared" si="2"/>
        <v>0</v>
      </c>
    </row>
    <row r="193" spans="1:9">
      <c r="A193" s="128">
        <v>1.4</v>
      </c>
      <c r="B193" s="166" t="s">
        <v>183</v>
      </c>
      <c r="C193" s="29" t="s">
        <v>49</v>
      </c>
      <c r="D193" s="25">
        <v>240</v>
      </c>
      <c r="E193" s="51"/>
      <c r="F193" s="162">
        <f t="shared" si="2"/>
        <v>0</v>
      </c>
    </row>
    <row r="194" spans="1:9">
      <c r="A194" s="128"/>
      <c r="B194" s="166"/>
      <c r="C194" s="24"/>
      <c r="D194" s="25"/>
      <c r="E194" s="51"/>
      <c r="F194" s="162">
        <f t="shared" si="2"/>
        <v>0</v>
      </c>
    </row>
    <row r="195" spans="1:9" ht="82.8">
      <c r="A195" s="131">
        <v>2</v>
      </c>
      <c r="B195" s="166" t="s">
        <v>374</v>
      </c>
      <c r="C195" s="24" t="s">
        <v>13</v>
      </c>
      <c r="D195" s="25">
        <v>3</v>
      </c>
      <c r="E195" s="51"/>
      <c r="F195" s="162">
        <f t="shared" si="2"/>
        <v>0</v>
      </c>
    </row>
    <row r="196" spans="1:9">
      <c r="A196" s="128"/>
      <c r="B196" s="166"/>
      <c r="C196" s="24"/>
      <c r="D196" s="25"/>
      <c r="E196" s="51"/>
      <c r="F196" s="162">
        <f t="shared" si="2"/>
        <v>0</v>
      </c>
    </row>
    <row r="197" spans="1:9">
      <c r="A197" s="131">
        <v>3</v>
      </c>
      <c r="B197" s="172" t="s">
        <v>93</v>
      </c>
      <c r="C197" s="29"/>
      <c r="D197" s="30"/>
      <c r="E197" s="56"/>
      <c r="F197" s="162">
        <f t="shared" si="2"/>
        <v>0</v>
      </c>
    </row>
    <row r="198" spans="1:9" ht="124.2">
      <c r="A198" s="128"/>
      <c r="B198" s="166" t="s">
        <v>167</v>
      </c>
      <c r="C198" s="29" t="s">
        <v>13</v>
      </c>
      <c r="D198" s="30">
        <v>34</v>
      </c>
      <c r="E198" s="51"/>
      <c r="F198" s="162">
        <f t="shared" si="2"/>
        <v>0</v>
      </c>
    </row>
    <row r="199" spans="1:9">
      <c r="A199" s="128"/>
      <c r="B199" s="166"/>
      <c r="C199" s="29"/>
      <c r="D199" s="30"/>
      <c r="E199" s="51"/>
      <c r="F199" s="162"/>
    </row>
    <row r="200" spans="1:9">
      <c r="A200" s="138"/>
      <c r="B200" s="169" t="s">
        <v>162</v>
      </c>
      <c r="C200" s="74"/>
      <c r="D200" s="75"/>
      <c r="E200" s="82"/>
      <c r="F200" s="175">
        <f>SUM(F172:F199)</f>
        <v>0</v>
      </c>
    </row>
    <row r="201" spans="1:9">
      <c r="A201" s="129"/>
      <c r="B201" s="176"/>
      <c r="C201" s="29"/>
      <c r="D201" s="30"/>
      <c r="E201" s="56"/>
      <c r="F201" s="162"/>
    </row>
    <row r="202" spans="1:9">
      <c r="A202" s="122" t="s">
        <v>163</v>
      </c>
      <c r="B202" s="177" t="s">
        <v>259</v>
      </c>
      <c r="C202" s="62"/>
      <c r="D202" s="62"/>
      <c r="E202" s="72"/>
      <c r="F202" s="162"/>
      <c r="H202" s="48"/>
      <c r="I202" s="48"/>
    </row>
    <row r="203" spans="1:9">
      <c r="A203" s="129"/>
      <c r="B203" s="176" t="s">
        <v>486</v>
      </c>
      <c r="C203" s="29"/>
      <c r="D203" s="30"/>
      <c r="E203" s="56"/>
      <c r="F203" s="162"/>
    </row>
    <row r="204" spans="1:9" ht="41.4">
      <c r="A204" s="129"/>
      <c r="B204" s="176" t="s">
        <v>453</v>
      </c>
      <c r="C204" s="29"/>
      <c r="D204" s="30"/>
      <c r="E204" s="56"/>
      <c r="F204" s="162"/>
    </row>
    <row r="205" spans="1:9">
      <c r="A205" s="129"/>
      <c r="B205" s="176"/>
      <c r="C205" s="29"/>
      <c r="D205" s="30"/>
      <c r="E205" s="56"/>
      <c r="F205" s="162"/>
    </row>
    <row r="206" spans="1:9" ht="55.2">
      <c r="A206" s="128">
        <v>1</v>
      </c>
      <c r="B206" s="166" t="s">
        <v>401</v>
      </c>
      <c r="C206" s="41" t="s">
        <v>260</v>
      </c>
      <c r="D206" s="24">
        <v>2</v>
      </c>
      <c r="E206" s="52"/>
      <c r="F206" s="162">
        <f t="shared" ref="F206:F265" si="3">E206*D206</f>
        <v>0</v>
      </c>
    </row>
    <row r="207" spans="1:9">
      <c r="A207" s="128"/>
      <c r="B207" s="166"/>
      <c r="C207" s="41"/>
      <c r="D207" s="24"/>
      <c r="E207" s="52"/>
      <c r="F207" s="162">
        <f t="shared" si="3"/>
        <v>0</v>
      </c>
    </row>
    <row r="208" spans="1:9" ht="51.75" customHeight="1">
      <c r="A208" s="128">
        <v>2</v>
      </c>
      <c r="B208" s="166" t="s">
        <v>266</v>
      </c>
      <c r="C208" s="41" t="s">
        <v>261</v>
      </c>
      <c r="D208" s="24">
        <v>200</v>
      </c>
      <c r="E208" s="52"/>
      <c r="F208" s="162">
        <f t="shared" si="3"/>
        <v>0</v>
      </c>
    </row>
    <row r="209" spans="1:6">
      <c r="A209" s="128"/>
      <c r="B209" s="178"/>
      <c r="C209" s="41"/>
      <c r="D209" s="24"/>
      <c r="E209" s="52"/>
      <c r="F209" s="162">
        <f t="shared" si="3"/>
        <v>0</v>
      </c>
    </row>
    <row r="210" spans="1:6" ht="62.25" customHeight="1">
      <c r="A210" s="128">
        <v>3</v>
      </c>
      <c r="B210" s="179" t="s">
        <v>267</v>
      </c>
      <c r="C210" s="41" t="s">
        <v>260</v>
      </c>
      <c r="D210" s="24">
        <f>D208</f>
        <v>200</v>
      </c>
      <c r="E210" s="52"/>
      <c r="F210" s="162">
        <f t="shared" si="3"/>
        <v>0</v>
      </c>
    </row>
    <row r="211" spans="1:6">
      <c r="A211" s="128"/>
      <c r="B211" s="179"/>
      <c r="C211" s="41"/>
      <c r="D211" s="24"/>
      <c r="E211" s="52"/>
      <c r="F211" s="162">
        <f t="shared" si="3"/>
        <v>0</v>
      </c>
    </row>
    <row r="212" spans="1:6" ht="62.25" customHeight="1">
      <c r="A212" s="128">
        <v>4</v>
      </c>
      <c r="B212" s="179" t="s">
        <v>268</v>
      </c>
      <c r="C212" s="41" t="s">
        <v>260</v>
      </c>
      <c r="D212" s="24">
        <v>25</v>
      </c>
      <c r="E212" s="52"/>
      <c r="F212" s="162">
        <f t="shared" si="3"/>
        <v>0</v>
      </c>
    </row>
    <row r="213" spans="1:6">
      <c r="A213" s="128"/>
      <c r="B213" s="178"/>
      <c r="C213" s="41"/>
      <c r="D213" s="24"/>
      <c r="E213" s="52"/>
      <c r="F213" s="162">
        <f t="shared" si="3"/>
        <v>0</v>
      </c>
    </row>
    <row r="214" spans="1:6" ht="54.75" customHeight="1">
      <c r="A214" s="128">
        <v>5</v>
      </c>
      <c r="B214" s="166" t="s">
        <v>269</v>
      </c>
      <c r="C214" s="41" t="s">
        <v>260</v>
      </c>
      <c r="D214" s="24">
        <v>10</v>
      </c>
      <c r="E214" s="52"/>
      <c r="F214" s="162">
        <f t="shared" si="3"/>
        <v>0</v>
      </c>
    </row>
    <row r="215" spans="1:6">
      <c r="A215" s="128"/>
      <c r="B215" s="166"/>
      <c r="C215" s="41"/>
      <c r="D215" s="24"/>
      <c r="E215" s="52"/>
      <c r="F215" s="162">
        <f t="shared" si="3"/>
        <v>0</v>
      </c>
    </row>
    <row r="216" spans="1:6">
      <c r="A216" s="128">
        <v>6</v>
      </c>
      <c r="B216" s="166" t="s">
        <v>264</v>
      </c>
      <c r="C216" s="41" t="s">
        <v>260</v>
      </c>
      <c r="D216" s="24">
        <v>50</v>
      </c>
      <c r="E216" s="52"/>
      <c r="F216" s="162">
        <f t="shared" si="3"/>
        <v>0</v>
      </c>
    </row>
    <row r="217" spans="1:6">
      <c r="A217" s="128"/>
      <c r="B217" s="166"/>
      <c r="C217" s="41"/>
      <c r="D217" s="24"/>
      <c r="E217" s="52"/>
      <c r="F217" s="162">
        <f t="shared" si="3"/>
        <v>0</v>
      </c>
    </row>
    <row r="218" spans="1:6">
      <c r="A218" s="128">
        <v>7</v>
      </c>
      <c r="B218" s="180" t="s">
        <v>262</v>
      </c>
      <c r="C218" s="83"/>
      <c r="D218" s="33"/>
      <c r="E218" s="83"/>
      <c r="F218" s="162">
        <f t="shared" si="3"/>
        <v>0</v>
      </c>
    </row>
    <row r="219" spans="1:6" ht="51.75" customHeight="1">
      <c r="A219" s="128">
        <v>8</v>
      </c>
      <c r="B219" s="166" t="s">
        <v>270</v>
      </c>
      <c r="C219" s="41" t="s">
        <v>261</v>
      </c>
      <c r="D219" s="24">
        <v>300</v>
      </c>
      <c r="E219" s="52"/>
      <c r="F219" s="162">
        <f t="shared" si="3"/>
        <v>0</v>
      </c>
    </row>
    <row r="220" spans="1:6">
      <c r="A220" s="128"/>
      <c r="B220" s="178"/>
      <c r="C220" s="41"/>
      <c r="D220" s="24"/>
      <c r="E220" s="52"/>
      <c r="F220" s="162">
        <f t="shared" si="3"/>
        <v>0</v>
      </c>
    </row>
    <row r="221" spans="1:6" ht="63" customHeight="1">
      <c r="A221" s="128">
        <v>9</v>
      </c>
      <c r="B221" s="179" t="s">
        <v>271</v>
      </c>
      <c r="C221" s="41" t="s">
        <v>260</v>
      </c>
      <c r="D221" s="24">
        <f>D219</f>
        <v>300</v>
      </c>
      <c r="E221" s="52"/>
      <c r="F221" s="162">
        <f t="shared" si="3"/>
        <v>0</v>
      </c>
    </row>
    <row r="222" spans="1:6">
      <c r="A222" s="128"/>
      <c r="B222" s="178"/>
      <c r="C222" s="41"/>
      <c r="D222" s="24"/>
      <c r="E222" s="52"/>
      <c r="F222" s="162">
        <f t="shared" si="3"/>
        <v>0</v>
      </c>
    </row>
    <row r="223" spans="1:6" ht="52.5" customHeight="1">
      <c r="A223" s="128">
        <v>10</v>
      </c>
      <c r="B223" s="166" t="s">
        <v>272</v>
      </c>
      <c r="C223" s="41" t="s">
        <v>260</v>
      </c>
      <c r="D223" s="24">
        <v>50</v>
      </c>
      <c r="E223" s="52"/>
      <c r="F223" s="162">
        <f t="shared" si="3"/>
        <v>0</v>
      </c>
    </row>
    <row r="224" spans="1:6">
      <c r="A224" s="128"/>
      <c r="B224" s="166"/>
      <c r="C224" s="41"/>
      <c r="D224" s="24"/>
      <c r="E224" s="52"/>
      <c r="F224" s="162">
        <f t="shared" si="3"/>
        <v>0</v>
      </c>
    </row>
    <row r="225" spans="1:9" ht="27.6">
      <c r="A225" s="128">
        <v>11</v>
      </c>
      <c r="B225" s="166" t="s">
        <v>273</v>
      </c>
      <c r="C225" s="41" t="s">
        <v>260</v>
      </c>
      <c r="D225" s="24">
        <v>2</v>
      </c>
      <c r="E225" s="52"/>
      <c r="F225" s="162">
        <f t="shared" si="3"/>
        <v>0</v>
      </c>
    </row>
    <row r="226" spans="1:9">
      <c r="A226" s="128"/>
      <c r="B226" s="166"/>
      <c r="C226" s="41"/>
      <c r="D226" s="24"/>
      <c r="E226" s="52"/>
      <c r="F226" s="162">
        <f t="shared" si="3"/>
        <v>0</v>
      </c>
    </row>
    <row r="227" spans="1:9" ht="36.75" customHeight="1">
      <c r="A227" s="128">
        <v>12</v>
      </c>
      <c r="B227" s="166" t="s">
        <v>274</v>
      </c>
      <c r="C227" s="41" t="s">
        <v>260</v>
      </c>
      <c r="D227" s="24">
        <v>6</v>
      </c>
      <c r="E227" s="52"/>
      <c r="F227" s="162">
        <f t="shared" si="3"/>
        <v>0</v>
      </c>
    </row>
    <row r="228" spans="1:9">
      <c r="A228" s="128"/>
      <c r="B228" s="181"/>
      <c r="C228" s="84"/>
      <c r="D228" s="85"/>
      <c r="E228" s="86"/>
      <c r="F228" s="162">
        <f t="shared" si="3"/>
        <v>0</v>
      </c>
    </row>
    <row r="229" spans="1:9">
      <c r="A229" s="128">
        <v>13</v>
      </c>
      <c r="B229" s="180" t="s">
        <v>263</v>
      </c>
      <c r="C229" s="87"/>
      <c r="D229" s="88"/>
      <c r="E229" s="87"/>
      <c r="F229" s="162">
        <f t="shared" si="3"/>
        <v>0</v>
      </c>
    </row>
    <row r="230" spans="1:9" ht="248.4">
      <c r="A230" s="128">
        <v>14</v>
      </c>
      <c r="B230" s="178" t="s">
        <v>265</v>
      </c>
      <c r="C230" s="41" t="s">
        <v>260</v>
      </c>
      <c r="D230" s="24">
        <v>8</v>
      </c>
      <c r="E230" s="52"/>
      <c r="F230" s="162">
        <f t="shared" si="3"/>
        <v>0</v>
      </c>
    </row>
    <row r="231" spans="1:9">
      <c r="A231" s="128"/>
      <c r="B231" s="166"/>
      <c r="C231" s="41"/>
      <c r="D231" s="24"/>
      <c r="E231" s="52"/>
      <c r="F231" s="162">
        <f t="shared" si="3"/>
        <v>0</v>
      </c>
    </row>
    <row r="232" spans="1:9" ht="27.6">
      <c r="A232" s="128">
        <v>15</v>
      </c>
      <c r="B232" s="166" t="s">
        <v>275</v>
      </c>
      <c r="C232" s="41" t="s">
        <v>261</v>
      </c>
      <c r="D232" s="24">
        <v>120</v>
      </c>
      <c r="E232" s="52"/>
      <c r="F232" s="162">
        <f t="shared" si="3"/>
        <v>0</v>
      </c>
    </row>
    <row r="233" spans="1:9">
      <c r="A233" s="129"/>
      <c r="B233" s="176"/>
      <c r="C233" s="29"/>
      <c r="D233" s="30"/>
      <c r="E233" s="56"/>
      <c r="F233" s="162"/>
    </row>
    <row r="234" spans="1:9">
      <c r="A234" s="138"/>
      <c r="B234" s="169" t="s">
        <v>162</v>
      </c>
      <c r="C234" s="74"/>
      <c r="D234" s="75"/>
      <c r="E234" s="82"/>
      <c r="F234" s="175">
        <f>SUM(F204:F233)</f>
        <v>0</v>
      </c>
    </row>
    <row r="235" spans="1:9">
      <c r="A235" s="129"/>
      <c r="B235" s="176"/>
      <c r="C235" s="29"/>
      <c r="D235" s="30"/>
      <c r="E235" s="56"/>
      <c r="F235" s="162"/>
    </row>
    <row r="236" spans="1:9">
      <c r="A236" s="136" t="s">
        <v>78</v>
      </c>
      <c r="B236" s="171" t="s">
        <v>191</v>
      </c>
      <c r="C236" s="89"/>
      <c r="D236" s="90"/>
      <c r="E236" s="54"/>
      <c r="F236" s="162"/>
      <c r="H236" s="48"/>
      <c r="I236" s="48"/>
    </row>
    <row r="237" spans="1:9" ht="82.8">
      <c r="A237" s="129" t="s">
        <v>192</v>
      </c>
      <c r="B237" s="172" t="s">
        <v>492</v>
      </c>
      <c r="C237" s="89"/>
      <c r="D237" s="90"/>
      <c r="E237" s="54"/>
      <c r="F237" s="162"/>
      <c r="H237" s="48"/>
      <c r="I237" s="48"/>
    </row>
    <row r="238" spans="1:9" ht="20.25" customHeight="1">
      <c r="A238" s="129"/>
      <c r="B238" s="166" t="s">
        <v>193</v>
      </c>
      <c r="C238" s="89"/>
      <c r="D238" s="90"/>
      <c r="E238" s="54"/>
      <c r="F238" s="162"/>
      <c r="H238" s="48"/>
      <c r="I238" s="48"/>
    </row>
    <row r="239" spans="1:9" ht="30" customHeight="1">
      <c r="A239" s="129">
        <v>1</v>
      </c>
      <c r="B239" s="167" t="s">
        <v>194</v>
      </c>
      <c r="C239" s="89"/>
      <c r="D239" s="90"/>
      <c r="E239" s="54"/>
      <c r="F239" s="162"/>
      <c r="H239" s="48"/>
      <c r="I239" s="48"/>
    </row>
    <row r="240" spans="1:9">
      <c r="A240" s="129"/>
      <c r="B240" s="167" t="s">
        <v>195</v>
      </c>
      <c r="C240" s="90"/>
      <c r="D240" s="90"/>
      <c r="E240" s="54"/>
      <c r="F240" s="162"/>
      <c r="H240" s="48"/>
      <c r="I240" s="48"/>
    </row>
    <row r="241" spans="1:6" s="48" customFormat="1">
      <c r="A241" s="129"/>
      <c r="B241" s="166" t="s">
        <v>196</v>
      </c>
      <c r="C241" s="78"/>
      <c r="D241" s="78"/>
      <c r="E241" s="54"/>
      <c r="F241" s="162"/>
    </row>
    <row r="242" spans="1:6" s="48" customFormat="1" ht="15.75" customHeight="1">
      <c r="A242" s="129"/>
      <c r="B242" s="167" t="s">
        <v>197</v>
      </c>
      <c r="C242" s="29"/>
      <c r="D242" s="29"/>
      <c r="E242" s="54"/>
      <c r="F242" s="162"/>
    </row>
    <row r="243" spans="1:6" s="48" customFormat="1" ht="15.75" customHeight="1">
      <c r="A243" s="129">
        <v>2</v>
      </c>
      <c r="B243" s="167" t="s">
        <v>198</v>
      </c>
      <c r="C243" s="29"/>
      <c r="D243" s="29"/>
      <c r="E243" s="91"/>
      <c r="F243" s="162"/>
    </row>
    <row r="244" spans="1:6" s="48" customFormat="1" ht="27.6">
      <c r="A244" s="129">
        <v>3</v>
      </c>
      <c r="B244" s="167" t="s">
        <v>199</v>
      </c>
      <c r="C244" s="29"/>
      <c r="D244" s="29"/>
      <c r="E244" s="91"/>
      <c r="F244" s="162"/>
    </row>
    <row r="245" spans="1:6" s="48" customFormat="1">
      <c r="A245" s="129">
        <v>4</v>
      </c>
      <c r="B245" s="167" t="s">
        <v>200</v>
      </c>
      <c r="C245" s="29"/>
      <c r="D245" s="29"/>
      <c r="E245" s="91"/>
      <c r="F245" s="162"/>
    </row>
    <row r="246" spans="1:6" s="48" customFormat="1" ht="27.6">
      <c r="A246" s="129">
        <v>5</v>
      </c>
      <c r="B246" s="167" t="s">
        <v>201</v>
      </c>
      <c r="C246" s="29"/>
      <c r="D246" s="29"/>
      <c r="E246" s="91"/>
      <c r="F246" s="162"/>
    </row>
    <row r="247" spans="1:6" s="48" customFormat="1" ht="12.75" customHeight="1">
      <c r="A247" s="129">
        <v>6</v>
      </c>
      <c r="B247" s="167" t="s">
        <v>202</v>
      </c>
      <c r="C247" s="29"/>
      <c r="D247" s="29"/>
      <c r="E247" s="91"/>
      <c r="F247" s="162"/>
    </row>
    <row r="248" spans="1:6" s="48" customFormat="1">
      <c r="A248" s="129"/>
      <c r="B248" s="167"/>
      <c r="C248" s="29"/>
      <c r="D248" s="29"/>
      <c r="E248" s="91"/>
      <c r="F248" s="162"/>
    </row>
    <row r="249" spans="1:6" s="48" customFormat="1" ht="27.6">
      <c r="A249" s="136"/>
      <c r="B249" s="171" t="s">
        <v>203</v>
      </c>
      <c r="C249" s="29"/>
      <c r="D249" s="29"/>
      <c r="E249" s="91"/>
      <c r="F249" s="162"/>
    </row>
    <row r="250" spans="1:6" s="48" customFormat="1" ht="27.6">
      <c r="A250" s="128"/>
      <c r="B250" s="166" t="s">
        <v>204</v>
      </c>
      <c r="C250" s="29"/>
      <c r="D250" s="29"/>
      <c r="E250" s="54"/>
      <c r="F250" s="162"/>
    </row>
    <row r="251" spans="1:6" s="48" customFormat="1">
      <c r="A251" s="128"/>
      <c r="B251" s="166"/>
      <c r="C251" s="29"/>
      <c r="D251" s="29"/>
      <c r="E251" s="54"/>
      <c r="F251" s="162"/>
    </row>
    <row r="252" spans="1:6" s="48" customFormat="1" ht="69">
      <c r="A252" s="128">
        <v>1</v>
      </c>
      <c r="B252" s="166" t="s">
        <v>458</v>
      </c>
      <c r="C252" s="29" t="s">
        <v>13</v>
      </c>
      <c r="D252" s="29">
        <v>14</v>
      </c>
      <c r="E252" s="54"/>
      <c r="F252" s="162">
        <f t="shared" si="3"/>
        <v>0</v>
      </c>
    </row>
    <row r="253" spans="1:6" s="48" customFormat="1">
      <c r="A253" s="128"/>
      <c r="B253" s="166"/>
      <c r="C253" s="29"/>
      <c r="D253" s="29"/>
      <c r="E253" s="54"/>
      <c r="F253" s="162">
        <f t="shared" si="3"/>
        <v>0</v>
      </c>
    </row>
    <row r="254" spans="1:6" s="48" customFormat="1" ht="27.6">
      <c r="A254" s="128">
        <v>2</v>
      </c>
      <c r="B254" s="166" t="s">
        <v>454</v>
      </c>
      <c r="C254" s="29"/>
      <c r="D254" s="29"/>
      <c r="E254" s="54"/>
      <c r="F254" s="162">
        <f t="shared" si="3"/>
        <v>0</v>
      </c>
    </row>
    <row r="255" spans="1:6" s="48" customFormat="1">
      <c r="A255" s="128"/>
      <c r="B255" s="166" t="s">
        <v>455</v>
      </c>
      <c r="C255" s="29" t="s">
        <v>13</v>
      </c>
      <c r="D255" s="29" t="s">
        <v>50</v>
      </c>
      <c r="E255" s="54"/>
      <c r="F255" s="162"/>
    </row>
    <row r="256" spans="1:6" s="48" customFormat="1">
      <c r="A256" s="128"/>
      <c r="B256" s="166" t="s">
        <v>487</v>
      </c>
      <c r="C256" s="29" t="s">
        <v>13</v>
      </c>
      <c r="D256" s="29">
        <v>17</v>
      </c>
      <c r="E256" s="54"/>
      <c r="F256" s="162">
        <f t="shared" si="3"/>
        <v>0</v>
      </c>
    </row>
    <row r="257" spans="1:6" s="48" customFormat="1">
      <c r="A257" s="128"/>
      <c r="B257" s="166" t="s">
        <v>456</v>
      </c>
      <c r="C257" s="29" t="s">
        <v>49</v>
      </c>
      <c r="D257" s="29" t="s">
        <v>50</v>
      </c>
      <c r="E257" s="54"/>
      <c r="F257" s="162"/>
    </row>
    <row r="258" spans="1:6" s="48" customFormat="1">
      <c r="A258" s="128"/>
      <c r="B258" s="166" t="s">
        <v>469</v>
      </c>
      <c r="C258" s="29" t="s">
        <v>13</v>
      </c>
      <c r="D258" s="29" t="s">
        <v>50</v>
      </c>
      <c r="E258" s="54"/>
      <c r="F258" s="162"/>
    </row>
    <row r="259" spans="1:6" s="48" customFormat="1">
      <c r="A259" s="128"/>
      <c r="B259" s="166" t="s">
        <v>488</v>
      </c>
      <c r="C259" s="29" t="s">
        <v>13</v>
      </c>
      <c r="D259" s="29">
        <v>35</v>
      </c>
      <c r="E259" s="54"/>
      <c r="F259" s="162">
        <f t="shared" si="3"/>
        <v>0</v>
      </c>
    </row>
    <row r="260" spans="1:6" s="48" customFormat="1">
      <c r="A260" s="128"/>
      <c r="B260" s="166" t="s">
        <v>490</v>
      </c>
      <c r="C260" s="29" t="s">
        <v>13</v>
      </c>
      <c r="D260" s="29">
        <v>1</v>
      </c>
      <c r="E260" s="54"/>
      <c r="F260" s="162">
        <f t="shared" si="3"/>
        <v>0</v>
      </c>
    </row>
    <row r="261" spans="1:6" s="48" customFormat="1">
      <c r="A261" s="128"/>
      <c r="B261" s="166" t="s">
        <v>489</v>
      </c>
      <c r="C261" s="29" t="s">
        <v>13</v>
      </c>
      <c r="D261" s="29">
        <v>4</v>
      </c>
      <c r="E261" s="54"/>
      <c r="F261" s="162">
        <f t="shared" si="3"/>
        <v>0</v>
      </c>
    </row>
    <row r="262" spans="1:6" s="48" customFormat="1">
      <c r="A262" s="128"/>
      <c r="B262" s="166" t="s">
        <v>470</v>
      </c>
      <c r="C262" s="29" t="s">
        <v>13</v>
      </c>
      <c r="D262" s="29">
        <v>6</v>
      </c>
      <c r="E262" s="54"/>
      <c r="F262" s="162">
        <f t="shared" si="3"/>
        <v>0</v>
      </c>
    </row>
    <row r="263" spans="1:6" s="48" customFormat="1">
      <c r="A263" s="128"/>
      <c r="B263" s="166"/>
      <c r="C263" s="29"/>
      <c r="D263" s="29"/>
      <c r="E263" s="54"/>
      <c r="F263" s="162">
        <f t="shared" si="3"/>
        <v>0</v>
      </c>
    </row>
    <row r="264" spans="1:6" s="48" customFormat="1" ht="55.2">
      <c r="A264" s="139">
        <v>3</v>
      </c>
      <c r="B264" s="166" t="s">
        <v>491</v>
      </c>
      <c r="C264" s="29" t="s">
        <v>13</v>
      </c>
      <c r="D264" s="29">
        <f>SUM(D262,D261,D260,D259,D256,D252)</f>
        <v>77</v>
      </c>
      <c r="E264" s="54"/>
      <c r="F264" s="162">
        <f t="shared" si="3"/>
        <v>0</v>
      </c>
    </row>
    <row r="265" spans="1:6" s="48" customFormat="1" ht="41.4">
      <c r="A265" s="139"/>
      <c r="B265" s="172" t="s">
        <v>457</v>
      </c>
      <c r="C265" s="29"/>
      <c r="D265" s="29"/>
      <c r="E265" s="54"/>
      <c r="F265" s="162">
        <f t="shared" si="3"/>
        <v>0</v>
      </c>
    </row>
    <row r="266" spans="1:6" s="48" customFormat="1">
      <c r="A266" s="139"/>
      <c r="B266" s="172"/>
      <c r="C266" s="29"/>
      <c r="D266" s="29"/>
      <c r="E266" s="54"/>
      <c r="F266" s="162">
        <f t="shared" ref="F266:F320" si="4">E266*D266</f>
        <v>0</v>
      </c>
    </row>
    <row r="267" spans="1:6" s="48" customFormat="1" ht="48" customHeight="1">
      <c r="A267" s="139">
        <v>4</v>
      </c>
      <c r="B267" s="166" t="s">
        <v>205</v>
      </c>
      <c r="C267" s="29"/>
      <c r="D267" s="29"/>
      <c r="E267" s="54"/>
      <c r="F267" s="162">
        <f t="shared" si="4"/>
        <v>0</v>
      </c>
    </row>
    <row r="268" spans="1:6" s="48" customFormat="1">
      <c r="A268" s="128" t="s">
        <v>3</v>
      </c>
      <c r="B268" s="166" t="s">
        <v>206</v>
      </c>
      <c r="C268" s="24" t="s">
        <v>49</v>
      </c>
      <c r="D268" s="24">
        <v>500</v>
      </c>
      <c r="E268" s="54"/>
      <c r="F268" s="162">
        <f t="shared" si="4"/>
        <v>0</v>
      </c>
    </row>
    <row r="269" spans="1:6" s="48" customFormat="1">
      <c r="A269" s="128" t="s">
        <v>4</v>
      </c>
      <c r="B269" s="166" t="s">
        <v>207</v>
      </c>
      <c r="C269" s="24" t="s">
        <v>49</v>
      </c>
      <c r="D269" s="24">
        <f>D268</f>
        <v>500</v>
      </c>
      <c r="E269" s="54"/>
      <c r="F269" s="162">
        <f t="shared" si="4"/>
        <v>0</v>
      </c>
    </row>
    <row r="270" spans="1:6" s="48" customFormat="1">
      <c r="A270" s="128" t="s">
        <v>1</v>
      </c>
      <c r="B270" s="166" t="s">
        <v>208</v>
      </c>
      <c r="C270" s="24" t="s">
        <v>49</v>
      </c>
      <c r="D270" s="24">
        <f>D269</f>
        <v>500</v>
      </c>
      <c r="E270" s="54"/>
      <c r="F270" s="162">
        <f t="shared" si="4"/>
        <v>0</v>
      </c>
    </row>
    <row r="271" spans="1:6" s="48" customFormat="1" ht="55.2">
      <c r="A271" s="128"/>
      <c r="B271" s="172" t="s">
        <v>276</v>
      </c>
      <c r="C271" s="24"/>
      <c r="D271" s="29"/>
      <c r="E271" s="54"/>
      <c r="F271" s="162">
        <f t="shared" si="4"/>
        <v>0</v>
      </c>
    </row>
    <row r="272" spans="1:6" s="48" customFormat="1">
      <c r="A272" s="128"/>
      <c r="B272" s="172"/>
      <c r="C272" s="24"/>
      <c r="D272" s="29"/>
      <c r="E272" s="54"/>
      <c r="F272" s="162">
        <f t="shared" si="4"/>
        <v>0</v>
      </c>
    </row>
    <row r="273" spans="1:6" s="48" customFormat="1" ht="55.2">
      <c r="A273" s="128">
        <v>5</v>
      </c>
      <c r="B273" s="166" t="s">
        <v>209</v>
      </c>
      <c r="C273" s="24"/>
      <c r="D273" s="29"/>
      <c r="E273" s="54"/>
      <c r="F273" s="162">
        <f t="shared" si="4"/>
        <v>0</v>
      </c>
    </row>
    <row r="274" spans="1:6" s="48" customFormat="1">
      <c r="A274" s="128" t="s">
        <v>3</v>
      </c>
      <c r="B274" s="166" t="s">
        <v>210</v>
      </c>
      <c r="C274" s="24" t="s">
        <v>13</v>
      </c>
      <c r="D274" s="24">
        <f>SUM(D252*2)</f>
        <v>28</v>
      </c>
      <c r="E274" s="54"/>
      <c r="F274" s="162">
        <f t="shared" si="4"/>
        <v>0</v>
      </c>
    </row>
    <row r="275" spans="1:6" s="48" customFormat="1">
      <c r="A275" s="128"/>
      <c r="B275" s="166"/>
      <c r="C275" s="24"/>
      <c r="D275" s="24"/>
      <c r="E275" s="54"/>
      <c r="F275" s="162">
        <f t="shared" si="4"/>
        <v>0</v>
      </c>
    </row>
    <row r="276" spans="1:6" s="48" customFormat="1" ht="60" customHeight="1">
      <c r="A276" s="124">
        <v>5</v>
      </c>
      <c r="B276" s="161" t="s">
        <v>277</v>
      </c>
      <c r="C276" s="62" t="s">
        <v>49</v>
      </c>
      <c r="D276" s="22">
        <f>D252*1</f>
        <v>14</v>
      </c>
      <c r="E276" s="52"/>
      <c r="F276" s="162">
        <f t="shared" si="4"/>
        <v>0</v>
      </c>
    </row>
    <row r="277" spans="1:6" s="48" customFormat="1">
      <c r="A277" s="124"/>
      <c r="B277" s="161"/>
      <c r="C277" s="62"/>
      <c r="D277" s="22"/>
      <c r="E277" s="52"/>
      <c r="F277" s="162"/>
    </row>
    <row r="278" spans="1:6" s="116" customFormat="1">
      <c r="A278" s="135"/>
      <c r="B278" s="182" t="s">
        <v>189</v>
      </c>
      <c r="C278" s="79"/>
      <c r="D278" s="79"/>
      <c r="E278" s="82"/>
      <c r="F278" s="175">
        <f>SUM(F248:F277)</f>
        <v>0</v>
      </c>
    </row>
    <row r="279" spans="1:6" s="116" customFormat="1">
      <c r="A279" s="136"/>
      <c r="B279" s="176"/>
      <c r="C279" s="42"/>
      <c r="D279" s="42"/>
      <c r="E279" s="54"/>
      <c r="F279" s="162"/>
    </row>
    <row r="280" spans="1:6" s="48" customFormat="1">
      <c r="A280" s="131" t="s">
        <v>94</v>
      </c>
      <c r="B280" s="183" t="s">
        <v>188</v>
      </c>
      <c r="C280" s="24"/>
      <c r="D280" s="24"/>
      <c r="E280" s="52"/>
      <c r="F280" s="162"/>
    </row>
    <row r="281" spans="1:6" s="48" customFormat="1">
      <c r="A281" s="131"/>
      <c r="B281" s="183"/>
      <c r="C281" s="24"/>
      <c r="D281" s="24"/>
      <c r="E281" s="52"/>
      <c r="F281" s="162"/>
    </row>
    <row r="282" spans="1:6" s="48" customFormat="1" ht="41.4">
      <c r="A282" s="129" t="s">
        <v>3</v>
      </c>
      <c r="B282" s="166" t="s">
        <v>190</v>
      </c>
      <c r="C282" s="62" t="s">
        <v>13</v>
      </c>
      <c r="D282" s="24">
        <v>5</v>
      </c>
      <c r="E282" s="72"/>
      <c r="F282" s="162">
        <f t="shared" si="4"/>
        <v>0</v>
      </c>
    </row>
    <row r="283" spans="1:6" s="48" customFormat="1" ht="27.6">
      <c r="A283" s="129"/>
      <c r="B283" s="166" t="s">
        <v>357</v>
      </c>
      <c r="C283" s="62"/>
      <c r="D283" s="24"/>
      <c r="E283" s="72"/>
      <c r="F283" s="162">
        <f t="shared" si="4"/>
        <v>0</v>
      </c>
    </row>
    <row r="284" spans="1:6" s="48" customFormat="1">
      <c r="A284" s="129"/>
      <c r="B284" s="166"/>
      <c r="C284" s="62"/>
      <c r="D284" s="24"/>
      <c r="E284" s="72"/>
      <c r="F284" s="162">
        <f t="shared" si="4"/>
        <v>0</v>
      </c>
    </row>
    <row r="285" spans="1:6" s="48" customFormat="1" ht="41.4">
      <c r="A285" s="129" t="s">
        <v>4</v>
      </c>
      <c r="B285" s="166" t="s">
        <v>402</v>
      </c>
      <c r="C285" s="62" t="s">
        <v>13</v>
      </c>
      <c r="D285" s="24">
        <v>7</v>
      </c>
      <c r="E285" s="72"/>
      <c r="F285" s="162">
        <f t="shared" si="4"/>
        <v>0</v>
      </c>
    </row>
    <row r="286" spans="1:6" s="48" customFormat="1">
      <c r="A286" s="129"/>
      <c r="B286" s="166"/>
      <c r="C286" s="62"/>
      <c r="D286" s="24"/>
      <c r="E286" s="72"/>
      <c r="F286" s="162">
        <f t="shared" si="4"/>
        <v>0</v>
      </c>
    </row>
    <row r="287" spans="1:6" s="48" customFormat="1" ht="69">
      <c r="A287" s="129" t="s">
        <v>1</v>
      </c>
      <c r="B287" s="166" t="s">
        <v>358</v>
      </c>
      <c r="C287" s="62" t="s">
        <v>13</v>
      </c>
      <c r="D287" s="24">
        <v>12</v>
      </c>
      <c r="E287" s="72"/>
      <c r="F287" s="162">
        <f t="shared" si="4"/>
        <v>0</v>
      </c>
    </row>
    <row r="288" spans="1:6" s="48" customFormat="1">
      <c r="A288" s="129"/>
      <c r="B288" s="172" t="s">
        <v>245</v>
      </c>
      <c r="C288" s="62"/>
      <c r="D288" s="24"/>
      <c r="E288" s="72"/>
      <c r="F288" s="162"/>
    </row>
    <row r="289" spans="1:6" s="48" customFormat="1" ht="41.4">
      <c r="A289" s="129"/>
      <c r="B289" s="166" t="s">
        <v>278</v>
      </c>
      <c r="C289" s="62"/>
      <c r="D289" s="24"/>
      <c r="E289" s="72"/>
      <c r="F289" s="162"/>
    </row>
    <row r="290" spans="1:6" s="48" customFormat="1" ht="27.6">
      <c r="A290" s="129"/>
      <c r="B290" s="166" t="s">
        <v>403</v>
      </c>
      <c r="C290" s="62"/>
      <c r="D290" s="24"/>
      <c r="E290" s="72"/>
      <c r="F290" s="162"/>
    </row>
    <row r="291" spans="1:6" s="48" customFormat="1">
      <c r="A291" s="129"/>
      <c r="B291" s="167"/>
      <c r="C291" s="29"/>
      <c r="D291" s="29"/>
      <c r="E291" s="54"/>
      <c r="F291" s="162"/>
    </row>
    <row r="292" spans="1:6" s="116" customFormat="1">
      <c r="A292" s="140"/>
      <c r="B292" s="182" t="s">
        <v>189</v>
      </c>
      <c r="C292" s="31"/>
      <c r="D292" s="31"/>
      <c r="E292" s="53"/>
      <c r="F292" s="170">
        <f>SUM(F281:F291)</f>
        <v>0</v>
      </c>
    </row>
    <row r="293" spans="1:6" s="116" customFormat="1">
      <c r="A293" s="131"/>
      <c r="B293" s="176"/>
      <c r="C293" s="33"/>
      <c r="D293" s="33"/>
      <c r="E293" s="52"/>
      <c r="F293" s="162"/>
    </row>
    <row r="294" spans="1:6" s="48" customFormat="1">
      <c r="A294" s="122" t="s">
        <v>280</v>
      </c>
      <c r="B294" s="177" t="s">
        <v>279</v>
      </c>
      <c r="C294" s="62"/>
      <c r="D294" s="39"/>
      <c r="E294" s="72"/>
      <c r="F294" s="162"/>
    </row>
    <row r="295" spans="1:6" s="48" customFormat="1">
      <c r="A295" s="141" t="s">
        <v>280</v>
      </c>
      <c r="B295" s="160" t="s">
        <v>281</v>
      </c>
      <c r="C295" s="62"/>
      <c r="D295" s="62"/>
      <c r="E295" s="72"/>
      <c r="F295" s="162"/>
    </row>
    <row r="296" spans="1:6" s="48" customFormat="1">
      <c r="A296" s="123"/>
      <c r="B296" s="158" t="s">
        <v>282</v>
      </c>
      <c r="C296" s="62"/>
      <c r="D296" s="62"/>
      <c r="E296" s="72"/>
      <c r="F296" s="162"/>
    </row>
    <row r="297" spans="1:6" s="48" customFormat="1">
      <c r="A297" s="123">
        <v>1</v>
      </c>
      <c r="B297" s="158" t="s">
        <v>283</v>
      </c>
      <c r="C297" s="62"/>
      <c r="D297" s="62"/>
      <c r="E297" s="72"/>
      <c r="F297" s="162"/>
    </row>
    <row r="298" spans="1:6" s="48" customFormat="1" ht="18.75" customHeight="1">
      <c r="A298" s="123">
        <v>2</v>
      </c>
      <c r="B298" s="158" t="s">
        <v>284</v>
      </c>
      <c r="C298" s="22"/>
      <c r="D298" s="62"/>
      <c r="E298" s="50"/>
      <c r="F298" s="162"/>
    </row>
    <row r="299" spans="1:6" s="48" customFormat="1">
      <c r="A299" s="123">
        <v>3</v>
      </c>
      <c r="B299" s="158" t="s">
        <v>285</v>
      </c>
      <c r="C299" s="22"/>
      <c r="D299" s="22"/>
      <c r="E299" s="50"/>
      <c r="F299" s="162"/>
    </row>
    <row r="300" spans="1:6" s="48" customFormat="1" ht="27.6">
      <c r="A300" s="123">
        <v>4</v>
      </c>
      <c r="B300" s="158" t="s">
        <v>286</v>
      </c>
      <c r="C300" s="22"/>
      <c r="D300" s="22"/>
      <c r="E300" s="50"/>
      <c r="F300" s="162"/>
    </row>
    <row r="301" spans="1:6" s="48" customFormat="1" ht="27.6">
      <c r="A301" s="123">
        <v>5</v>
      </c>
      <c r="B301" s="158" t="s">
        <v>287</v>
      </c>
      <c r="C301" s="22"/>
      <c r="D301" s="22"/>
      <c r="E301" s="50"/>
      <c r="F301" s="162"/>
    </row>
    <row r="302" spans="1:6" s="48" customFormat="1" ht="41.4">
      <c r="A302" s="123">
        <v>6</v>
      </c>
      <c r="B302" s="158" t="s">
        <v>288</v>
      </c>
      <c r="C302" s="22"/>
      <c r="D302" s="22"/>
      <c r="E302" s="50"/>
      <c r="F302" s="162"/>
    </row>
    <row r="303" spans="1:6" s="48" customFormat="1">
      <c r="A303" s="123">
        <v>7</v>
      </c>
      <c r="B303" s="158" t="s">
        <v>289</v>
      </c>
      <c r="C303" s="22"/>
      <c r="D303" s="22"/>
      <c r="E303" s="50"/>
      <c r="F303" s="162"/>
    </row>
    <row r="304" spans="1:6" s="48" customFormat="1">
      <c r="A304" s="123">
        <v>8</v>
      </c>
      <c r="B304" s="158" t="s">
        <v>290</v>
      </c>
      <c r="C304" s="22"/>
      <c r="D304" s="22"/>
      <c r="E304" s="50"/>
      <c r="F304" s="162"/>
    </row>
    <row r="305" spans="1:6" s="48" customFormat="1" ht="27.6">
      <c r="A305" s="123">
        <v>9</v>
      </c>
      <c r="B305" s="158" t="s">
        <v>291</v>
      </c>
      <c r="C305" s="22"/>
      <c r="D305" s="22"/>
      <c r="E305" s="50"/>
      <c r="F305" s="162"/>
    </row>
    <row r="306" spans="1:6" s="48" customFormat="1">
      <c r="A306" s="123"/>
      <c r="B306" s="158"/>
      <c r="C306" s="22"/>
      <c r="D306" s="22"/>
      <c r="E306" s="50"/>
      <c r="F306" s="162"/>
    </row>
    <row r="307" spans="1:6" s="48" customFormat="1">
      <c r="A307" s="141" t="s">
        <v>280</v>
      </c>
      <c r="B307" s="160" t="s">
        <v>292</v>
      </c>
      <c r="C307" s="22"/>
      <c r="D307" s="22"/>
      <c r="E307" s="50"/>
      <c r="F307" s="162"/>
    </row>
    <row r="308" spans="1:6" s="48" customFormat="1" ht="41.4">
      <c r="A308" s="124">
        <v>1</v>
      </c>
      <c r="B308" s="161" t="s">
        <v>493</v>
      </c>
      <c r="C308" s="22" t="s">
        <v>13</v>
      </c>
      <c r="D308" s="22">
        <v>1</v>
      </c>
      <c r="E308" s="52"/>
      <c r="F308" s="162">
        <f t="shared" si="4"/>
        <v>0</v>
      </c>
    </row>
    <row r="309" spans="1:6" s="48" customFormat="1">
      <c r="A309" s="124"/>
      <c r="B309" s="161"/>
      <c r="C309" s="22"/>
      <c r="D309" s="22"/>
      <c r="E309" s="50"/>
      <c r="F309" s="162">
        <f t="shared" si="4"/>
        <v>0</v>
      </c>
    </row>
    <row r="310" spans="1:6" s="48" customFormat="1" ht="41.4">
      <c r="A310" s="124">
        <v>2</v>
      </c>
      <c r="B310" s="161" t="s">
        <v>293</v>
      </c>
      <c r="C310" s="22" t="s">
        <v>13</v>
      </c>
      <c r="D310" s="22" t="s">
        <v>50</v>
      </c>
      <c r="E310" s="52"/>
      <c r="F310" s="162"/>
    </row>
    <row r="311" spans="1:6" s="48" customFormat="1">
      <c r="A311" s="124"/>
      <c r="B311" s="161"/>
      <c r="C311" s="22"/>
      <c r="D311" s="22"/>
      <c r="E311" s="50"/>
      <c r="F311" s="162">
        <f t="shared" si="4"/>
        <v>0</v>
      </c>
    </row>
    <row r="312" spans="1:6" s="48" customFormat="1" ht="41.4">
      <c r="A312" s="124">
        <v>3</v>
      </c>
      <c r="B312" s="161" t="s">
        <v>537</v>
      </c>
      <c r="C312" s="22" t="s">
        <v>13</v>
      </c>
      <c r="D312" s="22" t="s">
        <v>50</v>
      </c>
      <c r="E312" s="52"/>
      <c r="F312" s="162"/>
    </row>
    <row r="313" spans="1:6" s="48" customFormat="1">
      <c r="A313" s="124"/>
      <c r="B313" s="161"/>
      <c r="C313" s="22"/>
      <c r="D313" s="22"/>
      <c r="E313" s="50"/>
      <c r="F313" s="162">
        <f t="shared" si="4"/>
        <v>0</v>
      </c>
    </row>
    <row r="314" spans="1:6" s="48" customFormat="1" ht="41.4">
      <c r="A314" s="124">
        <v>4</v>
      </c>
      <c r="B314" s="161" t="s">
        <v>294</v>
      </c>
      <c r="C314" s="22" t="s">
        <v>13</v>
      </c>
      <c r="D314" s="22">
        <v>2</v>
      </c>
      <c r="E314" s="52"/>
      <c r="F314" s="162">
        <f t="shared" si="4"/>
        <v>0</v>
      </c>
    </row>
    <row r="315" spans="1:6" s="48" customFormat="1">
      <c r="A315" s="124"/>
      <c r="B315" s="161"/>
      <c r="C315" s="22"/>
      <c r="D315" s="22"/>
      <c r="E315" s="50"/>
      <c r="F315" s="162">
        <f t="shared" si="4"/>
        <v>0</v>
      </c>
    </row>
    <row r="316" spans="1:6" s="48" customFormat="1" ht="27.6">
      <c r="A316" s="124">
        <v>5</v>
      </c>
      <c r="B316" s="161" t="s">
        <v>295</v>
      </c>
      <c r="C316" s="22" t="s">
        <v>13</v>
      </c>
      <c r="D316" s="22">
        <v>10</v>
      </c>
      <c r="E316" s="52"/>
      <c r="F316" s="162">
        <f t="shared" si="4"/>
        <v>0</v>
      </c>
    </row>
    <row r="317" spans="1:6" s="48" customFormat="1">
      <c r="A317" s="124"/>
      <c r="B317" s="161"/>
      <c r="C317" s="22"/>
      <c r="D317" s="22"/>
      <c r="E317" s="50"/>
      <c r="F317" s="162">
        <f t="shared" si="4"/>
        <v>0</v>
      </c>
    </row>
    <row r="318" spans="1:6" s="48" customFormat="1" ht="41.4">
      <c r="A318" s="124">
        <v>6</v>
      </c>
      <c r="B318" s="161" t="s">
        <v>296</v>
      </c>
      <c r="C318" s="22" t="s">
        <v>13</v>
      </c>
      <c r="D318" s="62">
        <v>5</v>
      </c>
      <c r="E318" s="52"/>
      <c r="F318" s="162">
        <f t="shared" si="4"/>
        <v>0</v>
      </c>
    </row>
    <row r="319" spans="1:6" s="48" customFormat="1">
      <c r="A319" s="124"/>
      <c r="B319" s="161"/>
      <c r="C319" s="62"/>
      <c r="D319" s="62"/>
      <c r="E319" s="72"/>
      <c r="F319" s="162">
        <f t="shared" si="4"/>
        <v>0</v>
      </c>
    </row>
    <row r="320" spans="1:6" s="48" customFormat="1" ht="32.25" customHeight="1">
      <c r="A320" s="124">
        <v>7</v>
      </c>
      <c r="B320" s="161" t="s">
        <v>298</v>
      </c>
      <c r="C320" s="22" t="s">
        <v>297</v>
      </c>
      <c r="D320" s="62">
        <v>10</v>
      </c>
      <c r="E320" s="52"/>
      <c r="F320" s="162">
        <f t="shared" si="4"/>
        <v>0</v>
      </c>
    </row>
    <row r="321" spans="1:6" s="48" customFormat="1">
      <c r="A321" s="124"/>
      <c r="B321" s="161"/>
      <c r="C321" s="62"/>
      <c r="D321" s="62"/>
      <c r="E321" s="72"/>
      <c r="F321" s="162"/>
    </row>
    <row r="322" spans="1:6" s="48" customFormat="1">
      <c r="A322" s="124"/>
      <c r="B322" s="161"/>
      <c r="C322" s="62"/>
      <c r="D322" s="62"/>
      <c r="E322" s="72"/>
      <c r="F322" s="162"/>
    </row>
    <row r="323" spans="1:6" s="116" customFormat="1">
      <c r="A323" s="140"/>
      <c r="B323" s="182" t="s">
        <v>189</v>
      </c>
      <c r="C323" s="31"/>
      <c r="D323" s="31"/>
      <c r="E323" s="53"/>
      <c r="F323" s="170">
        <f>SUM(F305:F322)</f>
        <v>0</v>
      </c>
    </row>
    <row r="324" spans="1:6" s="116" customFormat="1">
      <c r="A324" s="131"/>
      <c r="B324" s="176"/>
      <c r="C324" s="33"/>
      <c r="D324" s="33"/>
      <c r="E324" s="52"/>
      <c r="F324" s="162"/>
    </row>
    <row r="325" spans="1:6" s="48" customFormat="1">
      <c r="A325" s="141" t="s">
        <v>299</v>
      </c>
      <c r="B325" s="160" t="s">
        <v>300</v>
      </c>
      <c r="C325" s="62"/>
      <c r="D325" s="62"/>
      <c r="E325" s="72"/>
      <c r="F325" s="162"/>
    </row>
    <row r="326" spans="1:6" s="48" customFormat="1">
      <c r="A326" s="123"/>
      <c r="B326" s="158" t="s">
        <v>301</v>
      </c>
      <c r="C326" s="62"/>
      <c r="D326" s="62"/>
      <c r="E326" s="72"/>
      <c r="F326" s="162"/>
    </row>
    <row r="327" spans="1:6" s="48" customFormat="1">
      <c r="A327" s="123"/>
      <c r="B327" s="158"/>
      <c r="C327" s="62"/>
      <c r="D327" s="62"/>
      <c r="E327" s="72"/>
      <c r="F327" s="162"/>
    </row>
    <row r="328" spans="1:6" s="48" customFormat="1" ht="27.6">
      <c r="A328" s="123">
        <v>1</v>
      </c>
      <c r="B328" s="158" t="s">
        <v>302</v>
      </c>
      <c r="C328" s="62"/>
      <c r="D328" s="62"/>
      <c r="E328" s="72"/>
      <c r="F328" s="162"/>
    </row>
    <row r="329" spans="1:6" s="48" customFormat="1">
      <c r="A329" s="123">
        <v>2</v>
      </c>
      <c r="B329" s="158" t="s">
        <v>303</v>
      </c>
      <c r="C329" s="62"/>
      <c r="D329" s="62"/>
      <c r="E329" s="72"/>
      <c r="F329" s="162"/>
    </row>
    <row r="330" spans="1:6" s="48" customFormat="1" ht="35.25" customHeight="1">
      <c r="A330" s="123">
        <v>3</v>
      </c>
      <c r="B330" s="158" t="s">
        <v>304</v>
      </c>
      <c r="C330" s="22"/>
      <c r="D330" s="22"/>
      <c r="E330" s="50"/>
      <c r="F330" s="162"/>
    </row>
    <row r="331" spans="1:6" s="48" customFormat="1">
      <c r="A331" s="123">
        <v>4</v>
      </c>
      <c r="B331" s="158" t="s">
        <v>305</v>
      </c>
      <c r="C331" s="22"/>
      <c r="D331" s="22"/>
      <c r="E331" s="50"/>
      <c r="F331" s="162"/>
    </row>
    <row r="332" spans="1:6" s="48" customFormat="1">
      <c r="A332" s="123">
        <v>5</v>
      </c>
      <c r="B332" s="158" t="s">
        <v>306</v>
      </c>
      <c r="C332" s="22"/>
      <c r="D332" s="22"/>
      <c r="E332" s="50"/>
      <c r="F332" s="162"/>
    </row>
    <row r="333" spans="1:6" s="48" customFormat="1">
      <c r="A333" s="123">
        <v>6</v>
      </c>
      <c r="B333" s="158" t="s">
        <v>307</v>
      </c>
      <c r="C333" s="22"/>
      <c r="D333" s="22"/>
      <c r="E333" s="50"/>
      <c r="F333" s="162">
        <f t="shared" ref="F333:F393" si="5">E333*D333</f>
        <v>0</v>
      </c>
    </row>
    <row r="334" spans="1:6" s="48" customFormat="1" ht="27.6">
      <c r="A334" s="123">
        <v>7</v>
      </c>
      <c r="B334" s="158" t="s">
        <v>308</v>
      </c>
      <c r="C334" s="22"/>
      <c r="D334" s="22"/>
      <c r="E334" s="50"/>
      <c r="F334" s="162">
        <f t="shared" si="5"/>
        <v>0</v>
      </c>
    </row>
    <row r="335" spans="1:6" s="48" customFormat="1">
      <c r="A335" s="124"/>
      <c r="B335" s="160"/>
      <c r="C335" s="22"/>
      <c r="D335" s="22"/>
      <c r="E335" s="50"/>
      <c r="F335" s="162">
        <f t="shared" si="5"/>
        <v>0</v>
      </c>
    </row>
    <row r="336" spans="1:6" s="48" customFormat="1">
      <c r="A336" s="141" t="s">
        <v>299</v>
      </c>
      <c r="B336" s="160" t="s">
        <v>300</v>
      </c>
      <c r="C336" s="22"/>
      <c r="D336" s="22"/>
      <c r="E336" s="50"/>
      <c r="F336" s="162">
        <f t="shared" si="5"/>
        <v>0</v>
      </c>
    </row>
    <row r="337" spans="1:6" s="48" customFormat="1" ht="41.4">
      <c r="A337" s="124">
        <v>1</v>
      </c>
      <c r="B337" s="161" t="s">
        <v>376</v>
      </c>
      <c r="C337" s="22"/>
      <c r="D337" s="22"/>
      <c r="E337" s="50"/>
      <c r="F337" s="162">
        <f t="shared" si="5"/>
        <v>0</v>
      </c>
    </row>
    <row r="338" spans="1:6" s="48" customFormat="1" ht="15" customHeight="1">
      <c r="A338" s="124" t="s">
        <v>3</v>
      </c>
      <c r="B338" s="161" t="s">
        <v>494</v>
      </c>
      <c r="C338" s="62" t="s">
        <v>49</v>
      </c>
      <c r="D338" s="62">
        <v>20</v>
      </c>
      <c r="E338" s="52"/>
      <c r="F338" s="162">
        <f t="shared" si="5"/>
        <v>0</v>
      </c>
    </row>
    <row r="339" spans="1:6" s="48" customFormat="1">
      <c r="A339" s="124"/>
      <c r="B339" s="161"/>
      <c r="C339" s="22"/>
      <c r="D339" s="22"/>
      <c r="E339" s="50"/>
      <c r="F339" s="162">
        <f t="shared" si="5"/>
        <v>0</v>
      </c>
    </row>
    <row r="340" spans="1:6" s="48" customFormat="1" ht="41.4">
      <c r="A340" s="124">
        <v>2</v>
      </c>
      <c r="B340" s="161" t="s">
        <v>309</v>
      </c>
      <c r="C340" s="22"/>
      <c r="D340" s="22"/>
      <c r="E340" s="50"/>
      <c r="F340" s="162">
        <f t="shared" si="5"/>
        <v>0</v>
      </c>
    </row>
    <row r="341" spans="1:6" s="48" customFormat="1" ht="15" customHeight="1">
      <c r="A341" s="124" t="s">
        <v>3</v>
      </c>
      <c r="B341" s="161" t="s">
        <v>495</v>
      </c>
      <c r="C341" s="62" t="s">
        <v>13</v>
      </c>
      <c r="D341" s="62">
        <v>2</v>
      </c>
      <c r="E341" s="52"/>
      <c r="F341" s="162">
        <f t="shared" si="5"/>
        <v>0</v>
      </c>
    </row>
    <row r="342" spans="1:6" s="48" customFormat="1">
      <c r="A342" s="124"/>
      <c r="B342" s="161"/>
      <c r="C342" s="62"/>
      <c r="D342" s="62"/>
      <c r="E342" s="72"/>
      <c r="F342" s="162">
        <f t="shared" si="5"/>
        <v>0</v>
      </c>
    </row>
    <row r="343" spans="1:6" s="48" customFormat="1" ht="55.2">
      <c r="A343" s="124">
        <v>3</v>
      </c>
      <c r="B343" s="161" t="s">
        <v>310</v>
      </c>
      <c r="C343" s="62"/>
      <c r="D343" s="62"/>
      <c r="E343" s="72"/>
      <c r="F343" s="162">
        <f t="shared" si="5"/>
        <v>0</v>
      </c>
    </row>
    <row r="344" spans="1:6" s="48" customFormat="1">
      <c r="A344" s="124" t="s">
        <v>3</v>
      </c>
      <c r="B344" s="161" t="s">
        <v>311</v>
      </c>
      <c r="C344" s="22" t="s">
        <v>49</v>
      </c>
      <c r="D344" s="62">
        <v>100</v>
      </c>
      <c r="E344" s="52"/>
      <c r="F344" s="162">
        <f t="shared" si="5"/>
        <v>0</v>
      </c>
    </row>
    <row r="345" spans="1:6" s="48" customFormat="1" ht="27.6">
      <c r="A345" s="124" t="s">
        <v>4</v>
      </c>
      <c r="B345" s="161" t="s">
        <v>312</v>
      </c>
      <c r="C345" s="22" t="s">
        <v>49</v>
      </c>
      <c r="D345" s="62">
        <v>100</v>
      </c>
      <c r="E345" s="52"/>
      <c r="F345" s="162">
        <f t="shared" si="5"/>
        <v>0</v>
      </c>
    </row>
    <row r="346" spans="1:6" s="48" customFormat="1">
      <c r="A346" s="124"/>
      <c r="B346" s="161"/>
      <c r="C346" s="62"/>
      <c r="D346" s="62"/>
      <c r="E346" s="72"/>
      <c r="F346" s="162">
        <f t="shared" si="5"/>
        <v>0</v>
      </c>
    </row>
    <row r="347" spans="1:6" s="48" customFormat="1" ht="58.5" customHeight="1">
      <c r="A347" s="124">
        <v>4</v>
      </c>
      <c r="B347" s="161" t="s">
        <v>313</v>
      </c>
      <c r="C347" s="62"/>
      <c r="D347" s="62"/>
      <c r="E347" s="72"/>
      <c r="F347" s="162">
        <f t="shared" si="5"/>
        <v>0</v>
      </c>
    </row>
    <row r="348" spans="1:6" s="48" customFormat="1">
      <c r="A348" s="124" t="s">
        <v>3</v>
      </c>
      <c r="B348" s="161" t="s">
        <v>314</v>
      </c>
      <c r="C348" s="62" t="s">
        <v>13</v>
      </c>
      <c r="D348" s="62">
        <v>4</v>
      </c>
      <c r="E348" s="52"/>
      <c r="F348" s="162">
        <f t="shared" si="5"/>
        <v>0</v>
      </c>
    </row>
    <row r="349" spans="1:6" s="48" customFormat="1">
      <c r="A349" s="124" t="s">
        <v>4</v>
      </c>
      <c r="B349" s="161" t="s">
        <v>315</v>
      </c>
      <c r="C349" s="62" t="s">
        <v>13</v>
      </c>
      <c r="D349" s="62">
        <v>4</v>
      </c>
      <c r="E349" s="52"/>
      <c r="F349" s="162">
        <f t="shared" si="5"/>
        <v>0</v>
      </c>
    </row>
    <row r="350" spans="1:6" s="48" customFormat="1">
      <c r="A350" s="124"/>
      <c r="B350" s="161"/>
      <c r="C350" s="62"/>
      <c r="D350" s="62"/>
      <c r="E350" s="72"/>
      <c r="F350" s="162"/>
    </row>
    <row r="351" spans="1:6" s="116" customFormat="1">
      <c r="A351" s="140"/>
      <c r="B351" s="182" t="s">
        <v>189</v>
      </c>
      <c r="C351" s="31"/>
      <c r="D351" s="31"/>
      <c r="E351" s="53"/>
      <c r="F351" s="170">
        <f>SUM(F330:F350)</f>
        <v>0</v>
      </c>
    </row>
    <row r="352" spans="1:6" s="116" customFormat="1">
      <c r="A352" s="140"/>
      <c r="B352" s="182" t="s">
        <v>316</v>
      </c>
      <c r="C352" s="31"/>
      <c r="D352" s="31"/>
      <c r="E352" s="53"/>
      <c r="F352" s="170">
        <f>F351+F323</f>
        <v>0</v>
      </c>
    </row>
    <row r="353" spans="1:6" s="116" customFormat="1">
      <c r="A353" s="131"/>
      <c r="B353" s="176"/>
      <c r="C353" s="33"/>
      <c r="D353" s="33"/>
      <c r="E353" s="52"/>
      <c r="F353" s="184"/>
    </row>
    <row r="354" spans="1:6">
      <c r="A354" s="136" t="s">
        <v>168</v>
      </c>
      <c r="B354" s="172" t="s">
        <v>362</v>
      </c>
      <c r="C354" s="29"/>
      <c r="D354" s="34"/>
      <c r="E354" s="56"/>
      <c r="F354" s="162"/>
    </row>
    <row r="355" spans="1:6">
      <c r="A355" s="131"/>
      <c r="B355" s="183" t="s">
        <v>95</v>
      </c>
      <c r="C355" s="24"/>
      <c r="D355" s="25"/>
      <c r="E355" s="51"/>
      <c r="F355" s="162"/>
    </row>
    <row r="356" spans="1:6" ht="27.6">
      <c r="A356" s="142"/>
      <c r="B356" s="166" t="s">
        <v>96</v>
      </c>
      <c r="C356" s="41"/>
      <c r="D356" s="25"/>
      <c r="E356" s="51"/>
      <c r="F356" s="162"/>
    </row>
    <row r="357" spans="1:6">
      <c r="A357" s="128"/>
      <c r="B357" s="166"/>
      <c r="C357" s="41"/>
      <c r="D357" s="25"/>
      <c r="E357" s="51"/>
      <c r="F357" s="162"/>
    </row>
    <row r="358" spans="1:6" ht="27.6">
      <c r="A358" s="128">
        <v>1</v>
      </c>
      <c r="B358" s="166" t="s">
        <v>97</v>
      </c>
      <c r="C358" s="41"/>
      <c r="D358" s="25"/>
      <c r="E358" s="51"/>
      <c r="F358" s="162"/>
    </row>
    <row r="359" spans="1:6" ht="27.6">
      <c r="A359" s="128">
        <v>2</v>
      </c>
      <c r="B359" s="166" t="s">
        <v>98</v>
      </c>
      <c r="C359" s="41"/>
      <c r="D359" s="25"/>
      <c r="E359" s="51"/>
      <c r="F359" s="162"/>
    </row>
    <row r="360" spans="1:6">
      <c r="A360" s="128">
        <v>3</v>
      </c>
      <c r="B360" s="166" t="s">
        <v>99</v>
      </c>
      <c r="C360" s="41"/>
      <c r="D360" s="25"/>
      <c r="E360" s="51"/>
      <c r="F360" s="162"/>
    </row>
    <row r="361" spans="1:6">
      <c r="A361" s="128">
        <v>4</v>
      </c>
      <c r="B361" s="166" t="s">
        <v>100</v>
      </c>
      <c r="C361" s="41"/>
      <c r="D361" s="25"/>
      <c r="E361" s="51"/>
      <c r="F361" s="162"/>
    </row>
    <row r="362" spans="1:6" ht="55.2">
      <c r="A362" s="128">
        <v>5</v>
      </c>
      <c r="B362" s="166" t="s">
        <v>101</v>
      </c>
      <c r="C362" s="41"/>
      <c r="D362" s="25"/>
      <c r="E362" s="51"/>
      <c r="F362" s="162"/>
    </row>
    <row r="363" spans="1:6">
      <c r="A363" s="128">
        <v>6</v>
      </c>
      <c r="B363" s="166" t="s">
        <v>102</v>
      </c>
      <c r="C363" s="41"/>
      <c r="D363" s="25"/>
      <c r="E363" s="51"/>
      <c r="F363" s="162">
        <f t="shared" si="5"/>
        <v>0</v>
      </c>
    </row>
    <row r="364" spans="1:6" s="36" customFormat="1" ht="27.6">
      <c r="A364" s="128">
        <v>7</v>
      </c>
      <c r="B364" s="166" t="s">
        <v>103</v>
      </c>
      <c r="C364" s="41"/>
      <c r="D364" s="25"/>
      <c r="E364" s="51"/>
      <c r="F364" s="162">
        <f t="shared" si="5"/>
        <v>0</v>
      </c>
    </row>
    <row r="365" spans="1:6" ht="27.6">
      <c r="A365" s="128">
        <v>8</v>
      </c>
      <c r="B365" s="166" t="s">
        <v>104</v>
      </c>
      <c r="C365" s="41"/>
      <c r="D365" s="25"/>
      <c r="E365" s="51"/>
      <c r="F365" s="162">
        <f t="shared" si="5"/>
        <v>0</v>
      </c>
    </row>
    <row r="366" spans="1:6">
      <c r="A366" s="128" t="s">
        <v>105</v>
      </c>
      <c r="B366" s="166" t="s">
        <v>106</v>
      </c>
      <c r="C366" s="41"/>
      <c r="D366" s="25"/>
      <c r="E366" s="51"/>
      <c r="F366" s="162">
        <f t="shared" si="5"/>
        <v>0</v>
      </c>
    </row>
    <row r="367" spans="1:6">
      <c r="A367" s="128" t="s">
        <v>107</v>
      </c>
      <c r="B367" s="166" t="s">
        <v>108</v>
      </c>
      <c r="C367" s="41"/>
      <c r="D367" s="25"/>
      <c r="E367" s="51"/>
      <c r="F367" s="162">
        <f t="shared" si="5"/>
        <v>0</v>
      </c>
    </row>
    <row r="368" spans="1:6">
      <c r="A368" s="128" t="s">
        <v>109</v>
      </c>
      <c r="B368" s="166" t="s">
        <v>110</v>
      </c>
      <c r="C368" s="41"/>
      <c r="D368" s="25"/>
      <c r="E368" s="51"/>
      <c r="F368" s="162">
        <f t="shared" si="5"/>
        <v>0</v>
      </c>
    </row>
    <row r="369" spans="1:6" ht="27.6">
      <c r="A369" s="128">
        <v>9</v>
      </c>
      <c r="B369" s="166" t="s">
        <v>111</v>
      </c>
      <c r="C369" s="41"/>
      <c r="D369" s="25"/>
      <c r="E369" s="51"/>
      <c r="F369" s="162">
        <f t="shared" si="5"/>
        <v>0</v>
      </c>
    </row>
    <row r="370" spans="1:6" ht="41.4">
      <c r="A370" s="128">
        <v>10</v>
      </c>
      <c r="B370" s="166" t="s">
        <v>112</v>
      </c>
      <c r="C370" s="41"/>
      <c r="D370" s="25"/>
      <c r="E370" s="51"/>
      <c r="F370" s="162">
        <f t="shared" si="5"/>
        <v>0</v>
      </c>
    </row>
    <row r="371" spans="1:6" ht="27.6">
      <c r="A371" s="128">
        <v>11</v>
      </c>
      <c r="B371" s="166" t="s">
        <v>113</v>
      </c>
      <c r="C371" s="41"/>
      <c r="D371" s="25"/>
      <c r="E371" s="51"/>
      <c r="F371" s="162">
        <f t="shared" si="5"/>
        <v>0</v>
      </c>
    </row>
    <row r="372" spans="1:6" ht="27.6">
      <c r="A372" s="128">
        <v>12</v>
      </c>
      <c r="B372" s="166" t="s">
        <v>114</v>
      </c>
      <c r="C372" s="41"/>
      <c r="D372" s="25"/>
      <c r="E372" s="51"/>
      <c r="F372" s="162">
        <f t="shared" si="5"/>
        <v>0</v>
      </c>
    </row>
    <row r="373" spans="1:6" ht="27.6">
      <c r="A373" s="128">
        <v>13</v>
      </c>
      <c r="B373" s="166" t="s">
        <v>115</v>
      </c>
      <c r="C373" s="41"/>
      <c r="D373" s="25"/>
      <c r="E373" s="51"/>
      <c r="F373" s="162">
        <f t="shared" si="5"/>
        <v>0</v>
      </c>
    </row>
    <row r="374" spans="1:6">
      <c r="A374" s="128">
        <v>14</v>
      </c>
      <c r="B374" s="166" t="s">
        <v>116</v>
      </c>
      <c r="C374" s="41"/>
      <c r="D374" s="25"/>
      <c r="E374" s="51"/>
      <c r="F374" s="162">
        <f t="shared" si="5"/>
        <v>0</v>
      </c>
    </row>
    <row r="375" spans="1:6">
      <c r="A375" s="128" t="s">
        <v>3</v>
      </c>
      <c r="B375" s="166" t="s">
        <v>117</v>
      </c>
      <c r="C375" s="41"/>
      <c r="D375" s="25"/>
      <c r="E375" s="51"/>
      <c r="F375" s="162">
        <f t="shared" si="5"/>
        <v>0</v>
      </c>
    </row>
    <row r="376" spans="1:6">
      <c r="A376" s="128" t="s">
        <v>4</v>
      </c>
      <c r="B376" s="166" t="s">
        <v>118</v>
      </c>
      <c r="C376" s="41"/>
      <c r="D376" s="25"/>
      <c r="E376" s="51"/>
      <c r="F376" s="162">
        <f t="shared" si="5"/>
        <v>0</v>
      </c>
    </row>
    <row r="377" spans="1:6" ht="55.2">
      <c r="A377" s="128">
        <v>15</v>
      </c>
      <c r="B377" s="166" t="s">
        <v>119</v>
      </c>
      <c r="C377" s="41"/>
      <c r="D377" s="25"/>
      <c r="E377" s="51"/>
      <c r="F377" s="162">
        <f t="shared" si="5"/>
        <v>0</v>
      </c>
    </row>
    <row r="378" spans="1:6" ht="27.6">
      <c r="A378" s="128">
        <v>16</v>
      </c>
      <c r="B378" s="166" t="s">
        <v>120</v>
      </c>
      <c r="C378" s="41"/>
      <c r="D378" s="25"/>
      <c r="E378" s="51"/>
      <c r="F378" s="162">
        <f t="shared" si="5"/>
        <v>0</v>
      </c>
    </row>
    <row r="379" spans="1:6" ht="27.6">
      <c r="A379" s="128">
        <v>17</v>
      </c>
      <c r="B379" s="166" t="s">
        <v>121</v>
      </c>
      <c r="C379" s="41"/>
      <c r="D379" s="25"/>
      <c r="E379" s="51"/>
      <c r="F379" s="162">
        <f t="shared" si="5"/>
        <v>0</v>
      </c>
    </row>
    <row r="380" spans="1:6">
      <c r="A380" s="128">
        <v>18</v>
      </c>
      <c r="B380" s="166" t="s">
        <v>122</v>
      </c>
      <c r="C380" s="41"/>
      <c r="D380" s="25"/>
      <c r="E380" s="51"/>
      <c r="F380" s="162">
        <f t="shared" si="5"/>
        <v>0</v>
      </c>
    </row>
    <row r="381" spans="1:6" ht="165.6">
      <c r="A381" s="128"/>
      <c r="B381" s="166" t="s">
        <v>166</v>
      </c>
      <c r="C381" s="24"/>
      <c r="D381" s="25"/>
      <c r="E381" s="51"/>
      <c r="F381" s="162">
        <f t="shared" si="5"/>
        <v>0</v>
      </c>
    </row>
    <row r="382" spans="1:6">
      <c r="A382" s="128"/>
      <c r="B382" s="166"/>
      <c r="C382" s="24"/>
      <c r="D382" s="25"/>
      <c r="E382" s="51"/>
      <c r="F382" s="162">
        <f t="shared" si="5"/>
        <v>0</v>
      </c>
    </row>
    <row r="383" spans="1:6" s="115" customFormat="1">
      <c r="A383" s="131">
        <v>1</v>
      </c>
      <c r="B383" s="183" t="s">
        <v>366</v>
      </c>
      <c r="C383" s="24"/>
      <c r="D383" s="24"/>
      <c r="E383" s="52"/>
      <c r="F383" s="162">
        <f t="shared" si="5"/>
        <v>0</v>
      </c>
    </row>
    <row r="384" spans="1:6" s="115" customFormat="1">
      <c r="A384" s="128"/>
      <c r="B384" s="183" t="s">
        <v>216</v>
      </c>
      <c r="C384" s="24"/>
      <c r="D384" s="24"/>
      <c r="E384" s="52"/>
      <c r="F384" s="162">
        <f t="shared" si="5"/>
        <v>0</v>
      </c>
    </row>
    <row r="385" spans="1:6" s="115" customFormat="1">
      <c r="A385" s="131" t="s">
        <v>77</v>
      </c>
      <c r="B385" s="183" t="s">
        <v>367</v>
      </c>
      <c r="C385" s="24"/>
      <c r="D385" s="24"/>
      <c r="E385" s="52"/>
      <c r="F385" s="162">
        <f t="shared" si="5"/>
        <v>0</v>
      </c>
    </row>
    <row r="386" spans="1:6" s="115" customFormat="1" ht="55.2">
      <c r="A386" s="128" t="s">
        <v>66</v>
      </c>
      <c r="B386" s="166" t="s">
        <v>503</v>
      </c>
      <c r="C386" s="24"/>
      <c r="D386" s="24"/>
      <c r="E386" s="52"/>
      <c r="F386" s="162">
        <f t="shared" si="5"/>
        <v>0</v>
      </c>
    </row>
    <row r="387" spans="1:6" s="115" customFormat="1" ht="27.6">
      <c r="A387" s="128" t="s">
        <v>123</v>
      </c>
      <c r="B387" s="166" t="s">
        <v>504</v>
      </c>
      <c r="C387" s="24"/>
      <c r="D387" s="24"/>
      <c r="E387" s="52"/>
      <c r="F387" s="162">
        <f t="shared" si="5"/>
        <v>0</v>
      </c>
    </row>
    <row r="388" spans="1:6" s="115" customFormat="1">
      <c r="A388" s="128"/>
      <c r="B388" s="166"/>
      <c r="C388" s="24"/>
      <c r="D388" s="24"/>
      <c r="E388" s="52"/>
      <c r="F388" s="162">
        <f t="shared" si="5"/>
        <v>0</v>
      </c>
    </row>
    <row r="389" spans="1:6" s="115" customFormat="1">
      <c r="A389" s="128" t="s">
        <v>105</v>
      </c>
      <c r="B389" s="166" t="s">
        <v>124</v>
      </c>
      <c r="C389" s="24"/>
      <c r="D389" s="24"/>
      <c r="E389" s="52"/>
      <c r="F389" s="162">
        <f t="shared" si="5"/>
        <v>0</v>
      </c>
    </row>
    <row r="390" spans="1:6" s="115" customFormat="1">
      <c r="A390" s="128" t="s">
        <v>107</v>
      </c>
      <c r="B390" s="166" t="s">
        <v>125</v>
      </c>
      <c r="C390" s="24"/>
      <c r="D390" s="24"/>
      <c r="E390" s="52"/>
      <c r="F390" s="162">
        <f t="shared" si="5"/>
        <v>0</v>
      </c>
    </row>
    <row r="391" spans="1:6" s="115" customFormat="1">
      <c r="A391" s="128" t="s">
        <v>109</v>
      </c>
      <c r="B391" s="166" t="s">
        <v>126</v>
      </c>
      <c r="C391" s="24"/>
      <c r="D391" s="24"/>
      <c r="E391" s="52"/>
      <c r="F391" s="162">
        <f t="shared" si="5"/>
        <v>0</v>
      </c>
    </row>
    <row r="392" spans="1:6" s="115" customFormat="1">
      <c r="A392" s="128" t="s">
        <v>127</v>
      </c>
      <c r="B392" s="166" t="s">
        <v>128</v>
      </c>
      <c r="C392" s="24"/>
      <c r="D392" s="24"/>
      <c r="E392" s="52"/>
      <c r="F392" s="162">
        <f t="shared" si="5"/>
        <v>0</v>
      </c>
    </row>
    <row r="393" spans="1:6" s="115" customFormat="1">
      <c r="A393" s="128" t="s">
        <v>129</v>
      </c>
      <c r="B393" s="166" t="s">
        <v>130</v>
      </c>
      <c r="C393" s="24"/>
      <c r="D393" s="24"/>
      <c r="E393" s="52"/>
      <c r="F393" s="162">
        <f t="shared" si="5"/>
        <v>0</v>
      </c>
    </row>
    <row r="394" spans="1:6" s="115" customFormat="1">
      <c r="A394" s="128" t="s">
        <v>131</v>
      </c>
      <c r="B394" s="166" t="s">
        <v>132</v>
      </c>
      <c r="C394" s="24"/>
      <c r="D394" s="24"/>
      <c r="E394" s="52"/>
      <c r="F394" s="162">
        <f t="shared" ref="F394:F457" si="6">E394*D394</f>
        <v>0</v>
      </c>
    </row>
    <row r="395" spans="1:6" s="115" customFormat="1">
      <c r="A395" s="128" t="s">
        <v>133</v>
      </c>
      <c r="B395" s="166" t="s">
        <v>134</v>
      </c>
      <c r="C395" s="24"/>
      <c r="D395" s="24"/>
      <c r="E395" s="52"/>
      <c r="F395" s="162">
        <f t="shared" si="6"/>
        <v>0</v>
      </c>
    </row>
    <row r="396" spans="1:6" s="115" customFormat="1">
      <c r="A396" s="128" t="s">
        <v>135</v>
      </c>
      <c r="B396" s="166" t="s">
        <v>136</v>
      </c>
      <c r="C396" s="24"/>
      <c r="D396" s="24"/>
      <c r="E396" s="52"/>
      <c r="F396" s="162">
        <f t="shared" si="6"/>
        <v>0</v>
      </c>
    </row>
    <row r="397" spans="1:6" s="115" customFormat="1">
      <c r="A397" s="128" t="s">
        <v>66</v>
      </c>
      <c r="B397" s="166" t="s">
        <v>137</v>
      </c>
      <c r="C397" s="24"/>
      <c r="D397" s="24"/>
      <c r="E397" s="52"/>
      <c r="F397" s="162">
        <f t="shared" si="6"/>
        <v>0</v>
      </c>
    </row>
    <row r="398" spans="1:6" s="115" customFormat="1">
      <c r="A398" s="128" t="s">
        <v>67</v>
      </c>
      <c r="B398" s="166" t="s">
        <v>138</v>
      </c>
      <c r="C398" s="24"/>
      <c r="D398" s="24"/>
      <c r="E398" s="52"/>
      <c r="F398" s="162">
        <f t="shared" si="6"/>
        <v>0</v>
      </c>
    </row>
    <row r="399" spans="1:6" s="115" customFormat="1">
      <c r="A399" s="128" t="s">
        <v>68</v>
      </c>
      <c r="B399" s="166" t="s">
        <v>239</v>
      </c>
      <c r="C399" s="24"/>
      <c r="D399" s="24"/>
      <c r="E399" s="52"/>
      <c r="F399" s="162">
        <f t="shared" si="6"/>
        <v>0</v>
      </c>
    </row>
    <row r="400" spans="1:6" s="115" customFormat="1">
      <c r="A400" s="128"/>
      <c r="B400" s="166"/>
      <c r="C400" s="24"/>
      <c r="D400" s="24"/>
      <c r="E400" s="52"/>
      <c r="F400" s="162">
        <f t="shared" si="6"/>
        <v>0</v>
      </c>
    </row>
    <row r="401" spans="1:6" s="115" customFormat="1" ht="27.6">
      <c r="A401" s="128" t="s">
        <v>139</v>
      </c>
      <c r="B401" s="166" t="s">
        <v>217</v>
      </c>
      <c r="C401" s="24"/>
      <c r="D401" s="24"/>
      <c r="E401" s="52"/>
      <c r="F401" s="162">
        <f t="shared" si="6"/>
        <v>0</v>
      </c>
    </row>
    <row r="402" spans="1:6" s="115" customFormat="1">
      <c r="A402" s="128"/>
      <c r="B402" s="185" t="s">
        <v>140</v>
      </c>
      <c r="C402" s="24"/>
      <c r="D402" s="24"/>
      <c r="E402" s="52"/>
      <c r="F402" s="162">
        <f t="shared" si="6"/>
        <v>0</v>
      </c>
    </row>
    <row r="403" spans="1:6" s="115" customFormat="1">
      <c r="A403" s="128" t="s">
        <v>218</v>
      </c>
      <c r="B403" s="166" t="s">
        <v>142</v>
      </c>
      <c r="C403" s="24"/>
      <c r="D403" s="24"/>
      <c r="E403" s="52"/>
      <c r="F403" s="162">
        <f t="shared" si="6"/>
        <v>0</v>
      </c>
    </row>
    <row r="404" spans="1:6" s="115" customFormat="1">
      <c r="A404" s="128"/>
      <c r="B404" s="185" t="s">
        <v>143</v>
      </c>
      <c r="C404" s="24"/>
      <c r="D404" s="24"/>
      <c r="E404" s="52"/>
      <c r="F404" s="162">
        <f t="shared" si="6"/>
        <v>0</v>
      </c>
    </row>
    <row r="405" spans="1:6" s="115" customFormat="1">
      <c r="A405" s="128" t="s">
        <v>219</v>
      </c>
      <c r="B405" s="166" t="s">
        <v>220</v>
      </c>
      <c r="C405" s="24"/>
      <c r="D405" s="24"/>
      <c r="E405" s="52"/>
      <c r="F405" s="162">
        <f t="shared" si="6"/>
        <v>0</v>
      </c>
    </row>
    <row r="406" spans="1:6" s="115" customFormat="1">
      <c r="A406" s="128"/>
      <c r="B406" s="166"/>
      <c r="C406" s="24"/>
      <c r="D406" s="24"/>
      <c r="E406" s="52"/>
      <c r="F406" s="162">
        <f t="shared" si="6"/>
        <v>0</v>
      </c>
    </row>
    <row r="407" spans="1:6" s="115" customFormat="1">
      <c r="A407" s="128" t="s">
        <v>221</v>
      </c>
      <c r="B407" s="166" t="s">
        <v>222</v>
      </c>
      <c r="C407" s="24"/>
      <c r="D407" s="24"/>
      <c r="E407" s="52"/>
      <c r="F407" s="162">
        <f t="shared" si="6"/>
        <v>0</v>
      </c>
    </row>
    <row r="408" spans="1:6" s="115" customFormat="1">
      <c r="A408" s="128"/>
      <c r="B408" s="166"/>
      <c r="C408" s="24"/>
      <c r="D408" s="24"/>
      <c r="E408" s="52"/>
      <c r="F408" s="162">
        <f t="shared" si="6"/>
        <v>0</v>
      </c>
    </row>
    <row r="409" spans="1:6" s="115" customFormat="1">
      <c r="A409" s="128" t="s">
        <v>144</v>
      </c>
      <c r="B409" s="166" t="s">
        <v>407</v>
      </c>
      <c r="C409" s="24"/>
      <c r="D409" s="24"/>
      <c r="E409" s="52"/>
      <c r="F409" s="162">
        <f t="shared" si="6"/>
        <v>0</v>
      </c>
    </row>
    <row r="410" spans="1:6" s="115" customFormat="1">
      <c r="A410" s="128"/>
      <c r="B410" s="185" t="s">
        <v>147</v>
      </c>
      <c r="C410" s="24"/>
      <c r="D410" s="24"/>
      <c r="E410" s="52"/>
      <c r="F410" s="162">
        <f t="shared" si="6"/>
        <v>0</v>
      </c>
    </row>
    <row r="411" spans="1:6" s="115" customFormat="1">
      <c r="A411" s="128" t="s">
        <v>146</v>
      </c>
      <c r="B411" s="166" t="s">
        <v>223</v>
      </c>
      <c r="C411" s="24"/>
      <c r="D411" s="24"/>
      <c r="E411" s="52"/>
      <c r="F411" s="162">
        <f t="shared" si="6"/>
        <v>0</v>
      </c>
    </row>
    <row r="412" spans="1:6" s="115" customFormat="1">
      <c r="A412" s="128"/>
      <c r="B412" s="185" t="s">
        <v>145</v>
      </c>
      <c r="C412" s="24"/>
      <c r="D412" s="24"/>
      <c r="E412" s="52"/>
      <c r="F412" s="162">
        <f t="shared" si="6"/>
        <v>0</v>
      </c>
    </row>
    <row r="413" spans="1:6" s="115" customFormat="1">
      <c r="A413" s="128" t="s">
        <v>148</v>
      </c>
      <c r="B413" s="166" t="s">
        <v>149</v>
      </c>
      <c r="C413" s="24" t="s">
        <v>40</v>
      </c>
      <c r="D413" s="24"/>
      <c r="E413" s="52"/>
      <c r="F413" s="162">
        <f t="shared" si="6"/>
        <v>0</v>
      </c>
    </row>
    <row r="414" spans="1:6" s="115" customFormat="1">
      <c r="A414" s="128"/>
      <c r="B414" s="185" t="s">
        <v>145</v>
      </c>
      <c r="C414" s="24"/>
      <c r="D414" s="24"/>
      <c r="E414" s="52"/>
      <c r="F414" s="162">
        <f t="shared" si="6"/>
        <v>0</v>
      </c>
    </row>
    <row r="415" spans="1:6" s="115" customFormat="1">
      <c r="A415" s="128" t="s">
        <v>148</v>
      </c>
      <c r="B415" s="166" t="s">
        <v>151</v>
      </c>
      <c r="C415" s="24"/>
      <c r="D415" s="24"/>
      <c r="E415" s="52"/>
      <c r="F415" s="162">
        <f t="shared" si="6"/>
        <v>0</v>
      </c>
    </row>
    <row r="416" spans="1:6" s="115" customFormat="1">
      <c r="A416" s="128" t="s">
        <v>152</v>
      </c>
      <c r="B416" s="166" t="s">
        <v>226</v>
      </c>
      <c r="C416" s="24"/>
      <c r="D416" s="24"/>
      <c r="E416" s="52"/>
      <c r="F416" s="162">
        <f t="shared" si="6"/>
        <v>0</v>
      </c>
    </row>
    <row r="417" spans="1:6" s="115" customFormat="1">
      <c r="A417" s="128" t="s">
        <v>153</v>
      </c>
      <c r="B417" s="166" t="s">
        <v>154</v>
      </c>
      <c r="C417" s="24"/>
      <c r="D417" s="24"/>
      <c r="E417" s="52"/>
      <c r="F417" s="162">
        <f t="shared" si="6"/>
        <v>0</v>
      </c>
    </row>
    <row r="418" spans="1:6" s="115" customFormat="1">
      <c r="A418" s="128" t="s">
        <v>224</v>
      </c>
      <c r="B418" s="166" t="s">
        <v>155</v>
      </c>
      <c r="C418" s="24"/>
      <c r="D418" s="24"/>
      <c r="E418" s="52"/>
      <c r="F418" s="162">
        <f t="shared" si="6"/>
        <v>0</v>
      </c>
    </row>
    <row r="419" spans="1:6" s="115" customFormat="1">
      <c r="A419" s="128" t="s">
        <v>225</v>
      </c>
      <c r="B419" s="166" t="s">
        <v>507</v>
      </c>
      <c r="C419" s="24"/>
      <c r="D419" s="24"/>
      <c r="E419" s="52"/>
      <c r="F419" s="162">
        <f t="shared" si="6"/>
        <v>0</v>
      </c>
    </row>
    <row r="420" spans="1:6" s="115" customFormat="1">
      <c r="A420" s="128" t="s">
        <v>227</v>
      </c>
      <c r="B420" s="166" t="s">
        <v>240</v>
      </c>
      <c r="C420" s="24"/>
      <c r="D420" s="24"/>
      <c r="E420" s="52"/>
      <c r="F420" s="162">
        <f t="shared" si="6"/>
        <v>0</v>
      </c>
    </row>
    <row r="421" spans="1:6" s="115" customFormat="1">
      <c r="A421" s="128"/>
      <c r="B421" s="166"/>
      <c r="C421" s="24"/>
      <c r="D421" s="24"/>
      <c r="E421" s="52"/>
      <c r="F421" s="162">
        <f t="shared" si="6"/>
        <v>0</v>
      </c>
    </row>
    <row r="422" spans="1:6" s="115" customFormat="1">
      <c r="A422" s="128" t="s">
        <v>150</v>
      </c>
      <c r="B422" s="166" t="s">
        <v>228</v>
      </c>
      <c r="C422" s="24"/>
      <c r="D422" s="24"/>
      <c r="E422" s="52"/>
      <c r="F422" s="162">
        <f t="shared" si="6"/>
        <v>0</v>
      </c>
    </row>
    <row r="423" spans="1:6" s="115" customFormat="1">
      <c r="A423" s="128"/>
      <c r="B423" s="166"/>
      <c r="C423" s="24"/>
      <c r="D423" s="24"/>
      <c r="E423" s="52"/>
      <c r="F423" s="162">
        <f t="shared" si="6"/>
        <v>0</v>
      </c>
    </row>
    <row r="424" spans="1:6" s="115" customFormat="1">
      <c r="A424" s="128" t="s">
        <v>158</v>
      </c>
      <c r="B424" s="166" t="s">
        <v>157</v>
      </c>
      <c r="C424" s="24"/>
      <c r="D424" s="24"/>
      <c r="E424" s="52"/>
      <c r="F424" s="162">
        <f t="shared" si="6"/>
        <v>0</v>
      </c>
    </row>
    <row r="425" spans="1:6" s="115" customFormat="1">
      <c r="A425" s="128"/>
      <c r="B425" s="166"/>
      <c r="C425" s="24"/>
      <c r="D425" s="24"/>
      <c r="E425" s="52"/>
      <c r="F425" s="162">
        <f t="shared" si="6"/>
        <v>0</v>
      </c>
    </row>
    <row r="426" spans="1:6" s="115" customFormat="1" ht="15.75" customHeight="1">
      <c r="A426" s="128"/>
      <c r="B426" s="166" t="s">
        <v>229</v>
      </c>
      <c r="C426" s="24"/>
      <c r="D426" s="24"/>
      <c r="E426" s="52"/>
      <c r="F426" s="162">
        <f t="shared" si="6"/>
        <v>0</v>
      </c>
    </row>
    <row r="427" spans="1:6" s="115" customFormat="1" ht="15.75" customHeight="1">
      <c r="A427" s="128"/>
      <c r="B427" s="166"/>
      <c r="C427" s="24"/>
      <c r="D427" s="24"/>
      <c r="E427" s="52"/>
      <c r="F427" s="162">
        <f t="shared" si="6"/>
        <v>0</v>
      </c>
    </row>
    <row r="428" spans="1:6" s="115" customFormat="1">
      <c r="A428" s="128" t="s">
        <v>156</v>
      </c>
      <c r="B428" s="166" t="s">
        <v>230</v>
      </c>
      <c r="C428" s="24"/>
      <c r="D428" s="24"/>
      <c r="E428" s="52"/>
      <c r="F428" s="162">
        <f t="shared" si="6"/>
        <v>0</v>
      </c>
    </row>
    <row r="429" spans="1:6" s="115" customFormat="1">
      <c r="A429" s="128"/>
      <c r="B429" s="166" t="s">
        <v>368</v>
      </c>
      <c r="C429" s="24"/>
      <c r="D429" s="24"/>
      <c r="E429" s="52"/>
      <c r="F429" s="162">
        <f t="shared" si="6"/>
        <v>0</v>
      </c>
    </row>
    <row r="430" spans="1:6" s="115" customFormat="1">
      <c r="A430" s="128"/>
      <c r="B430" s="185" t="s">
        <v>145</v>
      </c>
      <c r="C430" s="24"/>
      <c r="D430" s="24"/>
      <c r="E430" s="52"/>
      <c r="F430" s="162">
        <f t="shared" si="6"/>
        <v>0</v>
      </c>
    </row>
    <row r="431" spans="1:6" s="115" customFormat="1" ht="27.6">
      <c r="A431" s="128"/>
      <c r="B431" s="166" t="s">
        <v>379</v>
      </c>
      <c r="C431" s="24"/>
      <c r="D431" s="24"/>
      <c r="E431" s="52"/>
      <c r="F431" s="162">
        <f t="shared" si="6"/>
        <v>0</v>
      </c>
    </row>
    <row r="432" spans="1:6" s="115" customFormat="1">
      <c r="A432" s="128"/>
      <c r="B432" s="185" t="s">
        <v>145</v>
      </c>
      <c r="C432" s="24"/>
      <c r="D432" s="24"/>
      <c r="E432" s="52"/>
      <c r="F432" s="162">
        <f t="shared" si="6"/>
        <v>0</v>
      </c>
    </row>
    <row r="433" spans="1:6" s="115" customFormat="1">
      <c r="A433" s="128"/>
      <c r="B433" s="166" t="s">
        <v>508</v>
      </c>
      <c r="C433" s="24"/>
      <c r="D433" s="24"/>
      <c r="E433" s="52"/>
      <c r="F433" s="162">
        <f t="shared" si="6"/>
        <v>0</v>
      </c>
    </row>
    <row r="434" spans="1:6" s="115" customFormat="1">
      <c r="A434" s="128"/>
      <c r="B434" s="185" t="s">
        <v>145</v>
      </c>
      <c r="C434" s="24"/>
      <c r="D434" s="24"/>
      <c r="E434" s="52"/>
      <c r="F434" s="162">
        <f t="shared" si="6"/>
        <v>0</v>
      </c>
    </row>
    <row r="435" spans="1:6" s="115" customFormat="1">
      <c r="A435" s="128"/>
      <c r="B435" s="185"/>
      <c r="C435" s="24"/>
      <c r="D435" s="24"/>
      <c r="E435" s="52"/>
      <c r="F435" s="162">
        <f t="shared" si="6"/>
        <v>0</v>
      </c>
    </row>
    <row r="436" spans="1:6" s="115" customFormat="1">
      <c r="A436" s="131" t="s">
        <v>55</v>
      </c>
      <c r="B436" s="183" t="s">
        <v>370</v>
      </c>
      <c r="C436" s="24"/>
      <c r="D436" s="24"/>
      <c r="E436" s="52"/>
      <c r="F436" s="162">
        <f t="shared" si="6"/>
        <v>0</v>
      </c>
    </row>
    <row r="437" spans="1:6" s="115" customFormat="1">
      <c r="A437" s="128"/>
      <c r="B437" s="183" t="s">
        <v>505</v>
      </c>
      <c r="C437" s="24"/>
      <c r="D437" s="24"/>
      <c r="E437" s="52"/>
      <c r="F437" s="162">
        <f t="shared" si="6"/>
        <v>0</v>
      </c>
    </row>
    <row r="438" spans="1:6" s="115" customFormat="1" ht="55.2">
      <c r="A438" s="128" t="s">
        <v>66</v>
      </c>
      <c r="B438" s="166" t="s">
        <v>503</v>
      </c>
      <c r="C438" s="24"/>
      <c r="D438" s="24"/>
      <c r="E438" s="52"/>
      <c r="F438" s="162">
        <f t="shared" si="6"/>
        <v>0</v>
      </c>
    </row>
    <row r="439" spans="1:6" s="115" customFormat="1">
      <c r="A439" s="128"/>
      <c r="B439" s="166"/>
      <c r="C439" s="24"/>
      <c r="D439" s="24"/>
      <c r="E439" s="52"/>
      <c r="F439" s="162">
        <f t="shared" si="6"/>
        <v>0</v>
      </c>
    </row>
    <row r="440" spans="1:6" s="115" customFormat="1" ht="27.6">
      <c r="A440" s="128" t="s">
        <v>123</v>
      </c>
      <c r="B440" s="166" t="s">
        <v>506</v>
      </c>
      <c r="C440" s="24"/>
      <c r="D440" s="24"/>
      <c r="E440" s="52"/>
      <c r="F440" s="162">
        <f t="shared" si="6"/>
        <v>0</v>
      </c>
    </row>
    <row r="441" spans="1:6" s="115" customFormat="1">
      <c r="A441" s="128" t="s">
        <v>105</v>
      </c>
      <c r="B441" s="166" t="s">
        <v>124</v>
      </c>
      <c r="C441" s="24"/>
      <c r="D441" s="24"/>
      <c r="E441" s="52"/>
      <c r="F441" s="162">
        <f t="shared" si="6"/>
        <v>0</v>
      </c>
    </row>
    <row r="442" spans="1:6" s="115" customFormat="1">
      <c r="A442" s="128" t="s">
        <v>107</v>
      </c>
      <c r="B442" s="166" t="s">
        <v>125</v>
      </c>
      <c r="C442" s="24"/>
      <c r="D442" s="24"/>
      <c r="E442" s="52"/>
      <c r="F442" s="162">
        <f t="shared" si="6"/>
        <v>0</v>
      </c>
    </row>
    <row r="443" spans="1:6" s="115" customFormat="1">
      <c r="A443" s="128" t="s">
        <v>109</v>
      </c>
      <c r="B443" s="166" t="s">
        <v>126</v>
      </c>
      <c r="C443" s="24"/>
      <c r="D443" s="24"/>
      <c r="E443" s="52"/>
      <c r="F443" s="162">
        <f t="shared" si="6"/>
        <v>0</v>
      </c>
    </row>
    <row r="444" spans="1:6" s="115" customFormat="1">
      <c r="A444" s="128" t="s">
        <v>127</v>
      </c>
      <c r="B444" s="166" t="s">
        <v>128</v>
      </c>
      <c r="C444" s="24"/>
      <c r="D444" s="24"/>
      <c r="E444" s="52"/>
      <c r="F444" s="162">
        <f t="shared" si="6"/>
        <v>0</v>
      </c>
    </row>
    <row r="445" spans="1:6" s="115" customFormat="1">
      <c r="A445" s="128" t="s">
        <v>129</v>
      </c>
      <c r="B445" s="166" t="s">
        <v>130</v>
      </c>
      <c r="C445" s="24"/>
      <c r="D445" s="24"/>
      <c r="E445" s="52"/>
      <c r="F445" s="162">
        <f t="shared" si="6"/>
        <v>0</v>
      </c>
    </row>
    <row r="446" spans="1:6" s="115" customFormat="1">
      <c r="A446" s="128" t="s">
        <v>131</v>
      </c>
      <c r="B446" s="166" t="s">
        <v>231</v>
      </c>
      <c r="C446" s="24"/>
      <c r="D446" s="24"/>
      <c r="E446" s="52"/>
      <c r="F446" s="162">
        <f t="shared" si="6"/>
        <v>0</v>
      </c>
    </row>
    <row r="447" spans="1:6" s="115" customFormat="1">
      <c r="A447" s="128" t="s">
        <v>133</v>
      </c>
      <c r="B447" s="166" t="s">
        <v>134</v>
      </c>
      <c r="C447" s="24"/>
      <c r="D447" s="24"/>
      <c r="E447" s="52"/>
      <c r="F447" s="162">
        <f t="shared" si="6"/>
        <v>0</v>
      </c>
    </row>
    <row r="448" spans="1:6" s="115" customFormat="1">
      <c r="A448" s="128" t="s">
        <v>135</v>
      </c>
      <c r="B448" s="166" t="s">
        <v>136</v>
      </c>
      <c r="C448" s="24"/>
      <c r="D448" s="24"/>
      <c r="E448" s="52"/>
      <c r="F448" s="162">
        <f t="shared" si="6"/>
        <v>0</v>
      </c>
    </row>
    <row r="449" spans="1:6" s="115" customFormat="1">
      <c r="A449" s="128" t="s">
        <v>66</v>
      </c>
      <c r="B449" s="166" t="s">
        <v>137</v>
      </c>
      <c r="C449" s="24"/>
      <c r="D449" s="24"/>
      <c r="E449" s="52"/>
      <c r="F449" s="162">
        <f t="shared" si="6"/>
        <v>0</v>
      </c>
    </row>
    <row r="450" spans="1:6" s="115" customFormat="1">
      <c r="A450" s="128" t="s">
        <v>232</v>
      </c>
      <c r="B450" s="166" t="s">
        <v>138</v>
      </c>
      <c r="C450" s="24"/>
      <c r="D450" s="24"/>
      <c r="E450" s="52"/>
      <c r="F450" s="162">
        <f t="shared" si="6"/>
        <v>0</v>
      </c>
    </row>
    <row r="451" spans="1:6" s="115" customFormat="1">
      <c r="A451" s="128" t="s">
        <v>68</v>
      </c>
      <c r="B451" s="166" t="s">
        <v>242</v>
      </c>
      <c r="C451" s="24"/>
      <c r="D451" s="24"/>
      <c r="E451" s="52"/>
      <c r="F451" s="162">
        <f t="shared" si="6"/>
        <v>0</v>
      </c>
    </row>
    <row r="452" spans="1:6" s="115" customFormat="1">
      <c r="A452" s="128"/>
      <c r="B452" s="166"/>
      <c r="C452" s="24"/>
      <c r="D452" s="24"/>
      <c r="E452" s="52"/>
      <c r="F452" s="162">
        <f t="shared" si="6"/>
        <v>0</v>
      </c>
    </row>
    <row r="453" spans="1:6" s="115" customFormat="1">
      <c r="A453" s="128" t="s">
        <v>139</v>
      </c>
      <c r="B453" s="166" t="s">
        <v>408</v>
      </c>
      <c r="C453" s="24" t="s">
        <v>40</v>
      </c>
      <c r="D453" s="24"/>
      <c r="E453" s="52"/>
      <c r="F453" s="162">
        <f t="shared" si="6"/>
        <v>0</v>
      </c>
    </row>
    <row r="454" spans="1:6" s="115" customFormat="1">
      <c r="A454" s="128" t="s">
        <v>218</v>
      </c>
      <c r="B454" s="166" t="s">
        <v>142</v>
      </c>
      <c r="C454" s="24"/>
      <c r="D454" s="24"/>
      <c r="E454" s="52"/>
      <c r="F454" s="162">
        <f t="shared" si="6"/>
        <v>0</v>
      </c>
    </row>
    <row r="455" spans="1:6" s="115" customFormat="1">
      <c r="A455" s="128"/>
      <c r="B455" s="166" t="s">
        <v>143</v>
      </c>
      <c r="C455" s="24"/>
      <c r="D455" s="24"/>
      <c r="E455" s="52"/>
      <c r="F455" s="162">
        <f t="shared" si="6"/>
        <v>0</v>
      </c>
    </row>
    <row r="456" spans="1:6" s="115" customFormat="1">
      <c r="A456" s="128" t="s">
        <v>219</v>
      </c>
      <c r="B456" s="166" t="s">
        <v>220</v>
      </c>
      <c r="C456" s="24"/>
      <c r="D456" s="24"/>
      <c r="E456" s="52"/>
      <c r="F456" s="162">
        <f t="shared" si="6"/>
        <v>0</v>
      </c>
    </row>
    <row r="457" spans="1:6" s="115" customFormat="1">
      <c r="A457" s="128"/>
      <c r="B457" s="166"/>
      <c r="C457" s="24"/>
      <c r="D457" s="24"/>
      <c r="E457" s="52"/>
      <c r="F457" s="162">
        <f t="shared" si="6"/>
        <v>0</v>
      </c>
    </row>
    <row r="458" spans="1:6" s="115" customFormat="1">
      <c r="A458" s="128" t="s">
        <v>221</v>
      </c>
      <c r="B458" s="166" t="s">
        <v>222</v>
      </c>
      <c r="C458" s="24"/>
      <c r="D458" s="24"/>
      <c r="E458" s="52"/>
      <c r="F458" s="162">
        <f t="shared" ref="F458:F521" si="7">E458*D458</f>
        <v>0</v>
      </c>
    </row>
    <row r="459" spans="1:6" s="115" customFormat="1">
      <c r="A459" s="128"/>
      <c r="B459" s="185" t="s">
        <v>140</v>
      </c>
      <c r="C459" s="24"/>
      <c r="D459" s="24"/>
      <c r="E459" s="52"/>
      <c r="F459" s="162">
        <f t="shared" si="7"/>
        <v>0</v>
      </c>
    </row>
    <row r="460" spans="1:6" s="115" customFormat="1">
      <c r="A460" s="128" t="s">
        <v>144</v>
      </c>
      <c r="B460" s="166" t="s">
        <v>464</v>
      </c>
      <c r="C460" s="24" t="s">
        <v>40</v>
      </c>
      <c r="D460" s="24"/>
      <c r="E460" s="52"/>
      <c r="F460" s="162">
        <f t="shared" si="7"/>
        <v>0</v>
      </c>
    </row>
    <row r="461" spans="1:6" s="115" customFormat="1">
      <c r="A461" s="128"/>
      <c r="B461" s="185" t="s">
        <v>145</v>
      </c>
      <c r="C461" s="24"/>
      <c r="D461" s="24"/>
      <c r="E461" s="52"/>
      <c r="F461" s="162">
        <f t="shared" si="7"/>
        <v>0</v>
      </c>
    </row>
    <row r="462" spans="1:6" s="115" customFormat="1">
      <c r="A462" s="128" t="s">
        <v>146</v>
      </c>
      <c r="B462" s="166" t="s">
        <v>149</v>
      </c>
      <c r="C462" s="24" t="s">
        <v>40</v>
      </c>
      <c r="D462" s="24"/>
      <c r="E462" s="52"/>
      <c r="F462" s="162">
        <f t="shared" si="7"/>
        <v>0</v>
      </c>
    </row>
    <row r="463" spans="1:6" s="115" customFormat="1">
      <c r="A463" s="128"/>
      <c r="B463" s="185" t="s">
        <v>145</v>
      </c>
      <c r="C463" s="24"/>
      <c r="D463" s="24"/>
      <c r="E463" s="52"/>
      <c r="F463" s="162">
        <f t="shared" si="7"/>
        <v>0</v>
      </c>
    </row>
    <row r="464" spans="1:6" s="115" customFormat="1">
      <c r="A464" s="128" t="s">
        <v>148</v>
      </c>
      <c r="B464" s="166" t="s">
        <v>233</v>
      </c>
      <c r="C464" s="24" t="s">
        <v>40</v>
      </c>
      <c r="D464" s="24"/>
      <c r="E464" s="52"/>
      <c r="F464" s="162">
        <f t="shared" si="7"/>
        <v>0</v>
      </c>
    </row>
    <row r="465" spans="1:6" s="115" customFormat="1">
      <c r="A465" s="128"/>
      <c r="B465" s="185" t="s">
        <v>145</v>
      </c>
      <c r="C465" s="24"/>
      <c r="D465" s="24"/>
      <c r="E465" s="52"/>
      <c r="F465" s="162">
        <f t="shared" si="7"/>
        <v>0</v>
      </c>
    </row>
    <row r="466" spans="1:6" s="115" customFormat="1">
      <c r="A466" s="128" t="s">
        <v>215</v>
      </c>
      <c r="B466" s="166" t="s">
        <v>407</v>
      </c>
      <c r="C466" s="24" t="s">
        <v>40</v>
      </c>
      <c r="D466" s="24"/>
      <c r="E466" s="52"/>
      <c r="F466" s="162">
        <f t="shared" si="7"/>
        <v>0</v>
      </c>
    </row>
    <row r="467" spans="1:6" s="115" customFormat="1">
      <c r="A467" s="128"/>
      <c r="B467" s="166" t="s">
        <v>145</v>
      </c>
      <c r="C467" s="24"/>
      <c r="D467" s="24"/>
      <c r="E467" s="52"/>
      <c r="F467" s="162">
        <f t="shared" si="7"/>
        <v>0</v>
      </c>
    </row>
    <row r="468" spans="1:6" s="115" customFormat="1">
      <c r="A468" s="128" t="s">
        <v>150</v>
      </c>
      <c r="B468" s="166" t="s">
        <v>151</v>
      </c>
      <c r="C468" s="24"/>
      <c r="D468" s="24"/>
      <c r="E468" s="52"/>
      <c r="F468" s="162">
        <f t="shared" si="7"/>
        <v>0</v>
      </c>
    </row>
    <row r="469" spans="1:6" s="115" customFormat="1">
      <c r="A469" s="128" t="s">
        <v>152</v>
      </c>
      <c r="B469" s="166" t="s">
        <v>226</v>
      </c>
      <c r="C469" s="24"/>
      <c r="D469" s="24"/>
      <c r="E469" s="52"/>
      <c r="F469" s="162">
        <f t="shared" si="7"/>
        <v>0</v>
      </c>
    </row>
    <row r="470" spans="1:6" s="115" customFormat="1">
      <c r="A470" s="128" t="s">
        <v>153</v>
      </c>
      <c r="B470" s="166" t="s">
        <v>154</v>
      </c>
      <c r="C470" s="24"/>
      <c r="D470" s="24"/>
      <c r="E470" s="52"/>
      <c r="F470" s="162">
        <f t="shared" si="7"/>
        <v>0</v>
      </c>
    </row>
    <row r="471" spans="1:6" s="115" customFormat="1">
      <c r="A471" s="128" t="s">
        <v>224</v>
      </c>
      <c r="B471" s="166" t="s">
        <v>155</v>
      </c>
      <c r="C471" s="24"/>
      <c r="D471" s="24"/>
      <c r="E471" s="52"/>
      <c r="F471" s="162">
        <f t="shared" si="7"/>
        <v>0</v>
      </c>
    </row>
    <row r="472" spans="1:6" s="115" customFormat="1">
      <c r="A472" s="128" t="s">
        <v>225</v>
      </c>
      <c r="B472" s="166" t="s">
        <v>507</v>
      </c>
      <c r="C472" s="24"/>
      <c r="D472" s="24"/>
      <c r="E472" s="52"/>
      <c r="F472" s="162">
        <f t="shared" si="7"/>
        <v>0</v>
      </c>
    </row>
    <row r="473" spans="1:6" s="115" customFormat="1">
      <c r="A473" s="128" t="s">
        <v>227</v>
      </c>
      <c r="B473" s="166" t="s">
        <v>240</v>
      </c>
      <c r="C473" s="24"/>
      <c r="D473" s="24"/>
      <c r="E473" s="52"/>
      <c r="F473" s="162">
        <f t="shared" si="7"/>
        <v>0</v>
      </c>
    </row>
    <row r="474" spans="1:6" s="115" customFormat="1">
      <c r="A474" s="128"/>
      <c r="B474" s="166"/>
      <c r="C474" s="24"/>
      <c r="D474" s="24"/>
      <c r="E474" s="52"/>
      <c r="F474" s="162">
        <f t="shared" si="7"/>
        <v>0</v>
      </c>
    </row>
    <row r="475" spans="1:6" s="115" customFormat="1">
      <c r="A475" s="128" t="s">
        <v>156</v>
      </c>
      <c r="B475" s="166" t="s">
        <v>228</v>
      </c>
      <c r="C475" s="24"/>
      <c r="D475" s="24"/>
      <c r="E475" s="52"/>
      <c r="F475" s="162">
        <f t="shared" si="7"/>
        <v>0</v>
      </c>
    </row>
    <row r="476" spans="1:6" s="115" customFormat="1">
      <c r="A476" s="128"/>
      <c r="B476" s="166"/>
      <c r="C476" s="24"/>
      <c r="D476" s="24"/>
      <c r="E476" s="52"/>
      <c r="F476" s="162">
        <f t="shared" si="7"/>
        <v>0</v>
      </c>
    </row>
    <row r="477" spans="1:6" s="115" customFormat="1">
      <c r="A477" s="128" t="s">
        <v>158</v>
      </c>
      <c r="B477" s="166" t="s">
        <v>157</v>
      </c>
      <c r="C477" s="24"/>
      <c r="D477" s="24"/>
      <c r="E477" s="52"/>
      <c r="F477" s="162">
        <f t="shared" si="7"/>
        <v>0</v>
      </c>
    </row>
    <row r="478" spans="1:6" s="115" customFormat="1">
      <c r="A478" s="128"/>
      <c r="B478" s="166"/>
      <c r="C478" s="24"/>
      <c r="D478" s="24"/>
      <c r="E478" s="52"/>
      <c r="F478" s="162">
        <f t="shared" si="7"/>
        <v>0</v>
      </c>
    </row>
    <row r="479" spans="1:6" s="115" customFormat="1" ht="27.6">
      <c r="A479" s="128" t="s">
        <v>181</v>
      </c>
      <c r="B479" s="166" t="s">
        <v>463</v>
      </c>
      <c r="C479" s="24"/>
      <c r="D479" s="24"/>
      <c r="E479" s="52"/>
      <c r="F479" s="162">
        <f t="shared" si="7"/>
        <v>0</v>
      </c>
    </row>
    <row r="480" spans="1:6" s="115" customFormat="1">
      <c r="A480" s="128"/>
      <c r="B480" s="166"/>
      <c r="C480" s="24"/>
      <c r="D480" s="24"/>
      <c r="E480" s="52"/>
      <c r="F480" s="162">
        <f t="shared" si="7"/>
        <v>0</v>
      </c>
    </row>
    <row r="481" spans="1:6" s="115" customFormat="1">
      <c r="A481" s="128" t="s">
        <v>460</v>
      </c>
      <c r="B481" s="166" t="s">
        <v>461</v>
      </c>
      <c r="C481" s="24"/>
      <c r="D481" s="24"/>
      <c r="E481" s="52"/>
      <c r="F481" s="162">
        <f t="shared" si="7"/>
        <v>0</v>
      </c>
    </row>
    <row r="482" spans="1:6" s="115" customFormat="1">
      <c r="A482" s="128"/>
      <c r="B482" s="166"/>
      <c r="C482" s="24"/>
      <c r="D482" s="24"/>
      <c r="E482" s="52"/>
      <c r="F482" s="162">
        <f t="shared" si="7"/>
        <v>0</v>
      </c>
    </row>
    <row r="483" spans="1:6" s="115" customFormat="1">
      <c r="A483" s="128" t="s">
        <v>462</v>
      </c>
      <c r="B483" s="166" t="s">
        <v>230</v>
      </c>
      <c r="C483" s="24"/>
      <c r="D483" s="24"/>
      <c r="E483" s="52"/>
      <c r="F483" s="162">
        <f t="shared" si="7"/>
        <v>0</v>
      </c>
    </row>
    <row r="484" spans="1:6" s="115" customFormat="1">
      <c r="A484" s="128"/>
      <c r="B484" s="166" t="s">
        <v>368</v>
      </c>
      <c r="C484" s="24"/>
      <c r="D484" s="24"/>
      <c r="E484" s="52"/>
      <c r="F484" s="162">
        <f t="shared" si="7"/>
        <v>0</v>
      </c>
    </row>
    <row r="485" spans="1:6" s="115" customFormat="1">
      <c r="A485" s="128"/>
      <c r="B485" s="185" t="s">
        <v>145</v>
      </c>
      <c r="C485" s="24"/>
      <c r="D485" s="24"/>
      <c r="E485" s="52"/>
      <c r="F485" s="162">
        <f t="shared" si="7"/>
        <v>0</v>
      </c>
    </row>
    <row r="486" spans="1:6" s="115" customFormat="1" ht="17.25" customHeight="1">
      <c r="A486" s="128"/>
      <c r="B486" s="166" t="s">
        <v>229</v>
      </c>
      <c r="C486" s="24"/>
      <c r="D486" s="24"/>
      <c r="E486" s="52"/>
      <c r="F486" s="162">
        <f t="shared" si="7"/>
        <v>0</v>
      </c>
    </row>
    <row r="487" spans="1:6" s="115" customFormat="1">
      <c r="A487" s="128"/>
      <c r="B487" s="166" t="s">
        <v>508</v>
      </c>
      <c r="C487" s="24"/>
      <c r="D487" s="24"/>
      <c r="E487" s="52"/>
      <c r="F487" s="162">
        <f t="shared" si="7"/>
        <v>0</v>
      </c>
    </row>
    <row r="488" spans="1:6" s="115" customFormat="1">
      <c r="A488" s="128"/>
      <c r="B488" s="185" t="s">
        <v>145</v>
      </c>
      <c r="C488" s="24"/>
      <c r="D488" s="24"/>
      <c r="E488" s="52"/>
      <c r="F488" s="162">
        <f t="shared" si="7"/>
        <v>0</v>
      </c>
    </row>
    <row r="489" spans="1:6" s="115" customFormat="1">
      <c r="A489" s="128"/>
      <c r="B489" s="185"/>
      <c r="C489" s="24"/>
      <c r="D489" s="24"/>
      <c r="E489" s="52"/>
      <c r="F489" s="162">
        <f t="shared" si="7"/>
        <v>0</v>
      </c>
    </row>
    <row r="490" spans="1:6" s="115" customFormat="1">
      <c r="A490" s="131" t="s">
        <v>70</v>
      </c>
      <c r="B490" s="183" t="s">
        <v>369</v>
      </c>
      <c r="C490" s="24"/>
      <c r="D490" s="24"/>
      <c r="E490" s="52"/>
      <c r="F490" s="162">
        <f t="shared" si="7"/>
        <v>0</v>
      </c>
    </row>
    <row r="491" spans="1:6" s="115" customFormat="1">
      <c r="A491" s="128"/>
      <c r="B491" s="183" t="s">
        <v>404</v>
      </c>
      <c r="C491" s="24"/>
      <c r="D491" s="24"/>
      <c r="E491" s="52"/>
      <c r="F491" s="162">
        <f t="shared" si="7"/>
        <v>0</v>
      </c>
    </row>
    <row r="492" spans="1:6" s="115" customFormat="1" ht="27.6">
      <c r="A492" s="128" t="s">
        <v>66</v>
      </c>
      <c r="B492" s="166" t="s">
        <v>247</v>
      </c>
      <c r="C492" s="24"/>
      <c r="D492" s="24"/>
      <c r="E492" s="52"/>
      <c r="F492" s="162">
        <f t="shared" si="7"/>
        <v>0</v>
      </c>
    </row>
    <row r="493" spans="1:6" s="115" customFormat="1">
      <c r="A493" s="128"/>
      <c r="B493" s="166"/>
      <c r="C493" s="24"/>
      <c r="D493" s="24"/>
      <c r="E493" s="52"/>
      <c r="F493" s="162">
        <f t="shared" si="7"/>
        <v>0</v>
      </c>
    </row>
    <row r="494" spans="1:6" s="115" customFormat="1" ht="33.75" customHeight="1">
      <c r="A494" s="128" t="s">
        <v>123</v>
      </c>
      <c r="B494" s="166" t="s">
        <v>406</v>
      </c>
      <c r="C494" s="24"/>
      <c r="D494" s="24"/>
      <c r="E494" s="52"/>
      <c r="F494" s="162">
        <f t="shared" si="7"/>
        <v>0</v>
      </c>
    </row>
    <row r="495" spans="1:6" s="115" customFormat="1">
      <c r="A495" s="128" t="s">
        <v>105</v>
      </c>
      <c r="B495" s="166" t="s">
        <v>124</v>
      </c>
      <c r="C495" s="24"/>
      <c r="D495" s="24"/>
      <c r="E495" s="52"/>
      <c r="F495" s="162">
        <f t="shared" si="7"/>
        <v>0</v>
      </c>
    </row>
    <row r="496" spans="1:6" s="115" customFormat="1">
      <c r="A496" s="128" t="s">
        <v>107</v>
      </c>
      <c r="B496" s="166" t="s">
        <v>125</v>
      </c>
      <c r="C496" s="24"/>
      <c r="D496" s="24"/>
      <c r="E496" s="52"/>
      <c r="F496" s="162">
        <f t="shared" si="7"/>
        <v>0</v>
      </c>
    </row>
    <row r="497" spans="1:6" s="115" customFormat="1">
      <c r="A497" s="128" t="s">
        <v>109</v>
      </c>
      <c r="B497" s="166" t="s">
        <v>126</v>
      </c>
      <c r="C497" s="24"/>
      <c r="D497" s="24"/>
      <c r="E497" s="52"/>
      <c r="F497" s="162">
        <f t="shared" si="7"/>
        <v>0</v>
      </c>
    </row>
    <row r="498" spans="1:6" s="115" customFormat="1">
      <c r="A498" s="128" t="s">
        <v>127</v>
      </c>
      <c r="B498" s="166" t="s">
        <v>128</v>
      </c>
      <c r="C498" s="24"/>
      <c r="D498" s="24"/>
      <c r="E498" s="52"/>
      <c r="F498" s="162">
        <f t="shared" si="7"/>
        <v>0</v>
      </c>
    </row>
    <row r="499" spans="1:6" s="115" customFormat="1">
      <c r="A499" s="128" t="s">
        <v>129</v>
      </c>
      <c r="B499" s="166" t="s">
        <v>130</v>
      </c>
      <c r="C499" s="24"/>
      <c r="D499" s="24"/>
      <c r="E499" s="52"/>
      <c r="F499" s="162">
        <f t="shared" si="7"/>
        <v>0</v>
      </c>
    </row>
    <row r="500" spans="1:6" s="115" customFormat="1">
      <c r="A500" s="128" t="s">
        <v>131</v>
      </c>
      <c r="B500" s="166" t="s">
        <v>231</v>
      </c>
      <c r="C500" s="24"/>
      <c r="D500" s="24"/>
      <c r="E500" s="52"/>
      <c r="F500" s="162">
        <f t="shared" si="7"/>
        <v>0</v>
      </c>
    </row>
    <row r="501" spans="1:6" s="115" customFormat="1">
      <c r="A501" s="128" t="s">
        <v>133</v>
      </c>
      <c r="B501" s="166" t="s">
        <v>134</v>
      </c>
      <c r="C501" s="24"/>
      <c r="D501" s="24"/>
      <c r="E501" s="52"/>
      <c r="F501" s="162">
        <f t="shared" si="7"/>
        <v>0</v>
      </c>
    </row>
    <row r="502" spans="1:6" s="115" customFormat="1">
      <c r="A502" s="128" t="s">
        <v>135</v>
      </c>
      <c r="B502" s="166" t="s">
        <v>136</v>
      </c>
      <c r="C502" s="24"/>
      <c r="D502" s="24"/>
      <c r="E502" s="52"/>
      <c r="F502" s="162">
        <f t="shared" si="7"/>
        <v>0</v>
      </c>
    </row>
    <row r="503" spans="1:6" s="115" customFormat="1">
      <c r="A503" s="128" t="s">
        <v>66</v>
      </c>
      <c r="B503" s="166" t="s">
        <v>137</v>
      </c>
      <c r="C503" s="24"/>
      <c r="D503" s="24"/>
      <c r="E503" s="52"/>
      <c r="F503" s="162">
        <f t="shared" si="7"/>
        <v>0</v>
      </c>
    </row>
    <row r="504" spans="1:6" s="115" customFormat="1">
      <c r="A504" s="128" t="s">
        <v>232</v>
      </c>
      <c r="B504" s="166" t="s">
        <v>138</v>
      </c>
      <c r="C504" s="24"/>
      <c r="D504" s="24"/>
      <c r="E504" s="52"/>
      <c r="F504" s="162">
        <f t="shared" si="7"/>
        <v>0</v>
      </c>
    </row>
    <row r="505" spans="1:6" s="115" customFormat="1">
      <c r="A505" s="128" t="s">
        <v>68</v>
      </c>
      <c r="B505" s="166" t="s">
        <v>242</v>
      </c>
      <c r="C505" s="24"/>
      <c r="D505" s="24"/>
      <c r="E505" s="52"/>
      <c r="F505" s="162">
        <f t="shared" si="7"/>
        <v>0</v>
      </c>
    </row>
    <row r="506" spans="1:6" s="115" customFormat="1">
      <c r="A506" s="128"/>
      <c r="B506" s="166"/>
      <c r="C506" s="24"/>
      <c r="D506" s="24"/>
      <c r="E506" s="52"/>
      <c r="F506" s="162">
        <f t="shared" si="7"/>
        <v>0</v>
      </c>
    </row>
    <row r="507" spans="1:6" s="115" customFormat="1">
      <c r="A507" s="128" t="s">
        <v>139</v>
      </c>
      <c r="B507" s="166" t="s">
        <v>408</v>
      </c>
      <c r="C507" s="24" t="s">
        <v>40</v>
      </c>
      <c r="D507" s="24"/>
      <c r="E507" s="52"/>
      <c r="F507" s="162">
        <f t="shared" si="7"/>
        <v>0</v>
      </c>
    </row>
    <row r="508" spans="1:6" s="115" customFormat="1">
      <c r="A508" s="128"/>
      <c r="B508" s="185" t="s">
        <v>140</v>
      </c>
      <c r="C508" s="24"/>
      <c r="D508" s="24"/>
      <c r="E508" s="52"/>
      <c r="F508" s="162">
        <f t="shared" si="7"/>
        <v>0</v>
      </c>
    </row>
    <row r="509" spans="1:6" s="115" customFormat="1">
      <c r="A509" s="128" t="s">
        <v>409</v>
      </c>
      <c r="B509" s="166" t="s">
        <v>142</v>
      </c>
      <c r="C509" s="24" t="s">
        <v>40</v>
      </c>
      <c r="D509" s="24"/>
      <c r="E509" s="52"/>
      <c r="F509" s="162">
        <f t="shared" si="7"/>
        <v>0</v>
      </c>
    </row>
    <row r="510" spans="1:6" s="115" customFormat="1">
      <c r="A510" s="128"/>
      <c r="B510" s="185" t="s">
        <v>145</v>
      </c>
      <c r="C510" s="24"/>
      <c r="D510" s="24"/>
      <c r="E510" s="52"/>
      <c r="F510" s="162">
        <f t="shared" si="7"/>
        <v>0</v>
      </c>
    </row>
    <row r="511" spans="1:6" s="115" customFormat="1">
      <c r="A511" s="128" t="s">
        <v>144</v>
      </c>
      <c r="B511" s="166" t="s">
        <v>405</v>
      </c>
      <c r="C511" s="24" t="s">
        <v>40</v>
      </c>
      <c r="D511" s="24"/>
      <c r="E511" s="52"/>
      <c r="F511" s="162">
        <f t="shared" si="7"/>
        <v>0</v>
      </c>
    </row>
    <row r="512" spans="1:6" s="115" customFormat="1">
      <c r="A512" s="128"/>
      <c r="B512" s="185" t="s">
        <v>145</v>
      </c>
      <c r="C512" s="24"/>
      <c r="D512" s="24"/>
      <c r="E512" s="52"/>
      <c r="F512" s="162">
        <f t="shared" si="7"/>
        <v>0</v>
      </c>
    </row>
    <row r="513" spans="1:6" s="115" customFormat="1">
      <c r="A513" s="128" t="s">
        <v>146</v>
      </c>
      <c r="B513" s="166" t="s">
        <v>149</v>
      </c>
      <c r="C513" s="24" t="s">
        <v>40</v>
      </c>
      <c r="D513" s="24"/>
      <c r="E513" s="52"/>
      <c r="F513" s="162">
        <f t="shared" si="7"/>
        <v>0</v>
      </c>
    </row>
    <row r="514" spans="1:6" s="115" customFormat="1">
      <c r="A514" s="128"/>
      <c r="B514" s="185" t="s">
        <v>145</v>
      </c>
      <c r="C514" s="24"/>
      <c r="D514" s="24"/>
      <c r="E514" s="52"/>
      <c r="F514" s="162">
        <f t="shared" si="7"/>
        <v>0</v>
      </c>
    </row>
    <row r="515" spans="1:6" s="115" customFormat="1">
      <c r="A515" s="128" t="s">
        <v>148</v>
      </c>
      <c r="B515" s="166" t="s">
        <v>233</v>
      </c>
      <c r="C515" s="24" t="s">
        <v>40</v>
      </c>
      <c r="D515" s="24"/>
      <c r="E515" s="52"/>
      <c r="F515" s="162">
        <f t="shared" si="7"/>
        <v>0</v>
      </c>
    </row>
    <row r="516" spans="1:6" s="115" customFormat="1">
      <c r="A516" s="128"/>
      <c r="B516" s="185" t="s">
        <v>145</v>
      </c>
      <c r="C516" s="24"/>
      <c r="D516" s="24"/>
      <c r="E516" s="52"/>
      <c r="F516" s="162">
        <f t="shared" si="7"/>
        <v>0</v>
      </c>
    </row>
    <row r="517" spans="1:6" s="115" customFormat="1" ht="18.75" customHeight="1">
      <c r="A517" s="128" t="s">
        <v>215</v>
      </c>
      <c r="B517" s="166" t="s">
        <v>407</v>
      </c>
      <c r="C517" s="24" t="s">
        <v>40</v>
      </c>
      <c r="D517" s="24"/>
      <c r="E517" s="52"/>
      <c r="F517" s="162">
        <f t="shared" si="7"/>
        <v>0</v>
      </c>
    </row>
    <row r="518" spans="1:6" s="115" customFormat="1">
      <c r="A518" s="128"/>
      <c r="B518" s="166" t="s">
        <v>145</v>
      </c>
      <c r="C518" s="24"/>
      <c r="D518" s="24"/>
      <c r="E518" s="52"/>
      <c r="F518" s="162">
        <f t="shared" si="7"/>
        <v>0</v>
      </c>
    </row>
    <row r="519" spans="1:6" s="115" customFormat="1">
      <c r="A519" s="128" t="s">
        <v>150</v>
      </c>
      <c r="B519" s="166" t="s">
        <v>151</v>
      </c>
      <c r="C519" s="24"/>
      <c r="D519" s="24"/>
      <c r="E519" s="52"/>
      <c r="F519" s="162">
        <f t="shared" si="7"/>
        <v>0</v>
      </c>
    </row>
    <row r="520" spans="1:6" s="115" customFormat="1">
      <c r="A520" s="128" t="s">
        <v>152</v>
      </c>
      <c r="B520" s="166" t="s">
        <v>226</v>
      </c>
      <c r="C520" s="24"/>
      <c r="D520" s="24"/>
      <c r="E520" s="52"/>
      <c r="F520" s="162">
        <f t="shared" si="7"/>
        <v>0</v>
      </c>
    </row>
    <row r="521" spans="1:6" s="115" customFormat="1">
      <c r="A521" s="128" t="s">
        <v>153</v>
      </c>
      <c r="B521" s="166" t="s">
        <v>154</v>
      </c>
      <c r="C521" s="24"/>
      <c r="D521" s="24"/>
      <c r="E521" s="52"/>
      <c r="F521" s="162">
        <f t="shared" si="7"/>
        <v>0</v>
      </c>
    </row>
    <row r="522" spans="1:6" s="115" customFormat="1">
      <c r="A522" s="128" t="s">
        <v>225</v>
      </c>
      <c r="B522" s="166" t="s">
        <v>155</v>
      </c>
      <c r="C522" s="24"/>
      <c r="D522" s="24"/>
      <c r="E522" s="52"/>
      <c r="F522" s="162">
        <f t="shared" ref="F522:F585" si="8">E522*D522</f>
        <v>0</v>
      </c>
    </row>
    <row r="523" spans="1:6" s="115" customFormat="1">
      <c r="A523" s="128" t="s">
        <v>227</v>
      </c>
      <c r="B523" s="166" t="s">
        <v>240</v>
      </c>
      <c r="C523" s="24"/>
      <c r="D523" s="24"/>
      <c r="E523" s="52"/>
      <c r="F523" s="162">
        <f t="shared" si="8"/>
        <v>0</v>
      </c>
    </row>
    <row r="524" spans="1:6" s="115" customFormat="1">
      <c r="A524" s="128"/>
      <c r="B524" s="166"/>
      <c r="C524" s="24"/>
      <c r="D524" s="24"/>
      <c r="E524" s="52"/>
      <c r="F524" s="162">
        <f t="shared" si="8"/>
        <v>0</v>
      </c>
    </row>
    <row r="525" spans="1:6" s="115" customFormat="1">
      <c r="A525" s="128" t="s">
        <v>156</v>
      </c>
      <c r="B525" s="166" t="s">
        <v>228</v>
      </c>
      <c r="C525" s="24"/>
      <c r="D525" s="24"/>
      <c r="E525" s="52"/>
      <c r="F525" s="162">
        <f t="shared" si="8"/>
        <v>0</v>
      </c>
    </row>
    <row r="526" spans="1:6" s="115" customFormat="1">
      <c r="A526" s="128"/>
      <c r="B526" s="166"/>
      <c r="C526" s="24"/>
      <c r="D526" s="24"/>
      <c r="E526" s="52"/>
      <c r="F526" s="162">
        <f t="shared" si="8"/>
        <v>0</v>
      </c>
    </row>
    <row r="527" spans="1:6" s="115" customFormat="1">
      <c r="A527" s="128" t="s">
        <v>158</v>
      </c>
      <c r="B527" s="166" t="s">
        <v>157</v>
      </c>
      <c r="C527" s="24"/>
      <c r="D527" s="24"/>
      <c r="E527" s="52"/>
      <c r="F527" s="162">
        <f t="shared" si="8"/>
        <v>0</v>
      </c>
    </row>
    <row r="528" spans="1:6" s="115" customFormat="1">
      <c r="A528" s="128"/>
      <c r="B528" s="166"/>
      <c r="C528" s="24"/>
      <c r="D528" s="24"/>
      <c r="E528" s="52"/>
      <c r="F528" s="162">
        <f t="shared" si="8"/>
        <v>0</v>
      </c>
    </row>
    <row r="529" spans="1:6" s="115" customFormat="1">
      <c r="A529" s="128" t="s">
        <v>181</v>
      </c>
      <c r="B529" s="166" t="s">
        <v>410</v>
      </c>
      <c r="C529" s="24"/>
      <c r="D529" s="24"/>
      <c r="E529" s="52"/>
      <c r="F529" s="162">
        <f t="shared" si="8"/>
        <v>0</v>
      </c>
    </row>
    <row r="530" spans="1:6" s="115" customFormat="1">
      <c r="A530" s="128"/>
      <c r="B530" s="166"/>
      <c r="C530" s="24"/>
      <c r="D530" s="24"/>
      <c r="E530" s="52"/>
      <c r="F530" s="162">
        <f t="shared" si="8"/>
        <v>0</v>
      </c>
    </row>
    <row r="531" spans="1:6" s="115" customFormat="1" ht="18.75" customHeight="1">
      <c r="A531" s="128"/>
      <c r="B531" s="166" t="s">
        <v>229</v>
      </c>
      <c r="C531" s="24"/>
      <c r="D531" s="24"/>
      <c r="E531" s="52"/>
      <c r="F531" s="162">
        <f t="shared" si="8"/>
        <v>0</v>
      </c>
    </row>
    <row r="532" spans="1:6" s="115" customFormat="1" ht="18.75" customHeight="1">
      <c r="A532" s="128"/>
      <c r="B532" s="166"/>
      <c r="C532" s="24"/>
      <c r="D532" s="24"/>
      <c r="E532" s="52"/>
      <c r="F532" s="162">
        <f t="shared" si="8"/>
        <v>0</v>
      </c>
    </row>
    <row r="533" spans="1:6" s="116" customFormat="1">
      <c r="A533" s="136"/>
      <c r="B533" s="186" t="s">
        <v>159</v>
      </c>
      <c r="C533" s="29"/>
      <c r="D533" s="29"/>
      <c r="E533" s="54"/>
      <c r="F533" s="162">
        <f t="shared" si="8"/>
        <v>0</v>
      </c>
    </row>
    <row r="534" spans="1:6" s="116" customFormat="1" ht="27.6">
      <c r="A534" s="136"/>
      <c r="B534" s="167" t="s">
        <v>509</v>
      </c>
      <c r="C534" s="29"/>
      <c r="D534" s="29"/>
      <c r="E534" s="54"/>
      <c r="F534" s="162">
        <f t="shared" si="8"/>
        <v>0</v>
      </c>
    </row>
    <row r="535" spans="1:6" s="116" customFormat="1">
      <c r="A535" s="136"/>
      <c r="B535" s="167" t="s">
        <v>157</v>
      </c>
      <c r="C535" s="29"/>
      <c r="D535" s="29"/>
      <c r="E535" s="54"/>
      <c r="F535" s="162">
        <f t="shared" si="8"/>
        <v>0</v>
      </c>
    </row>
    <row r="536" spans="1:6" s="116" customFormat="1">
      <c r="A536" s="136"/>
      <c r="B536" s="167"/>
      <c r="C536" s="29"/>
      <c r="D536" s="29"/>
      <c r="E536" s="54"/>
      <c r="F536" s="162">
        <f t="shared" si="8"/>
        <v>0</v>
      </c>
    </row>
    <row r="537" spans="1:6" s="115" customFormat="1">
      <c r="A537" s="136"/>
      <c r="B537" s="167"/>
      <c r="C537" s="29"/>
      <c r="D537" s="29"/>
      <c r="E537" s="54"/>
      <c r="F537" s="162">
        <f t="shared" si="8"/>
        <v>0</v>
      </c>
    </row>
    <row r="538" spans="1:6" s="115" customFormat="1">
      <c r="A538" s="131"/>
      <c r="B538" s="183" t="s">
        <v>160</v>
      </c>
      <c r="C538" s="24"/>
      <c r="D538" s="24"/>
      <c r="E538" s="52"/>
      <c r="F538" s="162">
        <f t="shared" si="8"/>
        <v>0</v>
      </c>
    </row>
    <row r="539" spans="1:6" s="115" customFormat="1">
      <c r="A539" s="131"/>
      <c r="B539" s="183"/>
      <c r="C539" s="24"/>
      <c r="D539" s="24"/>
      <c r="E539" s="52"/>
      <c r="F539" s="162">
        <f t="shared" si="8"/>
        <v>0</v>
      </c>
    </row>
    <row r="540" spans="1:6" s="115" customFormat="1">
      <c r="A540" s="128" t="s">
        <v>66</v>
      </c>
      <c r="B540" s="166" t="s">
        <v>510</v>
      </c>
      <c r="C540" s="24"/>
      <c r="D540" s="24"/>
      <c r="E540" s="52"/>
      <c r="F540" s="162">
        <f t="shared" si="8"/>
        <v>0</v>
      </c>
    </row>
    <row r="541" spans="1:6" s="115" customFormat="1">
      <c r="A541" s="128" t="s">
        <v>123</v>
      </c>
      <c r="B541" s="166" t="s">
        <v>436</v>
      </c>
      <c r="C541" s="24"/>
      <c r="D541" s="24"/>
      <c r="E541" s="52"/>
      <c r="F541" s="162">
        <f t="shared" si="8"/>
        <v>0</v>
      </c>
    </row>
    <row r="542" spans="1:6" s="115" customFormat="1">
      <c r="A542" s="128" t="s">
        <v>139</v>
      </c>
      <c r="B542" s="166" t="s">
        <v>511</v>
      </c>
      <c r="C542" s="24"/>
      <c r="D542" s="24"/>
      <c r="E542" s="52"/>
      <c r="F542" s="162">
        <f t="shared" si="8"/>
        <v>0</v>
      </c>
    </row>
    <row r="543" spans="1:6" s="115" customFormat="1">
      <c r="A543" s="128" t="s">
        <v>141</v>
      </c>
      <c r="B543" s="166" t="s">
        <v>411</v>
      </c>
      <c r="C543" s="24"/>
      <c r="D543" s="24"/>
      <c r="E543" s="52"/>
      <c r="F543" s="162">
        <f t="shared" si="8"/>
        <v>0</v>
      </c>
    </row>
    <row r="544" spans="1:6" s="115" customFormat="1">
      <c r="A544" s="128" t="s">
        <v>144</v>
      </c>
      <c r="B544" s="166" t="s">
        <v>512</v>
      </c>
      <c r="C544" s="24"/>
      <c r="D544" s="24"/>
      <c r="E544" s="52"/>
      <c r="F544" s="162">
        <f t="shared" si="8"/>
        <v>0</v>
      </c>
    </row>
    <row r="545" spans="1:6" s="115" customFormat="1">
      <c r="A545" s="128" t="s">
        <v>146</v>
      </c>
      <c r="B545" s="166" t="s">
        <v>513</v>
      </c>
      <c r="C545" s="43"/>
      <c r="D545" s="24"/>
      <c r="E545" s="52"/>
      <c r="F545" s="162">
        <f t="shared" si="8"/>
        <v>0</v>
      </c>
    </row>
    <row r="546" spans="1:6" s="115" customFormat="1">
      <c r="A546" s="128" t="s">
        <v>148</v>
      </c>
      <c r="B546" s="166" t="s">
        <v>514</v>
      </c>
      <c r="C546" s="43"/>
      <c r="D546" s="24"/>
      <c r="E546" s="52"/>
      <c r="F546" s="162">
        <f t="shared" si="8"/>
        <v>0</v>
      </c>
    </row>
    <row r="547" spans="1:6" s="115" customFormat="1">
      <c r="A547" s="128" t="s">
        <v>215</v>
      </c>
      <c r="B547" s="166" t="s">
        <v>515</v>
      </c>
      <c r="C547" s="43"/>
      <c r="D547" s="24"/>
      <c r="E547" s="52"/>
      <c r="F547" s="162">
        <f t="shared" si="8"/>
        <v>0</v>
      </c>
    </row>
    <row r="548" spans="1:6" s="115" customFormat="1">
      <c r="A548" s="128" t="s">
        <v>150</v>
      </c>
      <c r="B548" s="166" t="s">
        <v>516</v>
      </c>
      <c r="C548" s="43"/>
      <c r="D548" s="24"/>
      <c r="E548" s="52"/>
      <c r="F548" s="162">
        <f t="shared" si="8"/>
        <v>0</v>
      </c>
    </row>
    <row r="549" spans="1:6" s="115" customFormat="1">
      <c r="A549" s="128"/>
      <c r="B549" s="166"/>
      <c r="C549" s="24"/>
      <c r="D549" s="24"/>
      <c r="E549" s="52"/>
      <c r="F549" s="162">
        <f t="shared" si="8"/>
        <v>0</v>
      </c>
    </row>
    <row r="550" spans="1:6" s="115" customFormat="1" ht="27.6">
      <c r="A550" s="128"/>
      <c r="B550" s="166" t="s">
        <v>517</v>
      </c>
      <c r="C550" s="24"/>
      <c r="D550" s="24"/>
      <c r="E550" s="52"/>
      <c r="F550" s="162">
        <f t="shared" si="8"/>
        <v>0</v>
      </c>
    </row>
    <row r="551" spans="1:6" s="115" customFormat="1">
      <c r="A551" s="128"/>
      <c r="B551" s="166"/>
      <c r="C551" s="24"/>
      <c r="D551" s="24"/>
      <c r="E551" s="52"/>
      <c r="F551" s="162">
        <f t="shared" si="8"/>
        <v>0</v>
      </c>
    </row>
    <row r="552" spans="1:6" s="115" customFormat="1">
      <c r="A552" s="128"/>
      <c r="B552" s="166" t="s">
        <v>241</v>
      </c>
      <c r="C552" s="24"/>
      <c r="D552" s="24"/>
      <c r="E552" s="52"/>
      <c r="F552" s="162">
        <f t="shared" si="8"/>
        <v>0</v>
      </c>
    </row>
    <row r="553" spans="1:6" s="115" customFormat="1">
      <c r="A553" s="128"/>
      <c r="B553" s="166"/>
      <c r="C553" s="24"/>
      <c r="D553" s="24"/>
      <c r="E553" s="52"/>
      <c r="F553" s="162">
        <f t="shared" si="8"/>
        <v>0</v>
      </c>
    </row>
    <row r="554" spans="1:6" s="117" customFormat="1">
      <c r="A554" s="131"/>
      <c r="B554" s="172" t="s">
        <v>371</v>
      </c>
      <c r="C554" s="33" t="s">
        <v>161</v>
      </c>
      <c r="D554" s="33">
        <v>1</v>
      </c>
      <c r="E554" s="52"/>
      <c r="F554" s="162">
        <f t="shared" si="8"/>
        <v>0</v>
      </c>
    </row>
    <row r="555" spans="1:6" s="115" customFormat="1">
      <c r="A555" s="128"/>
      <c r="B555" s="172"/>
      <c r="C555" s="33"/>
      <c r="D555" s="33"/>
      <c r="E555" s="52"/>
      <c r="F555" s="162">
        <f t="shared" si="8"/>
        <v>0</v>
      </c>
    </row>
    <row r="556" spans="1:6" s="48" customFormat="1">
      <c r="A556" s="129"/>
      <c r="B556" s="176"/>
      <c r="C556" s="29"/>
      <c r="D556" s="29"/>
      <c r="E556" s="54"/>
      <c r="F556" s="162">
        <f t="shared" si="8"/>
        <v>0</v>
      </c>
    </row>
    <row r="557" spans="1:6" s="116" customFormat="1">
      <c r="A557" s="136">
        <v>2</v>
      </c>
      <c r="B557" s="171" t="s">
        <v>412</v>
      </c>
      <c r="C557" s="42"/>
      <c r="D557" s="42"/>
      <c r="E557" s="61"/>
      <c r="F557" s="162">
        <f t="shared" si="8"/>
        <v>0</v>
      </c>
    </row>
    <row r="558" spans="1:6" s="48" customFormat="1">
      <c r="A558" s="129"/>
      <c r="B558" s="187" t="s">
        <v>235</v>
      </c>
      <c r="C558" s="29"/>
      <c r="D558" s="29"/>
      <c r="E558" s="54"/>
      <c r="F558" s="162">
        <f t="shared" si="8"/>
        <v>0</v>
      </c>
    </row>
    <row r="559" spans="1:6" s="118" customFormat="1" ht="187.5" customHeight="1">
      <c r="A559" s="143"/>
      <c r="B559" s="188" t="s">
        <v>380</v>
      </c>
      <c r="C559" s="92"/>
      <c r="D559" s="29"/>
      <c r="E559" s="92"/>
      <c r="F559" s="162">
        <f t="shared" si="8"/>
        <v>0</v>
      </c>
    </row>
    <row r="560" spans="1:6" s="118" customFormat="1">
      <c r="A560" s="143"/>
      <c r="B560" s="188" t="s">
        <v>381</v>
      </c>
      <c r="C560" s="92"/>
      <c r="D560" s="29"/>
      <c r="E560" s="92"/>
      <c r="F560" s="162">
        <f t="shared" si="8"/>
        <v>0</v>
      </c>
    </row>
    <row r="561" spans="1:6" s="118" customFormat="1">
      <c r="A561" s="144"/>
      <c r="B561" s="189" t="s">
        <v>382</v>
      </c>
      <c r="C561" s="92"/>
      <c r="D561" s="29"/>
      <c r="E561" s="92"/>
      <c r="F561" s="162">
        <f t="shared" si="8"/>
        <v>0</v>
      </c>
    </row>
    <row r="562" spans="1:6" s="118" customFormat="1">
      <c r="A562" s="144"/>
      <c r="B562" s="189"/>
      <c r="C562" s="92"/>
      <c r="D562" s="29"/>
      <c r="E562" s="92"/>
      <c r="F562" s="162">
        <f t="shared" si="8"/>
        <v>0</v>
      </c>
    </row>
    <row r="563" spans="1:6" s="119" customFormat="1">
      <c r="A563" s="145"/>
      <c r="B563" s="190" t="s">
        <v>383</v>
      </c>
      <c r="C563" s="93"/>
      <c r="D563" s="42"/>
      <c r="E563" s="93"/>
      <c r="F563" s="162">
        <f t="shared" si="8"/>
        <v>0</v>
      </c>
    </row>
    <row r="564" spans="1:6" s="118" customFormat="1" ht="27.6">
      <c r="A564" s="143"/>
      <c r="B564" s="188" t="s">
        <v>413</v>
      </c>
      <c r="C564" s="92"/>
      <c r="D564" s="29"/>
      <c r="E564" s="92"/>
      <c r="F564" s="162">
        <f t="shared" si="8"/>
        <v>0</v>
      </c>
    </row>
    <row r="565" spans="1:6" s="118" customFormat="1">
      <c r="A565" s="143"/>
      <c r="B565" s="191" t="s">
        <v>384</v>
      </c>
      <c r="C565" s="92"/>
      <c r="D565" s="29"/>
      <c r="E565" s="92"/>
      <c r="F565" s="162">
        <f t="shared" si="8"/>
        <v>0</v>
      </c>
    </row>
    <row r="566" spans="1:6" s="118" customFormat="1" ht="27.6">
      <c r="A566" s="143"/>
      <c r="B566" s="188" t="s">
        <v>414</v>
      </c>
      <c r="C566" s="92"/>
      <c r="D566" s="29"/>
      <c r="E566" s="92"/>
      <c r="F566" s="162">
        <f t="shared" si="8"/>
        <v>0</v>
      </c>
    </row>
    <row r="567" spans="1:6" s="118" customFormat="1">
      <c r="A567" s="143"/>
      <c r="B567" s="188"/>
      <c r="C567" s="92"/>
      <c r="D567" s="29"/>
      <c r="E567" s="92"/>
      <c r="F567" s="162">
        <f t="shared" si="8"/>
        <v>0</v>
      </c>
    </row>
    <row r="568" spans="1:6" s="48" customFormat="1" ht="27.6">
      <c r="A568" s="128" t="s">
        <v>237</v>
      </c>
      <c r="B568" s="166" t="s">
        <v>238</v>
      </c>
      <c r="C568" s="24"/>
      <c r="D568" s="24"/>
      <c r="E568" s="52"/>
      <c r="F568" s="162">
        <f t="shared" si="8"/>
        <v>0</v>
      </c>
    </row>
    <row r="569" spans="1:6" s="48" customFormat="1">
      <c r="A569" s="128"/>
      <c r="B569" s="185" t="s">
        <v>145</v>
      </c>
      <c r="C569" s="24"/>
      <c r="D569" s="24"/>
      <c r="E569" s="52"/>
      <c r="F569" s="162">
        <f t="shared" si="8"/>
        <v>0</v>
      </c>
    </row>
    <row r="570" spans="1:6" s="48" customFormat="1" ht="27.6">
      <c r="A570" s="128" t="s">
        <v>236</v>
      </c>
      <c r="B570" s="166" t="s">
        <v>243</v>
      </c>
      <c r="C570" s="29"/>
      <c r="D570" s="29"/>
      <c r="E570" s="52"/>
      <c r="F570" s="162">
        <f t="shared" si="8"/>
        <v>0</v>
      </c>
    </row>
    <row r="571" spans="1:6" s="48" customFormat="1">
      <c r="A571" s="128"/>
      <c r="B571" s="185" t="s">
        <v>145</v>
      </c>
      <c r="C571" s="29"/>
      <c r="D571" s="29"/>
      <c r="E571" s="52"/>
      <c r="F571" s="162">
        <f t="shared" si="8"/>
        <v>0</v>
      </c>
    </row>
    <row r="572" spans="1:6" s="48" customFormat="1" ht="27.6">
      <c r="A572" s="128">
        <v>2</v>
      </c>
      <c r="B572" s="166" t="s">
        <v>248</v>
      </c>
      <c r="C572" s="29"/>
      <c r="D572" s="29"/>
      <c r="E572" s="52"/>
      <c r="F572" s="162">
        <f t="shared" si="8"/>
        <v>0</v>
      </c>
    </row>
    <row r="573" spans="1:6" s="48" customFormat="1">
      <c r="A573" s="128"/>
      <c r="B573" s="166"/>
      <c r="C573" s="29"/>
      <c r="D573" s="29"/>
      <c r="E573" s="52"/>
      <c r="F573" s="162">
        <f t="shared" si="8"/>
        <v>0</v>
      </c>
    </row>
    <row r="574" spans="1:6" s="48" customFormat="1">
      <c r="A574" s="128" t="s">
        <v>105</v>
      </c>
      <c r="B574" s="166" t="s">
        <v>124</v>
      </c>
      <c r="C574" s="29"/>
      <c r="D574" s="29"/>
      <c r="E574" s="52"/>
      <c r="F574" s="162">
        <f t="shared" si="8"/>
        <v>0</v>
      </c>
    </row>
    <row r="575" spans="1:6" s="48" customFormat="1">
      <c r="A575" s="128" t="s">
        <v>107</v>
      </c>
      <c r="B575" s="166" t="s">
        <v>125</v>
      </c>
      <c r="C575" s="29"/>
      <c r="D575" s="29"/>
      <c r="E575" s="52"/>
      <c r="F575" s="162">
        <f t="shared" si="8"/>
        <v>0</v>
      </c>
    </row>
    <row r="576" spans="1:6" s="48" customFormat="1">
      <c r="A576" s="128" t="s">
        <v>109</v>
      </c>
      <c r="B576" s="166" t="s">
        <v>126</v>
      </c>
      <c r="C576" s="29"/>
      <c r="D576" s="29"/>
      <c r="E576" s="52"/>
      <c r="F576" s="162">
        <f t="shared" si="8"/>
        <v>0</v>
      </c>
    </row>
    <row r="577" spans="1:6" s="48" customFormat="1">
      <c r="A577" s="128" t="s">
        <v>127</v>
      </c>
      <c r="B577" s="166" t="s">
        <v>128</v>
      </c>
      <c r="C577" s="29"/>
      <c r="D577" s="29"/>
      <c r="E577" s="52"/>
      <c r="F577" s="162">
        <f t="shared" si="8"/>
        <v>0</v>
      </c>
    </row>
    <row r="578" spans="1:6" s="48" customFormat="1">
      <c r="A578" s="128" t="s">
        <v>129</v>
      </c>
      <c r="B578" s="166" t="s">
        <v>130</v>
      </c>
      <c r="C578" s="29"/>
      <c r="D578" s="29"/>
      <c r="E578" s="52"/>
      <c r="F578" s="162">
        <f t="shared" si="8"/>
        <v>0</v>
      </c>
    </row>
    <row r="579" spans="1:6" s="48" customFormat="1">
      <c r="A579" s="128" t="s">
        <v>131</v>
      </c>
      <c r="B579" s="166" t="s">
        <v>132</v>
      </c>
      <c r="C579" s="29"/>
      <c r="D579" s="29"/>
      <c r="E579" s="52"/>
      <c r="F579" s="162">
        <f t="shared" si="8"/>
        <v>0</v>
      </c>
    </row>
    <row r="580" spans="1:6" s="48" customFormat="1">
      <c r="A580" s="128" t="s">
        <v>133</v>
      </c>
      <c r="B580" s="166" t="s">
        <v>134</v>
      </c>
      <c r="C580" s="29"/>
      <c r="D580" s="29"/>
      <c r="E580" s="52"/>
      <c r="F580" s="162">
        <f t="shared" si="8"/>
        <v>0</v>
      </c>
    </row>
    <row r="581" spans="1:6" s="48" customFormat="1">
      <c r="A581" s="128" t="s">
        <v>135</v>
      </c>
      <c r="B581" s="166" t="s">
        <v>136</v>
      </c>
      <c r="C581" s="29"/>
      <c r="D581" s="29"/>
      <c r="E581" s="52"/>
      <c r="F581" s="162">
        <f t="shared" si="8"/>
        <v>0</v>
      </c>
    </row>
    <row r="582" spans="1:6" s="48" customFormat="1">
      <c r="A582" s="128" t="s">
        <v>66</v>
      </c>
      <c r="B582" s="166" t="s">
        <v>137</v>
      </c>
      <c r="C582" s="29"/>
      <c r="D582" s="29"/>
      <c r="E582" s="52"/>
      <c r="F582" s="162">
        <f t="shared" si="8"/>
        <v>0</v>
      </c>
    </row>
    <row r="583" spans="1:6" s="48" customFormat="1">
      <c r="A583" s="128" t="s">
        <v>67</v>
      </c>
      <c r="B583" s="166" t="s">
        <v>138</v>
      </c>
      <c r="C583" s="29"/>
      <c r="D583" s="29"/>
      <c r="E583" s="52"/>
      <c r="F583" s="162">
        <f t="shared" si="8"/>
        <v>0</v>
      </c>
    </row>
    <row r="584" spans="1:6" s="115" customFormat="1">
      <c r="A584" s="128" t="s">
        <v>68</v>
      </c>
      <c r="B584" s="166" t="s">
        <v>242</v>
      </c>
      <c r="C584" s="24"/>
      <c r="D584" s="24"/>
      <c r="E584" s="52"/>
      <c r="F584" s="162">
        <f t="shared" si="8"/>
        <v>0</v>
      </c>
    </row>
    <row r="585" spans="1:6" s="115" customFormat="1">
      <c r="A585" s="128"/>
      <c r="B585" s="166"/>
      <c r="C585" s="24"/>
      <c r="D585" s="24"/>
      <c r="E585" s="52"/>
      <c r="F585" s="162">
        <f t="shared" si="8"/>
        <v>0</v>
      </c>
    </row>
    <row r="586" spans="1:6" s="118" customFormat="1">
      <c r="A586" s="143"/>
      <c r="B586" s="191" t="s">
        <v>385</v>
      </c>
      <c r="C586" s="92"/>
      <c r="D586" s="29"/>
      <c r="E586" s="92"/>
      <c r="F586" s="162">
        <f t="shared" ref="F586:F649" si="9">E586*D586</f>
        <v>0</v>
      </c>
    </row>
    <row r="587" spans="1:6" s="118" customFormat="1">
      <c r="A587" s="143" t="s">
        <v>105</v>
      </c>
      <c r="B587" s="188" t="s">
        <v>386</v>
      </c>
      <c r="C587" s="92"/>
      <c r="D587" s="29"/>
      <c r="E587" s="92"/>
      <c r="F587" s="162">
        <f t="shared" si="9"/>
        <v>0</v>
      </c>
    </row>
    <row r="588" spans="1:6" s="118" customFormat="1" ht="27.6">
      <c r="A588" s="143" t="s">
        <v>237</v>
      </c>
      <c r="B588" s="188" t="s">
        <v>387</v>
      </c>
      <c r="C588" s="92"/>
      <c r="D588" s="29"/>
      <c r="E588" s="92"/>
      <c r="F588" s="162">
        <f t="shared" si="9"/>
        <v>0</v>
      </c>
    </row>
    <row r="589" spans="1:6" s="118" customFormat="1">
      <c r="A589" s="143" t="s">
        <v>388</v>
      </c>
      <c r="B589" s="188" t="s">
        <v>389</v>
      </c>
      <c r="C589" s="92"/>
      <c r="D589" s="29"/>
      <c r="E589" s="92"/>
      <c r="F589" s="162">
        <f t="shared" si="9"/>
        <v>0</v>
      </c>
    </row>
    <row r="590" spans="1:6" s="118" customFormat="1">
      <c r="A590" s="143" t="s">
        <v>236</v>
      </c>
      <c r="B590" s="188" t="s">
        <v>136</v>
      </c>
      <c r="C590" s="92"/>
      <c r="D590" s="29"/>
      <c r="E590" s="92"/>
      <c r="F590" s="162">
        <f t="shared" si="9"/>
        <v>0</v>
      </c>
    </row>
    <row r="591" spans="1:6" s="118" customFormat="1">
      <c r="A591" s="143" t="s">
        <v>390</v>
      </c>
      <c r="B591" s="188" t="s">
        <v>391</v>
      </c>
      <c r="C591" s="92"/>
      <c r="D591" s="29"/>
      <c r="E591" s="92"/>
      <c r="F591" s="162">
        <f t="shared" si="9"/>
        <v>0</v>
      </c>
    </row>
    <row r="592" spans="1:6" s="118" customFormat="1" ht="27.6">
      <c r="A592" s="143" t="s">
        <v>392</v>
      </c>
      <c r="B592" s="188" t="s">
        <v>393</v>
      </c>
      <c r="C592" s="92"/>
      <c r="D592" s="29"/>
      <c r="E592" s="92"/>
      <c r="F592" s="162">
        <f t="shared" si="9"/>
        <v>0</v>
      </c>
    </row>
    <row r="593" spans="1:6" s="118" customFormat="1">
      <c r="A593" s="143"/>
      <c r="B593" s="188"/>
      <c r="C593" s="92"/>
      <c r="D593" s="29"/>
      <c r="E593" s="92"/>
      <c r="F593" s="162">
        <f t="shared" si="9"/>
        <v>0</v>
      </c>
    </row>
    <row r="594" spans="1:6" s="119" customFormat="1">
      <c r="A594" s="145"/>
      <c r="B594" s="190" t="s">
        <v>394</v>
      </c>
      <c r="C594" s="93"/>
      <c r="D594" s="42"/>
      <c r="E594" s="93"/>
      <c r="F594" s="162">
        <f t="shared" si="9"/>
        <v>0</v>
      </c>
    </row>
    <row r="595" spans="1:6" s="118" customFormat="1">
      <c r="A595" s="143" t="s">
        <v>105</v>
      </c>
      <c r="B595" s="188" t="s">
        <v>415</v>
      </c>
      <c r="C595" s="92"/>
      <c r="D595" s="29"/>
      <c r="E595" s="92"/>
      <c r="F595" s="162">
        <f t="shared" si="9"/>
        <v>0</v>
      </c>
    </row>
    <row r="596" spans="1:6" s="118" customFormat="1" ht="41.4">
      <c r="A596" s="143"/>
      <c r="B596" s="188" t="s">
        <v>416</v>
      </c>
      <c r="C596" s="92"/>
      <c r="D596" s="29"/>
      <c r="E596" s="92"/>
      <c r="F596" s="162">
        <f t="shared" si="9"/>
        <v>0</v>
      </c>
    </row>
    <row r="597" spans="1:6" s="118" customFormat="1" ht="234.6">
      <c r="A597" s="143"/>
      <c r="B597" s="188" t="s">
        <v>538</v>
      </c>
      <c r="C597" s="92"/>
      <c r="D597" s="29"/>
      <c r="E597" s="92"/>
      <c r="F597" s="162">
        <f t="shared" si="9"/>
        <v>0</v>
      </c>
    </row>
    <row r="598" spans="1:6" s="118" customFormat="1" ht="110.4">
      <c r="A598" s="143"/>
      <c r="B598" s="188" t="s">
        <v>395</v>
      </c>
      <c r="C598" s="92"/>
      <c r="D598" s="29"/>
      <c r="E598" s="92"/>
      <c r="F598" s="162">
        <f t="shared" si="9"/>
        <v>0</v>
      </c>
    </row>
    <row r="599" spans="1:6" s="48" customFormat="1">
      <c r="A599" s="146"/>
      <c r="B599" s="192"/>
      <c r="C599" s="59"/>
      <c r="D599" s="58"/>
      <c r="E599" s="60"/>
      <c r="F599" s="162">
        <f t="shared" si="9"/>
        <v>0</v>
      </c>
    </row>
    <row r="600" spans="1:6" s="48" customFormat="1">
      <c r="A600" s="128"/>
      <c r="B600" s="167"/>
      <c r="C600" s="43"/>
      <c r="D600" s="24"/>
      <c r="E600" s="52"/>
      <c r="F600" s="162">
        <f t="shared" si="9"/>
        <v>0</v>
      </c>
    </row>
    <row r="601" spans="1:6" s="48" customFormat="1" ht="27.6">
      <c r="A601" s="129"/>
      <c r="B601" s="176" t="s">
        <v>417</v>
      </c>
      <c r="C601" s="42" t="s">
        <v>161</v>
      </c>
      <c r="D601" s="42">
        <v>1</v>
      </c>
      <c r="E601" s="54"/>
      <c r="F601" s="162">
        <f t="shared" si="9"/>
        <v>0</v>
      </c>
    </row>
    <row r="602" spans="1:6" s="48" customFormat="1">
      <c r="A602" s="128"/>
      <c r="B602" s="167"/>
      <c r="C602" s="43"/>
      <c r="D602" s="24"/>
      <c r="E602" s="52"/>
      <c r="F602" s="162">
        <f t="shared" si="9"/>
        <v>0</v>
      </c>
    </row>
    <row r="603" spans="1:6" s="48" customFormat="1">
      <c r="A603" s="136">
        <v>3</v>
      </c>
      <c r="B603" s="171" t="s">
        <v>418</v>
      </c>
      <c r="C603" s="29"/>
      <c r="D603" s="29"/>
      <c r="E603" s="54"/>
      <c r="F603" s="162">
        <f t="shared" si="9"/>
        <v>0</v>
      </c>
    </row>
    <row r="604" spans="1:6" s="48" customFormat="1">
      <c r="A604" s="128"/>
      <c r="B604" s="183" t="s">
        <v>235</v>
      </c>
      <c r="C604" s="44"/>
      <c r="D604" s="44"/>
      <c r="E604" s="57"/>
      <c r="F604" s="162">
        <f t="shared" si="9"/>
        <v>0</v>
      </c>
    </row>
    <row r="605" spans="1:6" s="48" customFormat="1" ht="27.6">
      <c r="A605" s="128">
        <v>1</v>
      </c>
      <c r="B605" s="166" t="s">
        <v>419</v>
      </c>
      <c r="C605" s="24"/>
      <c r="D605" s="24"/>
      <c r="E605" s="52"/>
      <c r="F605" s="162">
        <f t="shared" si="9"/>
        <v>0</v>
      </c>
    </row>
    <row r="606" spans="1:6" s="48" customFormat="1">
      <c r="A606" s="128"/>
      <c r="B606" s="166"/>
      <c r="C606" s="24"/>
      <c r="D606" s="24"/>
      <c r="E606" s="52"/>
      <c r="F606" s="162">
        <f t="shared" si="9"/>
        <v>0</v>
      </c>
    </row>
    <row r="607" spans="1:6" s="48" customFormat="1" ht="27.6">
      <c r="A607" s="128" t="s">
        <v>237</v>
      </c>
      <c r="B607" s="166" t="s">
        <v>238</v>
      </c>
      <c r="C607" s="24"/>
      <c r="D607" s="24"/>
      <c r="E607" s="52"/>
      <c r="F607" s="162">
        <f t="shared" si="9"/>
        <v>0</v>
      </c>
    </row>
    <row r="608" spans="1:6" s="48" customFormat="1">
      <c r="A608" s="128"/>
      <c r="B608" s="185" t="s">
        <v>145</v>
      </c>
      <c r="C608" s="24"/>
      <c r="D608" s="24"/>
      <c r="E608" s="52"/>
      <c r="F608" s="162">
        <f t="shared" si="9"/>
        <v>0</v>
      </c>
    </row>
    <row r="609" spans="1:6" s="48" customFormat="1" ht="27.6">
      <c r="A609" s="128" t="s">
        <v>236</v>
      </c>
      <c r="B609" s="166" t="s">
        <v>243</v>
      </c>
      <c r="C609" s="29"/>
      <c r="D609" s="29"/>
      <c r="E609" s="52"/>
      <c r="F609" s="162">
        <f t="shared" si="9"/>
        <v>0</v>
      </c>
    </row>
    <row r="610" spans="1:6" s="48" customFormat="1">
      <c r="A610" s="128"/>
      <c r="B610" s="185" t="s">
        <v>145</v>
      </c>
      <c r="C610" s="29"/>
      <c r="D610" s="29"/>
      <c r="E610" s="52"/>
      <c r="F610" s="162">
        <f t="shared" si="9"/>
        <v>0</v>
      </c>
    </row>
    <row r="611" spans="1:6" s="48" customFormat="1" ht="27.6">
      <c r="A611" s="128">
        <v>2</v>
      </c>
      <c r="B611" s="166" t="s">
        <v>248</v>
      </c>
      <c r="C611" s="29"/>
      <c r="D611" s="29"/>
      <c r="E611" s="52"/>
      <c r="F611" s="162">
        <f t="shared" si="9"/>
        <v>0</v>
      </c>
    </row>
    <row r="612" spans="1:6" s="48" customFormat="1">
      <c r="A612" s="128"/>
      <c r="B612" s="166"/>
      <c r="C612" s="29"/>
      <c r="D612" s="29"/>
      <c r="E612" s="52"/>
      <c r="F612" s="162">
        <f t="shared" si="9"/>
        <v>0</v>
      </c>
    </row>
    <row r="613" spans="1:6" s="48" customFormat="1">
      <c r="A613" s="128" t="s">
        <v>105</v>
      </c>
      <c r="B613" s="166" t="s">
        <v>124</v>
      </c>
      <c r="C613" s="29"/>
      <c r="D613" s="29"/>
      <c r="E613" s="52"/>
      <c r="F613" s="162">
        <f t="shared" si="9"/>
        <v>0</v>
      </c>
    </row>
    <row r="614" spans="1:6" s="48" customFormat="1">
      <c r="A614" s="128" t="s">
        <v>107</v>
      </c>
      <c r="B614" s="166" t="s">
        <v>125</v>
      </c>
      <c r="C614" s="29"/>
      <c r="D614" s="29"/>
      <c r="E614" s="52"/>
      <c r="F614" s="162">
        <f t="shared" si="9"/>
        <v>0</v>
      </c>
    </row>
    <row r="615" spans="1:6" s="48" customFormat="1">
      <c r="A615" s="128" t="s">
        <v>109</v>
      </c>
      <c r="B615" s="166" t="s">
        <v>126</v>
      </c>
      <c r="C615" s="29"/>
      <c r="D615" s="29"/>
      <c r="E615" s="52"/>
      <c r="F615" s="162">
        <f t="shared" si="9"/>
        <v>0</v>
      </c>
    </row>
    <row r="616" spans="1:6" s="48" customFormat="1">
      <c r="A616" s="128" t="s">
        <v>127</v>
      </c>
      <c r="B616" s="166" t="s">
        <v>128</v>
      </c>
      <c r="C616" s="29"/>
      <c r="D616" s="29"/>
      <c r="E616" s="52"/>
      <c r="F616" s="162">
        <f t="shared" si="9"/>
        <v>0</v>
      </c>
    </row>
    <row r="617" spans="1:6" s="48" customFormat="1">
      <c r="A617" s="128" t="s">
        <v>129</v>
      </c>
      <c r="B617" s="166" t="s">
        <v>130</v>
      </c>
      <c r="C617" s="29"/>
      <c r="D617" s="29"/>
      <c r="E617" s="52"/>
      <c r="F617" s="162">
        <f t="shared" si="9"/>
        <v>0</v>
      </c>
    </row>
    <row r="618" spans="1:6" s="48" customFormat="1">
      <c r="A618" s="128" t="s">
        <v>131</v>
      </c>
      <c r="B618" s="166" t="s">
        <v>132</v>
      </c>
      <c r="C618" s="29"/>
      <c r="D618" s="29"/>
      <c r="E618" s="52"/>
      <c r="F618" s="162">
        <f t="shared" si="9"/>
        <v>0</v>
      </c>
    </row>
    <row r="619" spans="1:6" s="48" customFormat="1">
      <c r="A619" s="128" t="s">
        <v>133</v>
      </c>
      <c r="B619" s="166" t="s">
        <v>134</v>
      </c>
      <c r="C619" s="29"/>
      <c r="D619" s="29"/>
      <c r="E619" s="52"/>
      <c r="F619" s="162">
        <f t="shared" si="9"/>
        <v>0</v>
      </c>
    </row>
    <row r="620" spans="1:6" s="48" customFormat="1">
      <c r="A620" s="128" t="s">
        <v>135</v>
      </c>
      <c r="B620" s="166" t="s">
        <v>136</v>
      </c>
      <c r="C620" s="29"/>
      <c r="D620" s="29"/>
      <c r="E620" s="52"/>
      <c r="F620" s="162">
        <f t="shared" si="9"/>
        <v>0</v>
      </c>
    </row>
    <row r="621" spans="1:6" s="48" customFormat="1">
      <c r="A621" s="128" t="s">
        <v>66</v>
      </c>
      <c r="B621" s="166" t="s">
        <v>137</v>
      </c>
      <c r="C621" s="29"/>
      <c r="D621" s="29"/>
      <c r="E621" s="52"/>
      <c r="F621" s="162">
        <f t="shared" si="9"/>
        <v>0</v>
      </c>
    </row>
    <row r="622" spans="1:6" s="48" customFormat="1">
      <c r="A622" s="128" t="s">
        <v>67</v>
      </c>
      <c r="B622" s="166" t="s">
        <v>138</v>
      </c>
      <c r="C622" s="29"/>
      <c r="D622" s="29"/>
      <c r="E622" s="52"/>
      <c r="F622" s="162">
        <f t="shared" si="9"/>
        <v>0</v>
      </c>
    </row>
    <row r="623" spans="1:6" s="115" customFormat="1">
      <c r="A623" s="128" t="s">
        <v>68</v>
      </c>
      <c r="B623" s="166" t="s">
        <v>242</v>
      </c>
      <c r="C623" s="24"/>
      <c r="D623" s="24"/>
      <c r="E623" s="52"/>
      <c r="F623" s="162">
        <f t="shared" si="9"/>
        <v>0</v>
      </c>
    </row>
    <row r="624" spans="1:6" s="115" customFormat="1">
      <c r="A624" s="128"/>
      <c r="B624" s="166"/>
      <c r="C624" s="24"/>
      <c r="D624" s="24"/>
      <c r="E624" s="52"/>
      <c r="F624" s="162">
        <f t="shared" si="9"/>
        <v>0</v>
      </c>
    </row>
    <row r="625" spans="1:6" s="48" customFormat="1">
      <c r="A625" s="128">
        <v>3</v>
      </c>
      <c r="B625" s="183" t="s">
        <v>164</v>
      </c>
      <c r="C625" s="44"/>
      <c r="D625" s="24"/>
      <c r="E625" s="52"/>
      <c r="F625" s="162">
        <f t="shared" si="9"/>
        <v>0</v>
      </c>
    </row>
    <row r="626" spans="1:6" s="48" customFormat="1" ht="27.6">
      <c r="A626" s="128"/>
      <c r="B626" s="166" t="s">
        <v>432</v>
      </c>
      <c r="C626" s="24"/>
      <c r="D626" s="24"/>
      <c r="E626" s="52"/>
      <c r="F626" s="162">
        <f t="shared" si="9"/>
        <v>0</v>
      </c>
    </row>
    <row r="627" spans="1:6" s="48" customFormat="1">
      <c r="A627" s="128"/>
      <c r="B627" s="166"/>
      <c r="C627" s="44"/>
      <c r="D627" s="44"/>
      <c r="E627" s="57"/>
      <c r="F627" s="162">
        <f t="shared" si="9"/>
        <v>0</v>
      </c>
    </row>
    <row r="628" spans="1:6" s="48" customFormat="1">
      <c r="A628" s="128">
        <v>4</v>
      </c>
      <c r="B628" s="183" t="s">
        <v>165</v>
      </c>
      <c r="C628" s="44"/>
      <c r="D628" s="44"/>
      <c r="E628" s="57"/>
      <c r="F628" s="162">
        <f t="shared" si="9"/>
        <v>0</v>
      </c>
    </row>
    <row r="629" spans="1:6" s="48" customFormat="1">
      <c r="A629" s="128"/>
      <c r="B629" s="166"/>
      <c r="C629" s="44"/>
      <c r="D629" s="44"/>
      <c r="E629" s="57"/>
      <c r="F629" s="162">
        <f t="shared" si="9"/>
        <v>0</v>
      </c>
    </row>
    <row r="630" spans="1:6" s="48" customFormat="1">
      <c r="A630" s="128" t="s">
        <v>66</v>
      </c>
      <c r="B630" s="166" t="s">
        <v>397</v>
      </c>
      <c r="C630" s="44"/>
      <c r="D630" s="44"/>
      <c r="E630" s="57"/>
      <c r="F630" s="162">
        <f t="shared" si="9"/>
        <v>0</v>
      </c>
    </row>
    <row r="631" spans="1:6" s="48" customFormat="1">
      <c r="A631" s="128" t="s">
        <v>123</v>
      </c>
      <c r="B631" s="166" t="s">
        <v>420</v>
      </c>
      <c r="C631" s="29"/>
      <c r="D631" s="29"/>
      <c r="E631" s="54"/>
      <c r="F631" s="162">
        <f t="shared" si="9"/>
        <v>0</v>
      </c>
    </row>
    <row r="632" spans="1:6" s="48" customFormat="1">
      <c r="A632" s="128" t="s">
        <v>139</v>
      </c>
      <c r="B632" s="166" t="s">
        <v>421</v>
      </c>
      <c r="C632" s="29"/>
      <c r="D632" s="29"/>
      <c r="E632" s="54"/>
      <c r="F632" s="162">
        <f t="shared" si="9"/>
        <v>0</v>
      </c>
    </row>
    <row r="633" spans="1:6" s="48" customFormat="1">
      <c r="A633" s="128"/>
      <c r="B633" s="166"/>
      <c r="C633" s="29"/>
      <c r="D633" s="29"/>
      <c r="E633" s="54"/>
      <c r="F633" s="162">
        <f t="shared" si="9"/>
        <v>0</v>
      </c>
    </row>
    <row r="634" spans="1:6" s="48" customFormat="1">
      <c r="A634" s="128"/>
      <c r="B634" s="166" t="s">
        <v>245</v>
      </c>
      <c r="C634" s="29"/>
      <c r="D634" s="29"/>
      <c r="E634" s="54"/>
      <c r="F634" s="162">
        <f t="shared" si="9"/>
        <v>0</v>
      </c>
    </row>
    <row r="635" spans="1:6" s="115" customFormat="1" ht="27.6">
      <c r="A635" s="128"/>
      <c r="B635" s="166" t="s">
        <v>244</v>
      </c>
      <c r="C635" s="24"/>
      <c r="D635" s="24"/>
      <c r="E635" s="52"/>
      <c r="F635" s="162">
        <f t="shared" si="9"/>
        <v>0</v>
      </c>
    </row>
    <row r="636" spans="1:6" s="48" customFormat="1">
      <c r="A636" s="128"/>
      <c r="B636" s="166"/>
      <c r="C636" s="29"/>
      <c r="D636" s="29"/>
      <c r="E636" s="54"/>
      <c r="F636" s="162">
        <f t="shared" si="9"/>
        <v>0</v>
      </c>
    </row>
    <row r="637" spans="1:6" s="48" customFormat="1">
      <c r="A637" s="128"/>
      <c r="B637" s="172" t="s">
        <v>422</v>
      </c>
      <c r="C637" s="24" t="s">
        <v>161</v>
      </c>
      <c r="D637" s="24">
        <v>1</v>
      </c>
      <c r="E637" s="54"/>
      <c r="F637" s="162">
        <f t="shared" si="9"/>
        <v>0</v>
      </c>
    </row>
    <row r="638" spans="1:6" s="48" customFormat="1">
      <c r="A638" s="128"/>
      <c r="B638" s="172"/>
      <c r="C638" s="24"/>
      <c r="D638" s="24"/>
      <c r="E638" s="54"/>
      <c r="F638" s="162">
        <f t="shared" si="9"/>
        <v>0</v>
      </c>
    </row>
    <row r="639" spans="1:6" s="48" customFormat="1">
      <c r="A639" s="136">
        <v>4</v>
      </c>
      <c r="B639" s="171" t="s">
        <v>423</v>
      </c>
      <c r="C639" s="29"/>
      <c r="D639" s="29"/>
      <c r="E639" s="54"/>
      <c r="F639" s="162">
        <f t="shared" si="9"/>
        <v>0</v>
      </c>
    </row>
    <row r="640" spans="1:6" s="48" customFormat="1">
      <c r="A640" s="128"/>
      <c r="B640" s="183" t="s">
        <v>235</v>
      </c>
      <c r="C640" s="44"/>
      <c r="D640" s="44"/>
      <c r="E640" s="57"/>
      <c r="F640" s="162">
        <f t="shared" si="9"/>
        <v>0</v>
      </c>
    </row>
    <row r="641" spans="1:6" s="48" customFormat="1" ht="27.6">
      <c r="A641" s="128">
        <v>1</v>
      </c>
      <c r="B641" s="166" t="s">
        <v>424</v>
      </c>
      <c r="C641" s="24"/>
      <c r="D641" s="24"/>
      <c r="E641" s="52"/>
      <c r="F641" s="162">
        <f t="shared" si="9"/>
        <v>0</v>
      </c>
    </row>
    <row r="642" spans="1:6" s="48" customFormat="1">
      <c r="A642" s="128"/>
      <c r="B642" s="166"/>
      <c r="C642" s="24"/>
      <c r="D642" s="24"/>
      <c r="E642" s="52"/>
      <c r="F642" s="162">
        <f t="shared" si="9"/>
        <v>0</v>
      </c>
    </row>
    <row r="643" spans="1:6" s="48" customFormat="1" ht="27.6">
      <c r="A643" s="128" t="s">
        <v>237</v>
      </c>
      <c r="B643" s="166" t="s">
        <v>238</v>
      </c>
      <c r="C643" s="24"/>
      <c r="D643" s="24"/>
      <c r="E643" s="52"/>
      <c r="F643" s="162">
        <f t="shared" si="9"/>
        <v>0</v>
      </c>
    </row>
    <row r="644" spans="1:6" s="48" customFormat="1">
      <c r="A644" s="128"/>
      <c r="B644" s="185" t="s">
        <v>145</v>
      </c>
      <c r="C644" s="24"/>
      <c r="D644" s="24"/>
      <c r="E644" s="52"/>
      <c r="F644" s="162">
        <f t="shared" si="9"/>
        <v>0</v>
      </c>
    </row>
    <row r="645" spans="1:6" s="48" customFormat="1" ht="27.6">
      <c r="A645" s="128" t="s">
        <v>236</v>
      </c>
      <c r="B645" s="166" t="s">
        <v>243</v>
      </c>
      <c r="C645" s="29"/>
      <c r="D645" s="29"/>
      <c r="E645" s="52"/>
      <c r="F645" s="162">
        <f t="shared" si="9"/>
        <v>0</v>
      </c>
    </row>
    <row r="646" spans="1:6" s="48" customFormat="1">
      <c r="A646" s="128"/>
      <c r="B646" s="185" t="s">
        <v>145</v>
      </c>
      <c r="C646" s="29"/>
      <c r="D646" s="29"/>
      <c r="E646" s="52"/>
      <c r="F646" s="162">
        <f t="shared" si="9"/>
        <v>0</v>
      </c>
    </row>
    <row r="647" spans="1:6" s="48" customFormat="1" ht="27.6">
      <c r="A647" s="128">
        <v>2</v>
      </c>
      <c r="B647" s="166" t="s">
        <v>248</v>
      </c>
      <c r="C647" s="29"/>
      <c r="D647" s="29"/>
      <c r="E647" s="52"/>
      <c r="F647" s="162">
        <f t="shared" si="9"/>
        <v>0</v>
      </c>
    </row>
    <row r="648" spans="1:6" s="48" customFormat="1">
      <c r="A648" s="128"/>
      <c r="B648" s="166"/>
      <c r="C648" s="29"/>
      <c r="D648" s="29"/>
      <c r="E648" s="52"/>
      <c r="F648" s="162">
        <f t="shared" si="9"/>
        <v>0</v>
      </c>
    </row>
    <row r="649" spans="1:6" s="48" customFormat="1">
      <c r="A649" s="128" t="s">
        <v>105</v>
      </c>
      <c r="B649" s="166" t="s">
        <v>124</v>
      </c>
      <c r="C649" s="29"/>
      <c r="D649" s="29"/>
      <c r="E649" s="52"/>
      <c r="F649" s="162">
        <f t="shared" si="9"/>
        <v>0</v>
      </c>
    </row>
    <row r="650" spans="1:6" s="48" customFormat="1">
      <c r="A650" s="128" t="s">
        <v>107</v>
      </c>
      <c r="B650" s="166" t="s">
        <v>125</v>
      </c>
      <c r="C650" s="29"/>
      <c r="D650" s="29"/>
      <c r="E650" s="52"/>
      <c r="F650" s="162">
        <f t="shared" ref="F650:F713" si="10">E650*D650</f>
        <v>0</v>
      </c>
    </row>
    <row r="651" spans="1:6" s="48" customFormat="1">
      <c r="A651" s="128" t="s">
        <v>109</v>
      </c>
      <c r="B651" s="166" t="s">
        <v>126</v>
      </c>
      <c r="C651" s="29"/>
      <c r="D651" s="29"/>
      <c r="E651" s="52"/>
      <c r="F651" s="162">
        <f t="shared" si="10"/>
        <v>0</v>
      </c>
    </row>
    <row r="652" spans="1:6" s="48" customFormat="1">
      <c r="A652" s="128" t="s">
        <v>127</v>
      </c>
      <c r="B652" s="166" t="s">
        <v>128</v>
      </c>
      <c r="C652" s="29"/>
      <c r="D652" s="29"/>
      <c r="E652" s="52"/>
      <c r="F652" s="162">
        <f t="shared" si="10"/>
        <v>0</v>
      </c>
    </row>
    <row r="653" spans="1:6" s="48" customFormat="1">
      <c r="A653" s="128" t="s">
        <v>129</v>
      </c>
      <c r="B653" s="166" t="s">
        <v>130</v>
      </c>
      <c r="C653" s="29"/>
      <c r="D653" s="29"/>
      <c r="E653" s="52"/>
      <c r="F653" s="162">
        <f t="shared" si="10"/>
        <v>0</v>
      </c>
    </row>
    <row r="654" spans="1:6" s="48" customFormat="1">
      <c r="A654" s="128" t="s">
        <v>131</v>
      </c>
      <c r="B654" s="166" t="s">
        <v>132</v>
      </c>
      <c r="C654" s="29"/>
      <c r="D654" s="29"/>
      <c r="E654" s="52"/>
      <c r="F654" s="162">
        <f t="shared" si="10"/>
        <v>0</v>
      </c>
    </row>
    <row r="655" spans="1:6" s="48" customFormat="1">
      <c r="A655" s="128" t="s">
        <v>133</v>
      </c>
      <c r="B655" s="166" t="s">
        <v>134</v>
      </c>
      <c r="C655" s="29"/>
      <c r="D655" s="29"/>
      <c r="E655" s="52"/>
      <c r="F655" s="162">
        <f t="shared" si="10"/>
        <v>0</v>
      </c>
    </row>
    <row r="656" spans="1:6" s="48" customFormat="1">
      <c r="A656" s="128" t="s">
        <v>135</v>
      </c>
      <c r="B656" s="166" t="s">
        <v>136</v>
      </c>
      <c r="C656" s="29"/>
      <c r="D656" s="29"/>
      <c r="E656" s="52"/>
      <c r="F656" s="162">
        <f t="shared" si="10"/>
        <v>0</v>
      </c>
    </row>
    <row r="657" spans="1:6" s="48" customFormat="1">
      <c r="A657" s="128" t="s">
        <v>66</v>
      </c>
      <c r="B657" s="166" t="s">
        <v>137</v>
      </c>
      <c r="C657" s="29"/>
      <c r="D657" s="29"/>
      <c r="E657" s="52"/>
      <c r="F657" s="162">
        <f t="shared" si="10"/>
        <v>0</v>
      </c>
    </row>
    <row r="658" spans="1:6" s="48" customFormat="1">
      <c r="A658" s="128" t="s">
        <v>67</v>
      </c>
      <c r="B658" s="166" t="s">
        <v>138</v>
      </c>
      <c r="C658" s="29"/>
      <c r="D658" s="29"/>
      <c r="E658" s="52"/>
      <c r="F658" s="162">
        <f t="shared" si="10"/>
        <v>0</v>
      </c>
    </row>
    <row r="659" spans="1:6" s="115" customFormat="1">
      <c r="A659" s="128" t="s">
        <v>68</v>
      </c>
      <c r="B659" s="166" t="s">
        <v>242</v>
      </c>
      <c r="C659" s="24"/>
      <c r="D659" s="24"/>
      <c r="E659" s="52"/>
      <c r="F659" s="162">
        <f t="shared" si="10"/>
        <v>0</v>
      </c>
    </row>
    <row r="660" spans="1:6" s="115" customFormat="1">
      <c r="A660" s="128"/>
      <c r="B660" s="166"/>
      <c r="C660" s="24"/>
      <c r="D660" s="24"/>
      <c r="E660" s="52"/>
      <c r="F660" s="162">
        <f t="shared" si="10"/>
        <v>0</v>
      </c>
    </row>
    <row r="661" spans="1:6" s="48" customFormat="1">
      <c r="A661" s="128">
        <v>3</v>
      </c>
      <c r="B661" s="183" t="s">
        <v>164</v>
      </c>
      <c r="C661" s="44"/>
      <c r="D661" s="24"/>
      <c r="E661" s="52"/>
      <c r="F661" s="162">
        <f t="shared" si="10"/>
        <v>0</v>
      </c>
    </row>
    <row r="662" spans="1:6" s="48" customFormat="1" ht="27.6">
      <c r="A662" s="128"/>
      <c r="B662" s="166" t="s">
        <v>432</v>
      </c>
      <c r="C662" s="24"/>
      <c r="D662" s="24"/>
      <c r="E662" s="52"/>
      <c r="F662" s="162">
        <f t="shared" si="10"/>
        <v>0</v>
      </c>
    </row>
    <row r="663" spans="1:6" s="48" customFormat="1">
      <c r="A663" s="128"/>
      <c r="B663" s="166"/>
      <c r="C663" s="44"/>
      <c r="D663" s="44"/>
      <c r="E663" s="57"/>
      <c r="F663" s="162">
        <f t="shared" si="10"/>
        <v>0</v>
      </c>
    </row>
    <row r="664" spans="1:6" s="48" customFormat="1">
      <c r="A664" s="128">
        <v>4</v>
      </c>
      <c r="B664" s="183" t="s">
        <v>165</v>
      </c>
      <c r="C664" s="44"/>
      <c r="D664" s="44"/>
      <c r="E664" s="57"/>
      <c r="F664" s="162">
        <f t="shared" si="10"/>
        <v>0</v>
      </c>
    </row>
    <row r="665" spans="1:6" s="48" customFormat="1">
      <c r="A665" s="128"/>
      <c r="B665" s="166"/>
      <c r="C665" s="44"/>
      <c r="D665" s="44"/>
      <c r="E665" s="57"/>
      <c r="F665" s="162">
        <f t="shared" si="10"/>
        <v>0</v>
      </c>
    </row>
    <row r="666" spans="1:6" s="48" customFormat="1">
      <c r="A666" s="128" t="s">
        <v>66</v>
      </c>
      <c r="B666" s="166" t="s">
        <v>425</v>
      </c>
      <c r="C666" s="44"/>
      <c r="D666" s="44"/>
      <c r="E666" s="57"/>
      <c r="F666" s="162">
        <f t="shared" si="10"/>
        <v>0</v>
      </c>
    </row>
    <row r="667" spans="1:6" s="48" customFormat="1">
      <c r="A667" s="128"/>
      <c r="B667" s="166"/>
      <c r="C667" s="29"/>
      <c r="D667" s="29"/>
      <c r="E667" s="54"/>
      <c r="F667" s="162">
        <f t="shared" si="10"/>
        <v>0</v>
      </c>
    </row>
    <row r="668" spans="1:6" s="48" customFormat="1">
      <c r="A668" s="128"/>
      <c r="B668" s="166" t="s">
        <v>245</v>
      </c>
      <c r="C668" s="29"/>
      <c r="D668" s="29"/>
      <c r="E668" s="54"/>
      <c r="F668" s="162">
        <f t="shared" si="10"/>
        <v>0</v>
      </c>
    </row>
    <row r="669" spans="1:6" s="115" customFormat="1" ht="27.6">
      <c r="A669" s="128"/>
      <c r="B669" s="166" t="s">
        <v>244</v>
      </c>
      <c r="C669" s="24"/>
      <c r="D669" s="24"/>
      <c r="E669" s="52"/>
      <c r="F669" s="162">
        <f t="shared" si="10"/>
        <v>0</v>
      </c>
    </row>
    <row r="670" spans="1:6" s="48" customFormat="1">
      <c r="A670" s="128"/>
      <c r="B670" s="166"/>
      <c r="C670" s="29"/>
      <c r="D670" s="29"/>
      <c r="E670" s="54"/>
      <c r="F670" s="162">
        <f t="shared" si="10"/>
        <v>0</v>
      </c>
    </row>
    <row r="671" spans="1:6" s="48" customFormat="1">
      <c r="A671" s="128"/>
      <c r="B671" s="172" t="s">
        <v>426</v>
      </c>
      <c r="C671" s="24" t="s">
        <v>161</v>
      </c>
      <c r="D671" s="24">
        <v>1</v>
      </c>
      <c r="E671" s="54"/>
      <c r="F671" s="162">
        <f t="shared" si="10"/>
        <v>0</v>
      </c>
    </row>
    <row r="672" spans="1:6" s="48" customFormat="1">
      <c r="A672" s="128"/>
      <c r="B672" s="172"/>
      <c r="C672" s="24"/>
      <c r="D672" s="24"/>
      <c r="E672" s="54"/>
      <c r="F672" s="162">
        <f t="shared" si="10"/>
        <v>0</v>
      </c>
    </row>
    <row r="673" spans="1:6" s="48" customFormat="1">
      <c r="A673" s="136">
        <v>5</v>
      </c>
      <c r="B673" s="171" t="s">
        <v>427</v>
      </c>
      <c r="C673" s="29"/>
      <c r="D673" s="29"/>
      <c r="E673" s="54"/>
      <c r="F673" s="162">
        <f t="shared" si="10"/>
        <v>0</v>
      </c>
    </row>
    <row r="674" spans="1:6" s="48" customFormat="1">
      <c r="A674" s="128"/>
      <c r="B674" s="183" t="s">
        <v>235</v>
      </c>
      <c r="C674" s="44"/>
      <c r="D674" s="44"/>
      <c r="E674" s="57"/>
      <c r="F674" s="162">
        <f t="shared" si="10"/>
        <v>0</v>
      </c>
    </row>
    <row r="675" spans="1:6" s="48" customFormat="1" ht="27.6">
      <c r="A675" s="128">
        <v>1</v>
      </c>
      <c r="B675" s="166" t="s">
        <v>247</v>
      </c>
      <c r="C675" s="24"/>
      <c r="D675" s="24"/>
      <c r="E675" s="52"/>
      <c r="F675" s="162">
        <f t="shared" si="10"/>
        <v>0</v>
      </c>
    </row>
    <row r="676" spans="1:6" s="48" customFormat="1">
      <c r="A676" s="128"/>
      <c r="B676" s="166"/>
      <c r="C676" s="24"/>
      <c r="D676" s="24"/>
      <c r="E676" s="52"/>
      <c r="F676" s="162">
        <f t="shared" si="10"/>
        <v>0</v>
      </c>
    </row>
    <row r="677" spans="1:6" s="48" customFormat="1" ht="27.6">
      <c r="A677" s="128" t="s">
        <v>237</v>
      </c>
      <c r="B677" s="166" t="s">
        <v>238</v>
      </c>
      <c r="C677" s="24"/>
      <c r="D677" s="24"/>
      <c r="E677" s="52"/>
      <c r="F677" s="162">
        <f t="shared" si="10"/>
        <v>0</v>
      </c>
    </row>
    <row r="678" spans="1:6" s="48" customFormat="1">
      <c r="A678" s="128"/>
      <c r="B678" s="185" t="s">
        <v>145</v>
      </c>
      <c r="C678" s="24"/>
      <c r="D678" s="24"/>
      <c r="E678" s="52"/>
      <c r="F678" s="162">
        <f t="shared" si="10"/>
        <v>0</v>
      </c>
    </row>
    <row r="679" spans="1:6" s="48" customFormat="1" ht="27.6">
      <c r="A679" s="128" t="s">
        <v>236</v>
      </c>
      <c r="B679" s="166" t="s">
        <v>243</v>
      </c>
      <c r="C679" s="29"/>
      <c r="D679" s="29"/>
      <c r="E679" s="52"/>
      <c r="F679" s="162">
        <f t="shared" si="10"/>
        <v>0</v>
      </c>
    </row>
    <row r="680" spans="1:6" s="48" customFormat="1">
      <c r="A680" s="128"/>
      <c r="B680" s="185" t="s">
        <v>145</v>
      </c>
      <c r="C680" s="29"/>
      <c r="D680" s="29"/>
      <c r="E680" s="52"/>
      <c r="F680" s="162">
        <f t="shared" si="10"/>
        <v>0</v>
      </c>
    </row>
    <row r="681" spans="1:6" s="48" customFormat="1" ht="27.6">
      <c r="A681" s="128">
        <v>2</v>
      </c>
      <c r="B681" s="166" t="s">
        <v>248</v>
      </c>
      <c r="C681" s="29"/>
      <c r="D681" s="29"/>
      <c r="E681" s="52"/>
      <c r="F681" s="162">
        <f t="shared" si="10"/>
        <v>0</v>
      </c>
    </row>
    <row r="682" spans="1:6" s="48" customFormat="1">
      <c r="A682" s="128"/>
      <c r="B682" s="166"/>
      <c r="C682" s="29"/>
      <c r="D682" s="29"/>
      <c r="E682" s="52"/>
      <c r="F682" s="162">
        <f t="shared" si="10"/>
        <v>0</v>
      </c>
    </row>
    <row r="683" spans="1:6" s="48" customFormat="1">
      <c r="A683" s="128" t="s">
        <v>105</v>
      </c>
      <c r="B683" s="166" t="s">
        <v>124</v>
      </c>
      <c r="C683" s="29"/>
      <c r="D683" s="29"/>
      <c r="E683" s="52"/>
      <c r="F683" s="162">
        <f t="shared" si="10"/>
        <v>0</v>
      </c>
    </row>
    <row r="684" spans="1:6" s="48" customFormat="1">
      <c r="A684" s="128" t="s">
        <v>107</v>
      </c>
      <c r="B684" s="166" t="s">
        <v>125</v>
      </c>
      <c r="C684" s="29"/>
      <c r="D684" s="29"/>
      <c r="E684" s="52"/>
      <c r="F684" s="162">
        <f t="shared" si="10"/>
        <v>0</v>
      </c>
    </row>
    <row r="685" spans="1:6" s="48" customFormat="1">
      <c r="A685" s="128" t="s">
        <v>109</v>
      </c>
      <c r="B685" s="166" t="s">
        <v>126</v>
      </c>
      <c r="C685" s="29"/>
      <c r="D685" s="29"/>
      <c r="E685" s="52"/>
      <c r="F685" s="162">
        <f t="shared" si="10"/>
        <v>0</v>
      </c>
    </row>
    <row r="686" spans="1:6" s="48" customFormat="1">
      <c r="A686" s="128" t="s">
        <v>127</v>
      </c>
      <c r="B686" s="166" t="s">
        <v>128</v>
      </c>
      <c r="C686" s="29"/>
      <c r="D686" s="29"/>
      <c r="E686" s="52"/>
      <c r="F686" s="162">
        <f t="shared" si="10"/>
        <v>0</v>
      </c>
    </row>
    <row r="687" spans="1:6" s="48" customFormat="1">
      <c r="A687" s="128" t="s">
        <v>129</v>
      </c>
      <c r="B687" s="166" t="s">
        <v>130</v>
      </c>
      <c r="C687" s="29"/>
      <c r="D687" s="29"/>
      <c r="E687" s="52"/>
      <c r="F687" s="162">
        <f t="shared" si="10"/>
        <v>0</v>
      </c>
    </row>
    <row r="688" spans="1:6" s="48" customFormat="1">
      <c r="A688" s="128" t="s">
        <v>131</v>
      </c>
      <c r="B688" s="166" t="s">
        <v>132</v>
      </c>
      <c r="C688" s="29"/>
      <c r="D688" s="29"/>
      <c r="E688" s="52"/>
      <c r="F688" s="162">
        <f t="shared" si="10"/>
        <v>0</v>
      </c>
    </row>
    <row r="689" spans="1:6" s="48" customFormat="1">
      <c r="A689" s="128" t="s">
        <v>133</v>
      </c>
      <c r="B689" s="166" t="s">
        <v>134</v>
      </c>
      <c r="C689" s="29"/>
      <c r="D689" s="29"/>
      <c r="E689" s="52"/>
      <c r="F689" s="162">
        <f t="shared" si="10"/>
        <v>0</v>
      </c>
    </row>
    <row r="690" spans="1:6" s="48" customFormat="1">
      <c r="A690" s="128" t="s">
        <v>135</v>
      </c>
      <c r="B690" s="166" t="s">
        <v>136</v>
      </c>
      <c r="C690" s="29"/>
      <c r="D690" s="29"/>
      <c r="E690" s="52"/>
      <c r="F690" s="162">
        <f t="shared" si="10"/>
        <v>0</v>
      </c>
    </row>
    <row r="691" spans="1:6" s="48" customFormat="1">
      <c r="A691" s="128" t="s">
        <v>66</v>
      </c>
      <c r="B691" s="166" t="s">
        <v>137</v>
      </c>
      <c r="C691" s="29"/>
      <c r="D691" s="29"/>
      <c r="E691" s="52"/>
      <c r="F691" s="162">
        <f t="shared" si="10"/>
        <v>0</v>
      </c>
    </row>
    <row r="692" spans="1:6" s="48" customFormat="1">
      <c r="A692" s="128" t="s">
        <v>67</v>
      </c>
      <c r="B692" s="166" t="s">
        <v>138</v>
      </c>
      <c r="C692" s="29"/>
      <c r="D692" s="29"/>
      <c r="E692" s="52"/>
      <c r="F692" s="162">
        <f t="shared" si="10"/>
        <v>0</v>
      </c>
    </row>
    <row r="693" spans="1:6" s="115" customFormat="1">
      <c r="A693" s="128" t="s">
        <v>68</v>
      </c>
      <c r="B693" s="166" t="s">
        <v>242</v>
      </c>
      <c r="C693" s="24"/>
      <c r="D693" s="24"/>
      <c r="E693" s="52"/>
      <c r="F693" s="162">
        <f t="shared" si="10"/>
        <v>0</v>
      </c>
    </row>
    <row r="694" spans="1:6" s="115" customFormat="1">
      <c r="A694" s="128"/>
      <c r="B694" s="166"/>
      <c r="C694" s="24"/>
      <c r="D694" s="24"/>
      <c r="E694" s="52"/>
      <c r="F694" s="162">
        <f t="shared" si="10"/>
        <v>0</v>
      </c>
    </row>
    <row r="695" spans="1:6" s="48" customFormat="1">
      <c r="A695" s="128">
        <v>3</v>
      </c>
      <c r="B695" s="183" t="s">
        <v>164</v>
      </c>
      <c r="C695" s="44"/>
      <c r="D695" s="24"/>
      <c r="E695" s="52"/>
      <c r="F695" s="162">
        <f t="shared" si="10"/>
        <v>0</v>
      </c>
    </row>
    <row r="696" spans="1:6" s="48" customFormat="1" ht="27.6">
      <c r="A696" s="128"/>
      <c r="B696" s="166" t="s">
        <v>431</v>
      </c>
      <c r="C696" s="24"/>
      <c r="D696" s="24"/>
      <c r="E696" s="52"/>
      <c r="F696" s="162">
        <f t="shared" si="10"/>
        <v>0</v>
      </c>
    </row>
    <row r="697" spans="1:6" s="48" customFormat="1">
      <c r="A697" s="128"/>
      <c r="B697" s="166"/>
      <c r="C697" s="44"/>
      <c r="D697" s="44"/>
      <c r="E697" s="57"/>
      <c r="F697" s="162">
        <f t="shared" si="10"/>
        <v>0</v>
      </c>
    </row>
    <row r="698" spans="1:6" s="48" customFormat="1">
      <c r="A698" s="128">
        <v>4</v>
      </c>
      <c r="B698" s="183" t="s">
        <v>165</v>
      </c>
      <c r="C698" s="44"/>
      <c r="D698" s="44"/>
      <c r="E698" s="57"/>
      <c r="F698" s="162">
        <f t="shared" si="10"/>
        <v>0</v>
      </c>
    </row>
    <row r="699" spans="1:6" s="48" customFormat="1">
      <c r="A699" s="128"/>
      <c r="B699" s="166"/>
      <c r="C699" s="44"/>
      <c r="D699" s="44"/>
      <c r="E699" s="57"/>
      <c r="F699" s="162">
        <f t="shared" si="10"/>
        <v>0</v>
      </c>
    </row>
    <row r="700" spans="1:6" s="48" customFormat="1">
      <c r="A700" s="128" t="s">
        <v>66</v>
      </c>
      <c r="B700" s="166" t="s">
        <v>428</v>
      </c>
      <c r="C700" s="44"/>
      <c r="D700" s="44"/>
      <c r="E700" s="57"/>
      <c r="F700" s="162">
        <f t="shared" si="10"/>
        <v>0</v>
      </c>
    </row>
    <row r="701" spans="1:6" s="48" customFormat="1">
      <c r="A701" s="128"/>
      <c r="B701" s="166"/>
      <c r="C701" s="29"/>
      <c r="D701" s="29"/>
      <c r="E701" s="54"/>
      <c r="F701" s="162">
        <f t="shared" si="10"/>
        <v>0</v>
      </c>
    </row>
    <row r="702" spans="1:6" s="48" customFormat="1">
      <c r="A702" s="128"/>
      <c r="B702" s="166" t="s">
        <v>245</v>
      </c>
      <c r="C702" s="29"/>
      <c r="D702" s="29"/>
      <c r="E702" s="54"/>
      <c r="F702" s="162">
        <f t="shared" si="10"/>
        <v>0</v>
      </c>
    </row>
    <row r="703" spans="1:6" s="115" customFormat="1" ht="27.6">
      <c r="A703" s="128"/>
      <c r="B703" s="166" t="s">
        <v>244</v>
      </c>
      <c r="C703" s="24"/>
      <c r="D703" s="24"/>
      <c r="E703" s="52"/>
      <c r="F703" s="162">
        <f t="shared" si="10"/>
        <v>0</v>
      </c>
    </row>
    <row r="704" spans="1:6" s="48" customFormat="1">
      <c r="A704" s="128"/>
      <c r="B704" s="166"/>
      <c r="C704" s="29"/>
      <c r="D704" s="29"/>
      <c r="E704" s="54"/>
      <c r="F704" s="162">
        <f t="shared" si="10"/>
        <v>0</v>
      </c>
    </row>
    <row r="705" spans="1:6" s="48" customFormat="1">
      <c r="A705" s="128"/>
      <c r="B705" s="172" t="s">
        <v>429</v>
      </c>
      <c r="C705" s="24" t="s">
        <v>161</v>
      </c>
      <c r="D705" s="24">
        <v>1</v>
      </c>
      <c r="E705" s="54"/>
      <c r="F705" s="162">
        <f t="shared" si="10"/>
        <v>0</v>
      </c>
    </row>
    <row r="706" spans="1:6" s="48" customFormat="1">
      <c r="A706" s="128"/>
      <c r="B706" s="172"/>
      <c r="C706" s="24"/>
      <c r="D706" s="24"/>
      <c r="E706" s="54"/>
      <c r="F706" s="162">
        <f t="shared" si="10"/>
        <v>0</v>
      </c>
    </row>
    <row r="707" spans="1:6" s="48" customFormat="1">
      <c r="A707" s="136">
        <v>6</v>
      </c>
      <c r="B707" s="171" t="s">
        <v>430</v>
      </c>
      <c r="C707" s="29"/>
      <c r="D707" s="29"/>
      <c r="E707" s="54"/>
      <c r="F707" s="162">
        <f t="shared" si="10"/>
        <v>0</v>
      </c>
    </row>
    <row r="708" spans="1:6" s="48" customFormat="1">
      <c r="A708" s="128"/>
      <c r="B708" s="183" t="s">
        <v>235</v>
      </c>
      <c r="C708" s="44"/>
      <c r="D708" s="44"/>
      <c r="E708" s="57"/>
      <c r="F708" s="162">
        <f t="shared" si="10"/>
        <v>0</v>
      </c>
    </row>
    <row r="709" spans="1:6" s="48" customFormat="1" ht="27.6">
      <c r="A709" s="128">
        <v>1</v>
      </c>
      <c r="B709" s="166" t="s">
        <v>419</v>
      </c>
      <c r="C709" s="24"/>
      <c r="D709" s="24"/>
      <c r="E709" s="52"/>
      <c r="F709" s="162">
        <f t="shared" si="10"/>
        <v>0</v>
      </c>
    </row>
    <row r="710" spans="1:6" s="48" customFormat="1">
      <c r="A710" s="128"/>
      <c r="B710" s="166"/>
      <c r="C710" s="24"/>
      <c r="D710" s="24"/>
      <c r="E710" s="52"/>
      <c r="F710" s="162">
        <f t="shared" si="10"/>
        <v>0</v>
      </c>
    </row>
    <row r="711" spans="1:6" s="48" customFormat="1" ht="27.6">
      <c r="A711" s="128" t="s">
        <v>237</v>
      </c>
      <c r="B711" s="166" t="s">
        <v>238</v>
      </c>
      <c r="C711" s="24"/>
      <c r="D711" s="24"/>
      <c r="E711" s="52"/>
      <c r="F711" s="162">
        <f t="shared" si="10"/>
        <v>0</v>
      </c>
    </row>
    <row r="712" spans="1:6" s="48" customFormat="1">
      <c r="A712" s="128"/>
      <c r="B712" s="185" t="s">
        <v>145</v>
      </c>
      <c r="C712" s="24"/>
      <c r="D712" s="24"/>
      <c r="E712" s="52"/>
      <c r="F712" s="162">
        <f t="shared" si="10"/>
        <v>0</v>
      </c>
    </row>
    <row r="713" spans="1:6" s="48" customFormat="1" ht="27.6">
      <c r="A713" s="128" t="s">
        <v>236</v>
      </c>
      <c r="B713" s="166" t="s">
        <v>243</v>
      </c>
      <c r="C713" s="29"/>
      <c r="D713" s="29"/>
      <c r="E713" s="52"/>
      <c r="F713" s="162">
        <f t="shared" si="10"/>
        <v>0</v>
      </c>
    </row>
    <row r="714" spans="1:6" s="48" customFormat="1">
      <c r="A714" s="128"/>
      <c r="B714" s="185" t="s">
        <v>145</v>
      </c>
      <c r="C714" s="29"/>
      <c r="D714" s="29"/>
      <c r="E714" s="52"/>
      <c r="F714" s="162">
        <f t="shared" ref="F714:F777" si="11">E714*D714</f>
        <v>0</v>
      </c>
    </row>
    <row r="715" spans="1:6" s="48" customFormat="1" ht="27.6">
      <c r="A715" s="128">
        <v>2</v>
      </c>
      <c r="B715" s="166" t="s">
        <v>248</v>
      </c>
      <c r="C715" s="29"/>
      <c r="D715" s="29"/>
      <c r="E715" s="52"/>
      <c r="F715" s="162">
        <f t="shared" si="11"/>
        <v>0</v>
      </c>
    </row>
    <row r="716" spans="1:6" s="48" customFormat="1">
      <c r="A716" s="128"/>
      <c r="B716" s="166"/>
      <c r="C716" s="29"/>
      <c r="D716" s="29"/>
      <c r="E716" s="52"/>
      <c r="F716" s="162">
        <f t="shared" si="11"/>
        <v>0</v>
      </c>
    </row>
    <row r="717" spans="1:6" s="48" customFormat="1">
      <c r="A717" s="128" t="s">
        <v>105</v>
      </c>
      <c r="B717" s="166" t="s">
        <v>124</v>
      </c>
      <c r="C717" s="29"/>
      <c r="D717" s="29"/>
      <c r="E717" s="52"/>
      <c r="F717" s="162">
        <f t="shared" si="11"/>
        <v>0</v>
      </c>
    </row>
    <row r="718" spans="1:6" s="48" customFormat="1">
      <c r="A718" s="128" t="s">
        <v>107</v>
      </c>
      <c r="B718" s="166" t="s">
        <v>125</v>
      </c>
      <c r="C718" s="29"/>
      <c r="D718" s="29"/>
      <c r="E718" s="52"/>
      <c r="F718" s="162">
        <f t="shared" si="11"/>
        <v>0</v>
      </c>
    </row>
    <row r="719" spans="1:6" s="48" customFormat="1">
      <c r="A719" s="128" t="s">
        <v>109</v>
      </c>
      <c r="B719" s="166" t="s">
        <v>126</v>
      </c>
      <c r="C719" s="29"/>
      <c r="D719" s="29"/>
      <c r="E719" s="52"/>
      <c r="F719" s="162">
        <f t="shared" si="11"/>
        <v>0</v>
      </c>
    </row>
    <row r="720" spans="1:6" s="48" customFormat="1">
      <c r="A720" s="128" t="s">
        <v>127</v>
      </c>
      <c r="B720" s="166" t="s">
        <v>128</v>
      </c>
      <c r="C720" s="29"/>
      <c r="D720" s="29"/>
      <c r="E720" s="52"/>
      <c r="F720" s="162">
        <f t="shared" si="11"/>
        <v>0</v>
      </c>
    </row>
    <row r="721" spans="1:6" s="48" customFormat="1">
      <c r="A721" s="128" t="s">
        <v>129</v>
      </c>
      <c r="B721" s="166" t="s">
        <v>130</v>
      </c>
      <c r="C721" s="29"/>
      <c r="D721" s="29"/>
      <c r="E721" s="52"/>
      <c r="F721" s="162">
        <f t="shared" si="11"/>
        <v>0</v>
      </c>
    </row>
    <row r="722" spans="1:6" s="48" customFormat="1">
      <c r="A722" s="128" t="s">
        <v>131</v>
      </c>
      <c r="B722" s="166" t="s">
        <v>132</v>
      </c>
      <c r="C722" s="29"/>
      <c r="D722" s="29"/>
      <c r="E722" s="52"/>
      <c r="F722" s="162">
        <f t="shared" si="11"/>
        <v>0</v>
      </c>
    </row>
    <row r="723" spans="1:6" s="48" customFormat="1">
      <c r="A723" s="128" t="s">
        <v>133</v>
      </c>
      <c r="B723" s="166" t="s">
        <v>134</v>
      </c>
      <c r="C723" s="29"/>
      <c r="D723" s="29"/>
      <c r="E723" s="52"/>
      <c r="F723" s="162">
        <f t="shared" si="11"/>
        <v>0</v>
      </c>
    </row>
    <row r="724" spans="1:6" s="48" customFormat="1">
      <c r="A724" s="128" t="s">
        <v>135</v>
      </c>
      <c r="B724" s="166" t="s">
        <v>136</v>
      </c>
      <c r="C724" s="29"/>
      <c r="D724" s="29"/>
      <c r="E724" s="52"/>
      <c r="F724" s="162">
        <f t="shared" si="11"/>
        <v>0</v>
      </c>
    </row>
    <row r="725" spans="1:6" s="48" customFormat="1">
      <c r="A725" s="128" t="s">
        <v>66</v>
      </c>
      <c r="B725" s="166" t="s">
        <v>137</v>
      </c>
      <c r="C725" s="29"/>
      <c r="D725" s="29"/>
      <c r="E725" s="52"/>
      <c r="F725" s="162">
        <f t="shared" si="11"/>
        <v>0</v>
      </c>
    </row>
    <row r="726" spans="1:6" s="48" customFormat="1">
      <c r="A726" s="128" t="s">
        <v>67</v>
      </c>
      <c r="B726" s="166" t="s">
        <v>138</v>
      </c>
      <c r="C726" s="29"/>
      <c r="D726" s="29"/>
      <c r="E726" s="52"/>
      <c r="F726" s="162">
        <f t="shared" si="11"/>
        <v>0</v>
      </c>
    </row>
    <row r="727" spans="1:6" s="115" customFormat="1">
      <c r="A727" s="128" t="s">
        <v>68</v>
      </c>
      <c r="B727" s="166" t="s">
        <v>242</v>
      </c>
      <c r="C727" s="24"/>
      <c r="D727" s="24"/>
      <c r="E727" s="52"/>
      <c r="F727" s="162">
        <f t="shared" si="11"/>
        <v>0</v>
      </c>
    </row>
    <row r="728" spans="1:6" s="115" customFormat="1">
      <c r="A728" s="128"/>
      <c r="B728" s="166"/>
      <c r="C728" s="24"/>
      <c r="D728" s="24"/>
      <c r="E728" s="52"/>
      <c r="F728" s="162">
        <f t="shared" si="11"/>
        <v>0</v>
      </c>
    </row>
    <row r="729" spans="1:6" s="48" customFormat="1">
      <c r="A729" s="128">
        <v>3</v>
      </c>
      <c r="B729" s="183" t="s">
        <v>164</v>
      </c>
      <c r="C729" s="44"/>
      <c r="D729" s="24"/>
      <c r="E729" s="52"/>
      <c r="F729" s="162">
        <f t="shared" si="11"/>
        <v>0</v>
      </c>
    </row>
    <row r="730" spans="1:6" s="48" customFormat="1" ht="27.6">
      <c r="A730" s="128"/>
      <c r="B730" s="166" t="s">
        <v>432</v>
      </c>
      <c r="C730" s="24"/>
      <c r="D730" s="24"/>
      <c r="E730" s="52"/>
      <c r="F730" s="162">
        <f t="shared" si="11"/>
        <v>0</v>
      </c>
    </row>
    <row r="731" spans="1:6" s="48" customFormat="1">
      <c r="A731" s="128"/>
      <c r="B731" s="166"/>
      <c r="C731" s="44"/>
      <c r="D731" s="44"/>
      <c r="E731" s="57"/>
      <c r="F731" s="162">
        <f t="shared" si="11"/>
        <v>0</v>
      </c>
    </row>
    <row r="732" spans="1:6" s="48" customFormat="1">
      <c r="A732" s="128">
        <v>4</v>
      </c>
      <c r="B732" s="183" t="s">
        <v>165</v>
      </c>
      <c r="C732" s="44"/>
      <c r="D732" s="44"/>
      <c r="E732" s="57"/>
      <c r="F732" s="162">
        <f t="shared" si="11"/>
        <v>0</v>
      </c>
    </row>
    <row r="733" spans="1:6" s="48" customFormat="1">
      <c r="A733" s="128"/>
      <c r="B733" s="166"/>
      <c r="C733" s="44"/>
      <c r="D733" s="44"/>
      <c r="E733" s="57"/>
      <c r="F733" s="162">
        <f t="shared" si="11"/>
        <v>0</v>
      </c>
    </row>
    <row r="734" spans="1:6" s="48" customFormat="1">
      <c r="A734" s="128" t="s">
        <v>66</v>
      </c>
      <c r="B734" s="166" t="s">
        <v>433</v>
      </c>
      <c r="C734" s="44"/>
      <c r="D734" s="44"/>
      <c r="E734" s="57"/>
      <c r="F734" s="162">
        <f t="shared" si="11"/>
        <v>0</v>
      </c>
    </row>
    <row r="735" spans="1:6" s="48" customFormat="1">
      <c r="A735" s="128"/>
      <c r="B735" s="166"/>
      <c r="C735" s="29"/>
      <c r="D735" s="29"/>
      <c r="E735" s="54"/>
      <c r="F735" s="162">
        <f t="shared" si="11"/>
        <v>0</v>
      </c>
    </row>
    <row r="736" spans="1:6" s="48" customFormat="1">
      <c r="A736" s="128"/>
      <c r="B736" s="166" t="s">
        <v>245</v>
      </c>
      <c r="C736" s="29"/>
      <c r="D736" s="29"/>
      <c r="E736" s="54"/>
      <c r="F736" s="162">
        <f t="shared" si="11"/>
        <v>0</v>
      </c>
    </row>
    <row r="737" spans="1:6" s="115" customFormat="1" ht="27.6">
      <c r="A737" s="128"/>
      <c r="B737" s="166" t="s">
        <v>244</v>
      </c>
      <c r="C737" s="24"/>
      <c r="D737" s="24"/>
      <c r="E737" s="52"/>
      <c r="F737" s="162">
        <f t="shared" si="11"/>
        <v>0</v>
      </c>
    </row>
    <row r="738" spans="1:6" s="48" customFormat="1">
      <c r="A738" s="128"/>
      <c r="B738" s="166"/>
      <c r="C738" s="29"/>
      <c r="D738" s="29"/>
      <c r="E738" s="54"/>
      <c r="F738" s="162">
        <f t="shared" si="11"/>
        <v>0</v>
      </c>
    </row>
    <row r="739" spans="1:6" s="48" customFormat="1" ht="27.6">
      <c r="A739" s="128"/>
      <c r="B739" s="172" t="s">
        <v>434</v>
      </c>
      <c r="C739" s="24" t="s">
        <v>161</v>
      </c>
      <c r="D739" s="24">
        <v>1</v>
      </c>
      <c r="E739" s="54"/>
      <c r="F739" s="162">
        <f t="shared" si="11"/>
        <v>0</v>
      </c>
    </row>
    <row r="740" spans="1:6" s="48" customFormat="1">
      <c r="A740" s="128"/>
      <c r="B740" s="172"/>
      <c r="C740" s="24"/>
      <c r="D740" s="24"/>
      <c r="E740" s="54"/>
      <c r="F740" s="162">
        <f t="shared" si="11"/>
        <v>0</v>
      </c>
    </row>
    <row r="741" spans="1:6" s="48" customFormat="1">
      <c r="A741" s="136">
        <v>7</v>
      </c>
      <c r="B741" s="171" t="s">
        <v>518</v>
      </c>
      <c r="C741" s="29"/>
      <c r="D741" s="29"/>
      <c r="E741" s="54"/>
      <c r="F741" s="162">
        <f t="shared" si="11"/>
        <v>0</v>
      </c>
    </row>
    <row r="742" spans="1:6" s="48" customFormat="1">
      <c r="A742" s="128"/>
      <c r="B742" s="183" t="s">
        <v>235</v>
      </c>
      <c r="C742" s="44"/>
      <c r="D742" s="44"/>
      <c r="E742" s="57"/>
      <c r="F742" s="162">
        <f t="shared" si="11"/>
        <v>0</v>
      </c>
    </row>
    <row r="743" spans="1:6" s="48" customFormat="1" ht="27.6">
      <c r="A743" s="128">
        <v>1</v>
      </c>
      <c r="B743" s="166" t="s">
        <v>246</v>
      </c>
      <c r="C743" s="24"/>
      <c r="D743" s="24"/>
      <c r="E743" s="52"/>
      <c r="F743" s="162">
        <f t="shared" si="11"/>
        <v>0</v>
      </c>
    </row>
    <row r="744" spans="1:6" s="48" customFormat="1">
      <c r="A744" s="128"/>
      <c r="B744" s="166"/>
      <c r="C744" s="24"/>
      <c r="D744" s="24"/>
      <c r="E744" s="52"/>
      <c r="F744" s="162">
        <f t="shared" si="11"/>
        <v>0</v>
      </c>
    </row>
    <row r="745" spans="1:6" s="48" customFormat="1" ht="27.6">
      <c r="A745" s="128" t="s">
        <v>237</v>
      </c>
      <c r="B745" s="166" t="s">
        <v>238</v>
      </c>
      <c r="C745" s="24"/>
      <c r="D745" s="24"/>
      <c r="E745" s="52"/>
      <c r="F745" s="162">
        <f t="shared" si="11"/>
        <v>0</v>
      </c>
    </row>
    <row r="746" spans="1:6" s="48" customFormat="1">
      <c r="A746" s="128"/>
      <c r="B746" s="185" t="s">
        <v>145</v>
      </c>
      <c r="C746" s="24"/>
      <c r="D746" s="24"/>
      <c r="E746" s="52"/>
      <c r="F746" s="162">
        <f t="shared" si="11"/>
        <v>0</v>
      </c>
    </row>
    <row r="747" spans="1:6" s="48" customFormat="1" ht="27.6">
      <c r="A747" s="128" t="s">
        <v>236</v>
      </c>
      <c r="B747" s="166" t="s">
        <v>243</v>
      </c>
      <c r="C747" s="29"/>
      <c r="D747" s="29"/>
      <c r="E747" s="52"/>
      <c r="F747" s="162">
        <f t="shared" si="11"/>
        <v>0</v>
      </c>
    </row>
    <row r="748" spans="1:6" s="48" customFormat="1">
      <c r="A748" s="128"/>
      <c r="B748" s="185" t="s">
        <v>145</v>
      </c>
      <c r="C748" s="29"/>
      <c r="D748" s="29"/>
      <c r="E748" s="52"/>
      <c r="F748" s="162">
        <f t="shared" si="11"/>
        <v>0</v>
      </c>
    </row>
    <row r="749" spans="1:6" s="48" customFormat="1" ht="27.6">
      <c r="A749" s="128">
        <v>2</v>
      </c>
      <c r="B749" s="166" t="s">
        <v>248</v>
      </c>
      <c r="C749" s="29"/>
      <c r="D749" s="29"/>
      <c r="E749" s="52"/>
      <c r="F749" s="162">
        <f t="shared" si="11"/>
        <v>0</v>
      </c>
    </row>
    <row r="750" spans="1:6" s="48" customFormat="1">
      <c r="A750" s="128"/>
      <c r="B750" s="166"/>
      <c r="C750" s="29"/>
      <c r="D750" s="29"/>
      <c r="E750" s="52"/>
      <c r="F750" s="162">
        <f t="shared" si="11"/>
        <v>0</v>
      </c>
    </row>
    <row r="751" spans="1:6" s="48" customFormat="1">
      <c r="A751" s="128" t="s">
        <v>105</v>
      </c>
      <c r="B751" s="166" t="s">
        <v>124</v>
      </c>
      <c r="C751" s="29"/>
      <c r="D751" s="29"/>
      <c r="E751" s="52"/>
      <c r="F751" s="162">
        <f t="shared" si="11"/>
        <v>0</v>
      </c>
    </row>
    <row r="752" spans="1:6" s="48" customFormat="1">
      <c r="A752" s="128" t="s">
        <v>107</v>
      </c>
      <c r="B752" s="166" t="s">
        <v>125</v>
      </c>
      <c r="C752" s="29"/>
      <c r="D752" s="29"/>
      <c r="E752" s="52"/>
      <c r="F752" s="162">
        <f t="shared" si="11"/>
        <v>0</v>
      </c>
    </row>
    <row r="753" spans="1:6" s="48" customFormat="1">
      <c r="A753" s="128" t="s">
        <v>109</v>
      </c>
      <c r="B753" s="166" t="s">
        <v>126</v>
      </c>
      <c r="C753" s="29"/>
      <c r="D753" s="29"/>
      <c r="E753" s="52"/>
      <c r="F753" s="162">
        <f t="shared" si="11"/>
        <v>0</v>
      </c>
    </row>
    <row r="754" spans="1:6" s="48" customFormat="1">
      <c r="A754" s="128" t="s">
        <v>127</v>
      </c>
      <c r="B754" s="166" t="s">
        <v>128</v>
      </c>
      <c r="C754" s="29"/>
      <c r="D754" s="29"/>
      <c r="E754" s="52"/>
      <c r="F754" s="162">
        <f t="shared" si="11"/>
        <v>0</v>
      </c>
    </row>
    <row r="755" spans="1:6" s="48" customFormat="1">
      <c r="A755" s="128" t="s">
        <v>129</v>
      </c>
      <c r="B755" s="166" t="s">
        <v>130</v>
      </c>
      <c r="C755" s="29"/>
      <c r="D755" s="29"/>
      <c r="E755" s="52"/>
      <c r="F755" s="162">
        <f t="shared" si="11"/>
        <v>0</v>
      </c>
    </row>
    <row r="756" spans="1:6" s="48" customFormat="1">
      <c r="A756" s="128" t="s">
        <v>131</v>
      </c>
      <c r="B756" s="166" t="s">
        <v>132</v>
      </c>
      <c r="C756" s="29"/>
      <c r="D756" s="29"/>
      <c r="E756" s="52"/>
      <c r="F756" s="162">
        <f t="shared" si="11"/>
        <v>0</v>
      </c>
    </row>
    <row r="757" spans="1:6" s="48" customFormat="1">
      <c r="A757" s="128" t="s">
        <v>133</v>
      </c>
      <c r="B757" s="166" t="s">
        <v>134</v>
      </c>
      <c r="C757" s="29"/>
      <c r="D757" s="29"/>
      <c r="E757" s="52"/>
      <c r="F757" s="162">
        <f t="shared" si="11"/>
        <v>0</v>
      </c>
    </row>
    <row r="758" spans="1:6" s="48" customFormat="1">
      <c r="A758" s="128" t="s">
        <v>135</v>
      </c>
      <c r="B758" s="166" t="s">
        <v>136</v>
      </c>
      <c r="C758" s="29"/>
      <c r="D758" s="29"/>
      <c r="E758" s="52"/>
      <c r="F758" s="162">
        <f t="shared" si="11"/>
        <v>0</v>
      </c>
    </row>
    <row r="759" spans="1:6" s="48" customFormat="1">
      <c r="A759" s="128" t="s">
        <v>66</v>
      </c>
      <c r="B759" s="166" t="s">
        <v>137</v>
      </c>
      <c r="C759" s="29"/>
      <c r="D759" s="29"/>
      <c r="E759" s="52"/>
      <c r="F759" s="162">
        <f t="shared" si="11"/>
        <v>0</v>
      </c>
    </row>
    <row r="760" spans="1:6" s="48" customFormat="1">
      <c r="A760" s="128" t="s">
        <v>67</v>
      </c>
      <c r="B760" s="166" t="s">
        <v>138</v>
      </c>
      <c r="C760" s="29"/>
      <c r="D760" s="29"/>
      <c r="E760" s="52"/>
      <c r="F760" s="162">
        <f t="shared" si="11"/>
        <v>0</v>
      </c>
    </row>
    <row r="761" spans="1:6" s="115" customFormat="1">
      <c r="A761" s="128" t="s">
        <v>68</v>
      </c>
      <c r="B761" s="166" t="s">
        <v>242</v>
      </c>
      <c r="C761" s="24"/>
      <c r="D761" s="24"/>
      <c r="E761" s="52"/>
      <c r="F761" s="162">
        <f t="shared" si="11"/>
        <v>0</v>
      </c>
    </row>
    <row r="762" spans="1:6" s="115" customFormat="1">
      <c r="A762" s="128"/>
      <c r="B762" s="166"/>
      <c r="C762" s="24"/>
      <c r="D762" s="24"/>
      <c r="E762" s="52"/>
      <c r="F762" s="162">
        <f t="shared" si="11"/>
        <v>0</v>
      </c>
    </row>
    <row r="763" spans="1:6" s="48" customFormat="1">
      <c r="A763" s="128">
        <v>3</v>
      </c>
      <c r="B763" s="183" t="s">
        <v>164</v>
      </c>
      <c r="C763" s="44"/>
      <c r="D763" s="24"/>
      <c r="E763" s="52"/>
      <c r="F763" s="162">
        <f t="shared" si="11"/>
        <v>0</v>
      </c>
    </row>
    <row r="764" spans="1:6" s="48" customFormat="1" ht="27.6">
      <c r="A764" s="128"/>
      <c r="B764" s="166" t="s">
        <v>437</v>
      </c>
      <c r="C764" s="24"/>
      <c r="D764" s="24"/>
      <c r="E764" s="52"/>
      <c r="F764" s="162">
        <f t="shared" si="11"/>
        <v>0</v>
      </c>
    </row>
    <row r="765" spans="1:6" s="48" customFormat="1">
      <c r="A765" s="128"/>
      <c r="B765" s="166"/>
      <c r="C765" s="44"/>
      <c r="D765" s="44"/>
      <c r="E765" s="57"/>
      <c r="F765" s="162">
        <f t="shared" si="11"/>
        <v>0</v>
      </c>
    </row>
    <row r="766" spans="1:6" s="48" customFormat="1">
      <c r="A766" s="128">
        <v>4</v>
      </c>
      <c r="B766" s="183" t="s">
        <v>165</v>
      </c>
      <c r="C766" s="44"/>
      <c r="D766" s="44"/>
      <c r="E766" s="57"/>
      <c r="F766" s="162">
        <f t="shared" si="11"/>
        <v>0</v>
      </c>
    </row>
    <row r="767" spans="1:6" s="48" customFormat="1">
      <c r="A767" s="128"/>
      <c r="B767" s="166"/>
      <c r="C767" s="44"/>
      <c r="D767" s="44"/>
      <c r="E767" s="57"/>
      <c r="F767" s="162">
        <f t="shared" si="11"/>
        <v>0</v>
      </c>
    </row>
    <row r="768" spans="1:6" s="48" customFormat="1">
      <c r="A768" s="128" t="s">
        <v>66</v>
      </c>
      <c r="B768" s="166" t="s">
        <v>396</v>
      </c>
      <c r="C768" s="44"/>
      <c r="D768" s="44"/>
      <c r="E768" s="57"/>
      <c r="F768" s="162">
        <f t="shared" si="11"/>
        <v>0</v>
      </c>
    </row>
    <row r="769" spans="1:6" s="48" customFormat="1">
      <c r="A769" s="128" t="s">
        <v>438</v>
      </c>
      <c r="B769" s="166" t="s">
        <v>439</v>
      </c>
      <c r="C769" s="44"/>
      <c r="D769" s="44"/>
      <c r="E769" s="57"/>
      <c r="F769" s="162">
        <f t="shared" si="11"/>
        <v>0</v>
      </c>
    </row>
    <row r="770" spans="1:6" s="48" customFormat="1">
      <c r="A770" s="128"/>
      <c r="B770" s="166"/>
      <c r="C770" s="29"/>
      <c r="D770" s="29"/>
      <c r="E770" s="54"/>
      <c r="F770" s="162">
        <f t="shared" si="11"/>
        <v>0</v>
      </c>
    </row>
    <row r="771" spans="1:6" s="48" customFormat="1">
      <c r="A771" s="128"/>
      <c r="B771" s="166" t="s">
        <v>245</v>
      </c>
      <c r="C771" s="29"/>
      <c r="D771" s="29"/>
      <c r="E771" s="54"/>
      <c r="F771" s="162">
        <f t="shared" si="11"/>
        <v>0</v>
      </c>
    </row>
    <row r="772" spans="1:6" s="115" customFormat="1" ht="27.6">
      <c r="A772" s="128"/>
      <c r="B772" s="166" t="s">
        <v>244</v>
      </c>
      <c r="C772" s="24"/>
      <c r="D772" s="24"/>
      <c r="E772" s="52"/>
      <c r="F772" s="162">
        <f t="shared" si="11"/>
        <v>0</v>
      </c>
    </row>
    <row r="773" spans="1:6" s="48" customFormat="1">
      <c r="A773" s="128"/>
      <c r="B773" s="166"/>
      <c r="C773" s="29"/>
      <c r="D773" s="29"/>
      <c r="E773" s="54"/>
      <c r="F773" s="162">
        <f t="shared" si="11"/>
        <v>0</v>
      </c>
    </row>
    <row r="774" spans="1:6" s="48" customFormat="1" ht="27.6">
      <c r="A774" s="128"/>
      <c r="B774" s="172" t="s">
        <v>435</v>
      </c>
      <c r="C774" s="24" t="s">
        <v>161</v>
      </c>
      <c r="D774" s="24">
        <v>1</v>
      </c>
      <c r="E774" s="54"/>
      <c r="F774" s="162">
        <f t="shared" si="11"/>
        <v>0</v>
      </c>
    </row>
    <row r="775" spans="1:6" s="48" customFormat="1">
      <c r="A775" s="128"/>
      <c r="B775" s="172"/>
      <c r="C775" s="24"/>
      <c r="D775" s="24"/>
      <c r="E775" s="54"/>
      <c r="F775" s="162">
        <f t="shared" si="11"/>
        <v>0</v>
      </c>
    </row>
    <row r="776" spans="1:6" s="48" customFormat="1">
      <c r="A776" s="136">
        <v>8</v>
      </c>
      <c r="B776" s="171" t="s">
        <v>521</v>
      </c>
      <c r="C776" s="29"/>
      <c r="D776" s="29"/>
      <c r="E776" s="54"/>
      <c r="F776" s="162">
        <f t="shared" si="11"/>
        <v>0</v>
      </c>
    </row>
    <row r="777" spans="1:6" s="48" customFormat="1">
      <c r="A777" s="128"/>
      <c r="B777" s="183" t="s">
        <v>235</v>
      </c>
      <c r="C777" s="44"/>
      <c r="D777" s="44"/>
      <c r="E777" s="57"/>
      <c r="F777" s="162">
        <f t="shared" si="11"/>
        <v>0</v>
      </c>
    </row>
    <row r="778" spans="1:6" s="48" customFormat="1" ht="27.6">
      <c r="A778" s="128">
        <v>1</v>
      </c>
      <c r="B778" s="166" t="s">
        <v>246</v>
      </c>
      <c r="C778" s="24"/>
      <c r="D778" s="24"/>
      <c r="E778" s="52"/>
      <c r="F778" s="162">
        <f t="shared" ref="F778:F841" si="12">E778*D778</f>
        <v>0</v>
      </c>
    </row>
    <row r="779" spans="1:6" s="48" customFormat="1">
      <c r="A779" s="128"/>
      <c r="B779" s="166"/>
      <c r="C779" s="24"/>
      <c r="D779" s="24"/>
      <c r="E779" s="52"/>
      <c r="F779" s="162">
        <f t="shared" si="12"/>
        <v>0</v>
      </c>
    </row>
    <row r="780" spans="1:6" s="48" customFormat="1" ht="27.6">
      <c r="A780" s="128" t="s">
        <v>237</v>
      </c>
      <c r="B780" s="166" t="s">
        <v>238</v>
      </c>
      <c r="C780" s="24"/>
      <c r="D780" s="24"/>
      <c r="E780" s="52"/>
      <c r="F780" s="162">
        <f t="shared" si="12"/>
        <v>0</v>
      </c>
    </row>
    <row r="781" spans="1:6" s="48" customFormat="1">
      <c r="A781" s="128"/>
      <c r="B781" s="185" t="s">
        <v>145</v>
      </c>
      <c r="C781" s="24"/>
      <c r="D781" s="24"/>
      <c r="E781" s="52"/>
      <c r="F781" s="162">
        <f t="shared" si="12"/>
        <v>0</v>
      </c>
    </row>
    <row r="782" spans="1:6" s="48" customFormat="1" ht="27.6">
      <c r="A782" s="128" t="s">
        <v>236</v>
      </c>
      <c r="B782" s="166" t="s">
        <v>243</v>
      </c>
      <c r="C782" s="29"/>
      <c r="D782" s="29"/>
      <c r="E782" s="52"/>
      <c r="F782" s="162">
        <f t="shared" si="12"/>
        <v>0</v>
      </c>
    </row>
    <row r="783" spans="1:6" s="48" customFormat="1">
      <c r="A783" s="128"/>
      <c r="B783" s="185" t="s">
        <v>145</v>
      </c>
      <c r="C783" s="29"/>
      <c r="D783" s="29"/>
      <c r="E783" s="52"/>
      <c r="F783" s="162">
        <f t="shared" si="12"/>
        <v>0</v>
      </c>
    </row>
    <row r="784" spans="1:6" s="48" customFormat="1" ht="27.6">
      <c r="A784" s="128">
        <v>2</v>
      </c>
      <c r="B784" s="166" t="s">
        <v>248</v>
      </c>
      <c r="C784" s="29"/>
      <c r="D784" s="29"/>
      <c r="E784" s="52"/>
      <c r="F784" s="162">
        <f t="shared" si="12"/>
        <v>0</v>
      </c>
    </row>
    <row r="785" spans="1:6" s="48" customFormat="1">
      <c r="A785" s="128"/>
      <c r="B785" s="166"/>
      <c r="C785" s="29"/>
      <c r="D785" s="29"/>
      <c r="E785" s="52"/>
      <c r="F785" s="162">
        <f t="shared" si="12"/>
        <v>0</v>
      </c>
    </row>
    <row r="786" spans="1:6" s="48" customFormat="1">
      <c r="A786" s="128" t="s">
        <v>105</v>
      </c>
      <c r="B786" s="166" t="s">
        <v>124</v>
      </c>
      <c r="C786" s="29"/>
      <c r="D786" s="29"/>
      <c r="E786" s="52"/>
      <c r="F786" s="162">
        <f t="shared" si="12"/>
        <v>0</v>
      </c>
    </row>
    <row r="787" spans="1:6" s="48" customFormat="1">
      <c r="A787" s="128" t="s">
        <v>107</v>
      </c>
      <c r="B787" s="166" t="s">
        <v>125</v>
      </c>
      <c r="C787" s="29"/>
      <c r="D787" s="29"/>
      <c r="E787" s="52"/>
      <c r="F787" s="162">
        <f t="shared" si="12"/>
        <v>0</v>
      </c>
    </row>
    <row r="788" spans="1:6" s="48" customFormat="1">
      <c r="A788" s="128" t="s">
        <v>109</v>
      </c>
      <c r="B788" s="166" t="s">
        <v>126</v>
      </c>
      <c r="C788" s="29"/>
      <c r="D788" s="29"/>
      <c r="E788" s="52"/>
      <c r="F788" s="162">
        <f t="shared" si="12"/>
        <v>0</v>
      </c>
    </row>
    <row r="789" spans="1:6" s="48" customFormat="1">
      <c r="A789" s="128" t="s">
        <v>127</v>
      </c>
      <c r="B789" s="166" t="s">
        <v>128</v>
      </c>
      <c r="C789" s="29"/>
      <c r="D789" s="29"/>
      <c r="E789" s="52"/>
      <c r="F789" s="162">
        <f t="shared" si="12"/>
        <v>0</v>
      </c>
    </row>
    <row r="790" spans="1:6" s="48" customFormat="1">
      <c r="A790" s="128" t="s">
        <v>129</v>
      </c>
      <c r="B790" s="166" t="s">
        <v>130</v>
      </c>
      <c r="C790" s="29"/>
      <c r="D790" s="29"/>
      <c r="E790" s="52"/>
      <c r="F790" s="162">
        <f t="shared" si="12"/>
        <v>0</v>
      </c>
    </row>
    <row r="791" spans="1:6" s="48" customFormat="1">
      <c r="A791" s="128" t="s">
        <v>131</v>
      </c>
      <c r="B791" s="166" t="s">
        <v>132</v>
      </c>
      <c r="C791" s="29"/>
      <c r="D791" s="29"/>
      <c r="E791" s="52"/>
      <c r="F791" s="162">
        <f t="shared" si="12"/>
        <v>0</v>
      </c>
    </row>
    <row r="792" spans="1:6" s="48" customFormat="1">
      <c r="A792" s="128" t="s">
        <v>133</v>
      </c>
      <c r="B792" s="166" t="s">
        <v>134</v>
      </c>
      <c r="C792" s="29"/>
      <c r="D792" s="29"/>
      <c r="E792" s="52"/>
      <c r="F792" s="162">
        <f t="shared" si="12"/>
        <v>0</v>
      </c>
    </row>
    <row r="793" spans="1:6" s="48" customFormat="1">
      <c r="A793" s="128" t="s">
        <v>135</v>
      </c>
      <c r="B793" s="166" t="s">
        <v>136</v>
      </c>
      <c r="C793" s="29"/>
      <c r="D793" s="29"/>
      <c r="E793" s="52"/>
      <c r="F793" s="162">
        <f t="shared" si="12"/>
        <v>0</v>
      </c>
    </row>
    <row r="794" spans="1:6" s="48" customFormat="1">
      <c r="A794" s="128" t="s">
        <v>66</v>
      </c>
      <c r="B794" s="166" t="s">
        <v>137</v>
      </c>
      <c r="C794" s="29"/>
      <c r="D794" s="29"/>
      <c r="E794" s="52"/>
      <c r="F794" s="162">
        <f t="shared" si="12"/>
        <v>0</v>
      </c>
    </row>
    <row r="795" spans="1:6" s="48" customFormat="1">
      <c r="A795" s="128" t="s">
        <v>67</v>
      </c>
      <c r="B795" s="166" t="s">
        <v>138</v>
      </c>
      <c r="C795" s="29"/>
      <c r="D795" s="29"/>
      <c r="E795" s="52"/>
      <c r="F795" s="162">
        <f t="shared" si="12"/>
        <v>0</v>
      </c>
    </row>
    <row r="796" spans="1:6" s="115" customFormat="1">
      <c r="A796" s="128" t="s">
        <v>68</v>
      </c>
      <c r="B796" s="166" t="s">
        <v>242</v>
      </c>
      <c r="C796" s="24"/>
      <c r="D796" s="24"/>
      <c r="E796" s="52"/>
      <c r="F796" s="162">
        <f t="shared" si="12"/>
        <v>0</v>
      </c>
    </row>
    <row r="797" spans="1:6" s="115" customFormat="1">
      <c r="A797" s="128"/>
      <c r="B797" s="166"/>
      <c r="C797" s="24"/>
      <c r="D797" s="24"/>
      <c r="E797" s="52"/>
      <c r="F797" s="162">
        <f t="shared" si="12"/>
        <v>0</v>
      </c>
    </row>
    <row r="798" spans="1:6" s="48" customFormat="1">
      <c r="A798" s="128">
        <v>3</v>
      </c>
      <c r="B798" s="183" t="s">
        <v>164</v>
      </c>
      <c r="C798" s="44"/>
      <c r="D798" s="24"/>
      <c r="E798" s="52"/>
      <c r="F798" s="162">
        <f t="shared" si="12"/>
        <v>0</v>
      </c>
    </row>
    <row r="799" spans="1:6" s="48" customFormat="1" ht="27.6">
      <c r="A799" s="128"/>
      <c r="B799" s="166" t="s">
        <v>437</v>
      </c>
      <c r="C799" s="24"/>
      <c r="D799" s="24"/>
      <c r="E799" s="52"/>
      <c r="F799" s="162">
        <f t="shared" si="12"/>
        <v>0</v>
      </c>
    </row>
    <row r="800" spans="1:6" s="48" customFormat="1">
      <c r="A800" s="128"/>
      <c r="B800" s="166"/>
      <c r="C800" s="44"/>
      <c r="D800" s="44"/>
      <c r="E800" s="57"/>
      <c r="F800" s="162">
        <f t="shared" si="12"/>
        <v>0</v>
      </c>
    </row>
    <row r="801" spans="1:6" s="48" customFormat="1">
      <c r="A801" s="128">
        <v>4</v>
      </c>
      <c r="B801" s="183" t="s">
        <v>165</v>
      </c>
      <c r="C801" s="44"/>
      <c r="D801" s="44"/>
      <c r="E801" s="57"/>
      <c r="F801" s="162">
        <f t="shared" si="12"/>
        <v>0</v>
      </c>
    </row>
    <row r="802" spans="1:6" s="48" customFormat="1">
      <c r="A802" s="128"/>
      <c r="B802" s="166"/>
      <c r="C802" s="44"/>
      <c r="D802" s="44"/>
      <c r="E802" s="57"/>
      <c r="F802" s="162">
        <f t="shared" si="12"/>
        <v>0</v>
      </c>
    </row>
    <row r="803" spans="1:6" s="48" customFormat="1">
      <c r="A803" s="128" t="s">
        <v>66</v>
      </c>
      <c r="B803" s="166" t="s">
        <v>520</v>
      </c>
      <c r="C803" s="44"/>
      <c r="D803" s="44"/>
      <c r="E803" s="57"/>
      <c r="F803" s="162">
        <f t="shared" si="12"/>
        <v>0</v>
      </c>
    </row>
    <row r="804" spans="1:6" s="48" customFormat="1">
      <c r="A804" s="128" t="s">
        <v>438</v>
      </c>
      <c r="B804" s="166" t="s">
        <v>519</v>
      </c>
      <c r="C804" s="44"/>
      <c r="D804" s="44"/>
      <c r="E804" s="57"/>
      <c r="F804" s="162">
        <f t="shared" si="12"/>
        <v>0</v>
      </c>
    </row>
    <row r="805" spans="1:6" s="48" customFormat="1">
      <c r="A805" s="128"/>
      <c r="B805" s="166"/>
      <c r="C805" s="29"/>
      <c r="D805" s="29"/>
      <c r="E805" s="54"/>
      <c r="F805" s="162">
        <f t="shared" si="12"/>
        <v>0</v>
      </c>
    </row>
    <row r="806" spans="1:6" s="48" customFormat="1">
      <c r="A806" s="128"/>
      <c r="B806" s="166" t="s">
        <v>245</v>
      </c>
      <c r="C806" s="29"/>
      <c r="D806" s="29"/>
      <c r="E806" s="54"/>
      <c r="F806" s="162">
        <f t="shared" si="12"/>
        <v>0</v>
      </c>
    </row>
    <row r="807" spans="1:6" s="115" customFormat="1" ht="27.6">
      <c r="A807" s="128"/>
      <c r="B807" s="166" t="s">
        <v>244</v>
      </c>
      <c r="C807" s="24"/>
      <c r="D807" s="24"/>
      <c r="E807" s="52"/>
      <c r="F807" s="162">
        <f t="shared" si="12"/>
        <v>0</v>
      </c>
    </row>
    <row r="808" spans="1:6" s="48" customFormat="1">
      <c r="A808" s="128"/>
      <c r="B808" s="166"/>
      <c r="C808" s="29"/>
      <c r="D808" s="29"/>
      <c r="E808" s="54"/>
      <c r="F808" s="162">
        <f t="shared" si="12"/>
        <v>0</v>
      </c>
    </row>
    <row r="809" spans="1:6" s="48" customFormat="1" ht="27.6">
      <c r="A809" s="128"/>
      <c r="B809" s="172" t="s">
        <v>522</v>
      </c>
      <c r="C809" s="24" t="s">
        <v>161</v>
      </c>
      <c r="D809" s="24">
        <v>1</v>
      </c>
      <c r="E809" s="54"/>
      <c r="F809" s="162">
        <f t="shared" si="12"/>
        <v>0</v>
      </c>
    </row>
    <row r="810" spans="1:6" s="48" customFormat="1">
      <c r="A810" s="136"/>
      <c r="B810" s="171"/>
      <c r="C810" s="29"/>
      <c r="D810" s="29"/>
      <c r="E810" s="54"/>
      <c r="F810" s="162">
        <f t="shared" si="12"/>
        <v>0</v>
      </c>
    </row>
    <row r="811" spans="1:6" s="48" customFormat="1">
      <c r="A811" s="128"/>
      <c r="B811" s="166"/>
      <c r="C811" s="24"/>
      <c r="D811" s="24"/>
      <c r="E811" s="52"/>
      <c r="F811" s="162">
        <f t="shared" si="12"/>
        <v>0</v>
      </c>
    </row>
    <row r="812" spans="1:6" s="48" customFormat="1">
      <c r="A812" s="136">
        <v>9</v>
      </c>
      <c r="B812" s="171" t="s">
        <v>440</v>
      </c>
      <c r="C812" s="29"/>
      <c r="D812" s="29"/>
      <c r="E812" s="54"/>
      <c r="F812" s="162">
        <f t="shared" si="12"/>
        <v>0</v>
      </c>
    </row>
    <row r="813" spans="1:6" s="48" customFormat="1">
      <c r="A813" s="128"/>
      <c r="B813" s="183" t="s">
        <v>235</v>
      </c>
      <c r="C813" s="44"/>
      <c r="D813" s="44"/>
      <c r="E813" s="57"/>
      <c r="F813" s="162">
        <f t="shared" si="12"/>
        <v>0</v>
      </c>
    </row>
    <row r="814" spans="1:6" s="48" customFormat="1" ht="27.6">
      <c r="A814" s="128">
        <v>1</v>
      </c>
      <c r="B814" s="166" t="s">
        <v>523</v>
      </c>
      <c r="C814" s="24"/>
      <c r="D814" s="24"/>
      <c r="E814" s="52"/>
      <c r="F814" s="162">
        <f t="shared" si="12"/>
        <v>0</v>
      </c>
    </row>
    <row r="815" spans="1:6" s="48" customFormat="1">
      <c r="A815" s="128"/>
      <c r="B815" s="166"/>
      <c r="C815" s="24"/>
      <c r="D815" s="24"/>
      <c r="E815" s="52"/>
      <c r="F815" s="162">
        <f t="shared" si="12"/>
        <v>0</v>
      </c>
    </row>
    <row r="816" spans="1:6" s="48" customFormat="1" ht="27.6">
      <c r="A816" s="128" t="s">
        <v>237</v>
      </c>
      <c r="B816" s="166" t="s">
        <v>238</v>
      </c>
      <c r="C816" s="24"/>
      <c r="D816" s="24"/>
      <c r="E816" s="52"/>
      <c r="F816" s="162">
        <f t="shared" si="12"/>
        <v>0</v>
      </c>
    </row>
    <row r="817" spans="1:6" s="48" customFormat="1">
      <c r="A817" s="128"/>
      <c r="B817" s="185" t="s">
        <v>145</v>
      </c>
      <c r="C817" s="24"/>
      <c r="D817" s="24"/>
      <c r="E817" s="52"/>
      <c r="F817" s="162">
        <f t="shared" si="12"/>
        <v>0</v>
      </c>
    </row>
    <row r="818" spans="1:6" s="48" customFormat="1" ht="27.6">
      <c r="A818" s="128" t="s">
        <v>123</v>
      </c>
      <c r="B818" s="166" t="s">
        <v>243</v>
      </c>
      <c r="C818" s="29"/>
      <c r="D818" s="29"/>
      <c r="E818" s="52"/>
      <c r="F818" s="162">
        <f t="shared" si="12"/>
        <v>0</v>
      </c>
    </row>
    <row r="819" spans="1:6" s="48" customFormat="1">
      <c r="A819" s="128"/>
      <c r="B819" s="185" t="s">
        <v>145</v>
      </c>
      <c r="C819" s="29"/>
      <c r="D819" s="29"/>
      <c r="E819" s="52"/>
      <c r="F819" s="162">
        <f t="shared" si="12"/>
        <v>0</v>
      </c>
    </row>
    <row r="820" spans="1:6" s="48" customFormat="1" ht="27.6">
      <c r="A820" s="128">
        <v>2</v>
      </c>
      <c r="B820" s="166" t="s">
        <v>248</v>
      </c>
      <c r="C820" s="29"/>
      <c r="D820" s="29"/>
      <c r="E820" s="52"/>
      <c r="F820" s="162">
        <f t="shared" si="12"/>
        <v>0</v>
      </c>
    </row>
    <row r="821" spans="1:6" s="48" customFormat="1">
      <c r="A821" s="128"/>
      <c r="B821" s="166"/>
      <c r="C821" s="29"/>
      <c r="D821" s="29"/>
      <c r="E821" s="52"/>
      <c r="F821" s="162">
        <f t="shared" si="12"/>
        <v>0</v>
      </c>
    </row>
    <row r="822" spans="1:6" s="48" customFormat="1">
      <c r="A822" s="128" t="s">
        <v>105</v>
      </c>
      <c r="B822" s="166" t="s">
        <v>124</v>
      </c>
      <c r="C822" s="29"/>
      <c r="D822" s="29"/>
      <c r="E822" s="52"/>
      <c r="F822" s="162">
        <f t="shared" si="12"/>
        <v>0</v>
      </c>
    </row>
    <row r="823" spans="1:6" s="48" customFormat="1">
      <c r="A823" s="128" t="s">
        <v>107</v>
      </c>
      <c r="B823" s="166" t="s">
        <v>125</v>
      </c>
      <c r="C823" s="29"/>
      <c r="D823" s="29"/>
      <c r="E823" s="52"/>
      <c r="F823" s="162">
        <f t="shared" si="12"/>
        <v>0</v>
      </c>
    </row>
    <row r="824" spans="1:6" s="48" customFormat="1">
      <c r="A824" s="128" t="s">
        <v>109</v>
      </c>
      <c r="B824" s="166" t="s">
        <v>126</v>
      </c>
      <c r="C824" s="29"/>
      <c r="D824" s="29"/>
      <c r="E824" s="52"/>
      <c r="F824" s="162">
        <f t="shared" si="12"/>
        <v>0</v>
      </c>
    </row>
    <row r="825" spans="1:6" s="48" customFormat="1">
      <c r="A825" s="128" t="s">
        <v>127</v>
      </c>
      <c r="B825" s="166" t="s">
        <v>128</v>
      </c>
      <c r="C825" s="29"/>
      <c r="D825" s="29"/>
      <c r="E825" s="52"/>
      <c r="F825" s="162">
        <f t="shared" si="12"/>
        <v>0</v>
      </c>
    </row>
    <row r="826" spans="1:6" s="48" customFormat="1">
      <c r="A826" s="128" t="s">
        <v>129</v>
      </c>
      <c r="B826" s="166" t="s">
        <v>130</v>
      </c>
      <c r="C826" s="29"/>
      <c r="D826" s="29"/>
      <c r="E826" s="52"/>
      <c r="F826" s="162">
        <f t="shared" si="12"/>
        <v>0</v>
      </c>
    </row>
    <row r="827" spans="1:6" s="48" customFormat="1">
      <c r="A827" s="128" t="s">
        <v>131</v>
      </c>
      <c r="B827" s="166" t="s">
        <v>132</v>
      </c>
      <c r="C827" s="29"/>
      <c r="D827" s="29"/>
      <c r="E827" s="52"/>
      <c r="F827" s="162">
        <f t="shared" si="12"/>
        <v>0</v>
      </c>
    </row>
    <row r="828" spans="1:6" s="48" customFormat="1">
      <c r="A828" s="128" t="s">
        <v>133</v>
      </c>
      <c r="B828" s="166" t="s">
        <v>134</v>
      </c>
      <c r="C828" s="29"/>
      <c r="D828" s="29"/>
      <c r="E828" s="52"/>
      <c r="F828" s="162">
        <f t="shared" si="12"/>
        <v>0</v>
      </c>
    </row>
    <row r="829" spans="1:6" s="48" customFormat="1">
      <c r="A829" s="128" t="s">
        <v>135</v>
      </c>
      <c r="B829" s="166" t="s">
        <v>136</v>
      </c>
      <c r="C829" s="29"/>
      <c r="D829" s="29"/>
      <c r="E829" s="52"/>
      <c r="F829" s="162">
        <f t="shared" si="12"/>
        <v>0</v>
      </c>
    </row>
    <row r="830" spans="1:6" s="48" customFormat="1">
      <c r="A830" s="128" t="s">
        <v>66</v>
      </c>
      <c r="B830" s="166" t="s">
        <v>137</v>
      </c>
      <c r="C830" s="29"/>
      <c r="D830" s="29"/>
      <c r="E830" s="52"/>
      <c r="F830" s="162">
        <f t="shared" si="12"/>
        <v>0</v>
      </c>
    </row>
    <row r="831" spans="1:6" s="48" customFormat="1">
      <c r="A831" s="128" t="s">
        <v>67</v>
      </c>
      <c r="B831" s="166" t="s">
        <v>138</v>
      </c>
      <c r="C831" s="29"/>
      <c r="D831" s="29"/>
      <c r="E831" s="52"/>
      <c r="F831" s="162">
        <f t="shared" si="12"/>
        <v>0</v>
      </c>
    </row>
    <row r="832" spans="1:6" s="115" customFormat="1">
      <c r="A832" s="128" t="s">
        <v>68</v>
      </c>
      <c r="B832" s="166" t="s">
        <v>242</v>
      </c>
      <c r="C832" s="24"/>
      <c r="D832" s="24"/>
      <c r="E832" s="52"/>
      <c r="F832" s="162">
        <f t="shared" si="12"/>
        <v>0</v>
      </c>
    </row>
    <row r="833" spans="1:6" s="115" customFormat="1">
      <c r="A833" s="128"/>
      <c r="B833" s="166"/>
      <c r="C833" s="24"/>
      <c r="D833" s="24"/>
      <c r="E833" s="52"/>
      <c r="F833" s="162">
        <f t="shared" si="12"/>
        <v>0</v>
      </c>
    </row>
    <row r="834" spans="1:6" s="48" customFormat="1">
      <c r="A834" s="128">
        <v>3</v>
      </c>
      <c r="B834" s="183" t="s">
        <v>164</v>
      </c>
      <c r="C834" s="44"/>
      <c r="D834" s="24"/>
      <c r="E834" s="52"/>
      <c r="F834" s="162">
        <f t="shared" si="12"/>
        <v>0</v>
      </c>
    </row>
    <row r="835" spans="1:6" s="48" customFormat="1" ht="27.6">
      <c r="A835" s="128"/>
      <c r="B835" s="166" t="s">
        <v>524</v>
      </c>
      <c r="C835" s="24"/>
      <c r="D835" s="24"/>
      <c r="E835" s="52"/>
      <c r="F835" s="162">
        <f t="shared" si="12"/>
        <v>0</v>
      </c>
    </row>
    <row r="836" spans="1:6" s="48" customFormat="1">
      <c r="A836" s="128"/>
      <c r="B836" s="166"/>
      <c r="C836" s="44"/>
      <c r="D836" s="44"/>
      <c r="E836" s="57"/>
      <c r="F836" s="162">
        <f t="shared" si="12"/>
        <v>0</v>
      </c>
    </row>
    <row r="837" spans="1:6" s="48" customFormat="1">
      <c r="A837" s="128">
        <v>4</v>
      </c>
      <c r="B837" s="183" t="s">
        <v>165</v>
      </c>
      <c r="C837" s="44"/>
      <c r="D837" s="44"/>
      <c r="E837" s="57"/>
      <c r="F837" s="162">
        <f t="shared" si="12"/>
        <v>0</v>
      </c>
    </row>
    <row r="838" spans="1:6" s="48" customFormat="1">
      <c r="A838" s="128"/>
      <c r="B838" s="166" t="s">
        <v>525</v>
      </c>
      <c r="C838" s="29"/>
      <c r="D838" s="29"/>
      <c r="E838" s="54"/>
      <c r="F838" s="162">
        <f t="shared" si="12"/>
        <v>0</v>
      </c>
    </row>
    <row r="839" spans="1:6" s="48" customFormat="1">
      <c r="A839" s="128"/>
      <c r="B839" s="183"/>
      <c r="C839" s="44"/>
      <c r="D839" s="44"/>
      <c r="E839" s="57"/>
      <c r="F839" s="162">
        <f t="shared" si="12"/>
        <v>0</v>
      </c>
    </row>
    <row r="840" spans="1:6" s="48" customFormat="1">
      <c r="A840" s="128"/>
      <c r="B840" s="166" t="s">
        <v>245</v>
      </c>
      <c r="C840" s="29"/>
      <c r="D840" s="29"/>
      <c r="E840" s="54"/>
      <c r="F840" s="162">
        <f t="shared" si="12"/>
        <v>0</v>
      </c>
    </row>
    <row r="841" spans="1:6" s="48" customFormat="1">
      <c r="A841" s="128"/>
      <c r="B841" s="166" t="s">
        <v>257</v>
      </c>
      <c r="C841" s="29"/>
      <c r="D841" s="29"/>
      <c r="E841" s="54"/>
      <c r="F841" s="162">
        <f t="shared" si="12"/>
        <v>0</v>
      </c>
    </row>
    <row r="842" spans="1:6" s="115" customFormat="1" ht="27.6">
      <c r="A842" s="128"/>
      <c r="B842" s="166" t="s">
        <v>244</v>
      </c>
      <c r="C842" s="24"/>
      <c r="D842" s="24"/>
      <c r="E842" s="52"/>
      <c r="F842" s="162">
        <f t="shared" ref="F842:F905" si="13">E842*D842</f>
        <v>0</v>
      </c>
    </row>
    <row r="843" spans="1:6" s="115" customFormat="1">
      <c r="A843" s="128"/>
      <c r="B843" s="166"/>
      <c r="C843" s="24"/>
      <c r="D843" s="24"/>
      <c r="E843" s="52"/>
      <c r="F843" s="162">
        <f t="shared" si="13"/>
        <v>0</v>
      </c>
    </row>
    <row r="844" spans="1:6" s="48" customFormat="1">
      <c r="A844" s="128"/>
      <c r="B844" s="172" t="s">
        <v>441</v>
      </c>
      <c r="C844" s="24" t="s">
        <v>161</v>
      </c>
      <c r="D844" s="24">
        <v>1</v>
      </c>
      <c r="E844" s="54"/>
      <c r="F844" s="162">
        <f t="shared" si="13"/>
        <v>0</v>
      </c>
    </row>
    <row r="845" spans="1:6" s="48" customFormat="1">
      <c r="A845" s="128"/>
      <c r="B845" s="183"/>
      <c r="C845" s="44"/>
      <c r="D845" s="44"/>
      <c r="E845" s="57"/>
      <c r="F845" s="162">
        <f t="shared" si="13"/>
        <v>0</v>
      </c>
    </row>
    <row r="846" spans="1:6" s="48" customFormat="1">
      <c r="A846" s="136">
        <v>10</v>
      </c>
      <c r="B846" s="171" t="s">
        <v>442</v>
      </c>
      <c r="C846" s="29"/>
      <c r="D846" s="29"/>
      <c r="E846" s="54"/>
      <c r="F846" s="162">
        <f t="shared" si="13"/>
        <v>0</v>
      </c>
    </row>
    <row r="847" spans="1:6" s="48" customFormat="1">
      <c r="A847" s="128"/>
      <c r="B847" s="183" t="s">
        <v>235</v>
      </c>
      <c r="C847" s="44"/>
      <c r="D847" s="44"/>
      <c r="E847" s="57"/>
      <c r="F847" s="162">
        <f t="shared" si="13"/>
        <v>0</v>
      </c>
    </row>
    <row r="848" spans="1:6" s="48" customFormat="1">
      <c r="A848" s="128">
        <v>1</v>
      </c>
      <c r="B848" s="166" t="s">
        <v>526</v>
      </c>
      <c r="C848" s="24"/>
      <c r="D848" s="24"/>
      <c r="E848" s="52"/>
      <c r="F848" s="162">
        <f t="shared" si="13"/>
        <v>0</v>
      </c>
    </row>
    <row r="849" spans="1:6" s="48" customFormat="1">
      <c r="A849" s="128"/>
      <c r="B849" s="166"/>
      <c r="C849" s="24"/>
      <c r="D849" s="24"/>
      <c r="E849" s="52"/>
      <c r="F849" s="162">
        <f t="shared" si="13"/>
        <v>0</v>
      </c>
    </row>
    <row r="850" spans="1:6" s="48" customFormat="1" ht="27.6">
      <c r="A850" s="128" t="s">
        <v>237</v>
      </c>
      <c r="B850" s="166" t="s">
        <v>238</v>
      </c>
      <c r="C850" s="24"/>
      <c r="D850" s="24"/>
      <c r="E850" s="52"/>
      <c r="F850" s="162">
        <f t="shared" si="13"/>
        <v>0</v>
      </c>
    </row>
    <row r="851" spans="1:6" s="48" customFormat="1">
      <c r="A851" s="128"/>
      <c r="B851" s="185" t="s">
        <v>234</v>
      </c>
      <c r="C851" s="24"/>
      <c r="D851" s="24"/>
      <c r="E851" s="52"/>
      <c r="F851" s="162">
        <f t="shared" si="13"/>
        <v>0</v>
      </c>
    </row>
    <row r="852" spans="1:6" s="48" customFormat="1" ht="27.6">
      <c r="A852" s="128" t="s">
        <v>236</v>
      </c>
      <c r="B852" s="166" t="s">
        <v>243</v>
      </c>
      <c r="C852" s="29"/>
      <c r="D852" s="29"/>
      <c r="E852" s="52"/>
      <c r="F852" s="162">
        <f t="shared" si="13"/>
        <v>0</v>
      </c>
    </row>
    <row r="853" spans="1:6" s="48" customFormat="1">
      <c r="A853" s="128"/>
      <c r="B853" s="185" t="s">
        <v>234</v>
      </c>
      <c r="C853" s="29"/>
      <c r="D853" s="29"/>
      <c r="E853" s="52"/>
      <c r="F853" s="162">
        <f t="shared" si="13"/>
        <v>0</v>
      </c>
    </row>
    <row r="854" spans="1:6" s="48" customFormat="1">
      <c r="A854" s="128"/>
      <c r="B854" s="166"/>
      <c r="C854" s="29"/>
      <c r="D854" s="29"/>
      <c r="E854" s="52"/>
      <c r="F854" s="162">
        <f t="shared" si="13"/>
        <v>0</v>
      </c>
    </row>
    <row r="855" spans="1:6" s="48" customFormat="1" ht="27.6">
      <c r="A855" s="128">
        <v>2</v>
      </c>
      <c r="B855" s="166" t="s">
        <v>527</v>
      </c>
      <c r="C855" s="24"/>
      <c r="D855" s="24"/>
      <c r="E855" s="52"/>
      <c r="F855" s="162">
        <f t="shared" si="13"/>
        <v>0</v>
      </c>
    </row>
    <row r="856" spans="1:6" s="48" customFormat="1">
      <c r="A856" s="128"/>
      <c r="B856" s="166"/>
      <c r="C856" s="24"/>
      <c r="D856" s="24"/>
      <c r="E856" s="52"/>
      <c r="F856" s="162">
        <f t="shared" si="13"/>
        <v>0</v>
      </c>
    </row>
    <row r="857" spans="1:6" s="48" customFormat="1" ht="27.6">
      <c r="A857" s="128">
        <v>3</v>
      </c>
      <c r="B857" s="166" t="s">
        <v>248</v>
      </c>
      <c r="C857" s="24"/>
      <c r="D857" s="24"/>
      <c r="E857" s="52"/>
      <c r="F857" s="162">
        <f t="shared" si="13"/>
        <v>0</v>
      </c>
    </row>
    <row r="858" spans="1:6" s="48" customFormat="1">
      <c r="A858" s="128" t="s">
        <v>105</v>
      </c>
      <c r="B858" s="166" t="s">
        <v>124</v>
      </c>
      <c r="C858" s="24"/>
      <c r="D858" s="24"/>
      <c r="E858" s="52"/>
      <c r="F858" s="162">
        <f t="shared" si="13"/>
        <v>0</v>
      </c>
    </row>
    <row r="859" spans="1:6" s="48" customFormat="1">
      <c r="A859" s="128" t="s">
        <v>107</v>
      </c>
      <c r="B859" s="166" t="s">
        <v>125</v>
      </c>
      <c r="C859" s="24"/>
      <c r="D859" s="24"/>
      <c r="E859" s="52"/>
      <c r="F859" s="162">
        <f t="shared" si="13"/>
        <v>0</v>
      </c>
    </row>
    <row r="860" spans="1:6" s="48" customFormat="1">
      <c r="A860" s="128" t="s">
        <v>109</v>
      </c>
      <c r="B860" s="166" t="s">
        <v>126</v>
      </c>
      <c r="C860" s="24"/>
      <c r="D860" s="24"/>
      <c r="E860" s="52"/>
      <c r="F860" s="162">
        <f t="shared" si="13"/>
        <v>0</v>
      </c>
    </row>
    <row r="861" spans="1:6" s="48" customFormat="1">
      <c r="A861" s="128" t="s">
        <v>127</v>
      </c>
      <c r="B861" s="166" t="s">
        <v>128</v>
      </c>
      <c r="C861" s="24"/>
      <c r="D861" s="24"/>
      <c r="E861" s="52"/>
      <c r="F861" s="162">
        <f t="shared" si="13"/>
        <v>0</v>
      </c>
    </row>
    <row r="862" spans="1:6" s="48" customFormat="1">
      <c r="A862" s="128" t="s">
        <v>129</v>
      </c>
      <c r="B862" s="166" t="s">
        <v>130</v>
      </c>
      <c r="C862" s="24"/>
      <c r="D862" s="24"/>
      <c r="E862" s="52"/>
      <c r="F862" s="162">
        <f t="shared" si="13"/>
        <v>0</v>
      </c>
    </row>
    <row r="863" spans="1:6" s="48" customFormat="1">
      <c r="A863" s="128" t="s">
        <v>131</v>
      </c>
      <c r="B863" s="166" t="s">
        <v>132</v>
      </c>
      <c r="C863" s="24"/>
      <c r="D863" s="24"/>
      <c r="E863" s="52"/>
      <c r="F863" s="162">
        <f t="shared" si="13"/>
        <v>0</v>
      </c>
    </row>
    <row r="864" spans="1:6" s="48" customFormat="1">
      <c r="A864" s="128" t="s">
        <v>133</v>
      </c>
      <c r="B864" s="166" t="s">
        <v>134</v>
      </c>
      <c r="C864" s="24"/>
      <c r="D864" s="24"/>
      <c r="E864" s="52"/>
      <c r="F864" s="162">
        <f t="shared" si="13"/>
        <v>0</v>
      </c>
    </row>
    <row r="865" spans="1:6" s="48" customFormat="1">
      <c r="A865" s="128" t="s">
        <v>135</v>
      </c>
      <c r="B865" s="166" t="s">
        <v>136</v>
      </c>
      <c r="C865" s="24"/>
      <c r="D865" s="24"/>
      <c r="E865" s="52"/>
      <c r="F865" s="162">
        <f t="shared" si="13"/>
        <v>0</v>
      </c>
    </row>
    <row r="866" spans="1:6" s="48" customFormat="1">
      <c r="A866" s="128" t="s">
        <v>66</v>
      </c>
      <c r="B866" s="166" t="s">
        <v>137</v>
      </c>
      <c r="C866" s="24"/>
      <c r="D866" s="24"/>
      <c r="E866" s="52"/>
      <c r="F866" s="162">
        <f t="shared" si="13"/>
        <v>0</v>
      </c>
    </row>
    <row r="867" spans="1:6" s="48" customFormat="1">
      <c r="A867" s="128" t="s">
        <v>67</v>
      </c>
      <c r="B867" s="166" t="s">
        <v>138</v>
      </c>
      <c r="C867" s="24"/>
      <c r="D867" s="24"/>
      <c r="E867" s="52"/>
      <c r="F867" s="162">
        <f t="shared" si="13"/>
        <v>0</v>
      </c>
    </row>
    <row r="868" spans="1:6" s="115" customFormat="1">
      <c r="A868" s="128" t="s">
        <v>68</v>
      </c>
      <c r="B868" s="166" t="s">
        <v>242</v>
      </c>
      <c r="C868" s="24"/>
      <c r="D868" s="24"/>
      <c r="E868" s="52"/>
      <c r="F868" s="162">
        <f t="shared" si="13"/>
        <v>0</v>
      </c>
    </row>
    <row r="869" spans="1:6" s="48" customFormat="1">
      <c r="A869" s="128"/>
      <c r="B869" s="185" t="s">
        <v>234</v>
      </c>
      <c r="C869" s="24"/>
      <c r="D869" s="24"/>
      <c r="E869" s="52"/>
      <c r="F869" s="162">
        <f t="shared" si="13"/>
        <v>0</v>
      </c>
    </row>
    <row r="870" spans="1:6" s="48" customFormat="1">
      <c r="A870" s="128"/>
      <c r="B870" s="166"/>
      <c r="C870" s="24"/>
      <c r="D870" s="24"/>
      <c r="E870" s="52"/>
      <c r="F870" s="162">
        <f t="shared" si="13"/>
        <v>0</v>
      </c>
    </row>
    <row r="871" spans="1:6" s="48" customFormat="1">
      <c r="A871" s="128">
        <v>4</v>
      </c>
      <c r="B871" s="183" t="s">
        <v>165</v>
      </c>
      <c r="C871" s="44"/>
      <c r="D871" s="44"/>
      <c r="E871" s="57"/>
      <c r="F871" s="162">
        <f t="shared" si="13"/>
        <v>0</v>
      </c>
    </row>
    <row r="872" spans="1:6" s="48" customFormat="1">
      <c r="A872" s="128"/>
      <c r="B872" s="166" t="s">
        <v>528</v>
      </c>
      <c r="C872" s="29"/>
      <c r="D872" s="29"/>
      <c r="E872" s="54"/>
      <c r="F872" s="162">
        <f t="shared" si="13"/>
        <v>0</v>
      </c>
    </row>
    <row r="873" spans="1:6" s="48" customFormat="1">
      <c r="A873" s="128"/>
      <c r="B873" s="166" t="s">
        <v>443</v>
      </c>
      <c r="C873" s="29"/>
      <c r="D873" s="29"/>
      <c r="E873" s="54"/>
      <c r="F873" s="162">
        <f t="shared" si="13"/>
        <v>0</v>
      </c>
    </row>
    <row r="874" spans="1:6" s="48" customFormat="1">
      <c r="A874" s="128"/>
      <c r="B874" s="166" t="s">
        <v>529</v>
      </c>
      <c r="C874" s="29"/>
      <c r="D874" s="29"/>
      <c r="E874" s="54"/>
      <c r="F874" s="162">
        <f t="shared" si="13"/>
        <v>0</v>
      </c>
    </row>
    <row r="875" spans="1:6" s="48" customFormat="1">
      <c r="A875" s="128"/>
      <c r="B875" s="166" t="s">
        <v>530</v>
      </c>
      <c r="C875" s="29"/>
      <c r="D875" s="29"/>
      <c r="E875" s="54"/>
      <c r="F875" s="162">
        <f t="shared" si="13"/>
        <v>0</v>
      </c>
    </row>
    <row r="876" spans="1:6" s="48" customFormat="1">
      <c r="A876" s="128"/>
      <c r="B876" s="166" t="s">
        <v>531</v>
      </c>
      <c r="C876" s="29"/>
      <c r="D876" s="29"/>
      <c r="E876" s="54"/>
      <c r="F876" s="162">
        <f t="shared" si="13"/>
        <v>0</v>
      </c>
    </row>
    <row r="877" spans="1:6" s="48" customFormat="1">
      <c r="A877" s="128"/>
      <c r="B877" s="166"/>
      <c r="C877" s="29"/>
      <c r="D877" s="29"/>
      <c r="E877" s="54"/>
      <c r="F877" s="162">
        <f t="shared" si="13"/>
        <v>0</v>
      </c>
    </row>
    <row r="878" spans="1:6" s="48" customFormat="1">
      <c r="A878" s="128"/>
      <c r="B878" s="166" t="s">
        <v>245</v>
      </c>
      <c r="C878" s="29"/>
      <c r="D878" s="29"/>
      <c r="E878" s="54"/>
      <c r="F878" s="162">
        <f t="shared" si="13"/>
        <v>0</v>
      </c>
    </row>
    <row r="879" spans="1:6" s="48" customFormat="1">
      <c r="A879" s="128"/>
      <c r="B879" s="166" t="s">
        <v>257</v>
      </c>
      <c r="C879" s="29"/>
      <c r="D879" s="29"/>
      <c r="E879" s="54"/>
      <c r="F879" s="162">
        <f t="shared" si="13"/>
        <v>0</v>
      </c>
    </row>
    <row r="880" spans="1:6" s="115" customFormat="1" ht="27.6">
      <c r="A880" s="128"/>
      <c r="B880" s="166" t="s">
        <v>244</v>
      </c>
      <c r="C880" s="24"/>
      <c r="D880" s="24"/>
      <c r="E880" s="52"/>
      <c r="F880" s="162">
        <f t="shared" si="13"/>
        <v>0</v>
      </c>
    </row>
    <row r="881" spans="1:6" s="48" customFormat="1">
      <c r="A881" s="128"/>
      <c r="B881" s="166"/>
      <c r="C881" s="29"/>
      <c r="D881" s="29"/>
      <c r="E881" s="54"/>
      <c r="F881" s="162">
        <f t="shared" si="13"/>
        <v>0</v>
      </c>
    </row>
    <row r="882" spans="1:6" s="48" customFormat="1">
      <c r="A882" s="128"/>
      <c r="B882" s="172" t="s">
        <v>444</v>
      </c>
      <c r="C882" s="24" t="s">
        <v>161</v>
      </c>
      <c r="D882" s="24">
        <v>1</v>
      </c>
      <c r="E882" s="54"/>
      <c r="F882" s="162">
        <f t="shared" si="13"/>
        <v>0</v>
      </c>
    </row>
    <row r="883" spans="1:6" s="48" customFormat="1">
      <c r="A883" s="128"/>
      <c r="B883" s="172"/>
      <c r="C883" s="24"/>
      <c r="D883" s="24"/>
      <c r="E883" s="54"/>
      <c r="F883" s="162">
        <f t="shared" si="13"/>
        <v>0</v>
      </c>
    </row>
    <row r="884" spans="1:6" s="48" customFormat="1">
      <c r="A884" s="136">
        <v>11</v>
      </c>
      <c r="B884" s="171" t="s">
        <v>253</v>
      </c>
      <c r="C884" s="29"/>
      <c r="D884" s="29"/>
      <c r="E884" s="54"/>
      <c r="F884" s="162">
        <f t="shared" si="13"/>
        <v>0</v>
      </c>
    </row>
    <row r="885" spans="1:6" s="48" customFormat="1">
      <c r="A885" s="128">
        <v>1</v>
      </c>
      <c r="B885" s="183" t="s">
        <v>235</v>
      </c>
      <c r="C885" s="44"/>
      <c r="D885" s="44"/>
      <c r="E885" s="57"/>
      <c r="F885" s="162">
        <f t="shared" si="13"/>
        <v>0</v>
      </c>
    </row>
    <row r="886" spans="1:6" s="48" customFormat="1">
      <c r="A886" s="128" t="s">
        <v>66</v>
      </c>
      <c r="B886" s="166" t="s">
        <v>445</v>
      </c>
      <c r="C886" s="24"/>
      <c r="D886" s="24"/>
      <c r="E886" s="52"/>
      <c r="F886" s="162">
        <f t="shared" si="13"/>
        <v>0</v>
      </c>
    </row>
    <row r="887" spans="1:6" s="48" customFormat="1">
      <c r="A887" s="128"/>
      <c r="B887" s="185" t="s">
        <v>249</v>
      </c>
      <c r="C887" s="24"/>
      <c r="D887" s="24"/>
      <c r="E887" s="52"/>
      <c r="F887" s="162">
        <f t="shared" si="13"/>
        <v>0</v>
      </c>
    </row>
    <row r="888" spans="1:6" s="48" customFormat="1">
      <c r="A888" s="128" t="s">
        <v>123</v>
      </c>
      <c r="B888" s="193" t="s">
        <v>256</v>
      </c>
      <c r="C888" s="24"/>
      <c r="D888" s="24"/>
      <c r="E888" s="52"/>
      <c r="F888" s="162">
        <f t="shared" si="13"/>
        <v>0</v>
      </c>
    </row>
    <row r="889" spans="1:6" s="48" customFormat="1">
      <c r="A889" s="128"/>
      <c r="B889" s="185" t="s">
        <v>250</v>
      </c>
      <c r="C889" s="24"/>
      <c r="D889" s="24"/>
      <c r="E889" s="52"/>
      <c r="F889" s="162">
        <f t="shared" si="13"/>
        <v>0</v>
      </c>
    </row>
    <row r="890" spans="1:6" s="48" customFormat="1">
      <c r="A890" s="128" t="s">
        <v>139</v>
      </c>
      <c r="B890" s="193" t="s">
        <v>254</v>
      </c>
      <c r="C890" s="24"/>
      <c r="D890" s="24"/>
      <c r="E890" s="52"/>
      <c r="F890" s="162">
        <f t="shared" si="13"/>
        <v>0</v>
      </c>
    </row>
    <row r="891" spans="1:6" s="48" customFormat="1">
      <c r="A891" s="128"/>
      <c r="B891" s="185" t="s">
        <v>250</v>
      </c>
      <c r="C891" s="24"/>
      <c r="D891" s="24"/>
      <c r="E891" s="52"/>
      <c r="F891" s="162">
        <f t="shared" si="13"/>
        <v>0</v>
      </c>
    </row>
    <row r="892" spans="1:6" s="48" customFormat="1">
      <c r="A892" s="128"/>
      <c r="B892" s="193" t="s">
        <v>251</v>
      </c>
      <c r="C892" s="24"/>
      <c r="D892" s="24"/>
      <c r="E892" s="52"/>
      <c r="F892" s="162">
        <f t="shared" si="13"/>
        <v>0</v>
      </c>
    </row>
    <row r="893" spans="1:6" s="48" customFormat="1">
      <c r="A893" s="128"/>
      <c r="B893" s="193"/>
      <c r="C893" s="24"/>
      <c r="D893" s="24"/>
      <c r="E893" s="52"/>
      <c r="F893" s="162">
        <f t="shared" si="13"/>
        <v>0</v>
      </c>
    </row>
    <row r="894" spans="1:6" s="48" customFormat="1">
      <c r="A894" s="128" t="s">
        <v>141</v>
      </c>
      <c r="B894" s="166" t="s">
        <v>255</v>
      </c>
      <c r="C894" s="24"/>
      <c r="D894" s="24"/>
      <c r="E894" s="52"/>
      <c r="F894" s="162">
        <f t="shared" si="13"/>
        <v>0</v>
      </c>
    </row>
    <row r="895" spans="1:6" s="48" customFormat="1">
      <c r="A895" s="128"/>
      <c r="B895" s="185" t="s">
        <v>250</v>
      </c>
      <c r="C895" s="24"/>
      <c r="D895" s="24"/>
      <c r="E895" s="52"/>
      <c r="F895" s="162">
        <f t="shared" si="13"/>
        <v>0</v>
      </c>
    </row>
    <row r="896" spans="1:6" s="48" customFormat="1">
      <c r="A896" s="128"/>
      <c r="B896" s="166"/>
      <c r="C896" s="24"/>
      <c r="D896" s="24"/>
      <c r="E896" s="52"/>
      <c r="F896" s="162">
        <f t="shared" si="13"/>
        <v>0</v>
      </c>
    </row>
    <row r="897" spans="1:6" s="48" customFormat="1">
      <c r="A897" s="128">
        <v>2</v>
      </c>
      <c r="B897" s="183" t="s">
        <v>164</v>
      </c>
      <c r="C897" s="44"/>
      <c r="D897" s="24"/>
      <c r="E897" s="52"/>
      <c r="F897" s="162">
        <f t="shared" si="13"/>
        <v>0</v>
      </c>
    </row>
    <row r="898" spans="1:6" s="48" customFormat="1" ht="27.6">
      <c r="A898" s="128"/>
      <c r="B898" s="166" t="s">
        <v>446</v>
      </c>
      <c r="C898" s="24"/>
      <c r="D898" s="24"/>
      <c r="E898" s="52"/>
      <c r="F898" s="162">
        <f t="shared" si="13"/>
        <v>0</v>
      </c>
    </row>
    <row r="899" spans="1:6" s="48" customFormat="1">
      <c r="A899" s="128"/>
      <c r="B899" s="185" t="s">
        <v>252</v>
      </c>
      <c r="C899" s="44"/>
      <c r="D899" s="44"/>
      <c r="E899" s="57"/>
      <c r="F899" s="162">
        <f t="shared" si="13"/>
        <v>0</v>
      </c>
    </row>
    <row r="900" spans="1:6" s="48" customFormat="1">
      <c r="A900" s="128">
        <v>3</v>
      </c>
      <c r="B900" s="183" t="s">
        <v>165</v>
      </c>
      <c r="C900" s="44"/>
      <c r="D900" s="44"/>
      <c r="E900" s="57"/>
      <c r="F900" s="162">
        <f t="shared" si="13"/>
        <v>0</v>
      </c>
    </row>
    <row r="901" spans="1:6" s="48" customFormat="1">
      <c r="A901" s="128"/>
      <c r="B901" s="166" t="s">
        <v>449</v>
      </c>
      <c r="C901" s="44"/>
      <c r="D901" s="44"/>
      <c r="E901" s="57"/>
      <c r="F901" s="162">
        <f t="shared" si="13"/>
        <v>0</v>
      </c>
    </row>
    <row r="902" spans="1:6" s="48" customFormat="1">
      <c r="A902" s="128"/>
      <c r="B902" s="166"/>
      <c r="C902" s="29"/>
      <c r="D902" s="29"/>
      <c r="E902" s="54"/>
      <c r="F902" s="162">
        <f t="shared" si="13"/>
        <v>0</v>
      </c>
    </row>
    <row r="903" spans="1:6" s="48" customFormat="1" ht="17.25" customHeight="1">
      <c r="A903" s="128"/>
      <c r="B903" s="172" t="s">
        <v>450</v>
      </c>
      <c r="C903" s="24" t="s">
        <v>161</v>
      </c>
      <c r="D903" s="24">
        <v>1</v>
      </c>
      <c r="E903" s="54"/>
      <c r="F903" s="162">
        <f t="shared" si="13"/>
        <v>0</v>
      </c>
    </row>
    <row r="904" spans="1:6" s="48" customFormat="1" ht="17.25" customHeight="1">
      <c r="A904" s="128"/>
      <c r="B904" s="172"/>
      <c r="C904" s="24"/>
      <c r="D904" s="24"/>
      <c r="E904" s="54"/>
      <c r="F904" s="162">
        <f t="shared" si="13"/>
        <v>0</v>
      </c>
    </row>
    <row r="905" spans="1:6" s="120" customFormat="1">
      <c r="A905" s="147">
        <v>12</v>
      </c>
      <c r="B905" s="194" t="s">
        <v>534</v>
      </c>
      <c r="C905" s="29"/>
      <c r="D905" s="29"/>
      <c r="E905" s="29"/>
      <c r="F905" s="162">
        <f t="shared" si="13"/>
        <v>0</v>
      </c>
    </row>
    <row r="906" spans="1:6" s="120" customFormat="1">
      <c r="A906" s="125"/>
      <c r="B906" s="195" t="s">
        <v>532</v>
      </c>
      <c r="C906" s="44"/>
      <c r="D906" s="44"/>
      <c r="E906" s="44"/>
      <c r="F906" s="162">
        <f t="shared" ref="F906:F924" si="14">E906*D906</f>
        <v>0</v>
      </c>
    </row>
    <row r="907" spans="1:6" s="120" customFormat="1">
      <c r="A907" s="148">
        <v>1</v>
      </c>
      <c r="B907" s="163" t="s">
        <v>535</v>
      </c>
      <c r="C907" s="24"/>
      <c r="D907" s="24"/>
      <c r="E907" s="24"/>
      <c r="F907" s="162">
        <f t="shared" si="14"/>
        <v>0</v>
      </c>
    </row>
    <row r="908" spans="1:6" s="120" customFormat="1">
      <c r="A908" s="125"/>
      <c r="B908" s="163"/>
      <c r="C908" s="24"/>
      <c r="D908" s="24"/>
      <c r="E908" s="24"/>
      <c r="F908" s="162">
        <f t="shared" si="14"/>
        <v>0</v>
      </c>
    </row>
    <row r="909" spans="1:6" s="120" customFormat="1" ht="27.6">
      <c r="A909" s="125" t="s">
        <v>237</v>
      </c>
      <c r="B909" s="163" t="s">
        <v>238</v>
      </c>
      <c r="C909" s="24"/>
      <c r="D909" s="24"/>
      <c r="E909" s="24"/>
      <c r="F909" s="162">
        <f t="shared" si="14"/>
        <v>0</v>
      </c>
    </row>
    <row r="910" spans="1:6" s="120" customFormat="1">
      <c r="A910" s="125"/>
      <c r="B910" s="196" t="s">
        <v>145</v>
      </c>
      <c r="C910" s="24"/>
      <c r="D910" s="24"/>
      <c r="E910" s="24"/>
      <c r="F910" s="162">
        <f t="shared" si="14"/>
        <v>0</v>
      </c>
    </row>
    <row r="911" spans="1:6" s="120" customFormat="1" ht="27.6">
      <c r="A911" s="125" t="s">
        <v>123</v>
      </c>
      <c r="B911" s="163" t="s">
        <v>533</v>
      </c>
      <c r="C911" s="29"/>
      <c r="D911" s="29"/>
      <c r="E911" s="24"/>
      <c r="F911" s="162">
        <f t="shared" si="14"/>
        <v>0</v>
      </c>
    </row>
    <row r="912" spans="1:6" s="120" customFormat="1">
      <c r="A912" s="125"/>
      <c r="B912" s="196" t="s">
        <v>145</v>
      </c>
      <c r="C912" s="29"/>
      <c r="D912" s="29"/>
      <c r="E912" s="24"/>
      <c r="F912" s="162">
        <f t="shared" si="14"/>
        <v>0</v>
      </c>
    </row>
    <row r="913" spans="1:9" s="121" customFormat="1" ht="27.6">
      <c r="A913" s="149"/>
      <c r="B913" s="197" t="s">
        <v>536</v>
      </c>
      <c r="C913" s="24" t="s">
        <v>161</v>
      </c>
      <c r="D913" s="24">
        <v>1</v>
      </c>
      <c r="E913" s="29"/>
      <c r="F913" s="162">
        <f t="shared" si="14"/>
        <v>0</v>
      </c>
    </row>
    <row r="914" spans="1:9" s="121" customFormat="1">
      <c r="A914" s="149"/>
      <c r="B914" s="197"/>
      <c r="C914" s="24"/>
      <c r="D914" s="24"/>
      <c r="E914" s="29"/>
      <c r="F914" s="162"/>
    </row>
    <row r="915" spans="1:9">
      <c r="A915" s="140"/>
      <c r="B915" s="169" t="s">
        <v>162</v>
      </c>
      <c r="C915" s="31"/>
      <c r="D915" s="32"/>
      <c r="E915" s="53"/>
      <c r="F915" s="170">
        <f>SUM(F362:F914)</f>
        <v>0</v>
      </c>
    </row>
    <row r="916" spans="1:9">
      <c r="A916" s="128"/>
      <c r="B916" s="166"/>
      <c r="C916" s="24"/>
      <c r="D916" s="25"/>
      <c r="E916" s="51"/>
      <c r="F916" s="162"/>
    </row>
    <row r="917" spans="1:9">
      <c r="A917" s="150"/>
      <c r="B917" s="174"/>
      <c r="C917" s="94"/>
      <c r="D917" s="94"/>
      <c r="E917" s="51"/>
      <c r="F917" s="162"/>
    </row>
    <row r="918" spans="1:9">
      <c r="A918" s="136" t="s">
        <v>169</v>
      </c>
      <c r="B918" s="172" t="s">
        <v>361</v>
      </c>
      <c r="C918" s="29"/>
      <c r="D918" s="30"/>
      <c r="E918" s="56"/>
      <c r="F918" s="162"/>
    </row>
    <row r="919" spans="1:9" ht="82.8">
      <c r="A919" s="128">
        <v>1</v>
      </c>
      <c r="B919" s="166" t="s">
        <v>354</v>
      </c>
      <c r="C919" s="24"/>
      <c r="D919" s="24"/>
      <c r="E919" s="52"/>
      <c r="F919" s="162"/>
      <c r="H919" s="48"/>
      <c r="I919" s="48"/>
    </row>
    <row r="920" spans="1:9">
      <c r="A920" s="128" t="s">
        <v>3</v>
      </c>
      <c r="B920" s="166" t="s">
        <v>496</v>
      </c>
      <c r="C920" s="24" t="s">
        <v>345</v>
      </c>
      <c r="D920" s="55">
        <v>70</v>
      </c>
      <c r="E920" s="52"/>
      <c r="F920" s="162">
        <f t="shared" si="14"/>
        <v>0</v>
      </c>
      <c r="H920" s="48"/>
      <c r="I920" s="48"/>
    </row>
    <row r="921" spans="1:9">
      <c r="A921" s="128" t="s">
        <v>4</v>
      </c>
      <c r="B921" s="166" t="s">
        <v>356</v>
      </c>
      <c r="C921" s="24" t="s">
        <v>345</v>
      </c>
      <c r="D921" s="55" t="s">
        <v>50</v>
      </c>
      <c r="E921" s="52"/>
      <c r="F921" s="162"/>
      <c r="H921" s="48"/>
      <c r="I921" s="48"/>
    </row>
    <row r="922" spans="1:9">
      <c r="A922" s="128" t="s">
        <v>1</v>
      </c>
      <c r="B922" s="166" t="s">
        <v>355</v>
      </c>
      <c r="C922" s="24" t="s">
        <v>345</v>
      </c>
      <c r="D922" s="55">
        <v>150</v>
      </c>
      <c r="E922" s="52"/>
      <c r="F922" s="162">
        <f t="shared" si="14"/>
        <v>0</v>
      </c>
      <c r="H922" s="48"/>
      <c r="I922" s="48"/>
    </row>
    <row r="923" spans="1:9">
      <c r="A923" s="124"/>
      <c r="B923" s="166"/>
      <c r="C923" s="24"/>
      <c r="D923" s="55"/>
      <c r="E923" s="52"/>
      <c r="F923" s="162">
        <f t="shared" si="14"/>
        <v>0</v>
      </c>
      <c r="H923" s="48"/>
      <c r="I923" s="48"/>
    </row>
    <row r="924" spans="1:9" ht="48.75" customHeight="1">
      <c r="A924" s="124">
        <v>2</v>
      </c>
      <c r="B924" s="161" t="s">
        <v>179</v>
      </c>
      <c r="C924" s="24"/>
      <c r="D924" s="24"/>
      <c r="E924" s="52"/>
      <c r="F924" s="162">
        <f t="shared" si="14"/>
        <v>0</v>
      </c>
      <c r="H924" s="48"/>
      <c r="I924" s="48"/>
    </row>
    <row r="925" spans="1:9">
      <c r="A925" s="124" t="s">
        <v>3</v>
      </c>
      <c r="B925" s="161" t="s">
        <v>182</v>
      </c>
      <c r="C925" s="24" t="s">
        <v>49</v>
      </c>
      <c r="D925" s="25" t="s">
        <v>50</v>
      </c>
      <c r="E925" s="52"/>
      <c r="F925" s="162"/>
      <c r="H925" s="48"/>
      <c r="I925" s="48"/>
    </row>
    <row r="926" spans="1:9">
      <c r="A926" s="124"/>
      <c r="B926" s="161"/>
      <c r="C926" s="24"/>
      <c r="D926" s="25"/>
      <c r="E926" s="52"/>
      <c r="F926" s="198"/>
      <c r="H926" s="48"/>
      <c r="I926" s="48"/>
    </row>
    <row r="927" spans="1:9" ht="14.4" thickBot="1">
      <c r="A927" s="140"/>
      <c r="B927" s="199" t="s">
        <v>162</v>
      </c>
      <c r="C927" s="200"/>
      <c r="D927" s="201"/>
      <c r="E927" s="202"/>
      <c r="F927" s="203">
        <f>SUM(F919:F926)</f>
        <v>0</v>
      </c>
    </row>
  </sheetData>
  <mergeCells count="1">
    <mergeCell ref="A1:F1"/>
  </mergeCells>
  <phoneticPr fontId="11" type="noConversion"/>
  <printOptions horizontalCentered="1"/>
  <pageMargins left="0.39370078740157483" right="0.39370078740157483" top="0.74803149606299213" bottom="0.55118110236220474" header="0.31496062992125984" footer="0"/>
  <pageSetup paperSize="9" scale="73" orientation="portrait" r:id="rId1"/>
  <headerFooter>
    <oddHeader>&amp;L&amp;"-,Bold Italic"&amp;8KSM 66 OFFICE , HYDERABAD&amp;R&amp;"-,Bold"&amp;8 Internal Electrical BOQ : &amp;P</oddHeader>
    <oddFooter xml:space="preserve">&amp;L&amp;"-,Bold"&amp;8INTERNAL ELECTRICAL WORKS : SCHEDULE OF QUANTITIES&amp;R&amp;"-,Bold"&amp;8
ENVIRONMENTAL DESIGN SOLUTIONS
&amp;11
</oddFooter>
  </headerFooter>
  <rowBreaks count="15" manualBreakCount="15">
    <brk id="35" max="5" man="1"/>
    <brk id="71" max="16383" man="1"/>
    <brk id="142" max="16383" man="1"/>
    <brk id="161" max="16383" man="1"/>
    <brk id="167" max="16383" man="1"/>
    <brk id="200" max="16383" man="1"/>
    <brk id="228" max="5" man="1"/>
    <brk id="234" max="16383" man="1"/>
    <brk id="278" max="16383" man="1"/>
    <brk id="292" max="16383" man="1"/>
    <brk id="352" max="16383" man="1"/>
    <brk id="382" max="5" man="1"/>
    <brk id="810" max="5" man="1"/>
    <brk id="876" max="5" man="1"/>
    <brk id="91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Gerenal Notes</vt:lpstr>
      <vt:lpstr>SUMMARY</vt:lpstr>
      <vt:lpstr>ELECT BOQ</vt:lpstr>
      <vt:lpstr>'ELECT BOQ'!Print_Area</vt:lpstr>
      <vt:lpstr>'Gerenal Notes'!Print_Area</vt:lpstr>
      <vt:lpstr>SUMMARY!Print_Area</vt:lpstr>
      <vt:lpstr>'ELECT BOQ'!Print_Titles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Ramkishan Machara</cp:lastModifiedBy>
  <cp:lastPrinted>2026-03-22T06:53:06Z</cp:lastPrinted>
  <dcterms:created xsi:type="dcterms:W3CDTF">2019-08-29T08:09:16Z</dcterms:created>
  <dcterms:modified xsi:type="dcterms:W3CDTF">2026-05-06T06:48:31Z</dcterms:modified>
</cp:coreProperties>
</file>