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dcf6f982a1c9c99f/Desktop/Test BoQs/"/>
    </mc:Choice>
  </mc:AlternateContent>
  <xr:revisionPtr revIDLastSave="6" documentId="8_{88E13028-BC4D-4309-8BE3-EC5A7AD3F77E}" xr6:coauthVersionLast="47" xr6:coauthVersionMax="47" xr10:uidLastSave="{0AD35D0E-F228-4F89-8761-B0E83DEDC1AF}"/>
  <bookViews>
    <workbookView xWindow="-110" yWindow="-110" windowWidth="22180" windowHeight="14500" activeTab="3" xr2:uid="{3B66AF59-FC09-440F-82B1-B4B2D5A49DA3}"/>
  </bookViews>
  <sheets>
    <sheet name="Master Summary" sheetId="2" r:id="rId1"/>
    <sheet name="C&amp;I BOQ" sheetId="1" r:id="rId2"/>
    <sheet name="HVAC Summary" sheetId="3" r:id="rId3"/>
    <sheet name="HVAC BOQ" sheetId="4" r:id="rId4"/>
    <sheet name="MV Summary" sheetId="7" r:id="rId5"/>
    <sheet name="Wiring System" sheetId="8" r:id="rId6"/>
    <sheet name="Cables &amp; Wires" sheetId="9" r:id="rId7"/>
    <sheet name="LT Panels and DB" sheetId="10" r:id="rId8"/>
    <sheet name="Earthing System" sheetId="12" r:id="rId9"/>
    <sheet name="Light Fixtures" sheetId="13" r:id="rId10"/>
    <sheet name="Data &amp; Voice" sheetId="14" r:id="rId11"/>
    <sheet name="Audi Speaker System Wiring" sheetId="15" r:id="rId12"/>
    <sheet name="Temporary Work" sheetId="16" r:id="rId13"/>
    <sheet name="LV Summary" sheetId="17" r:id="rId14"/>
    <sheet name="CCTV" sheetId="18" r:id="rId15"/>
    <sheet name="PA" sheetId="20" r:id="rId16"/>
    <sheet name="Access control" sheetId="21" r:id="rId17"/>
  </sheets>
  <externalReferences>
    <externalReference r:id="rId18"/>
    <externalReference r:id="rId19"/>
    <externalReference r:id="rId20"/>
  </externalReferences>
  <definedNames>
    <definedName name="_xlnm._FilterDatabase" localSheetId="1" hidden="1">'C&amp;I BOQ'!$A$6:$F$343</definedName>
    <definedName name="_xlnm.Print_Area" localSheetId="16">'Access control'!$A$1:$F$55</definedName>
    <definedName name="_xlnm.Print_Area" localSheetId="1">'C&amp;I BOQ'!$A$1:$F$346</definedName>
    <definedName name="_xlnm.Print_Area" localSheetId="14">CCTV!$A$1:$F$32</definedName>
    <definedName name="_xlnm.Print_Area" localSheetId="3">'HVAC BOQ'!$A$1:$K$147</definedName>
    <definedName name="_xlnm.Print_Area" localSheetId="15">PA!$A$1:$F$26</definedName>
    <definedName name="_xlnm.Print_Titles" localSheetId="16">'Access control'!$5:$5</definedName>
    <definedName name="_xlnm.Print_Titles" localSheetId="1">'C&amp;I BOQ'!$6:$7</definedName>
    <definedName name="_xlnm.Print_Titles" localSheetId="3">'HVAC BOQ'!$2:$2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1" l="1"/>
  <c r="B5" i="2"/>
  <c r="B4" i="2"/>
  <c r="C4" i="17"/>
  <c r="F52" i="21"/>
  <c r="F48" i="21"/>
  <c r="F43" i="21"/>
  <c r="A43" i="21"/>
  <c r="A44" i="21" s="1"/>
  <c r="A45" i="21" s="1"/>
  <c r="A46" i="21" s="1"/>
  <c r="F40" i="21"/>
  <c r="F38" i="21"/>
  <c r="F37" i="21"/>
  <c r="F36" i="21"/>
  <c r="F33" i="21"/>
  <c r="F28" i="21"/>
  <c r="F26" i="21"/>
  <c r="F24" i="21"/>
  <c r="F22" i="21"/>
  <c r="F19" i="21"/>
  <c r="A19" i="21"/>
  <c r="A22" i="21" s="1"/>
  <c r="F17" i="21"/>
  <c r="F15" i="21"/>
  <c r="F13" i="21"/>
  <c r="F11" i="21"/>
  <c r="F8" i="21"/>
  <c r="C3" i="17" l="1"/>
  <c r="F26" i="20"/>
  <c r="F24" i="20"/>
  <c r="F22" i="20"/>
  <c r="F20" i="20"/>
  <c r="F13" i="20"/>
  <c r="F11" i="20"/>
  <c r="F9" i="20"/>
  <c r="F7" i="20"/>
  <c r="C2" i="17"/>
  <c r="F32" i="18"/>
  <c r="D29" i="18"/>
  <c r="F29" i="18" s="1"/>
  <c r="D25" i="18"/>
  <c r="F25" i="18" s="1"/>
  <c r="D23" i="18"/>
  <c r="F23" i="18" s="1"/>
  <c r="D21" i="18"/>
  <c r="F21" i="18" s="1"/>
  <c r="D17" i="18"/>
  <c r="F17" i="18" s="1"/>
  <c r="D15" i="18"/>
  <c r="F15" i="18" s="1"/>
  <c r="D13" i="18"/>
  <c r="F13" i="18" s="1"/>
  <c r="D11" i="18"/>
  <c r="F11" i="18" s="1"/>
  <c r="D9" i="18"/>
  <c r="F9" i="18" s="1"/>
  <c r="D7" i="18"/>
  <c r="F7" i="18" s="1"/>
  <c r="E2" i="18"/>
  <c r="C5" i="17" l="1"/>
  <c r="C11" i="7" l="1"/>
  <c r="C10" i="7"/>
  <c r="C9" i="7"/>
  <c r="C8" i="7"/>
  <c r="C7" i="7"/>
  <c r="C6" i="7"/>
  <c r="C5" i="7"/>
  <c r="C4" i="7"/>
  <c r="C3" i="7"/>
  <c r="F10" i="16"/>
  <c r="F8" i="16"/>
  <c r="F20" i="15"/>
  <c r="F18" i="15"/>
  <c r="A18" i="15"/>
  <c r="F16" i="15"/>
  <c r="F10" i="15"/>
  <c r="F9" i="15"/>
  <c r="F36" i="14"/>
  <c r="F34" i="14"/>
  <c r="F32" i="14"/>
  <c r="F30" i="14"/>
  <c r="F28" i="14"/>
  <c r="A28" i="14"/>
  <c r="A30" i="14" s="1"/>
  <c r="A32" i="14" s="1"/>
  <c r="A34" i="14" s="1"/>
  <c r="F26" i="14"/>
  <c r="F24" i="14"/>
  <c r="F22" i="14"/>
  <c r="F20" i="14"/>
  <c r="D18" i="14"/>
  <c r="F18" i="14" s="1"/>
  <c r="F16" i="14"/>
  <c r="A16" i="14"/>
  <c r="A20" i="14" s="1"/>
  <c r="F14" i="14"/>
  <c r="F12" i="14"/>
  <c r="F10" i="14"/>
  <c r="F8" i="14"/>
  <c r="F40" i="13"/>
  <c r="F38" i="13"/>
  <c r="F36" i="13"/>
  <c r="F34" i="13"/>
  <c r="F32" i="13"/>
  <c r="F30" i="13"/>
  <c r="F28" i="13"/>
  <c r="F26" i="13"/>
  <c r="F24" i="13"/>
  <c r="F22" i="13"/>
  <c r="F20" i="13"/>
  <c r="F18" i="13"/>
  <c r="F16" i="13"/>
  <c r="F14" i="13"/>
  <c r="F12" i="13"/>
  <c r="F10" i="13"/>
  <c r="A10" i="13"/>
  <c r="A12" i="13" s="1"/>
  <c r="A14" i="13" s="1"/>
  <c r="A16" i="13" s="1"/>
  <c r="A18" i="13" s="1"/>
  <c r="A20" i="13" s="1"/>
  <c r="A22" i="13" s="1"/>
  <c r="A24" i="13" s="1"/>
  <c r="A26" i="13" s="1"/>
  <c r="A28" i="13" s="1"/>
  <c r="A30" i="13" s="1"/>
  <c r="A32" i="13" s="1"/>
  <c r="A34" i="13" s="1"/>
  <c r="A36" i="13" s="1"/>
  <c r="A38" i="13" s="1"/>
  <c r="F8" i="13"/>
  <c r="F46" i="12"/>
  <c r="F45" i="12"/>
  <c r="F43" i="12"/>
  <c r="F41" i="12"/>
  <c r="F39" i="12"/>
  <c r="F37" i="12"/>
  <c r="F35" i="12"/>
  <c r="F33" i="12"/>
  <c r="F31" i="12"/>
  <c r="F29" i="12"/>
  <c r="F27" i="12"/>
  <c r="F25" i="12"/>
  <c r="F23" i="12"/>
  <c r="F21" i="12"/>
  <c r="F19" i="12"/>
  <c r="F17" i="12"/>
  <c r="F15" i="12"/>
  <c r="F13" i="12"/>
  <c r="F11" i="12"/>
  <c r="F215" i="10"/>
  <c r="F100" i="10"/>
  <c r="E152" i="10"/>
  <c r="F152" i="10" s="1"/>
  <c r="F145" i="10"/>
  <c r="F138" i="10"/>
  <c r="F213" i="10"/>
  <c r="F211" i="10"/>
  <c r="F209" i="10"/>
  <c r="F207" i="10"/>
  <c r="F198" i="10"/>
  <c r="F189" i="10"/>
  <c r="F180" i="10"/>
  <c r="F173" i="10"/>
  <c r="F166" i="10"/>
  <c r="F159" i="10"/>
  <c r="F131" i="10"/>
  <c r="F124" i="10"/>
  <c r="F114" i="10"/>
  <c r="F105" i="10"/>
  <c r="F88" i="10"/>
  <c r="F73" i="10"/>
  <c r="F57" i="10"/>
  <c r="F43" i="10"/>
  <c r="F28" i="10"/>
  <c r="F132" i="9"/>
  <c r="F130" i="9"/>
  <c r="F128" i="9"/>
  <c r="F126" i="9"/>
  <c r="F124" i="9"/>
  <c r="A124" i="9"/>
  <c r="A126" i="9" s="1"/>
  <c r="A128" i="9" s="1"/>
  <c r="F122" i="9"/>
  <c r="F118" i="9"/>
  <c r="F116" i="9"/>
  <c r="D114" i="9"/>
  <c r="F114" i="9" s="1"/>
  <c r="F112" i="9"/>
  <c r="F110" i="9"/>
  <c r="A110" i="9"/>
  <c r="A112" i="9" s="1"/>
  <c r="A114" i="9" s="1"/>
  <c r="A116" i="9" s="1"/>
  <c r="A118" i="9" s="1"/>
  <c r="F106" i="9"/>
  <c r="F104" i="9"/>
  <c r="F102" i="9"/>
  <c r="F100" i="9"/>
  <c r="F96" i="9"/>
  <c r="F94" i="9"/>
  <c r="D92" i="9"/>
  <c r="F92" i="9" s="1"/>
  <c r="F90" i="9"/>
  <c r="D90" i="9"/>
  <c r="F88" i="9"/>
  <c r="F86" i="9"/>
  <c r="F78" i="9"/>
  <c r="F76" i="9"/>
  <c r="F70" i="9"/>
  <c r="F66" i="9"/>
  <c r="F64" i="9"/>
  <c r="A62" i="9"/>
  <c r="A64" i="9" s="1"/>
  <c r="A66" i="9" s="1"/>
  <c r="A68" i="9" s="1"/>
  <c r="A70" i="9" s="1"/>
  <c r="A74" i="9" s="1"/>
  <c r="A76" i="9" s="1"/>
  <c r="A78" i="9" s="1"/>
  <c r="A80" i="9" s="1"/>
  <c r="A82" i="9" s="1"/>
  <c r="A84" i="9" s="1"/>
  <c r="A86" i="9" s="1"/>
  <c r="A88" i="9" s="1"/>
  <c r="A90" i="9" s="1"/>
  <c r="A92" i="9" s="1"/>
  <c r="A94" i="9" s="1"/>
  <c r="A96" i="9" s="1"/>
  <c r="A98" i="9" s="1"/>
  <c r="A100" i="9" s="1"/>
  <c r="A102" i="9" s="1"/>
  <c r="A104" i="9" s="1"/>
  <c r="A106" i="9" s="1"/>
  <c r="F60" i="9"/>
  <c r="A60" i="9"/>
  <c r="F58" i="9"/>
  <c r="A58" i="9"/>
  <c r="F56" i="9"/>
  <c r="F52" i="9"/>
  <c r="F50" i="9"/>
  <c r="D48" i="9"/>
  <c r="F48" i="9" s="1"/>
  <c r="F46" i="9"/>
  <c r="D46" i="9"/>
  <c r="D42" i="9"/>
  <c r="F42" i="9" s="1"/>
  <c r="D40" i="9"/>
  <c r="F40" i="9" s="1"/>
  <c r="D38" i="9"/>
  <c r="F38" i="9" s="1"/>
  <c r="F36" i="9"/>
  <c r="D36" i="9"/>
  <c r="D34" i="9"/>
  <c r="F34" i="9" s="1"/>
  <c r="D26" i="9"/>
  <c r="F26" i="9" s="1"/>
  <c r="F24" i="9"/>
  <c r="D24" i="9"/>
  <c r="F23" i="9"/>
  <c r="D18" i="9"/>
  <c r="F18" i="9" s="1"/>
  <c r="D16" i="9"/>
  <c r="F16" i="9" s="1"/>
  <c r="A14" i="9"/>
  <c r="A16" i="9" s="1"/>
  <c r="A18" i="9" s="1"/>
  <c r="A20" i="9" s="1"/>
  <c r="A22" i="9" s="1"/>
  <c r="A24" i="9" s="1"/>
  <c r="A26" i="9" s="1"/>
  <c r="A30" i="9" s="1"/>
  <c r="A32" i="9" s="1"/>
  <c r="A34" i="9" s="1"/>
  <c r="A36" i="9" s="1"/>
  <c r="A38" i="9" s="1"/>
  <c r="A40" i="9" s="1"/>
  <c r="A42" i="9" s="1"/>
  <c r="A44" i="9" s="1"/>
  <c r="A46" i="9" s="1"/>
  <c r="A48" i="9" s="1"/>
  <c r="A50" i="9" s="1"/>
  <c r="A52" i="9" s="1"/>
  <c r="F12" i="9"/>
  <c r="D12" i="9"/>
  <c r="F14" i="8"/>
  <c r="F12" i="8"/>
  <c r="F10" i="8"/>
  <c r="F8" i="8"/>
  <c r="F62" i="8"/>
  <c r="F60" i="8"/>
  <c r="F54" i="8"/>
  <c r="F52" i="8"/>
  <c r="F50" i="8"/>
  <c r="F48" i="8"/>
  <c r="F46" i="8"/>
  <c r="F44" i="8"/>
  <c r="F42" i="8"/>
  <c r="F37" i="8"/>
  <c r="F31" i="8"/>
  <c r="F29" i="8"/>
  <c r="D29" i="8"/>
  <c r="F27" i="8"/>
  <c r="F21" i="8"/>
  <c r="F19" i="8"/>
  <c r="F64" i="8" l="1"/>
  <c r="K12" i="4"/>
  <c r="K143" i="4"/>
  <c r="K142" i="4"/>
  <c r="K141" i="4"/>
  <c r="K140" i="4"/>
  <c r="K136" i="4"/>
  <c r="K132" i="4"/>
  <c r="K131" i="4"/>
  <c r="K122" i="4"/>
  <c r="K119" i="4"/>
  <c r="K118" i="4"/>
  <c r="K117" i="4"/>
  <c r="K116" i="4"/>
  <c r="K115" i="4"/>
  <c r="K114" i="4"/>
  <c r="K113" i="4"/>
  <c r="K110" i="4"/>
  <c r="K106" i="4"/>
  <c r="K99" i="4"/>
  <c r="K92" i="4"/>
  <c r="K84" i="4"/>
  <c r="K83" i="4"/>
  <c r="K82" i="4"/>
  <c r="K78" i="4"/>
  <c r="K77" i="4"/>
  <c r="K76" i="4"/>
  <c r="K71" i="4"/>
  <c r="K70" i="4"/>
  <c r="K68" i="4"/>
  <c r="K67" i="4"/>
  <c r="K64" i="4"/>
  <c r="K63" i="4"/>
  <c r="K62" i="4"/>
  <c r="K61" i="4"/>
  <c r="K60" i="4"/>
  <c r="K59" i="4"/>
  <c r="K54" i="4"/>
  <c r="K53" i="4"/>
  <c r="K43" i="4"/>
  <c r="K39" i="4"/>
  <c r="A39" i="4"/>
  <c r="K30" i="4"/>
  <c r="K27" i="4"/>
  <c r="K24" i="4"/>
  <c r="K21" i="4"/>
  <c r="K20" i="4"/>
  <c r="A17" i="4"/>
  <c r="A26" i="4" s="1"/>
  <c r="A32" i="4" s="1"/>
  <c r="A45" i="4" s="1"/>
  <c r="A47" i="4" s="1"/>
  <c r="K14" i="4"/>
  <c r="K13" i="4"/>
  <c r="K127" i="4" l="1"/>
  <c r="D5" i="3" s="1"/>
  <c r="K146" i="4"/>
  <c r="D7" i="3" s="1"/>
  <c r="A23" i="4"/>
  <c r="F327" i="1"/>
  <c r="F342" i="1"/>
  <c r="F332" i="1"/>
  <c r="F331" i="1"/>
  <c r="F330" i="1"/>
  <c r="F329" i="1"/>
  <c r="F328" i="1"/>
  <c r="F326" i="1"/>
  <c r="F325" i="1"/>
  <c r="F322" i="1"/>
  <c r="F320" i="1"/>
  <c r="F315" i="1"/>
  <c r="F311" i="1"/>
  <c r="F310" i="1"/>
  <c r="F309" i="1"/>
  <c r="F308" i="1"/>
  <c r="F307" i="1"/>
  <c r="F301" i="1"/>
  <c r="F298" i="1"/>
  <c r="F295" i="1"/>
  <c r="F291" i="1"/>
  <c r="F287" i="1"/>
  <c r="F286" i="1"/>
  <c r="F285" i="1"/>
  <c r="F284" i="1"/>
  <c r="F280" i="1"/>
  <c r="F277" i="1"/>
  <c r="F276" i="1"/>
  <c r="F267" i="1"/>
  <c r="F265" i="1"/>
  <c r="F261" i="1"/>
  <c r="F256" i="1"/>
  <c r="F254" i="1"/>
  <c r="F252" i="1"/>
  <c r="F251" i="1"/>
  <c r="F246" i="1"/>
  <c r="F245" i="1"/>
  <c r="F240" i="1"/>
  <c r="F239" i="1"/>
  <c r="F227" i="1"/>
  <c r="F223" i="1"/>
  <c r="F218" i="1"/>
  <c r="F214" i="1"/>
  <c r="F210" i="1"/>
  <c r="F207" i="1"/>
  <c r="F204" i="1"/>
  <c r="F203" i="1"/>
  <c r="F202" i="1"/>
  <c r="F196" i="1"/>
  <c r="F189" i="1"/>
  <c r="F186" i="1"/>
  <c r="F185" i="1"/>
  <c r="F184" i="1"/>
  <c r="F183" i="1"/>
  <c r="F175" i="1"/>
  <c r="F172" i="1"/>
  <c r="F169" i="1"/>
  <c r="F166" i="1"/>
  <c r="F161" i="1"/>
  <c r="F155" i="1"/>
  <c r="F152" i="1"/>
  <c r="F148" i="1"/>
  <c r="F144" i="1"/>
  <c r="F140" i="1"/>
  <c r="F133" i="1"/>
  <c r="F131" i="1"/>
  <c r="F129" i="1"/>
  <c r="F125" i="1"/>
  <c r="F123" i="1"/>
  <c r="F122" i="1"/>
  <c r="F120" i="1"/>
  <c r="F114" i="1"/>
  <c r="F111" i="1"/>
  <c r="F108" i="1"/>
  <c r="F104" i="1"/>
  <c r="F100" i="1"/>
  <c r="F97" i="1"/>
  <c r="F92" i="1"/>
  <c r="F87" i="1"/>
  <c r="F84" i="1"/>
  <c r="F80" i="1"/>
  <c r="F73" i="1"/>
  <c r="F72" i="1"/>
  <c r="F71" i="1"/>
  <c r="F69" i="1"/>
  <c r="F68" i="1"/>
  <c r="F62" i="1"/>
  <c r="F61" i="1"/>
  <c r="F60" i="1"/>
  <c r="F59" i="1"/>
  <c r="F58" i="1"/>
  <c r="F56" i="1"/>
  <c r="F55" i="1"/>
  <c r="F49" i="1"/>
  <c r="F46" i="1"/>
  <c r="F43" i="1"/>
  <c r="F40" i="1"/>
  <c r="F37" i="1"/>
  <c r="F34" i="1"/>
  <c r="F28" i="1"/>
  <c r="F9" i="1"/>
  <c r="F346" i="1" s="1"/>
  <c r="B2" i="2" s="1"/>
  <c r="A324" i="1"/>
  <c r="D320" i="1"/>
  <c r="D298" i="1"/>
  <c r="D295" i="1"/>
  <c r="A294" i="1"/>
  <c r="A298" i="1" s="1"/>
  <c r="A301" i="1" s="1"/>
  <c r="D291" i="1"/>
  <c r="D287" i="1"/>
  <c r="D286" i="1"/>
  <c r="D285" i="1"/>
  <c r="D284" i="1"/>
  <c r="A283" i="1"/>
  <c r="D280" i="1"/>
  <c r="D277" i="1"/>
  <c r="D267" i="1"/>
  <c r="D265" i="1"/>
  <c r="A265" i="1"/>
  <c r="A267" i="1" s="1"/>
  <c r="A270" i="1" s="1"/>
  <c r="D261" i="1"/>
  <c r="A256" i="1"/>
  <c r="D252" i="1"/>
  <c r="D251" i="1"/>
  <c r="D246" i="1"/>
  <c r="D245" i="1"/>
  <c r="D240" i="1"/>
  <c r="D239" i="1"/>
  <c r="A236" i="1"/>
  <c r="D227" i="1"/>
  <c r="D223" i="1"/>
  <c r="D218" i="1"/>
  <c r="D214" i="1"/>
  <c r="D210" i="1"/>
  <c r="D207" i="1"/>
  <c r="A206" i="1"/>
  <c r="A213" i="1" s="1"/>
  <c r="A217" i="1" s="1"/>
  <c r="A221" i="1" s="1"/>
  <c r="A226" i="1" s="1"/>
  <c r="A230" i="1" s="1"/>
  <c r="D204" i="1"/>
  <c r="D203" i="1"/>
  <c r="D202" i="1"/>
  <c r="D196" i="1"/>
  <c r="D189" i="1"/>
  <c r="D186" i="1"/>
  <c r="D185" i="1"/>
  <c r="D184" i="1"/>
  <c r="D183" i="1"/>
  <c r="D175" i="1"/>
  <c r="D172" i="1"/>
  <c r="D169" i="1"/>
  <c r="A165" i="1"/>
  <c r="A169" i="1" s="1"/>
  <c r="A175" i="1" s="1"/>
  <c r="A178" i="1" s="1"/>
  <c r="A182" i="1" s="1"/>
  <c r="A189" i="1" s="1"/>
  <c r="A192" i="1" s="1"/>
  <c r="A196" i="1" s="1"/>
  <c r="D161" i="1"/>
  <c r="D155" i="1"/>
  <c r="D152" i="1"/>
  <c r="D148" i="1"/>
  <c r="A147" i="1"/>
  <c r="A151" i="1" s="1"/>
  <c r="A155" i="1" s="1"/>
  <c r="D144" i="1"/>
  <c r="D140" i="1"/>
  <c r="D133" i="1"/>
  <c r="D131" i="1"/>
  <c r="D129" i="1"/>
  <c r="D125" i="1"/>
  <c r="D123" i="1"/>
  <c r="D122" i="1"/>
  <c r="D120" i="1"/>
  <c r="D111" i="1"/>
  <c r="D108" i="1"/>
  <c r="D104" i="1"/>
  <c r="D100" i="1"/>
  <c r="D97" i="1"/>
  <c r="D92" i="1"/>
  <c r="D87" i="1"/>
  <c r="A86" i="1"/>
  <c r="A91" i="1" s="1"/>
  <c r="A97" i="1" s="1"/>
  <c r="A100" i="1" s="1"/>
  <c r="A103" i="1" s="1"/>
  <c r="A107" i="1" s="1"/>
  <c r="D84" i="1"/>
  <c r="D80" i="1"/>
  <c r="D72" i="1"/>
  <c r="D69" i="1"/>
  <c r="D68" i="1"/>
  <c r="D64" i="1"/>
  <c r="D61" i="1"/>
  <c r="D60" i="1"/>
  <c r="D59" i="1"/>
  <c r="D58" i="1"/>
  <c r="D56" i="1"/>
  <c r="D46" i="1"/>
  <c r="A28" i="1"/>
  <c r="A31" i="1" s="1"/>
  <c r="A34" i="1" s="1"/>
  <c r="A37" i="1" s="1"/>
  <c r="A40" i="1" s="1"/>
  <c r="A43" i="1" s="1"/>
  <c r="A46" i="1" s="1"/>
  <c r="A49" i="1" s="1"/>
  <c r="A12" i="1"/>
  <c r="A16" i="1" s="1"/>
  <c r="A20" i="1" s="1"/>
  <c r="D9" i="3" l="1"/>
  <c r="B3" i="2" s="1"/>
  <c r="B6" i="2" s="1"/>
  <c r="B7" i="2" l="1"/>
  <c r="B8" i="2"/>
  <c r="B9" i="2" s="1"/>
</calcChain>
</file>

<file path=xl/sharedStrings.xml><?xml version="1.0" encoding="utf-8"?>
<sst xmlns="http://schemas.openxmlformats.org/spreadsheetml/2006/main" count="1610" uniqueCount="869">
  <si>
    <t>C&amp;I BOQ FOR CINEPOLIS</t>
  </si>
  <si>
    <t xml:space="preserve">PROJECT NAME &amp; CITY - K MALL, JODHPUR   </t>
  </si>
  <si>
    <t>ID - Sand ID</t>
  </si>
  <si>
    <r>
      <t>Notes:
1.</t>
    </r>
    <r>
      <rPr>
        <sz val="10"/>
        <rFont val="Verdana"/>
        <family val="2"/>
      </rPr>
      <t xml:space="preserve"> Unless otherwise specified in the item description all Plywood for furniture, carpentry &amp; associated works shall be Powder Free, Termite &amp; Borer Resistant, BWP Grade Marine Plywood conforming to IS:710:1976 standards and list of approved makes.</t>
    </r>
    <r>
      <rPr>
        <sz val="10"/>
        <color indexed="8"/>
        <rFont val="Verdana"/>
        <family val="2"/>
      </rPr>
      <t xml:space="preserve">
2. All flooring to be protected with 3mm thk MDF of size 8' x 4' of with tape on joints not leaving any surface exposed. No extra item to be considered for protection of all flooring area. In case of any wear and tear this has to be redone. Flooring should be protected at all times.
3. Contractor to submit detailed rate analysis of all items once order confirmed. 
4. All wooden and ply surfaces whose finishes have not been prescribed are to be painted in anti corrosive paint black Japan along with anti-termite treatment.
5. For items supplied by Cinepolis - The contractor shall be provided with 10% extra quantity of the material than needed as per the quantity area. Any material required above it shall be provided to the contractor at his own cost. The contractor has to make his own queries regarding the same before finalizing the contract. 
</t>
    </r>
    <r>
      <rPr>
        <sz val="10"/>
        <color theme="1"/>
        <rFont val="Verdana"/>
        <family val="2"/>
      </rPr>
      <t xml:space="preserve">6. Quality Assessment / Quality Check System: The Contractor shall allow for providing and implementing a QA/QC system to meet international standards and to the approval of Cinepolis.  
7. Works at all heights / depths or floor levels and constrained locations should be considered in the item rates, it includes necessary framing and MS scaffolding required to execute all items as per BOQ. 
</t>
    </r>
    <r>
      <rPr>
        <sz val="10"/>
        <rFont val="Verdana"/>
        <family val="2"/>
      </rPr>
      <t>8. Any addition in quantities from BOQ needs to be certified by Cinepolis before execution and maximum six weeks after site mobilization.
9. Measurements for billing shall be made for finished dimensions as per actual execution specified for the work and not as per quantities mentioned in the BOQ.
10. Supply of well seasoned timber, free from knots, cracks and other defects must be considered in item rate.
11. Submission of shop drawings wherever required should be considered within 5-7 days for approval from Cinépolis. Once the shop drawings is approved, it will be considered that site conditions were verified by GC. 
12. Contractor should submit all the material samples (to be supplied by him) for approval from Cinepolis before procurement and maximum two weeks after site mobilization.
13. Vendor should submit all RFI's for any queries regarding the design within maximum two weeks from RFP being floated.
14. All screws visible on final finished surface must be with duco paint matching to the surface.
15. Protection for flooring (with MDF sheet), wall finishes, chairs etc. must be considered at all time. No extra item to be considered for protection. In case of any wear and tear this has to be redone without any additional cost.
16. For all the dismantling activities, contractor must consider disposal of unserviceable material and cleaning up site. 
17. Rates for all items in this BOQ must be quoted with reference to relevant tender drawings. 
18. General lighting to be considered in all areas in all times without any additional cost.
19. For any request of Specification change, GC to consider 10-15 days for approval from Cinepolis.
20.  Carting away debris at area designated by Cinepolis site team and cleaning up site to be considered.
21. All areas which are to be retained must be protected at all times without any additional cost.</t>
    </r>
  </si>
  <si>
    <t xml:space="preserve">S. No. </t>
  </si>
  <si>
    <t>ITEM DESCRIPTION</t>
  </si>
  <si>
    <t>UNIT</t>
  </si>
  <si>
    <t>QUANTITY</t>
  </si>
  <si>
    <t>RATE</t>
  </si>
  <si>
    <t>AMOUNT</t>
  </si>
  <si>
    <t>DISMANTLING WORKS</t>
  </si>
  <si>
    <r>
      <t xml:space="preserve">Dismantling of masonry including interior finishes on walls
</t>
    </r>
    <r>
      <rPr>
        <sz val="10"/>
        <rFont val="Verdana"/>
        <family val="2"/>
      </rPr>
      <t>Dismantling of existing brickwork/ block work (all thickness) inclusive of dado/ wall/ and cement plaster, wall panelling, decorative element, LED screens, Poster cases, signages, door with frames, etc. till the structural member. This also includes protection of all retained elements (adjoining surfaces, base structure and MEP services), carting away debris, cleaning up site and termination of MEP services as applicable, etc. complete. 
Refer drawing.</t>
    </r>
  </si>
  <si>
    <t>Sqm</t>
  </si>
  <si>
    <t>MEASUREMENT METHOD : Shall be measured along the surface area (one side).</t>
  </si>
  <si>
    <r>
      <t xml:space="preserve">Dismantling of existing wall tile
</t>
    </r>
    <r>
      <rPr>
        <sz val="10"/>
        <rFont val="Verdana"/>
        <family val="2"/>
      </rPr>
      <t>Dismantling of existing wall tile till the structural member or masonry wall as applicable, including the removal of base mortar etc. This also includes protection of all retained elements (adjoining surfaces, base structure and MEP services), carting away debris, cleaning up site and termination of MEP services as applicable, etc. complete. 
Refer drawing.</t>
    </r>
  </si>
  <si>
    <t>RO</t>
  </si>
  <si>
    <t>MEASUREMENT METHOD : Shall be measured along the surface area.</t>
  </si>
  <si>
    <r>
      <t xml:space="preserve">Dismantling of False Ceiling
</t>
    </r>
    <r>
      <rPr>
        <sz val="10"/>
        <rFont val="Verdana"/>
        <family val="2"/>
      </rPr>
      <t>Dismantling of existing lobby false ceiling and ceiling sections till the structural member including light fixtures, speakers, beam detectors, fire sprinklers, grills, diffuser, cassette AC, etc.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</si>
  <si>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</si>
  <si>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r>
      <t xml:space="preserve">Dismantling of existing tile flooring
</t>
    </r>
    <r>
      <rPr>
        <sz val="10"/>
        <rFont val="Verdana"/>
        <family val="2"/>
      </rPr>
      <t>Dismantling of existing tile flooring and skirting without damaging the structural slab or the PCC underlay. This also includes protection of all retained elements (adjoining surfaces, base structure and MEP services), carting away debris, cleaning up site and termination of MEP services as applicable, etc. complete. 
Refer drawing.</t>
    </r>
  </si>
  <si>
    <t>MEASUREMENT METHOD : Shall be measured along the surface area in plan</t>
  </si>
  <si>
    <t>CIVIL WORKS</t>
  </si>
  <si>
    <r>
      <t>115mm thick Brickwork</t>
    </r>
    <r>
      <rPr>
        <sz val="10"/>
        <rFont val="Verdana"/>
        <family val="2"/>
      </rPr>
      <t xml:space="preserve">
Providing and laying 115mm thick partition wall with well burnt good quality of first class designation 75 in cement mortar 1:4 (1cement: 4 coarse sand) including providing 2 Nos of 6mm dia MS round bars at every IV th course, including curing rubbing the surface, racking out joints at all levels/ height, including chicken mesh at the junction of RCC &amp; masonry, trowelling, finishing smooth. This item also includes 12 - 15 mm thick plaster 1:4:2 (1cement : 4 fine sand : 2 coarse sand) on both sides in etc. complete.
Refer drawings.</t>
    </r>
  </si>
  <si>
    <r>
      <t>230mm thick Brickwork</t>
    </r>
    <r>
      <rPr>
        <sz val="10"/>
        <rFont val="Verdana"/>
        <family val="2"/>
      </rPr>
      <t xml:space="preserve">
Providing and laying 230mm thick brick wall with well burnt good quality, class designation 75 in cement mortar 1:4 (1cement : 4 coarse sand) including, curing, rubbing the surface, racking out the joints at all levels/ height, including chicken mesh at the junction of RCC &amp; masonry, trowelling, finishing smooth. This item also includes 12 - 15 mm thick plaster 1:4:2 (1cement : 4 fine sand : 2 coarse sand) on both sides in etc. complete.
Refer drawings.</t>
    </r>
  </si>
  <si>
    <t>cum</t>
  </si>
  <si>
    <t>MEASUREMENT METHOD : Shall be measured the along the volume (combined with wall thickness).</t>
  </si>
  <si>
    <r>
      <t xml:space="preserve">200mm thick AAC Block
</t>
    </r>
    <r>
      <rPr>
        <sz val="10"/>
        <rFont val="Verdana"/>
        <family val="2"/>
      </rPr>
      <t>Providing and laying 200mm thk AAC blocks with  cement mortar 1:4 (1cement:4 coarse sand) including  RCC lintel with necessary reinforcement at every 1.0mtr level. including, curing, rubbing the surface, racking out the joints at all levels/ height, including chicken mesh at the junction of RCC &amp; masonry, trowelling, finishing smooth. The plaster shall be adequately cured. This item also includes 12 - 15 mm thick plaster 1:4:2 (1cement : 4 fine sand : 2 coarse sand) on both sides, etc. complete.
Refer drawings.</t>
    </r>
  </si>
  <si>
    <r>
      <t xml:space="preserve">Cement Plaster
</t>
    </r>
    <r>
      <rPr>
        <sz val="10"/>
        <rFont val="Verdana"/>
        <family val="2"/>
      </rPr>
      <t xml:space="preserve">Providing &amp; applying 12-15 mm thick Plaster in plum, line and level to internal walls, columns etc at all levels/ height, in cement sand mortar 1:4 using screened sand, including scaffolding, stagging, curing, trowelling, finishing smooth, etc. complete.
Refer drawings. </t>
    </r>
  </si>
  <si>
    <r>
      <t xml:space="preserve">Lintel for opening </t>
    </r>
    <r>
      <rPr>
        <sz val="10"/>
        <rFont val="Verdana"/>
        <family val="2"/>
      </rPr>
      <t xml:space="preserve">
Providing and laying in position Reinforced cement concrete work in lintels, including the cost of centring, shuttering, finishing and reinforcement with M25 grade concrete and 12mm dia steel bar. Size of lintel should be 150mm high and width should be as per wall thickness and length should be the width of opening and 150mm bearing on both sides. The item includes laying of lintel in existing blockwork as well, etc. complete.
Refer drawings.</t>
    </r>
  </si>
  <si>
    <t>MEASUREMENT METHOD : Shall be measured the volume (combined with RCC thickness).</t>
  </si>
  <si>
    <r>
      <t>Screeding (20 to 50mm thick)</t>
    </r>
    <r>
      <rPr>
        <sz val="10"/>
        <rFont val="Verdana"/>
        <family val="2"/>
      </rPr>
      <t xml:space="preserve">
Providing and laying M10 PCC floor screeding of general level to lay floor tiles/stones above with an approximate thickness of  20mm to 50mm using cement concrete 1:3:6 (1cement : 3coarse sand : 6 graded stone,down gauge), including tamped, spaded , trowelled and top finished neat. Top surface should be finished neat and smooth and laid to water levels or proper slopes as directed, curing, etc. complete.
Refer drawings.</t>
    </r>
  </si>
  <si>
    <r>
      <t>Screeding (50 to 75mm thick)</t>
    </r>
    <r>
      <rPr>
        <sz val="10"/>
        <rFont val="Verdana"/>
        <family val="2"/>
      </rPr>
      <t xml:space="preserve">
Providing and laying M10 PCC floor screeding of general level to lay floor tiles/stones above with an approximate thickness of  50mm to 75 mm using cement concrete 1:3:6 (1cement : 3coarse sand : 6 graded stone,down gauge), including tamped, spaded , trowelled and top finished neat. Top surface should be finished neat and smooth and laid to water levels or proper slopes as directed, curing etc, complete.
Refer drawings.</t>
    </r>
  </si>
  <si>
    <t xml:space="preserve">MEASUREMENT METHOD : Shall be measured along the surface area in plan </t>
  </si>
  <si>
    <r>
      <rPr>
        <b/>
        <sz val="10"/>
        <rFont val="Verdana"/>
        <family val="2"/>
      </rPr>
      <t>Waterproofing</t>
    </r>
    <r>
      <rPr>
        <sz val="10"/>
        <rFont val="Verdana"/>
        <family val="2"/>
      </rPr>
      <t xml:space="preserve">
Providing and laying in situ 25mm thick (average) seven course water proofing treatment with APP (Atactic poly-propylene) modified Polymeric membranes over roof consisting of first coat of bitumen primer @ 0.40 Kg per sqm, 2nd, 4th &amp; 6th courses of bonding material @ 1.20 Kg/sqm, which shall consist of blown type bitumen of grade 85/25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cement mortar 1:3 (1cement : 3 fine sand) mixed with 2% integral water proofing compound by weight of cement over a 12 mm layer of cement mortar 1:3 (1 cement : 3 fine sand) and finished neat, etc. complete.
Refer drawings.</t>
    </r>
  </si>
  <si>
    <r>
      <t xml:space="preserve">Cement based levelling compound 
</t>
    </r>
    <r>
      <rPr>
        <sz val="10"/>
        <rFont val="Verdana"/>
        <family val="2"/>
      </rPr>
      <t>Providing and laying of cement based levelling compound Ardex CL 11 with primer T-51 in two coats of 2mm as per ardex specification. Rate to include for all necessary tools &amp; tackles, labour etc all complete.
Refer drawings.</t>
    </r>
  </si>
  <si>
    <t>Brand: Ardex
Code: CL 11 with primer T-51</t>
  </si>
  <si>
    <t>FLOORING WORKS</t>
  </si>
  <si>
    <r>
      <rPr>
        <b/>
        <sz val="10"/>
        <rFont val="Verdana"/>
        <family val="2"/>
      </rPr>
      <t>Vitrified Tile Flooring</t>
    </r>
    <r>
      <rPr>
        <sz val="10"/>
        <rFont val="Verdana"/>
        <family val="2"/>
      </rPr>
      <t xml:space="preserve">
Providing and fixing vitrified tiles over 20 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Refer drawings. </t>
    </r>
  </si>
  <si>
    <t>3.01.01</t>
  </si>
  <si>
    <t>3.01.02</t>
  </si>
  <si>
    <t>3.01.03</t>
  </si>
  <si>
    <t xml:space="preserve">Database Code: C010778
Brand: Orient Bells
Model:  CN Armani Grey LT
Color : Dark Grey
Finish: Glossy
Size   : 600 X 1200mm
Thickness: 10mm
</t>
  </si>
  <si>
    <t>3.01.04</t>
  </si>
  <si>
    <t>3.01.05</t>
  </si>
  <si>
    <t>3.01.06</t>
  </si>
  <si>
    <t>3.01.07</t>
  </si>
  <si>
    <t>3.01.08</t>
  </si>
  <si>
    <t>New Criteria
Brand _ Kajaria 
Model _ Apollo White
Size _ 600x1200mm
Finish _ Matt
Material _ Vitrified</t>
  </si>
  <si>
    <t>3.01.09</t>
  </si>
  <si>
    <t>Rmt</t>
  </si>
  <si>
    <t>SKIRTING WORKS</t>
  </si>
  <si>
    <r>
      <t>Providing and laying skirting</t>
    </r>
    <r>
      <rPr>
        <sz val="10"/>
        <rFont val="Verdana"/>
        <family val="2"/>
      </rPr>
      <t xml:space="preserve"> over adequate thickness of cement mortar 1:4 (1 cement: 4 coarse sand) mix. Rates to include  for surface cleaning, cutting, etc. Joints to be finished with approved pigmented shade added to match the approved tile shade. Rate to include cutting, wastage, cost of all materials, adhesives and all necessary activities, etc. complete.
Refer drawings</t>
    </r>
    <r>
      <rPr>
        <b/>
        <sz val="10"/>
        <rFont val="Verdana"/>
        <family val="2"/>
      </rPr>
      <t xml:space="preserve">
</t>
    </r>
  </si>
  <si>
    <t>3.01.10</t>
  </si>
  <si>
    <t>3.01.11</t>
  </si>
  <si>
    <t>3.01.12</t>
  </si>
  <si>
    <t>Database Code: C007474
Brand: Somany
Model: Chroma Bianco
Colour: Ivory
Finish: Matt
Size   : 600x600mm
Thickness: TBC</t>
  </si>
  <si>
    <t>3.01.13</t>
  </si>
  <si>
    <t>Database Code: C008976
Brand: RAK Ceramic
Model: Statuario Classic
Finish: Marble Finish
Size   : 100 x 1200mm
Thickness: TBC</t>
  </si>
  <si>
    <t>3.01.14</t>
  </si>
  <si>
    <t>3.01.15</t>
  </si>
  <si>
    <t>New Criteria
Brand _ Kajaria 
Model _ Apollo White
Size _ 100x1200mm
Finish _ Matt
Material _ Vitrified</t>
  </si>
  <si>
    <t>MEASUREMENT METHOD : Shall be measured as per the running length along which it has been installed</t>
  </si>
  <si>
    <t>Vinyl Tile flooring</t>
  </si>
  <si>
    <t xml:space="preserve">
Providing and Laying PVC Non-Skid tile flooring laid on even base, dust &amp; oil free with appropriate adhesive 2MM thk. Heavy duty. as shown in drawings and as directed by architect .etc. Complete. The finishing should be done neat and free of bubbles and as per the standards of the manufacturers specification. The rate shall include all cutting and wastage, cost of all materials, adhesives  etc. complete. Before laying, the existing flooring should be made free from dust and undulations.</t>
  </si>
  <si>
    <t>Database Code: C000136
Brand: ARMSTRONG
Model:  EXCELON IMPERIAL PEWTER CLASSIC 51908T011
Colour: Grey PVC Floor
Size   : 300 x 300mm
Thickness: TBC</t>
  </si>
  <si>
    <t>Vinyl skirting</t>
  </si>
  <si>
    <r>
      <t>Providing and fixing of 100mm high Skirting</t>
    </r>
    <r>
      <rPr>
        <sz val="10"/>
        <rFont val="Verdana"/>
        <family val="2"/>
      </rPr>
      <t xml:space="preserve">  over existing cement plaster made in curve at the joint with floor The vinyl skirting is to be laid in continuity with the floor fixed with adhesive as per manufacturers instructions and specifications</t>
    </r>
  </si>
  <si>
    <t>Database Code: C000137
Brand: CUSTOM MADE BRAND ARMSTRONG
Model: PEWTER CLASSIC
Colour: Gray
Size   : 100 x 300mm
Thickness: TBC</t>
  </si>
  <si>
    <r>
      <rPr>
        <b/>
        <sz val="10"/>
        <rFont val="Verdana"/>
        <family val="2"/>
      </rPr>
      <t xml:space="preserve">BOH Grey Kota Stone flooring (C000134)
</t>
    </r>
    <r>
      <rPr>
        <sz val="10"/>
        <rFont val="Verdana"/>
        <family val="2"/>
      </rPr>
      <t xml:space="preserve">Providing &amp; laying of grey color kota stone to flooring, tread, riser etc in plumb, line and level in approved pattern on 20mm thick cement mortar 1:4 (1 cement: 4 coarse sand) bed. Joints to be finished with white cement and pigmented shade added to match the approved stone shade. Stone to be layed as per pattern / design and multiple start points as shown in the drawing. Rate to include for surface cleaning &amp; preparation, cutting, mirror polishing. In case of any damage to the stone due to other construction activities or removal of protection; contractor must replace the affected stone at  his own cost. Contractor to ensure that the kota stone installed is from one lot and there is no colour and shade variation. Rate to include cutting, wastage, cost of all materials and all necessary activities, etc. complete.
Refer drawings. 
Base Rate:- Rs. 65/- Per Sqft
</t>
    </r>
  </si>
  <si>
    <t xml:space="preserve">Brand   : Customized 
Model  : Grey Kota Stone
Size     : 550 x 550 X 18mm
</t>
  </si>
  <si>
    <t xml:space="preserve">MEASUREMENT METHOD : Shall be measured along the surface plan area. </t>
  </si>
  <si>
    <t xml:space="preserve">Brand   : As approved
Model  : Grey Kota stone
Thickness: 18mm
Height     : 100mm 
BD Code:- (C000135)
</t>
  </si>
  <si>
    <r>
      <t xml:space="preserve">Audi PVC flooring (C007498)
</t>
    </r>
    <r>
      <rPr>
        <sz val="10"/>
        <rFont val="Verdana"/>
        <family val="2"/>
      </rPr>
      <t>Installation of PVC non skid flooring (provided by Cinepolis) in rolls laid on an even base with the help of 2-3mm thick suitable adhesive. Before laying of tile on adhesive, ensure the substrata is clean &amp; free from impurities like dust, dirt, oil, debris, grease, curing agents, loose plaster etc. PVC roll to be layer in length along the Audi width with overlap on existing chamfered edges as shown in the drawing. In case of any damage to installed PVC flooring due to other construction activities or removal of protection; contractor must replace the affected flooring at  his own cost. The finishing should be done neat, free of bubbles and as per the standards from the manufacturer. The rate shall include all cutting, wastage, cost of all materials, adhesives etc. complete. Only PVC roll to be provided by Cinépolis, rest all items to be considered in quoted rates by contractor.</t>
    </r>
  </si>
  <si>
    <t xml:space="preserve">MEASUREMENT METHOD : Shall be measured along surface area. Will not include any overlaps or wastages.
</t>
  </si>
  <si>
    <r>
      <t xml:space="preserve">Carpet flooring (C000194)
</t>
    </r>
    <r>
      <rPr>
        <sz val="10"/>
        <rFont val="Verdana"/>
        <family val="2"/>
      </rPr>
      <t>Installation of floor carpet (provided by Cinepolis) in rolls laid on an even base with the help of 2-3mm thick suitable adhesive. Before laying of tile on adhesive, ensure the substrata is clean &amp; free from impurities like dust, dirt, oil, debris, grease, curing agents, loose plaster etc. Carpet to be layer with the pattern along the Audi width with the corners neatly and firmly fixed so as to avoid any peeling off. The edge of the carpet hitting the wall is to be trimmed and all loose threads are to be sewed so that they do not come out loose. The finishing should be done neat, free of bubbles and as per the standards from the manufacturer. In case of any damage to installed carpet due to other construction activities or removal of protection; contractor must replace the affected flooring at  his own cost. The rate shall include all cutting, wastage, cost of all materials, adhesives, etc. complete. Only carpet roll to be provided by Cinépolis, rest all items to be considered in quoted rates by contractor.</t>
    </r>
  </si>
  <si>
    <t>MEASUREMENT METHOD : Shall be measured along surface area. Will not include any overlaps or wastages.</t>
  </si>
  <si>
    <r>
      <rPr>
        <b/>
        <sz val="10"/>
        <rFont val="Verdana"/>
        <family val="2"/>
      </rPr>
      <t xml:space="preserve">Transition profile between Mall &amp; Cinepolis flooring </t>
    </r>
    <r>
      <rPr>
        <sz val="10"/>
        <rFont val="Verdana"/>
        <family val="2"/>
      </rPr>
      <t xml:space="preserve">
Providing and fixing of transition profile at the junction of Mall and Cinema Flooring change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</si>
  <si>
    <t xml:space="preserve">Brand: Customised
Brass Shape: Square Bar
Finish: Mill Finish
Size : 6.3 X 6.3mm
Database Code:- C010421 </t>
  </si>
  <si>
    <r>
      <rPr>
        <b/>
        <sz val="10"/>
        <rFont val="Verdana"/>
        <family val="2"/>
      </rPr>
      <t xml:space="preserve">Z' Transition Profile </t>
    </r>
    <r>
      <rPr>
        <sz val="10"/>
        <rFont val="Verdana"/>
        <family val="2"/>
      </rPr>
      <t xml:space="preserve">
Providing &amp; fixing Anodized Aluminium 'Z' shape profile of size 25 X 25mm, between carpet &amp; external tile in plum, line and level fixed with Bostik adhesive. Before fixing the profile, ensure the substrata is clean &amp; free from impurities like dust, dirt, oil, debris, grease, curing agents, loose plaster. The rate shall include all cutting, wastage, cost of all materials, adhesives, etc. complete. 
Refer drawings.</t>
    </r>
  </si>
  <si>
    <t>Brand: Wall line
Color : Black
Size : 25 X 25mm
Database Code:- C008185</t>
  </si>
  <si>
    <r>
      <rPr>
        <b/>
        <sz val="10"/>
        <rFont val="Verdana"/>
        <family val="2"/>
      </rPr>
      <t>Brass profile around 100mm Tile</t>
    </r>
    <r>
      <rPr>
        <sz val="10"/>
        <rFont val="Verdana"/>
        <family val="2"/>
      </rPr>
      <t xml:space="preserve">
Providing and fixing of transition profile around the 100mm tile strips with a solid brass profile of size 6.3mm x 6.3mm flushed with flooring level in plum, line and level with the help of suitable adhesive. Before fixing the profile, ensure the substrata is clean &amp; free from impurities like dust, dirt, oil, debris, grease, curing agents, loose plaster etc. The rate shall include all cutting, wastage, cost of all materials, adhesives, etc. complete. 
Refer drawings.
</t>
    </r>
    <r>
      <rPr>
        <b/>
        <sz val="10"/>
        <rFont val="Verdana"/>
        <family val="2"/>
      </rPr>
      <t xml:space="preserve">'Brand: Customised
Brass Shape: Square Bar
Finish: Mill Finish
Size : 6.3 X 6.3mm
Database Code:- C010421 </t>
    </r>
  </si>
  <si>
    <t>Expansion joint</t>
  </si>
  <si>
    <t>3.09.01</t>
  </si>
  <si>
    <r>
      <rPr>
        <sz val="10"/>
        <rFont val="Verdana"/>
        <family val="2"/>
      </rPr>
      <t>Supply and installation of factory-extruded dual-durometer Santoprene expansion joint seal system, suitable for floor-to-floor, and corner applications. The seal shall be designed to accommodate horizontal and vertical movement of ±13mm and shall be factory-extruded in widths (variable as per site requirement). The profile shall include soft and rigid Santoprene durometers for optimal flexibility and secure retention within the system. Seals to be supplied in specified colours including upon requested by cinepolis . Retainers shall be in mill-finish aluminium and installed recessed into the substrate. Installation shall be in accordance with manufacturer’s recommendations, ensuring secure fitment and watertight performance. Fire-rated option to comply with UL 2079 or ASTM E-119 standards.</t>
    </r>
    <r>
      <rPr>
        <b/>
        <sz val="10"/>
        <rFont val="Verdana"/>
        <family val="2"/>
      </rPr>
      <t xml:space="preserve">
Floor Expansion joint, as per detail FL-01.
MODEL:101 SERIES RECESSED MOUNT
Database Code:- C009210
Finish- Mill finish aluminium</t>
    </r>
  </si>
  <si>
    <t>3.09.01a</t>
  </si>
  <si>
    <t>As item 3.09 Floor-to-Floor expansion joint</t>
  </si>
  <si>
    <t>DADO WORKS</t>
  </si>
  <si>
    <r>
      <rPr>
        <b/>
        <sz val="10"/>
        <rFont val="Verdana"/>
        <family val="2"/>
      </rPr>
      <t>Dado over masonry wall</t>
    </r>
    <r>
      <rPr>
        <sz val="10"/>
        <rFont val="Verdana"/>
        <family val="2"/>
      </rPr>
      <t xml:space="preserve">
Providing and fixing vitrified tile work in dado over 12mm thick bed of cement mortar 1:3 (1 cement : 3 coarse sand) and jointed with grey cement slurry @3.3 kg/sqm including pointing in white cement mixed with pigment of matching shade complete. Tile to be layed as per pattern/ design as shown in the drawing. In case of any damage to the tile due to other construction activities or removal of protection, contractor must replace the affected tiles at his own cost. The rate shall include all cutting, wastage, cost of all materials, etc. complete. 
Refer drawings.</t>
    </r>
  </si>
  <si>
    <t>4.01.01</t>
  </si>
  <si>
    <t>4.01.02</t>
  </si>
  <si>
    <t xml:space="preserve">Database Code: C010779
Brand: Nitco
Model: CP white- (Carara Gold)
Colour:
Finish: Glossy
Size   : 300 x 600mm
Thickness: 10mm </t>
  </si>
  <si>
    <t>4.01.03</t>
  </si>
  <si>
    <t>4.01.04</t>
  </si>
  <si>
    <t xml:space="preserve">MEASUREMENT METHOD : Shall be measured along the surface area. </t>
  </si>
  <si>
    <t>4.01.05</t>
  </si>
  <si>
    <t>Corner Guard.</t>
  </si>
  <si>
    <t>4.03.01</t>
  </si>
  <si>
    <r>
      <rPr>
        <b/>
        <sz val="10"/>
        <rFont val="Verdana"/>
        <family val="2"/>
      </rPr>
      <t xml:space="preserve">Providing &amp; Fixing SS Gold Mirror Tile connector  profile </t>
    </r>
    <r>
      <rPr>
        <sz val="10"/>
        <rFont val="Verdana"/>
        <family val="2"/>
      </rPr>
      <t xml:space="preserve">of size 10mm x 10mm in plum line and level corner guards in all Toilet wall as mentioned in drawing and as directed by Engineer in charge, including all cutting, wastage, hardware, adhesives etc. complete.
</t>
    </r>
    <r>
      <rPr>
        <b/>
        <sz val="10"/>
        <rFont val="Verdana"/>
        <family val="2"/>
      </rPr>
      <t xml:space="preserve">Brand : Walline
Model:- 10 MM X 10 MM TIT TC1010 WALLINE
DB Code:- C005684
</t>
    </r>
  </si>
  <si>
    <t>4.03.02</t>
  </si>
  <si>
    <r>
      <rPr>
        <b/>
        <sz val="10"/>
        <rFont val="Verdana"/>
        <family val="2"/>
      </rPr>
      <t>Providing &amp; Fixing Transition aluminium flat profile size 20mm in plum line and level</t>
    </r>
    <r>
      <rPr>
        <sz val="10"/>
        <rFont val="Verdana"/>
        <family val="2"/>
      </rPr>
      <t xml:space="preserve">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PR01</t>
    </r>
  </si>
  <si>
    <t>4.03.03</t>
  </si>
  <si>
    <r>
      <rPr>
        <b/>
        <sz val="10"/>
        <rFont val="Verdana"/>
        <family val="2"/>
      </rPr>
      <t>Providing &amp; Fixing Anodized aluminium corner profile</t>
    </r>
    <r>
      <rPr>
        <sz val="10"/>
        <rFont val="Verdana"/>
        <family val="2"/>
      </rPr>
      <t xml:space="preserve"> size 12mm x 12mm x 2100mm in plum line and level corner guards in all change in finishes of wall from skirting level to 2.1 m. level (or at lintel lvl from skirting lvl)  as mentioned in drawing and as directed by Engineer in charge, including all cutting, wastage, hardware, adhesives etc. complete.
</t>
    </r>
    <r>
      <rPr>
        <b/>
        <sz val="10"/>
        <rFont val="Verdana"/>
        <family val="2"/>
      </rPr>
      <t>Brand : Walline
Colour : Black
DB Code:-  C000127</t>
    </r>
  </si>
  <si>
    <t>4.03.04</t>
  </si>
  <si>
    <r>
      <t>Corner Guard (BOH Area )</t>
    </r>
    <r>
      <rPr>
        <sz val="10"/>
        <rFont val="Verdana"/>
        <family val="2"/>
      </rPr>
      <t xml:space="preserve">
Providing &amp; Fixing aluminium corner guard size 12mm x 12mm x 2100mm in plum line and level corner guards in all back areas from skirting level to 2100mm level (or at lintel lvl from skirting lvl) of aluminium before paint coat, paint is done above the guard after fixing the guard (need to be flushed with putty level).</t>
    </r>
    <r>
      <rPr>
        <b/>
        <sz val="10"/>
        <rFont val="Verdana"/>
        <family val="2"/>
      </rPr>
      <t xml:space="preserve">
</t>
    </r>
    <r>
      <rPr>
        <sz val="10"/>
        <rFont val="Verdana"/>
        <family val="2"/>
      </rPr>
      <t>Refer drawings.</t>
    </r>
  </si>
  <si>
    <t>CEILING WORKS</t>
  </si>
  <si>
    <r>
      <rPr>
        <b/>
        <sz val="10"/>
        <rFont val="Verdana"/>
        <family val="2"/>
      </rPr>
      <t>Gypsum Ceiling supported on RCC slab (C000081)</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</si>
  <si>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12.7mm </t>
  </si>
  <si>
    <t>MEASUREMENT METHOD : Shall be measured along the surface area in plan area. the coves, drops and other vertical facia will be included in the plan measurement.</t>
  </si>
  <si>
    <t>5.01a</t>
  </si>
  <si>
    <r>
      <rPr>
        <b/>
        <sz val="10"/>
        <rFont val="Verdana"/>
        <family val="2"/>
      </rPr>
      <t>Gypsum Ceiling supported on RCC slab (C000081) FIRELINE SHEETROCK 15.9MM</t>
    </r>
    <r>
      <rPr>
        <sz val="10"/>
        <rFont val="Verdana"/>
        <family val="2"/>
      </rPr>
      <t xml:space="preserve">
Providing &amp; fixing Suspended Ceiling Sheet Block with hidden suspension &amp; G.I. Frame work, clamps, accessories, Screws etc. It includes all clamps, necessary hardware and members for fixing the framing to RCC structures (complete hardware) including necessary vertical and curve fascia at drops, offsets, grooves, chamfering, moulding, coffer for lights, making coves, cutouts and providing extra supports for joints of boards, light fittings, grills, diffusers, speakers, smoke detectors, sprinklers, applying appropriate sections for creating trap doors etc. Gypsum board must be installed in staggered pattern and all joints should be filled and finished with jointing compound, jointing tapes and ready to receive plastic paint finish, etc. complete.
Refer drawings.  </t>
    </r>
  </si>
  <si>
    <t xml:space="preserve">Gypsum board:  Gyproc/ Armstrong/ Boral/sheetrock
Hardware         :  Gyproc/ Armstrong
Board thickness : 15.9mm </t>
  </si>
  <si>
    <r>
      <rPr>
        <b/>
        <sz val="10"/>
        <rFont val="Verdana"/>
        <family val="2"/>
      </rPr>
      <t xml:space="preserve">Laminate Ceiling on RCC Structure (C007486)
</t>
    </r>
    <r>
      <rPr>
        <sz val="10"/>
        <rFont val="Verdana"/>
        <family val="2"/>
      </rPr>
      <t>Providing and fixing false ceiling with right angled OR curved corner as per drawing, including frame work in GI and hangers at appropriate distance as per manufacturers recommendation. It includes all clamps and necessary material for hanging the ceiling from RCC structures (complete hardware) including necessary vertical fascia at drops, offsets, grooves, chamfering, moulding, coffer for lights, making coves, cutouts and providing extra supports for joints of boards, light fittings, grills, diffusers, speakers, smoke detectors, sprinklers, applying appropriate sections for creating trap doors etc. The frame work should be finished with 12mm thick ply (BWR grade) and factory pasted 1mm thick laminate over 4mm thick MDF. The factory pasted laminate and MDF should be fixed to ply with help of suitable adhesive. Laminate joints to have 2mm wide grooves at equidistance as per drawing and the grooves to be filled in matching paint, etc. complete.
Refer drawing.</t>
    </r>
  </si>
  <si>
    <t>Brand: Merino 
Model: Magas Walnut Bronze
Design No. : 10866</t>
  </si>
  <si>
    <t>MEASUREMENT METHOD : Shall be measured along the surface plan area. the coves, drops and other vertical facia upto 300mm will be included in the plan measurement.</t>
  </si>
  <si>
    <r>
      <t xml:space="preserve">Grid ceiling (Acoustic Board) (C000199)
</t>
    </r>
    <r>
      <rPr>
        <sz val="10"/>
        <rFont val="Verdana"/>
        <family val="2"/>
      </rPr>
      <t>Fixing of Grid ceiling edge tiles on necessary GI frame supported to existing soffit. Vendor to also include the vertical hanging system i.e. GI wire system and connectors etc. complete as per drawing &amp; specification.
Refer drawing.</t>
    </r>
  </si>
  <si>
    <t>Brand   : Armstrong / Ecophone
Material : Black Acoustical Tile (OPTRA BLACK)
Size : 600 x 1200 x 24 mm</t>
  </si>
  <si>
    <t>MEASUREMENT METHOD : Shall be measured along the surface plan area. drops and other vertical facia will be included in the plan measurement.</t>
  </si>
  <si>
    <r>
      <rPr>
        <b/>
        <sz val="10"/>
        <rFont val="Verdana"/>
        <family val="2"/>
      </rPr>
      <t>15mm Double Board Acoustic Gypsum Ceiling</t>
    </r>
    <r>
      <rPr>
        <sz val="10"/>
        <rFont val="Verdana"/>
        <family val="2"/>
      </rPr>
      <t xml:space="preserve"> supported on RCC slab Providing and fixing Gyproc® SoundBloc Board or equivalent in 2 layers consists of installing an aerated, higher-density gypsum core board —complying with IS 2095 Part 1:2023 and EN 520:2004 —onto a rigid hidden suspension &amp; G.I. Frame work with</t>
    </r>
    <r>
      <rPr>
        <b/>
        <sz val="10"/>
        <rFont val="Verdana"/>
        <family val="2"/>
      </rPr>
      <t xml:space="preserve"> MS support at every 1.2 mtr to support ceiling</t>
    </r>
    <r>
      <rPr>
        <sz val="10"/>
        <rFont val="Verdana"/>
        <family val="2"/>
      </rPr>
      <t xml:space="preserve">, clamps, accessories, Screws etc. It includes all clamps, necessary hardware and members for fixing the framing to RCC structures (complete hardware) including necessary vertical and curve fascia at drops, offsets, grooves, chamfering, moulding, light fittings, grills, diffusers, speakers, smoke detectors, sprinklers, applying appropriate sections for creating trap doors etc..Gypsum board must be installed in staggered pattern and all joints should be filled and finished with jointing compound, jointing tapes and ready to receive plastic paint finish, etc. complete. The supporting GI and MS structure must be engineered to sustain the board’s high flexural strength—exceeding 550 N for 12.5 mm or 650 N for 15 mm thicknesses —while ensuring the system is not exposed to temperatures exceeding 49°C or high-humidity environments that could lead to mold growth. All components, including the MS primary supports and GI secondary framing, must be installed in accordance with Saint-Gobain's design criteria or manufacturing standards to maintain the assembly's Class 1 surface spread of flame rating and acoustic performance. Gypsum board: Gyproc/ Armstrong/ Boral/sheetrock Hardware : Gyproc/ Armstrong Board thickness : 15mm ( Double Board)
</t>
    </r>
  </si>
  <si>
    <t>Brand   : Gyproc® SoundBloc Board
Material : Gyproc® SoundBloc Board
Size : TBC</t>
  </si>
  <si>
    <t>CARPENTRY WORK</t>
  </si>
  <si>
    <r>
      <t>Glass Wool Insulation (wall behind screen) (BG1)</t>
    </r>
    <r>
      <rPr>
        <sz val="10"/>
        <rFont val="Verdana"/>
        <family val="2"/>
      </rPr>
      <t xml:space="preserve">
Providing and fixing acoustical treatment from UP twiga make with 50mm thick resin bonded fiberglass wool and RP tissue (black glass tissue), density 20kg/cum, 1200x600mm board, 0.037w/ mk thermal conductivity, 0.9 NRC, 1.35 R-value (thermal resistance) on the existing masonry wall with plastic screw and washer with cap finish @ 600mm c/c  in proper plumb, level, line etc. complete.
Refer drawings.</t>
    </r>
  </si>
  <si>
    <t xml:space="preserve">MAKE: UP Twiga
Material : Resin bonded fiberglass wool
Product code : TI-1250
Thickness : 50mm
</t>
  </si>
  <si>
    <t xml:space="preserve">MEASUREMENT METHOD : Shall be measured along the surface area, only flat surface area to be measured                                                        </t>
  </si>
  <si>
    <r>
      <t>Glass Wool Insulation above false ceiling (upto roof bottom) Rear and side walls .</t>
    </r>
    <r>
      <rPr>
        <sz val="10"/>
        <rFont val="Verdana"/>
        <family val="2"/>
      </rPr>
      <t xml:space="preserve">
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Refer drawings.</t>
    </r>
  </si>
  <si>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t>
    </r>
    <r>
      <rPr>
        <b/>
        <sz val="10"/>
        <rFont val="Verdana"/>
        <family val="2"/>
      </rPr>
      <t xml:space="preserve">
d) Brown Fabric (C000077) - </t>
    </r>
    <r>
      <rPr>
        <sz val="10"/>
        <rFont val="Verdana"/>
        <family val="2"/>
      </rPr>
      <t>Fixing of Brown decorative fabric as approved by Cinepolis on acoustically treated wall. The fabric to be fixed with gripper at 1300mm for rear walls and 600mm for side walls spacing. Only fabric supplied will be paid as per installed surface area in separate item.</t>
    </r>
  </si>
  <si>
    <t xml:space="preserve">MEASUREMENT METHOD : Shall be measured along the surface area, only flat surface area to be measured                                               </t>
  </si>
  <si>
    <r>
      <t xml:space="preserve">Audi fabric panelling (Rear and side walls)
</t>
    </r>
    <r>
      <rPr>
        <sz val="10"/>
        <rFont val="Verdana"/>
        <family val="2"/>
      </rPr>
      <t>Audi fabric panelling as per drawings and specification as below :</t>
    </r>
    <r>
      <rPr>
        <b/>
        <sz val="10"/>
        <rFont val="Verdana"/>
        <family val="2"/>
      </rPr>
      <t xml:space="preserve">
a) Bottom runner - </t>
    </r>
    <r>
      <rPr>
        <sz val="10"/>
        <rFont val="Verdana"/>
        <family val="2"/>
      </rPr>
      <t xml:space="preserve">Providing &amp; fixing 18mm thick fire retardant ply boxing of size 100mm x 100mm (open box) with provision of stapling of fabric on fire retardant ply at approximately 1500mm from floor with the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b) Top Runner - </t>
    </r>
    <r>
      <rPr>
        <sz val="10"/>
        <rFont val="Verdana"/>
        <family val="2"/>
      </rPr>
      <t xml:space="preserve">Providing &amp; fixing 18mm thick fire retardant ply boxing of size 100mm x 100mm (open box) with provision of stapling of fabric on fire retardant ply at false ceiling level with facia of 18mm thick MDF to be chamfered or moulded and the box to be painted in three coats of enamel paint (Apcolite Premium Satin enamel Paint color_Dried Spices
8749, Matt Finish, Brand- Asian Paint) with base primer .The boxing is to be fixed on wall with the help of triangular wedge shaped cuts of 40mm thick fire retardant ply and placed at a distance of 600mm c/c or as suggested  by Cinépolis site incharge to provide adequate support and fine fabric fixing quality. </t>
    </r>
    <r>
      <rPr>
        <b/>
        <sz val="10"/>
        <rFont val="Verdana"/>
        <family val="2"/>
      </rPr>
      <t xml:space="preserve">
c) Fiberglass wool - </t>
    </r>
    <r>
      <rPr>
        <sz val="10"/>
        <rFont val="Verdana"/>
        <family val="2"/>
      </rPr>
      <t xml:space="preserve">Providing and fixing acoustical treatment from UP twiga make with 50mm thick resin bonded fiberglass wool of density 20kg/cum, 1200x600mm board, 0.037w/ mk thermal conductivity, 0.9 NRC, 1.35 R-value (thermal resistance) on the existing masonry wall with plastic screw with cap finish @ 600mm c/c  in proper plumb, level, line etc. complete..
</t>
    </r>
    <r>
      <rPr>
        <b/>
        <sz val="10"/>
        <rFont val="Verdana"/>
        <family val="2"/>
      </rPr>
      <t xml:space="preserve">e) Black matt fabric (C000196) - </t>
    </r>
    <r>
      <rPr>
        <sz val="10"/>
        <rFont val="Verdana"/>
        <family val="2"/>
      </rPr>
      <t>Fixing of Black matt fabric (provided by Cinepolis) on acoustically treated wall. The fabric to be fixed with gripper at 1300mm for rear walls and 600mm for side walls spacing. The job shall includes  led light at every 4'. Only fabric will be supplied by Cinepolis.
Rate to include all necessary hardware of approved quality, tools &amp; tackles accessories, labour etc all complete. Only fabric will be supplied by Cinepolis, rest to be provided and fixed by the contractor. 
Refer drawings.</t>
    </r>
  </si>
  <si>
    <r>
      <t xml:space="preserve">Wall Carpet (BC01)
</t>
    </r>
    <r>
      <rPr>
        <sz val="10"/>
        <rFont val="Verdana"/>
        <family val="2"/>
      </rPr>
      <t>Laying only of Roll stamped Carpet (provided by Cinepolis) up to a height of approximately 1500mm (up to bottom runner) and on Tunnel side walls. With the corners neatly and firmly fixed so as to avoid any peeling off. Rate to include for the labour, necessary accessories, approved quality of hardware/adhesive as per manufacturers exclusive of the carpet . The edge of the carpet hitting the floor is to be trimmed and all loose threads are to be sewed so that they do not come loose, etc. complete as per drawings. Only carpet roll to be provided by Cinépolis, rest all items to be considered in rates.
Refer drawings.</t>
    </r>
  </si>
  <si>
    <t>MEASUREMENT METHOD : Shall be measured along the surface area, only flat surface area to be measured.</t>
  </si>
  <si>
    <r>
      <t xml:space="preserve">Acrylic Coping above parapet
</t>
    </r>
    <r>
      <rPr>
        <sz val="10"/>
        <rFont val="Verdana"/>
        <family val="2"/>
      </rPr>
      <t>Providing and Fixing 12mm thick acrylic solid surface pasted over 12mm thick fire retardant ply screwed to existing masonry wall in proper plumb, line and level with suitable adhesive overlapping on carpet laid on the parapet wall. Width of coping should be approximately 300mm wide and total 30mm high beading on both sides. Rate to include all the necessary accessories, tools &amp; tackles, labour etc. complete.
Refer drawings.</t>
    </r>
  </si>
  <si>
    <t>Brand   : Staron Lotte
Model  : Iris
Thickness : 12mm</t>
  </si>
  <si>
    <r>
      <t>Ply Box Panelling</t>
    </r>
    <r>
      <rPr>
        <sz val="10"/>
        <rFont val="Verdana"/>
        <family val="2"/>
      </rPr>
      <t xml:space="preserve">
Providing and fixing of 18mm thick fire retardant ply base with required framework in made of 1.6mm thick of 50X25mm Aluminium over existing masonry for fixing speakers, maintenance lights, decorative lights, beam detector, transmitter, emergency lights, etc. complete as required.
Refer drawings.</t>
    </r>
  </si>
  <si>
    <t>6.06.01</t>
  </si>
  <si>
    <t>size : 300 x 300 mm for maintenance light emergency light, Fire Beam Detectors transmitter.</t>
  </si>
  <si>
    <t>NO's</t>
  </si>
  <si>
    <t>6.06.02</t>
  </si>
  <si>
    <t>size : 200 x 200 mm for evacuation arrow signage.</t>
  </si>
  <si>
    <t>6.06.03</t>
  </si>
  <si>
    <t>size : 600 x 600 mm  for speakers</t>
  </si>
  <si>
    <t>6.06.04</t>
  </si>
  <si>
    <t>size : 1100 x 400 mm for Decorative light</t>
  </si>
  <si>
    <t>MEASUREMENT METHOD :  Shall be measured as per installed numbers.</t>
  </si>
  <si>
    <r>
      <t xml:space="preserve">Aluminium anodized corner guard
</t>
    </r>
    <r>
      <rPr>
        <sz val="10"/>
        <rFont val="Verdana"/>
        <family val="2"/>
      </rPr>
      <t>Providing and fixing black aluminium anodized corner guard of size 12x 12 x 1mm to the horizontal junction of gypsum ceiling with parapet wall in access tunnel. The fixing is to be done with clear glue adhesive. Rate to include all the necessary accessories, tools &amp; tackles, labour etc. complete.
Refer drawings.</t>
    </r>
    <r>
      <rPr>
        <b/>
        <sz val="10"/>
        <rFont val="Verdana"/>
        <family val="2"/>
      </rPr>
      <t xml:space="preserve">
Brand: Wall line</t>
    </r>
  </si>
  <si>
    <r>
      <t>Acoustical Sealant</t>
    </r>
    <r>
      <rPr>
        <sz val="10"/>
        <rFont val="Verdana"/>
        <family val="2"/>
      </rPr>
      <t xml:space="preserve">
Providing and fixing of Acoustical sealant on the junction of Audi walls and structural roof as per drawings. The opening/joint surface should be cleaned of loose debris, dirt, oil, grease, moisture and frost free. The finishing should be done neat and as per the standards of the manufacturers specification. Rate to include all the necessary accessories, tools &amp; tackles, labour etc. complete.
Refer drawings.</t>
    </r>
  </si>
  <si>
    <t>Brand: Hilti
Model: FLEXIBLE FIRESTOP SEALANT CP 606</t>
  </si>
  <si>
    <r>
      <t>Transition Profile</t>
    </r>
    <r>
      <rPr>
        <sz val="10"/>
        <rFont val="Verdana"/>
        <family val="2"/>
      </rPr>
      <t xml:space="preserve">
Fixing PVC Transition Profile (provided by Cinepolis) between carpet &amp; PVC Flooring in plum, line and level, etc complete. Rate to include all the necessary accessories, tools &amp; tackles, labour etc. complete as per drawings. Only  transition profile to be provided by Cinépolis, rest all items to be considered in rates.
Refer drawings.</t>
    </r>
  </si>
  <si>
    <r>
      <t>Laminate Panelling with Partition &amp; SS skirting (C007475)</t>
    </r>
    <r>
      <rPr>
        <sz val="10"/>
        <rFont val="Verdana"/>
        <family val="2"/>
      </rPr>
      <t xml:space="preserve">
Providing and fixing laminate panelling with varies thickness as mentioned below with</t>
    </r>
    <r>
      <rPr>
        <b/>
        <sz val="10"/>
        <rFont val="Verdana"/>
        <family val="2"/>
      </rPr>
      <t xml:space="preserve"> right angled OR curved corner as per drawing</t>
    </r>
    <r>
      <rPr>
        <sz val="10"/>
        <rFont val="Verdana"/>
        <family val="2"/>
      </rPr>
      <t xml:space="preserve"> grid framing (600 x 600mm) in made of 1.6mm thick of 50mm x 25mm Aluminium frame vertical members and 50mmx 25mm Aluminium horizontal frame members as per detail including basework in 12mm thick commercial ply screwed over framework including hardware and accessories. Panelling shall be finished with 1mm thick Merino Laminate pasted over 4mm thick MDF factory pasted in proper plumb, level and line with suitable adhesives as per manufacturers recommendations, plywood edge thickness of cove to be finished with 1mm thick laminate. To include provision for mounting of poster case, signage, niche for TV (Niche shall be painted in Black), additional support for TV mount, Cove Light, etc. The skirting should be flushed with level of laminate panelling. Grains and joints of laminate should be aligned (as per drawing) etc, complete.
Refer drawings.        </t>
    </r>
    <r>
      <rPr>
        <b/>
        <sz val="10"/>
        <rFont val="Verdana"/>
        <family val="2"/>
      </rPr>
      <t xml:space="preserve">
Note:- Required MS supports will be paid in separate other item respectively. ( If required )</t>
    </r>
  </si>
  <si>
    <t>6.10.1</t>
  </si>
  <si>
    <r>
      <t xml:space="preserve">As per Item 6.11, but for upto </t>
    </r>
    <r>
      <rPr>
        <b/>
        <sz val="10"/>
        <rFont val="Verdana"/>
        <family val="2"/>
      </rPr>
      <t>50mm thick Laminate Panelling</t>
    </r>
    <r>
      <rPr>
        <sz val="10"/>
        <rFont val="Verdana"/>
        <family val="2"/>
      </rPr>
      <t xml:space="preserve"> on Blockwork/RCC surface.</t>
    </r>
  </si>
  <si>
    <t>6.10.2</t>
  </si>
  <si>
    <r>
      <t xml:space="preserve">As per above Item 6.11, but for </t>
    </r>
    <r>
      <rPr>
        <b/>
        <sz val="10"/>
        <rFont val="Verdana"/>
        <family val="2"/>
      </rPr>
      <t>50-150mm thick Laminate Panelling</t>
    </r>
    <r>
      <rPr>
        <sz val="10"/>
        <rFont val="Verdana"/>
        <family val="2"/>
      </rPr>
      <t xml:space="preserve"> with necessary support from Floor, Ceiling &amp; Wall.</t>
    </r>
  </si>
  <si>
    <t>6.10.3</t>
  </si>
  <si>
    <r>
      <t xml:space="preserve">As per above Item 6.11, but for </t>
    </r>
    <r>
      <rPr>
        <b/>
        <sz val="10"/>
        <rFont val="Verdana"/>
        <family val="2"/>
      </rPr>
      <t>Box Partition more then 150mm thick Laminate Panelling</t>
    </r>
    <r>
      <rPr>
        <sz val="10"/>
        <rFont val="Verdana"/>
        <family val="2"/>
      </rPr>
      <t xml:space="preserve"> with necessary support from Floor &amp; Ceiling as required on site/as mentioned on drawing.</t>
    </r>
  </si>
  <si>
    <r>
      <t xml:space="preserve">Lacquered Glass Panelling with aluminium skirting (C000119)
</t>
    </r>
    <r>
      <rPr>
        <sz val="10"/>
        <rFont val="Verdana"/>
        <family val="2"/>
      </rPr>
      <t>Providing and fixing tempered glass facade 100mm thick with grid framing (600 x 600mm) in made of 1.6mm thick of 50mm x 25mm Aluminium frame vertical members and 50mmx 25mm Aluminium horizontal frame members as per detail including basework in 12mm thick MDF nailed over existing framework including hardware and accessories. This is finished with 6mm thick tempered glass lacquer plainstrong black with silicon glue over the MDF base in a way that no pasting material is visible through the glass. The glass to have appropriate holes for the mounting of signage, LED screens. The glass joints are to be filled with enamel paint of matching shade. The sides of niches to be finished in Asian Paints Black Raven Song 8253.  The skirting should be flushed with level of lacquered glass panelling etc, complete. 
Refer drawings.</t>
    </r>
  </si>
  <si>
    <t>Brand :       AIS Glass/ ASAHI
Model :       Tempered &amp; Lacquered
Colour :      Plainstrong Black
Thickness : 6mm</t>
  </si>
  <si>
    <t>6.11.a</t>
  </si>
  <si>
    <r>
      <t>MIRROR PANEL (M01)
Providing and fixing in position 6mm thick Mirror</t>
    </r>
    <r>
      <rPr>
        <sz val="10"/>
        <rFont val="Verdana"/>
        <family val="2"/>
      </rPr>
      <t xml:space="preserve"> as per detail in drawing to 12mm thick ply shall be fixed to frame with rawl plug and screw. The job shall include fixing provision for LED light strip, mirror edge polishing, rounding, hardwood framing, powder coated black aluminium section around the mirror, fittings etc. complete as shown in drawing.</t>
    </r>
  </si>
  <si>
    <t xml:space="preserve">Brand for mirror : Saint Gobain
Thickness : 6mm </t>
  </si>
  <si>
    <r>
      <rPr>
        <b/>
        <sz val="10"/>
        <rFont val="Verdana"/>
        <family val="2"/>
      </rPr>
      <t>Inclined Laminate Ceiling with MS framework (for concession menu board &amp; Cinépolis signage )</t>
    </r>
    <r>
      <rPr>
        <sz val="10"/>
        <rFont val="Verdana"/>
        <family val="2"/>
      </rPr>
      <t xml:space="preserve">
Providing and fixing false ceiling supported by MS frame work of size 50mm x 50mm x 5mm with grid of 600mmx1200mm, including all clamps and necessary members and hardware for fixing the frames to Structural slab (complete hardware). All MS members should consider welding, buffing, painting with 2 coats of anti-corrosive paint etc. The frame work should be finished with 12mm thick ply (BWR grade) and factory pasted 1mm thick laminate over 4mm thick MDF. The factory pasted laminate and MDF should be fixed to ply with help of suitable adhesive. The item includes mounting of LED screens, signages etc. Laminate joints to have 2mm wide grooves at equidistance as per drawing and the grooves to be filled in matching paint, etc. complete.
Refer drawing.
</t>
    </r>
  </si>
  <si>
    <t>Brand         :  Merino Laminate
Model          : Magas Walnut Bronze 
Design No  : 10866</t>
  </si>
  <si>
    <r>
      <t xml:space="preserve">Full Height Mirror to Dressing area
</t>
    </r>
    <r>
      <rPr>
        <sz val="10"/>
        <rFont val="Verdana"/>
        <family val="2"/>
      </rPr>
      <t xml:space="preserve">Providing and fixing 6mm thick extra clear 1st quality lead backed mirrors in plum, line and level supported 19mm thick BWP ply on Aluminium frame with silicon sealers. Frame to be fixed on the wall with 30mm galvanized screw. This includes 'U' shape profile around the mirrors fixed with suitable adessive and provision for LED strip lights on the periphery of mirror frame work etc. complete.  
Refer drawings. </t>
    </r>
  </si>
  <si>
    <t>Brand for mirror : Saint Gobain
Thickness : 6mm 
Brand for edge profile : Walline
Code  : TIT U 1225
Finish : Gold
Size : 12x 25mm</t>
  </si>
  <si>
    <r>
      <t>Wash Basin Counter works</t>
    </r>
    <r>
      <rPr>
        <sz val="10"/>
        <rFont val="Verdana"/>
        <family val="2"/>
      </rPr>
      <t xml:space="preserve">
Providing and fixing Wash Basin counter with top 650mm deep and 350mm height front apron of 12mm thick acrylic solid surface pasted on 18mm thick BWP Ply fixed over MS Base made out of 50x 50mm thick Box sections, L- angles, Fixed with necessary hardware, welded, finished with 2 coats of anti corrosive paint in proper plumb, level and line etc. complete.
Refer drawings.</t>
    </r>
  </si>
  <si>
    <t>6.14.1</t>
  </si>
  <si>
    <t>Brand   : Dupont
Model  : Natural Gray
Thickness : 12mm
DB Code: TBD12</t>
  </si>
  <si>
    <t>6.14.2</t>
  </si>
  <si>
    <t>Brand   : TBC
Model  : Black Galaxy Granite
Thickness : 18mm
Finish  : Per-Polished
DB Code: CT-03</t>
  </si>
  <si>
    <r>
      <t xml:space="preserve">Stainless steel Skirting (SK03)
</t>
    </r>
    <r>
      <rPr>
        <sz val="10"/>
        <rFont val="Verdana"/>
        <family val="2"/>
      </rPr>
      <t xml:space="preserve">Providing and fixing modular SS Skirting of 100mm Height flushed suitable adhesive on base of 6mm thick BWR grade ply fixed on frame continuing from the laminate panelling. Including al necessary activities, tools, accessories, etc, complete. 
Refer drawing. </t>
    </r>
  </si>
  <si>
    <t>Brand : Brand Jindal
Finish : Grey Brushed 
Code : SK03
Height : 100mm</t>
  </si>
  <si>
    <r>
      <t>Aluminium channel</t>
    </r>
    <r>
      <rPr>
        <sz val="10"/>
        <rFont val="Verdana"/>
        <family val="2"/>
      </rPr>
      <t xml:space="preserve">
Providing and fixing Aluminium square brushed finish 8 x 8mm or 12 x 12mm over laminate panelling at junctions and grooves as per design etc. complete.
Refer drawings.</t>
    </r>
  </si>
  <si>
    <t xml:space="preserve">Brand   : Wall line
</t>
  </si>
  <si>
    <t>PARTITION WORKS</t>
  </si>
  <si>
    <r>
      <t>Gypsum Partition (gypsum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Gypsum board (one side) of approved make and necessary cutting for electrical conduits &amp; electrical fittings, lighting. The job shall include provision for mounting of poster case, signage, niche for TV (Niche shall be painted in Black), additional support for TV mount, Cove Light, etc. The gypsum panelling must be finished with jointing compound, tapes and ready to receive plastic paint finish, etc, complete.
Refer drawing.</t>
    </r>
    <r>
      <rPr>
        <b/>
        <sz val="10"/>
        <rFont val="Verdana"/>
        <family val="2"/>
      </rPr>
      <t xml:space="preserve">
Note:- Required MS supports will be paid in separate other item respectively.</t>
    </r>
  </si>
  <si>
    <t xml:space="preserve">Gypsum board:  Gyproc/ Armstrong/ Boral
Hardware         :  Gyproc/ Armstrong
Board thickness : 12.7mm </t>
  </si>
  <si>
    <t>7.01.01</t>
  </si>
  <si>
    <r>
      <t>As per above Item 7.04, but for</t>
    </r>
    <r>
      <rPr>
        <b/>
        <sz val="10"/>
        <rFont val="Verdana"/>
        <family val="2"/>
      </rPr>
      <t xml:space="preserve"> 50-150mm thick Gypsum partition</t>
    </r>
    <r>
      <rPr>
        <sz val="10"/>
        <rFont val="Verdana"/>
        <family val="2"/>
      </rPr>
      <t xml:space="preserve"> with necessary support from Floor, Ceiling &amp; Wall.</t>
    </r>
  </si>
  <si>
    <t>7.01.02</t>
  </si>
  <si>
    <r>
      <t>As per above Item 7.04, but for</t>
    </r>
    <r>
      <rPr>
        <b/>
        <sz val="10"/>
        <rFont val="Verdana"/>
        <family val="2"/>
      </rPr>
      <t xml:space="preserve"> Box Partition more then 150mm thick Gypsum Partition</t>
    </r>
    <r>
      <rPr>
        <sz val="10"/>
        <rFont val="Verdana"/>
        <family val="2"/>
      </rPr>
      <t xml:space="preserve"> with necessary support from Floor, Ceiling &amp; Wall. as required on site/as mentioned on drawing.</t>
    </r>
  </si>
  <si>
    <t>7.01a</t>
  </si>
  <si>
    <r>
      <t>12mm Bison board Partition ( board only one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</si>
  <si>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7.01a.01</t>
  </si>
  <si>
    <t>Same as Item 7.04a, For partition thickness upto 150mm size</t>
  </si>
  <si>
    <t>7.01a.02</t>
  </si>
  <si>
    <t>Same as Item 7.04a, For Box partition thickness more then 150 to as required on site/as mentioned on drawing</t>
  </si>
  <si>
    <t>7.01b</t>
  </si>
  <si>
    <r>
      <t>12mm Bison board Partition ( board both side)</t>
    </r>
    <r>
      <rPr>
        <sz val="10"/>
        <rFont val="Verdana"/>
        <family val="2"/>
      </rPr>
      <t xml:space="preserve">
Providing and fixing of 50mm x 30mm G.I. stud framing with vertical made of 50mm single section at 600mm c/c with horizontal bracing at regular intervals 600mm c/c in staggered fashion including floor and ceiling channels horizontal metal noggins as per drawing or as per manufacturer specification/drawings for dry wall partition (upto bottom of slab) and all as per the drawings and specifications. The cost includes labour, materials, wastages, lead, lifts, hardware, any additional bracings required as per site. The cost shall also includes additional channel supports required to GI stud due to existing service ducts. The G.I. frame shall be covered with 12mm thick Bison board (one side) of approved make and necessary cutting for electrical conduits &amp; electrical fittings, lighting.  The Cement Sheet panelling must be finished with jointing compound, tapes and ready to receive plastic paint finish, etc, complete.
Refer drawing.</t>
    </r>
  </si>
  <si>
    <t>MEASUREMENT METHOD : Shall be measured along the surface area (two side).</t>
  </si>
  <si>
    <t>7.01b.01</t>
  </si>
  <si>
    <t>Same as Item 7.04a, For partition thickness upto 50mm size including door as required at site ( door accessories will be paid in separate item)</t>
  </si>
  <si>
    <t>7.01b.01.1</t>
  </si>
  <si>
    <t>Exter over for door ( size - 625 x 2200mm high) including the lock, hinge, stopper, paint etc as required.</t>
  </si>
  <si>
    <t>7.01c</t>
  </si>
  <si>
    <t>Kg</t>
  </si>
  <si>
    <r>
      <t xml:space="preserve">Temporary Store </t>
    </r>
    <r>
      <rPr>
        <sz val="10"/>
        <rFont val="Verdana"/>
        <family val="2"/>
      </rPr>
      <t xml:space="preserve">
Providing and fixing temporary ply partition with  50mm x 30mm G.I. stud framing with vertical made of 50mm single section at 600mm c/c and horizontal bracing at 600mm c/c. These frames are fixed to the floor and soffit at 600mm centres with necessary hardware, finished with 12mm thick ply on both sides, including necessary cutting for electrical fittings. It also includes door shutter made in 12mm thk. ply with M.S. hold fasts/fasteners on all three side and all necessary hardware (hinges, handle) etc. complete.
Refer drawings.</t>
    </r>
  </si>
  <si>
    <t>METAL WORK- RAMP, RAILING AND HANDRAIL</t>
  </si>
  <si>
    <r>
      <t xml:space="preserve">MS Handrail
</t>
    </r>
    <r>
      <rPr>
        <sz val="10"/>
        <rFont val="Verdana"/>
        <family val="2"/>
      </rPr>
      <t>Providing and Fixing MS handrail along parapet wall with circular handrail dia 38mm hollow pipe with supporting MS brackets @ 800mm c/c of 12mm thickness. The brackets must be fixed on wall with a 150mm high base of 12mm thick fire retardant ply covered with 12mm thick acrylic solid surface including turning at all edges, properly fixed in plumb, line and level . MS handrail is to be smooth with enamel paint including base preparation with putty, primer, proper grinding etc. Rate to include for all the necessary accessories, tools &amp; tackles, labour, etc. complete.</t>
    </r>
    <r>
      <rPr>
        <b/>
        <sz val="10"/>
        <rFont val="Verdana"/>
        <family val="2"/>
      </rPr>
      <t xml:space="preserve">
</t>
    </r>
    <r>
      <rPr>
        <sz val="10"/>
        <rFont val="Verdana"/>
        <family val="2"/>
      </rPr>
      <t>Refer drawings.</t>
    </r>
  </si>
  <si>
    <t>Brand : Asian Paints
Colour : Dried Spices 8749
Brand   :Staron Lotte
Finish  : Matt 
Apcolite Premium Satin enamel Paint</t>
  </si>
  <si>
    <r>
      <t xml:space="preserve">MS railing of 300mm
</t>
    </r>
    <r>
      <rPr>
        <sz val="10"/>
        <rFont val="Verdana"/>
        <family val="2"/>
      </rPr>
      <t>Supplying and fixing of MS railing of 300mm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</si>
  <si>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MS railing of 900mm 
</t>
    </r>
    <r>
      <rPr>
        <sz val="10"/>
        <rFont val="Verdana"/>
        <family val="2"/>
      </rPr>
      <t>Supplying and fixing of MS railing of 900mm in height  in plumb, line and level with handrail of 38mm dia, vertical balusters of 38mm dia @ distance of approx. 900 mm c/c with horizontal bars of 25mm dia welded to give a neat look. Railing is to be smooth with enamel paint finish including base preparation with putty, primer, proper grinding etc. including cutting, hoisting, fixing in smooth at welded joints and joints have to be position  as per detailed drawings etc. complete.
Refer drawings.</t>
    </r>
  </si>
  <si>
    <r>
      <t xml:space="preserve">SS railing of 1000mm with Glass
</t>
    </r>
    <r>
      <rPr>
        <sz val="10"/>
        <rFont val="Verdana"/>
        <family val="2"/>
      </rPr>
      <t>Supplying and fixing of stainless steel (Grade 304) railing with glass of 900mm in height  in plumb, line and level with handrail of 38mm dia, vertical balusters of 25mm dia @ distance of approx. 900mm c/c (or actual division as per site conditions) welded to give a neat look. railings smooth &amp; buffed finish at welding joints and joints have to be with gas welding etc, fitted with four nos. solid glass connectors for holding the infill glass of 12mm thick toughened and laminated, glass connector to be fitted with balustrade with the help of S.S srew overall mounted on S.S solid base plate 100x8mm with the help of dash fasteners. including cutting, hoisting, fixing in smooth &amp; buffed finish at welding joints and joints have to be position as per detailed drawings etc. complete.
Refer drawings.</t>
    </r>
  </si>
  <si>
    <t xml:space="preserve">Brand for Glass : Saint Gobain
Thickness : 12mm thick Toughened and Laminated
</t>
  </si>
  <si>
    <t>PAINTING  &amp; POLISHING WORK</t>
  </si>
  <si>
    <r>
      <t xml:space="preserve">Emulsion paint (water base) on Gypsum ceiling
</t>
    </r>
    <r>
      <rPr>
        <sz val="10"/>
        <rFont val="Verdana"/>
        <family val="2"/>
      </rPr>
      <t>Providing and applying three coats of acrylic emulsion paint brand asian paint quality Semi-Matt or as approved on internal ceiling surfaces and wherever required at all level to give an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</si>
  <si>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9.01.01</t>
  </si>
  <si>
    <t>Brand   : Asian paints
Code    : L104 Cotton Wool
Finish  : Matt
Colour : White
DB Code:- C008505</t>
  </si>
  <si>
    <t>9.01.02</t>
  </si>
  <si>
    <t>Brand   : Asian paints
Code    : Grey Matter 8304
Finish  : Stain Finish
Colour : Grey
DB Code:- C000142</t>
  </si>
  <si>
    <t>9.01.03</t>
  </si>
  <si>
    <t>Brand   : Asian paints
Code    :  Kesar Milk 7962
Finish  : Matt
Colour : Cream Paint
DB Code:- C000144</t>
  </si>
  <si>
    <t>9.01.04</t>
  </si>
  <si>
    <t>Brand   : Asian paints
Code    : Royal Aspira- Raven Song 8253
Finish  : Matt
Colour : Black
DB Code:- C007487</t>
  </si>
  <si>
    <t>9.01.05</t>
  </si>
  <si>
    <t>Brand   : Asian paints
Code    : Model 8760 English Castle
Colour : Grey
Finish  : Oil Base
DB Code:- C007472</t>
  </si>
  <si>
    <t>MEASUREMENT METHOD : Shall be measured along the surface plan area. the coves, drops and other vertical recesses will be included in the plan measurement.</t>
  </si>
  <si>
    <r>
      <t xml:space="preserve">Emulsion paint on Wall
</t>
    </r>
    <r>
      <rPr>
        <sz val="10"/>
        <rFont val="Verdana"/>
        <family val="2"/>
      </rPr>
      <t>Providing and applying three coats of acrylic emulsion paint brand asian paint quality Semi-Matt or as approved on wall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
Refer drawing.</t>
    </r>
  </si>
  <si>
    <t>9.02.01</t>
  </si>
  <si>
    <t>Brand   : Asian paints
Code    : Apcolite Premium Semi-Gloss Enamel
Colour : Grey Matter 8304
Finish  : Satin Finish, Oil Base
BD Code:- C000143</t>
  </si>
  <si>
    <t>9.02.02</t>
  </si>
  <si>
    <t>Brand   : Asian paints
Code    : Apcolite Premium Semi-Gloss Enamel Kesar Milk 7962
Finish  : Matt, Oil Base
Colour : Cream Paint
DB Code:- C000144</t>
  </si>
  <si>
    <t>9.02.03</t>
  </si>
  <si>
    <t>Brand   : Asian paints
Code    : L104 Cotton Wool
Finish  : Matt, Oil Base
Colour : White
DB Code:- C007473</t>
  </si>
  <si>
    <t>9.02.04</t>
  </si>
  <si>
    <r>
      <t xml:space="preserve">Water base paint on ceiling inside Audi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</si>
  <si>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Raven Song 8253
Finish : Matt</t>
  </si>
  <si>
    <r>
      <t xml:space="preserve">Water base paint on True Slab
</t>
    </r>
    <r>
      <rPr>
        <sz val="10"/>
        <rFont val="Verdana"/>
        <family val="2"/>
      </rPr>
      <t>Providing and applying three coats of Acrylic paint shade brand,asian paint quality Semi-Mate or as approved on internal ceiling surfaces and wherever required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per drawings and as directed by the Project Manager.</t>
    </r>
    <r>
      <rPr>
        <b/>
        <sz val="10"/>
        <rFont val="Verdana"/>
        <family val="2"/>
      </rPr>
      <t xml:space="preserve">
</t>
    </r>
    <r>
      <rPr>
        <sz val="10"/>
        <rFont val="Verdana"/>
        <family val="2"/>
      </rPr>
      <t>Refer drawings.</t>
    </r>
  </si>
  <si>
    <t>Brand   : Asian paints
Code    : 8304 Grey matter
Finish  : Water base</t>
  </si>
  <si>
    <r>
      <t xml:space="preserve">Door Frame paint, oil base enamel paint (All size of frame as required)
</t>
    </r>
    <r>
      <rPr>
        <sz val="10"/>
        <rFont val="Verdana"/>
        <family val="2"/>
      </rPr>
      <t>Providing and applying three coats of acrylic oil base enamel paint on door frame brand Asian paint quality Semi-Matt or as approved on wall and wherever required matching with door laminate at all level  to give an even and uniform shade, after thoroughly sand papering existing surfaces to remove dust, dirt etc. and  repairing dents, cracks, holes with POP to achieve level  surface and applied over a coat of primer and putty "Altek" or "Wall care" or approved equivalent as per manufacturer specification fully to give a smooth and an even surface including thoroughly brushing  the surface free from water / mortar dropping and other foreign matter and sand papered smooth, complete as per directions by Cinepolis in-charge.</t>
    </r>
  </si>
  <si>
    <t xml:space="preserve">MEASUREMENT METHOD : Shall be measured along the length </t>
  </si>
  <si>
    <r>
      <rPr>
        <b/>
        <sz val="10"/>
        <rFont val="Verdana"/>
        <family val="2"/>
      </rPr>
      <t xml:space="preserve">Plaster of paris punning </t>
    </r>
    <r>
      <rPr>
        <sz val="10"/>
        <rFont val="Verdana"/>
        <family val="2"/>
      </rPr>
      <t xml:space="preserve">
Providing and applying plaster of paris punning of average thickness 3-5 mm (or appropriate thickness as per site), of approved brand and manufacturer, over the plastered wall surface to prepare the surface even and smooth complete. This is to be done in complete plumb, line and level, etc. complete.
Refer drawings.</t>
    </r>
  </si>
  <si>
    <t>MISCELLENEOUS WORKS</t>
  </si>
  <si>
    <r>
      <t xml:space="preserve">Modular Trap door
</t>
    </r>
    <r>
      <rPr>
        <sz val="10"/>
        <rFont val="Verdana"/>
        <family val="2"/>
      </rPr>
      <t>Providing &amp; fixing modular trap door in proper lintel and level, trap door in ceiling for any equipment coming above the ceiling  as per services consultant requirements. The surface to be neatly finished with paint as per the color of ceiling. Rate also to include for the provision and fixing of GI/ Aluminium frame of make all as directed by the Site in charge.</t>
    </r>
    <r>
      <rPr>
        <b/>
        <sz val="10"/>
        <rFont val="Verdana"/>
        <family val="2"/>
      </rPr>
      <t xml:space="preserve">
</t>
    </r>
    <r>
      <rPr>
        <sz val="10"/>
        <rFont val="Verdana"/>
        <family val="2"/>
      </rPr>
      <t>Refer drawings.</t>
    </r>
  </si>
  <si>
    <t xml:space="preserve">Brand : USG Boral/ Knoff/ Saint Gobain
</t>
  </si>
  <si>
    <t>10.01.01</t>
  </si>
  <si>
    <t>Size 1 - 600 X 750mm</t>
  </si>
  <si>
    <t>10.01.02</t>
  </si>
  <si>
    <t>Size 2 - 900 X 900mm</t>
  </si>
  <si>
    <t>10.01.03</t>
  </si>
  <si>
    <t>Size 3 - 1200 X 1500mm</t>
  </si>
  <si>
    <t>10.01.04</t>
  </si>
  <si>
    <t>Size 4 - 300 X 300mm</t>
  </si>
  <si>
    <t>10.01.05</t>
  </si>
  <si>
    <t>Size 5 - 600 X 600mm</t>
  </si>
  <si>
    <t>MEASUREMENT METHOD : Shall be measured as per installed numbers.</t>
  </si>
  <si>
    <r>
      <t>Curtain for Ladies frisking</t>
    </r>
    <r>
      <rPr>
        <sz val="10"/>
        <rFont val="Verdana"/>
        <family val="2"/>
      </rPr>
      <t xml:space="preserve">
Providing and fixing of curtain for ladies frisking booth with rod, hooks and all required accessories. Curtain should be made out of black fabric (provided by Cinepolis). Only fabric to be provided by Cinépolis, rest all items to be considered in rates, etc. complete.
Refer drawings.</t>
    </r>
  </si>
  <si>
    <t>Providing and fixing of frame less 12mm laminated toughened glass</t>
  </si>
  <si>
    <t>10.03a</t>
  </si>
  <si>
    <t>Providing and fixing of frosted film on glass as per design - make 3M</t>
  </si>
  <si>
    <r>
      <t xml:space="preserve">MS Stand for CO2 cylinders in Concession Back area
</t>
    </r>
    <r>
      <rPr>
        <sz val="10"/>
        <rFont val="Verdana"/>
        <family val="2"/>
      </rPr>
      <t>Providing &amp; Fixing the stand of size 300 x 300mm made out of  vertical &amp; horizontal Supports out of MS box sections of size 1"x1", MS pipes for holding the CO2 cylinders with a height of 1200mm and locking arrangement. The stand should be created for a set of 2 cylinders (10kg each). All MS sections are to be welded of stand as per design drawings. Bottom of stand to be covered with 8mm thick MS chequered plate.  Also includes 2 coats of Anti-corrosive Paint and 2 coats of Black Enamel Paint, finished with necessary cutting &amp; buffing. Including necessary hardware etc and complete.
Refer drawings.</t>
    </r>
  </si>
  <si>
    <r>
      <t>Installation of Accessories</t>
    </r>
    <r>
      <rPr>
        <sz val="10"/>
        <rFont val="Verdana"/>
        <family val="2"/>
      </rPr>
      <t xml:space="preserve">
Installation of all the accessories as required with proper screwing with necessary extra supports, etc. complete. Refer drawings. </t>
    </r>
  </si>
  <si>
    <t>10.05.01</t>
  </si>
  <si>
    <t xml:space="preserve">DFMD </t>
  </si>
  <si>
    <t>10.05.02</t>
  </si>
  <si>
    <t>Loose furniture</t>
  </si>
  <si>
    <t>10.05.03</t>
  </si>
  <si>
    <t>Usher Module</t>
  </si>
  <si>
    <t>10.05.04</t>
  </si>
  <si>
    <t>M-Ticket scanner</t>
  </si>
  <si>
    <t>10.05.05</t>
  </si>
  <si>
    <t>LED screen</t>
  </si>
  <si>
    <t>10.05.06</t>
  </si>
  <si>
    <t>Postercase</t>
  </si>
  <si>
    <t>10.05.07</t>
  </si>
  <si>
    <t>Audi number signage</t>
  </si>
  <si>
    <t>10.05.08</t>
  </si>
  <si>
    <t>WC</t>
  </si>
  <si>
    <t>10.05.09</t>
  </si>
  <si>
    <t>Urinal</t>
  </si>
  <si>
    <t>10.05.10</t>
  </si>
  <si>
    <t>Urinal Partition
Size:- 
DB Code:- C010136</t>
  </si>
  <si>
    <t>10.05.11</t>
  </si>
  <si>
    <t>Washbasin</t>
  </si>
  <si>
    <t>10.05.12</t>
  </si>
  <si>
    <t>Hand dryer</t>
  </si>
  <si>
    <t>10.05.13</t>
  </si>
  <si>
    <t>Diaper changing station</t>
  </si>
  <si>
    <t>10.05.14</t>
  </si>
  <si>
    <t>Tissue dispenser</t>
  </si>
  <si>
    <t>10.05.15</t>
  </si>
  <si>
    <t>Soap dispenser</t>
  </si>
  <si>
    <t>10.05.16</t>
  </si>
  <si>
    <t>Toilet Cubical partition</t>
  </si>
  <si>
    <t>10.05.17</t>
  </si>
  <si>
    <t xml:space="preserve">Grab Bars </t>
  </si>
  <si>
    <t>10.05.18</t>
  </si>
  <si>
    <t xml:space="preserve">TOTAL COST OF C&amp;I  WORKS </t>
  </si>
  <si>
    <t>Category</t>
  </si>
  <si>
    <t>Amount (in INR)</t>
  </si>
  <si>
    <t>C&amp;I</t>
  </si>
  <si>
    <t>HVAC</t>
  </si>
  <si>
    <t>MV</t>
  </si>
  <si>
    <t>LV</t>
  </si>
  <si>
    <t>Total</t>
  </si>
  <si>
    <t>SUMMARY OF COSTS FOR HVAC WORKS 
FOR CINEPOLIS AT K MALL-JODHPUR</t>
  </si>
  <si>
    <t xml:space="preserve"> </t>
  </si>
  <si>
    <t>Sr.No.</t>
  </si>
  <si>
    <t>Description</t>
  </si>
  <si>
    <t>Unit</t>
  </si>
  <si>
    <t>Amount</t>
  </si>
  <si>
    <t>B</t>
  </si>
  <si>
    <t>TOTAL FOR "B" AIR DISTRIBUTION SYSTEM</t>
  </si>
  <si>
    <t>Rs.</t>
  </si>
  <si>
    <t>C</t>
  </si>
  <si>
    <t>TOTAL FOR "C" INSULATION</t>
  </si>
  <si>
    <t>TOTAL</t>
  </si>
  <si>
    <t>TOTAL FOR AIR DISTRIBUTION SYSTEM</t>
  </si>
  <si>
    <t>TOTAL FOR INSULATION</t>
  </si>
  <si>
    <t>SCHEDULE OF QUANTITIES 
FOR LOW SIDE HVAC WORKS 
FOR CINEPOLIS AT K MALL,JODHPUR</t>
  </si>
  <si>
    <t>SR.
NO.</t>
  </si>
  <si>
    <t>DESCRIPTION</t>
  </si>
  <si>
    <t>QTY</t>
  </si>
  <si>
    <t>AMOUNT
(Rs)</t>
  </si>
  <si>
    <t>[B]</t>
  </si>
  <si>
    <t>AIR DISTRIBUTIONS SYSTEM</t>
  </si>
  <si>
    <t>GSS SHEET METAL DUCT: FACTORY FABRICATED</t>
  </si>
  <si>
    <t xml:space="preserve">Supply, Fabrication, Installation and Testing of GSS metal ducts as per IS-277 (120 GSM both sides, LFQ &amp; confirming to Class VIII) for GS Sheets and IS-655 for fabrication of following thicknesses including necessary G.I. hangers / supports, volume control duct dampers, accessories, vanes, 3mm neoprene rubber gasket etc. complete as per specifications in accordance with the approved shop drawings. (Ducts to be sent in Prefabricated form at the jobsite. Site work will include assembly, installation and suit to site pieces and collars/droppers.) </t>
  </si>
  <si>
    <r>
      <rPr>
        <b/>
        <sz val="11"/>
        <rFont val="Calibri"/>
        <family val="2"/>
      </rPr>
      <t>No slip joints shall be allowed. Flanges shall be MS angle flnges / Rolamate with fire retardant gasket 5mm thk</t>
    </r>
    <r>
      <rPr>
        <sz val="11"/>
        <rFont val="Calibri"/>
        <family val="2"/>
      </rPr>
      <t>. All ducts shall be with rigid supports as per technical specifications.</t>
    </r>
  </si>
  <si>
    <t>a) GI sheet ducts with reinforcement/Strengthening</t>
  </si>
  <si>
    <t>b) Air tight joints</t>
  </si>
  <si>
    <t>c) Accessories such as splitter damper, guide vane etc.</t>
  </si>
  <si>
    <t>d)  Hangers and supports</t>
  </si>
  <si>
    <t>e) 2 coats of black paint for sa ducts after insulation</t>
  </si>
  <si>
    <t>a</t>
  </si>
  <si>
    <t>24 gauge (0.63mm)</t>
  </si>
  <si>
    <t>sqm</t>
  </si>
  <si>
    <t>b</t>
  </si>
  <si>
    <t>22 gauge (0.8mm)</t>
  </si>
  <si>
    <t>c</t>
  </si>
  <si>
    <t xml:space="preserve">20 gauge (1.0mm) </t>
  </si>
  <si>
    <t>Supply, Fixing &amp; welding works required additional for duct support in MS frame work duly painted with 2 or more coat of enamal paint, as required complete in all respect (for Theatres)</t>
  </si>
  <si>
    <t>FLEXIBLE DUCTS (for Projection Exhaust)</t>
  </si>
  <si>
    <r>
      <t>Supply, Installation, Testing and Commissioning of  insulated flexible ducts. The insulated flexible duct shall have inner core made of double lamination of metalized polyster film permenantly bonded to a coated spring stel wire helix. Fibreglass insulation of minimum 14 kg.cu.m. density having a R-value 4.2</t>
    </r>
    <r>
      <rPr>
        <vertAlign val="superscript"/>
        <sz val="11"/>
        <rFont val="Calibri"/>
        <family val="2"/>
      </rPr>
      <t>o</t>
    </r>
    <r>
      <rPr>
        <sz val="11"/>
        <rFont val="Calibri"/>
        <family val="2"/>
      </rPr>
      <t>F-Ft2-hr/btu and 25 mm thk shall be wrapped over the inner core and covered with stronger outer jacket cum vapor barrier made of fibreglass reinforced metalized polyester film laminate. The insulated flexible duct should be fire retardant  type.</t>
    </r>
  </si>
  <si>
    <t>The insulated flexible duct should be fire retardant  type. Limit Flexible Duct to not more than 3 Ft Length</t>
  </si>
  <si>
    <t xml:space="preserve">Insulated Flexible ducts of 200 mm dia </t>
  </si>
  <si>
    <t>RMT</t>
  </si>
  <si>
    <t xml:space="preserve">Insulated Flexible ducts of 300 mm dia </t>
  </si>
  <si>
    <t>FLEXIBLE CONNECTION:</t>
  </si>
  <si>
    <t>Supply, fabrication &amp; installation of double canvass (fire retardant) flexible connection as per  drawings &amp; specifications. [for Fans &amp; AHUs]</t>
  </si>
  <si>
    <t>VOLUME CONTROL DAMPER:</t>
  </si>
  <si>
    <t>Supply, Installation and adjusting of GSS Volume Control Damper  within ducts complete with suitable links, levers. Blades should be double skinned aerofoil construction and opposed blades should be at 50mm pitch centres. The blades should be mounted in nylon bushes operated by an interior wheel gear system. Manual quadrant control with position indicator to be provided to enable adjust volume of air as required.</t>
  </si>
  <si>
    <t>Back Draft Dampers</t>
  </si>
  <si>
    <t>Supply, installation, testing and commissioning of 16 G GSS Back draft dampers models shall be designed to allow exhaust airflow but prevent airflow in the reverse direction &amp; shall be of counterweight type &amp; normally in shut-off position.</t>
  </si>
  <si>
    <t>FIRE AND SMOKE DAMPERS:</t>
  </si>
  <si>
    <t>Fire &amp; Smoke Dampers with Fusible Link</t>
  </si>
  <si>
    <t xml:space="preserve">Fire and Smoke Dampers (FSD) shall be installed in supply air duct when they pass through AHU room walls as shown in the drawings and as per specfications.The Fire Dampers shall be operated with atleast 90 minutes fire rating as per UL 555S - Class II for fire and smoke management  rated for 90 min. &amp; tested at CBRI Roorkee, India. </t>
  </si>
  <si>
    <t xml:space="preserve">Fusible Link should be rated for 72oC. Each FSD shall be of  multi leaf type, low leakage and shall be tested  in the  factory and will be certified by the manufacturer in form of the test certificate.  </t>
  </si>
  <si>
    <t xml:space="preserve">Each FSD shall be supplied with matching sleeve (factory supply) and set of retaining angles for installation on wall / slab as indicated on drawings.  </t>
  </si>
  <si>
    <t xml:space="preserve">(To be installed in Supply air duct tapping to projection room-site measured) </t>
  </si>
  <si>
    <r>
      <rPr>
        <b/>
        <sz val="11"/>
        <rFont val="Calibri"/>
        <family val="2"/>
      </rPr>
      <t>Fire &amp; Smoke Dampers with same specifications as above item 4.1 but suitable for motorised operation.</t>
    </r>
    <r>
      <rPr>
        <sz val="11"/>
        <rFont val="Calibri"/>
        <family val="2"/>
      </rPr>
      <t xml:space="preserve"> (Motorised </t>
    </r>
    <r>
      <rPr>
        <sz val="11"/>
        <rFont val="Calibri"/>
        <family val="2"/>
      </rPr>
      <t>fire and smoke damper FSD is to be installed in SA &amp; RA for all Cinema &amp; Lobby AHU's)</t>
    </r>
  </si>
  <si>
    <t>Motorised Actuator</t>
  </si>
  <si>
    <t>The Actuator shall be direct coupled spring return type and motorised.</t>
  </si>
  <si>
    <t xml:space="preserve">The Actuator shall be in line with the Technical Specifications and shall be maintenance free direct coupled spring return type suitable to work on 24 V  electric supply.  The torque rating of the actuator  shall exceed  at least by 15%  over  torque required to open / close  the damper.  Shall  have  manual over  ride  facility. The  selection  of  actuator  size shall be the responsibility of the  manufacturer. Power on   indicating  lamps with 230 V / 24 V  transformer,damper  close &amp; open  indication, reset push button, push button for manual  running of  actuator for periodic inspection, auxiliary contacts  24V &amp; 230 V, contact  points  to receive  signal from smoke detector / fire alarm panel etc. should be provided. </t>
  </si>
  <si>
    <t>nos</t>
  </si>
  <si>
    <t>GRILLS &amp; DIFFUSERS</t>
  </si>
  <si>
    <t>(All Grill &amp; Diffuser Samples Shall be Approved by Services Consultants &amp; Architects prior to procurement)</t>
  </si>
  <si>
    <t>For Theatres 
(All Grills / Diffusers should be Black Mat Finish)</t>
  </si>
  <si>
    <t>6.1.1</t>
  </si>
  <si>
    <t>Supply Air Ceiling Distributor</t>
  </si>
  <si>
    <t>Distributor to have extruded aluminium outer core and a separate 4-way fixed deflection L bar central core. The central core should have a separate opposed blade volume control damper. Balance area should allow free flow of air through the outer cores. G.I Black painted plenum shall be mounted above the damper with a circular neck to accept insulated flexible duct. The finish to be powder coated-matt- black [out to out size - to match modular gridwork - 24" x 24"]</t>
  </si>
  <si>
    <t>(The Ceiling Distributors shall be as per samples from approved vendors)</t>
  </si>
  <si>
    <t>neck collar size  - 450 mm dia.</t>
  </si>
  <si>
    <t>Nos</t>
  </si>
  <si>
    <t>neck collar size  - 400 mm dia.</t>
  </si>
  <si>
    <t>neck collar size  - 375 mm dia.</t>
  </si>
  <si>
    <t>d</t>
  </si>
  <si>
    <t>neck collar size  - 300 mm dia.</t>
  </si>
  <si>
    <t>6.1.2</t>
  </si>
  <si>
    <t>Supply / Return Air Grill Assembly</t>
  </si>
  <si>
    <t>Supply / Return Air Grill Assembly comprises of :</t>
  </si>
  <si>
    <t>Extruded aluminium construction, powder coated. 15o one/two way fixed deflection with 4 side flanges (removable type) as required and as shown in the drawings.</t>
  </si>
  <si>
    <t>Supply / Return Air Collar with Flanged joint on one side and sealed with Grill on other side. SA Collar should be manufactured in 22G GSS sheet &amp; factory assembled with Supply Air Grill of straght / L shaped construction.</t>
  </si>
  <si>
    <t>600 x 200</t>
  </si>
  <si>
    <t>750 x 200</t>
  </si>
  <si>
    <t>900 x 200</t>
  </si>
  <si>
    <t>400 x 150</t>
  </si>
  <si>
    <t>e</t>
  </si>
  <si>
    <t>750 x 150</t>
  </si>
  <si>
    <t>f</t>
  </si>
  <si>
    <t>Assorted Size</t>
  </si>
  <si>
    <t>6.1.3</t>
  </si>
  <si>
    <t xml:space="preserve">Supply / Return Air L-bar Grill   </t>
  </si>
  <si>
    <t>Extruded aluminium powder coated construction with 4 side end flanges Grill as required. Extruded aluminium construction, powder coated. 15o one/two way fixed deflection with 4 side flanges  as required and as shown in the drawings.</t>
  </si>
  <si>
    <t>12" wide</t>
  </si>
  <si>
    <t>8" wide</t>
  </si>
  <si>
    <t>6" wide</t>
  </si>
  <si>
    <t>6.1.4</t>
  </si>
  <si>
    <t xml:space="preserve">Aluminium Box type collar low leakge damper with special arrangement for volume control for above (Black Matt Powder Coated finish) </t>
  </si>
  <si>
    <t>For Lobby, Projection and Common Areas</t>
  </si>
  <si>
    <t>6.2.1</t>
  </si>
  <si>
    <t>Supply / Return Air L-bar Continous Grill</t>
  </si>
  <si>
    <r>
      <t>Extruded aluminium construction, powder coated. 15</t>
    </r>
    <r>
      <rPr>
        <vertAlign val="superscript"/>
        <sz val="11"/>
        <rFont val="Calibri"/>
        <family val="2"/>
      </rPr>
      <t>o</t>
    </r>
    <r>
      <rPr>
        <sz val="11"/>
        <rFont val="Calibri"/>
        <family val="2"/>
      </rPr>
      <t xml:space="preserve"> one way fixed deflection with end flanges as required and as shown in the drawings.</t>
    </r>
  </si>
  <si>
    <t>10" wide</t>
  </si>
  <si>
    <t>6.2.2</t>
  </si>
  <si>
    <t xml:space="preserve">Supply / Return Air L-bar Continous Grill - Curved </t>
  </si>
  <si>
    <r>
      <t>In extruded aluminium construction, powder coated. 15</t>
    </r>
    <r>
      <rPr>
        <vertAlign val="superscript"/>
        <sz val="11"/>
        <rFont val="Calibri"/>
        <family val="2"/>
      </rPr>
      <t>o</t>
    </r>
    <r>
      <rPr>
        <sz val="11"/>
        <rFont val="Calibri"/>
        <family val="2"/>
      </rPr>
      <t xml:space="preserve"> one way/2 way fixed deflection with end flanges as required and as shown in the drawings. The Grill shall be in curved form to match the FC.</t>
    </r>
  </si>
  <si>
    <t>6.2.3</t>
  </si>
  <si>
    <t>Air Ceiling Distributor (Supply )</t>
  </si>
  <si>
    <t>Supply, Installation of Air Distributor to have extruded aluminium outer core and a separate 4-way central core. Balance area should allow free flow of air through the outer cores.  [out to out size - to match modular gridwork - 24" x 24"]</t>
  </si>
  <si>
    <t>Factory fitted aluminium Box type collar low leakge damper with special arrangement for volume control for above (Black Matt Powder Coated finish) to be included.</t>
  </si>
  <si>
    <t>neck collar size  - 350 mm dia.</t>
  </si>
  <si>
    <t>Air Ceiling Distributor (Return)</t>
  </si>
  <si>
    <t>6.2.4</t>
  </si>
  <si>
    <t>Jet Diffusers</t>
  </si>
  <si>
    <t>The supply air terminal should be in Al powder coated construction with easily removable i-ball type adjustable air distribution. Volume control damper to be of opposed blade, nylon geared with aerofoil blades &amp; black matt powder coated.</t>
  </si>
  <si>
    <t>Diffuser Size 18" Dia</t>
  </si>
  <si>
    <t>Diffuser Size 15" Dia</t>
  </si>
  <si>
    <t>6.2.5</t>
  </si>
  <si>
    <t>JET NOZZLES (I-BALL TYPE) (450 MM DIA)</t>
  </si>
  <si>
    <t>JET NOZZLES (I-BALL TYPE) (400 MM DIA)</t>
  </si>
  <si>
    <t>6.2.6</t>
  </si>
  <si>
    <t>Disc Valves For Toilet Exhaust System</t>
  </si>
  <si>
    <t>Supply, installation and adjusting of disc valves suitable for exhausting toilet foul air ,comprising of an adjustable centre cone and coupling sleeve made of  Aluminum sheet duly epoxy painted with approved color. The disc valve shall be fitted with a galvanised steel installation frame and the sleeve shall incorporate a foam-rubber gasket for airtight sealing. The centre cone should be adjustable for balancing and with a locking arrangement to maintain the desired flow rate.</t>
  </si>
  <si>
    <t>100 mm dia</t>
  </si>
  <si>
    <t>150 mm dia</t>
  </si>
  <si>
    <t>225 mm dia</t>
  </si>
  <si>
    <t>6.2.7</t>
  </si>
  <si>
    <t>Supply, installation and adjusting of Non Vision transfer grilles in extruded aluminium comprising of a non vision door grille on one side and complete with sliding frame on the opposing side. The assemble shall be suitable for the door thickness as per site conditions. The color shall match the interior requirements.</t>
  </si>
  <si>
    <t>300 x200</t>
  </si>
  <si>
    <t>No.</t>
  </si>
  <si>
    <t>450 x200</t>
  </si>
  <si>
    <t>450 x300</t>
  </si>
  <si>
    <t>700 x300</t>
  </si>
  <si>
    <t>800 x 450</t>
  </si>
  <si>
    <t>800 x 700</t>
  </si>
  <si>
    <t>6.2.8</t>
  </si>
  <si>
    <t>DUCT SOUND ATTENUATORS:</t>
  </si>
  <si>
    <t>Supply &amp; Installation of Sound Attenuators -1500 mm long duct silencers at Cinema AHU Outlets as shown in the drawings. (For Audi's only to be considered as crosssectional area)</t>
  </si>
  <si>
    <t>TIMER CONTROLLER</t>
  </si>
  <si>
    <t>Supply, Installation, Testing &amp; Commissioning of Timer panel for operating Fans as per required schedule. This item shall include necessary relay, Contactor, timer, required accessories etc to operate Attic ventilation fans shall be operational for required time period at predetermined time interval &amp; these should be user settable. This panel shall be installed near the fan panel. Power &amp; Control cabling as required shall be lumpsum &amp; to be included under this item.</t>
  </si>
  <si>
    <t>Nos.</t>
  </si>
  <si>
    <t>[C]</t>
  </si>
  <si>
    <t>DUCT INSULATION</t>
  </si>
  <si>
    <t>ACOUSTIC LINING (DUCTS):</t>
  </si>
  <si>
    <t xml:space="preserve"> Supply, installation &amp; testing of acoustic lining within supply and return air ducts as per specifications. All ducts shown cross hatched on the approved shop drawings shall be provided with acoustic lining of thermal insulation as per the specifications, Fibre glass insulation with 48 kg/cu.m. density with RP tissue and 24 G perforated Alum. Sheet as per Technical Specifications.
(First 5 RMT of SA / RA Duct coming out of plenum box shall be internally insulated with acoustic insulation.)</t>
  </si>
  <si>
    <t>12 mm thick acoustic lining (for Other areas)</t>
  </si>
  <si>
    <t>25 mm thick acoustic lining (for Theatres)</t>
  </si>
  <si>
    <t xml:space="preserve">THERMAL INSULATION </t>
  </si>
  <si>
    <t>Supply, installation &amp; testing of external thermal insulation on ducts as per the specifications &amp; approved shop drawings, Fibre glass insulation with 24 kg/sq.m. density with factory backed Alum. Foil of 0.09 mm thickness. Aluminium foil to be painted with black enemal paint.</t>
  </si>
  <si>
    <t>25 mm thick Insulation</t>
  </si>
  <si>
    <t>THERMAL INSULATION FOR EXPOSED DUCT</t>
  </si>
  <si>
    <t xml:space="preserve">Supply, fabrication &amp; Installation of FM Global approved thermal insulation on GI ducts complete with Closed Cell Foam with factory backed Galss cloth with minimum density of 40 Kg/m3 with minimum R Value 4.1/inch &amp; thermal conductivity -0.035 w/mok confirming to Class 'O' &amp; the inner side stuck to the outer facia of the GI ducts with recommended / Proprietory Synthetic adhesive bonding (SR998 or equivalent) &amp; installed as per manufacturers recommendation.
The insulation joints shall be sealed with 3" wide Black Tape. </t>
  </si>
  <si>
    <t xml:space="preserve"> 9 mm thick Insulation</t>
  </si>
  <si>
    <t>13 mm thick Insulation</t>
  </si>
  <si>
    <t>16 mm thick Insulation</t>
  </si>
  <si>
    <t>19 mm thick Insulation</t>
  </si>
  <si>
    <t xml:space="preserve">Database Code: C010827
Brand: AGL
Model:  Tropic Brown (Double glazed tile)
Finish: Glossy
Size   :600 x 600mm
Thickness: 8.5 mm
</t>
  </si>
  <si>
    <t>Database Code: C000103 / C2030.20/G/0208
Brand: Somany
Model: FB Dusky S&amp;P Crema
Colour: Matt
Finish: anti- skid
Size   : 600x600mm
Thickness: 10mm</t>
  </si>
  <si>
    <t xml:space="preserve">Database Code: C000236
Brand: Kajaria
Model: Toronto blanco
Finish: Glossy
Size:    300 x 450mm
Thickness: 10mm                                                                                                                                      </t>
  </si>
  <si>
    <t>Database Code: C000138
Brand: Kajaria  
Model: Kajaria pvt K6306
Finish: Glossy
Size  : 600 X 600mm</t>
  </si>
  <si>
    <t>Database Code: TBD08
Brand: Johnson
Model: Light Grey Polish
Colour: Light Grey
Finish: Glossy
Size   :  600x600mm &amp; 600x1200mm
Thickness: TBC</t>
  </si>
  <si>
    <t>Database Code: C007483
Brand: AGL
Model: Volga White Mastro Ruby (Double glazed Tile)
Finish: Glossy
Size   : 600 x 600mm
Thickness: 8.5 mm</t>
  </si>
  <si>
    <r>
      <t xml:space="preserve">Providing &amp; Fixing </t>
    </r>
    <r>
      <rPr>
        <b/>
        <strike/>
        <sz val="10"/>
        <rFont val="Verdana"/>
        <family val="2"/>
      </rPr>
      <t>water jet cut</t>
    </r>
    <r>
      <rPr>
        <b/>
        <sz val="10"/>
        <rFont val="Verdana"/>
        <family val="2"/>
      </rPr>
      <t xml:space="preserve"> Porcelain Brown Floor Tiles of 98 mm wide strips in Flooring</t>
    </r>
    <r>
      <rPr>
        <sz val="10"/>
        <rFont val="Verdana"/>
        <family val="2"/>
      </rPr>
      <t xml:space="preserve"> 20mm thick bed of cement mortar 1:4 (1 cement : 4 coarse sand) and jointing with grey cement slurry @3.3kg per sqm including pointing in white cement mixed with pigment of matching shade to tile. Tile joints to be finished in white cement mixed with pigment of matching shade of tile. Tile to be layed as per pattern/ design and multiple start points as shown in the drawing. In case of any damage to tiles due to other construction activities or removal of protection; contractor must replace the affected tiles at  his own cost. Rate to include cutting, wastage, cost of all materials and all necessary activities, etc. complete. </t>
    </r>
    <r>
      <rPr>
        <strike/>
        <sz val="10"/>
        <rFont val="Verdana"/>
        <family val="2"/>
      </rPr>
      <t xml:space="preserve"> ( including around brass strip TBC) </t>
    </r>
    <r>
      <rPr>
        <sz val="10"/>
        <rFont val="Verdana"/>
        <family val="2"/>
      </rPr>
      <t xml:space="preserve">
</t>
    </r>
    <r>
      <rPr>
        <b/>
        <sz val="10"/>
        <rFont val="Verdana"/>
        <family val="2"/>
      </rPr>
      <t>Database Code: C010827
Brand: AGL
Model:  Tropic Brown (Double glazed tile)
Finish: Glossy
Size   :600 x 600mm
Thickness: 8.5 mm</t>
    </r>
  </si>
  <si>
    <t xml:space="preserve">Database Code: C000139
Brand: Kajaria  
Model: Kajaria pvt K6306
Finish: Glossy
Size  : 100 X 600mm
</t>
  </si>
  <si>
    <t xml:space="preserve">
Brand: AGL
Model:  Tropic Brown (Double glazed tile)
Finish: Glossy
Size   :600 x 600mm
Thickness: 8.5 mm
DB Code:- SK04
</t>
  </si>
  <si>
    <t xml:space="preserve">
Database Code: C007483
Brand: AGL
Model: Volga White Mastro Ruby (Double glazed Tile)
Finish: Glossy
Size   : 600 x 600mm
Thickness: 8.5 mm</t>
  </si>
  <si>
    <r>
      <t xml:space="preserve">BOH Kota stone skirting (C000135)
</t>
    </r>
    <r>
      <rPr>
        <sz val="10"/>
        <rFont val="Verdana"/>
        <family val="2"/>
      </rPr>
      <t>Providing and laying kota stone skirting over adequate thickness of cement mortar 1:4 (1 cement: 4 coarse sand) mix. Rates to include  for surface cleaning, cutting, chamfering edges of kota stone, grinding, mirror polishing. Joints to be finished with white cement with pigmented shade added to match the approved stone shade. Rate to include cutting, wastage, cost of all materials, adhesives and all necessary activities, etc. complete.
Refer drawings</t>
    </r>
  </si>
  <si>
    <t>Database Code: C010187
Brand: Italmarmi Somany
Model: Modellato Series
Colour: Felce
Finish: Glossy
Size   : 75 x 300mm / 100 x 300mm
Thickness: TBC</t>
  </si>
  <si>
    <t>Database Code: C007499
Brand: Kajaria
Model: Toronto blanco
Colour: Beige
Finish: Glossy
Size   : 300 x 450mm
Thickness: 10mm</t>
  </si>
  <si>
    <t>Database Code: TBD08
Brand: Johnson
Model: Light Grey Polish
Colour: Light Grey
Finish: Glossy
Size   : 600x600mm &amp; 600x1200mm
Thickness: TBC</t>
  </si>
  <si>
    <t xml:space="preserve">Brand: Johnson
Model: Super White (Full body)
Finish: Glossy
Size   : 800 x 2400mm
Thickness: 15mm   
Brand: Walline or similar
Model: U shaped SS 304
Colour: Gold coated 
Size: 12mm x 12mm </t>
  </si>
  <si>
    <r>
      <t xml:space="preserve">M.S FRAME WORK
</t>
    </r>
    <r>
      <rPr>
        <sz val="10"/>
        <rFont val="Verdana"/>
        <family val="2"/>
      </rPr>
      <t>Steel work in built up tubular round, square or rectangular hollow tubes etc. including cutting, hoisting, fixing and finished with coat of red oxide primer and 2 or more coat of enamel paint including all lead and lift etc. as per architectural drawings and direction of EIC.</t>
    </r>
    <r>
      <rPr>
        <b/>
        <sz val="10"/>
        <rFont val="Verdana"/>
        <family val="2"/>
      </rPr>
      <t xml:space="preserve">
 </t>
    </r>
  </si>
  <si>
    <t>PROJECT: MULTIPLEX FOR CINEPOLIS INDIA PVT. LTD</t>
  </si>
  <si>
    <t xml:space="preserve"> 4 SCREEN MULTIPLEX AT K. MALL JODHPUR</t>
  </si>
  <si>
    <t>BILL OF QUANTITIES FOR ELECTRICAL WORKS</t>
  </si>
  <si>
    <t xml:space="preserve">SR. </t>
  </si>
  <si>
    <t>A</t>
  </si>
  <si>
    <t>WIRING SYSTEM (POINT WIRING)</t>
  </si>
  <si>
    <t>The following light points are done with 2R x 2.5Sqmm+ 1x1.5Sqmm FRLS wires. The cost to include - PVC LHSFT conduits, inspection bends, junction boxes with cover plates, FRLS wires, wire connectors, angle holders, flexible pipe etc inclusive of all accessories, as required for final installation of light fixtures.</t>
  </si>
  <si>
    <r>
      <rPr>
        <b/>
        <sz val="12"/>
        <color indexed="8"/>
        <rFont val="Calibri"/>
        <family val="2"/>
      </rPr>
      <t xml:space="preserve">Primary light point (Local control) </t>
    </r>
    <r>
      <rPr>
        <sz val="12"/>
        <color indexed="8"/>
        <rFont val="Calibri"/>
        <family val="2"/>
      </rPr>
      <t xml:space="preserve">- One light point controlled by one single way 6 A switch - length upto 8.00 mtrs. </t>
    </r>
  </si>
  <si>
    <t>No's</t>
  </si>
  <si>
    <r>
      <rPr>
        <b/>
        <sz val="12"/>
        <color indexed="8"/>
        <rFont val="Calibri"/>
        <family val="2"/>
      </rPr>
      <t xml:space="preserve">Secondary Light point </t>
    </r>
    <r>
      <rPr>
        <sz val="12"/>
        <color indexed="8"/>
        <rFont val="Calibri"/>
        <family val="2"/>
      </rPr>
      <t>- One light point controlled by one single way 6 A switch looped from above and subsequnet loops - length upto 5.00 mtrs without switch.</t>
    </r>
  </si>
  <si>
    <r>
      <rPr>
        <b/>
        <sz val="12"/>
        <color indexed="8"/>
        <rFont val="Calibri"/>
        <family val="2"/>
      </rPr>
      <t>Primary Light point (DB Controlled)</t>
    </r>
    <r>
      <rPr>
        <sz val="12"/>
        <color indexed="8"/>
        <rFont val="Calibri"/>
        <family val="2"/>
      </rPr>
      <t xml:space="preserve"> One light point controlled by MCB directly from DB - length upto 30.00 mtrs.</t>
    </r>
  </si>
  <si>
    <t>Secondary Light Point One light point controlled by MCB directly from DB - looped from above and subsequent loops - length upto 5.0 mtrs.</t>
  </si>
  <si>
    <t>POWER POINTS</t>
  </si>
  <si>
    <r>
      <t xml:space="preserve">The following power points are done with </t>
    </r>
    <r>
      <rPr>
        <b/>
        <sz val="12"/>
        <color indexed="8"/>
        <rFont val="Calibri"/>
        <family val="2"/>
      </rPr>
      <t xml:space="preserve">2R x 2.5 sq.mm + 1x1.5 </t>
    </r>
    <r>
      <rPr>
        <sz val="12"/>
        <color indexed="8"/>
        <rFont val="Calibri"/>
        <family val="2"/>
      </rPr>
      <t>Sqmm FRLS Wires. The cost to include PVC LHSFT conduits, inspection bends, junction boxes, with cover plates, FRLS wires, MS switch boxes (surface mounted/concealed), switch plates (of colours white/grey/black), switches (of colours white/grey/black) and sockets (of colours white/grey/black) as per drawings and instructions of the site incharge.</t>
    </r>
  </si>
  <si>
    <r>
      <rPr>
        <b/>
        <sz val="12"/>
        <color indexed="8"/>
        <rFont val="Calibri"/>
        <family val="2"/>
      </rPr>
      <t xml:space="preserve">Primary Power Point - </t>
    </r>
    <r>
      <rPr>
        <sz val="12"/>
        <color indexed="8"/>
        <rFont val="Calibri"/>
        <family val="2"/>
      </rPr>
      <t>One</t>
    </r>
    <r>
      <rPr>
        <sz val="12"/>
        <color indexed="8"/>
        <rFont val="Calibri"/>
        <family val="2"/>
      </rPr>
      <t xml:space="preserve"> 6 A x 5 pin 230 volt socket outlet point controlled by one 6 A switch located on switch board length upto 10.0 mtrs.</t>
    </r>
  </si>
  <si>
    <r>
      <rPr>
        <b/>
        <sz val="12"/>
        <color indexed="8"/>
        <rFont val="Calibri"/>
        <family val="2"/>
      </rPr>
      <t>Secondary Power point One</t>
    </r>
    <r>
      <rPr>
        <sz val="12"/>
        <color indexed="8"/>
        <rFont val="Calibri"/>
        <family val="2"/>
      </rPr>
      <t xml:space="preserve"> 6 A x 5 pin 230 volt socket outlet point controlled by one 6 A switch located on switch board length upto 5.0 mtrs.</t>
    </r>
  </si>
  <si>
    <r>
      <rPr>
        <b/>
        <sz val="12"/>
        <color indexed="8"/>
        <rFont val="Calibri"/>
        <family val="2"/>
      </rPr>
      <t>Two</t>
    </r>
    <r>
      <rPr>
        <sz val="12"/>
        <color indexed="8"/>
        <rFont val="Calibri"/>
        <family val="2"/>
      </rPr>
      <t xml:space="preserve"> 6 A x 5 pin 230 volt socket outlet point controlled by Two 6 A switch located on switch board   length upto 10.0 mtrs.</t>
    </r>
  </si>
  <si>
    <r>
      <t xml:space="preserve">The following power points are done with </t>
    </r>
    <r>
      <rPr>
        <b/>
        <sz val="12"/>
        <color indexed="8"/>
        <rFont val="Calibri"/>
        <family val="2"/>
      </rPr>
      <t xml:space="preserve">2R x 4.0 sq.mm + 1x2.5 </t>
    </r>
    <r>
      <rPr>
        <sz val="12"/>
        <color indexed="8"/>
        <rFont val="Calibri"/>
        <family val="2"/>
      </rPr>
      <t>Sqmm FRLS Wires. The cost to include PVC LHSFT conduits, inspection bends, junction boxes, with cover plates, FRLS wires, MS switch boxes (surface mounted/concealed), switch plates (of colours white/grey/black), switches 6/16A (of colours white/grey/black) and sockets 6/16A (of colours white/grey/black) as per drawings and instructions of the site incharge.</t>
    </r>
  </si>
  <si>
    <r>
      <rPr>
        <b/>
        <sz val="12"/>
        <color indexed="8"/>
        <rFont val="Calibri"/>
        <family val="2"/>
      </rPr>
      <t>Primary Power point One</t>
    </r>
    <r>
      <rPr>
        <sz val="12"/>
        <color indexed="8"/>
        <rFont val="Calibri"/>
        <family val="2"/>
      </rPr>
      <t xml:space="preserve"> 6/16 A x 5 pin 230 volt socket outlet point controlled by one 16 A switch located on switch board length upto 10.0 mtrs.</t>
    </r>
  </si>
  <si>
    <r>
      <rPr>
        <b/>
        <sz val="12"/>
        <color indexed="8"/>
        <rFont val="Calibri"/>
        <family val="2"/>
      </rPr>
      <t>Secondary Power point One</t>
    </r>
    <r>
      <rPr>
        <sz val="12"/>
        <color indexed="8"/>
        <rFont val="Calibri"/>
        <family val="2"/>
      </rPr>
      <t xml:space="preserve"> 6/16 A x 5 pin 230 volt socket outlet point controlled by one 16 A switch located on switch board length upto 5.0 mtrs.</t>
    </r>
  </si>
  <si>
    <r>
      <rPr>
        <b/>
        <sz val="12"/>
        <color indexed="8"/>
        <rFont val="Calibri"/>
        <family val="2"/>
      </rPr>
      <t>Two</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</si>
  <si>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Three</t>
    </r>
    <r>
      <rPr>
        <sz val="12"/>
        <color indexed="8"/>
        <rFont val="Calibri"/>
        <family val="2"/>
      </rPr>
      <t xml:space="preserve"> 16 A x 5 pin 230 volt socket outlet point controlled by Two 16 A switch located on switch board - primary -  length upto 15.0 mtrs.</t>
    </r>
  </si>
  <si>
    <r>
      <rPr>
        <b/>
        <sz val="12"/>
        <color indexed="8"/>
        <rFont val="Calibri"/>
        <family val="2"/>
      </rPr>
      <t>Four</t>
    </r>
    <r>
      <rPr>
        <sz val="12"/>
        <color indexed="8"/>
        <rFont val="Calibri"/>
        <family val="2"/>
      </rPr>
      <t xml:space="preserve"> 16 A x 5 pin 230 volt socket outlet point controlled by Two 16 A switch located on switch board - primary -  length upto 15.0 mtrs.</t>
    </r>
  </si>
  <si>
    <t>Supply &amp; Installation of 16A, 3 pin, Industrial plug top &amp; socket (Male/Female) PVC couplers, Single Phase with 1 Neutral &amp; 1 Earth, &amp; 16A IP-44 weatherproof connectors (Kitchen area)</t>
  </si>
  <si>
    <t>CIRCUIT WIRNG - MAINS &amp; SUB MAINS</t>
  </si>
  <si>
    <t>Providing and drawings mains of the following sizes of Cu. FRLS PVC insulated flexible wires with ISI and FIA approval for 650 V / 1100 V with all necessary accessories in existing/prelaid conduits and raceways.</t>
  </si>
  <si>
    <t>2x16Sqmm +1x6Sqmm</t>
  </si>
  <si>
    <t>mtr</t>
  </si>
  <si>
    <t>2x10Sqmm +1x6Sqmm</t>
  </si>
  <si>
    <t>2x6Sqmm + 1x4Sqmm</t>
  </si>
  <si>
    <t>2x4Sqmm + 1x2.5Sqmm</t>
  </si>
  <si>
    <t>2x2.5Sq.mm + 1x1.5 Sq.mm</t>
  </si>
  <si>
    <t>4x6Sqmm + 2x4Sqmm</t>
  </si>
  <si>
    <t>4x4Sqmm + 2x2.5Sqmm</t>
  </si>
  <si>
    <t>Supply and Installation of  Conduits with juntion boxes, bends, elbows and coupler's including metal back box for data and telephone point  etc., with saddle base's, saddle's etc. fixed on the surface/concealed inside the masonry walls and surface mounted on ceiling soffits, laid over false framing etc. ( For data, voice and speaker cable)</t>
  </si>
  <si>
    <t xml:space="preserve">32mm dia, 2 mm thick PVC LHSFT conduit </t>
  </si>
  <si>
    <t>25mm dia, 2 mm thick PVC LHSFT conduit</t>
  </si>
  <si>
    <t>19mm dia, 2 mm thick PVC LHSFT conduit</t>
  </si>
  <si>
    <t>Total cost of Section 'A' Point wiring</t>
  </si>
  <si>
    <t>L.V.CABLES &amp;  WIRES</t>
  </si>
  <si>
    <t>Providing, laying, testing and commissioning of 1100V grade PVC insulated PVC sheathed steel wire/ tape armoured aluminium conductor cable for mains and sub mains as per specifications and drawings. The cables shall be laid in concrete trenches or buried directly underground or on cable trays. The concrete trenches will be measured separate. The cost of the cable trays or ladders, excavation and back filling of trenches will be measured separate. the unit cost of the cable shall include clamps, fasteners etc. as required for proper installation.</t>
  </si>
  <si>
    <t>ALUMINIUM ARMOURED CABLE</t>
  </si>
  <si>
    <t>3.5C x 240 Sqmm  A2XFY</t>
  </si>
  <si>
    <t>mtr's</t>
  </si>
  <si>
    <t>3.5C x 150 Sqmm  A2XFY</t>
  </si>
  <si>
    <t>3.5C x 95 Sqmm  A2XFY</t>
  </si>
  <si>
    <t>3.5C x 70 Sqmm A2XFY</t>
  </si>
  <si>
    <t>3.5C x 50Sqmm  A2XFY</t>
  </si>
  <si>
    <t>3.5C x 35Sqmm  A2XFY</t>
  </si>
  <si>
    <t>4C x 25Sqmm  A2XFY</t>
  </si>
  <si>
    <t>4C x 16Sqmm  A2XFY</t>
  </si>
  <si>
    <t>COPPER ARMOURED CABLE</t>
  </si>
  <si>
    <t>4C x 16 Sqmm 2XWY Cable</t>
  </si>
  <si>
    <t>4C x 10 Sqmm 2XWY Cable</t>
  </si>
  <si>
    <t>4C x 6 Sqmm 2XWY Cable</t>
  </si>
  <si>
    <t>4C x 4 Sqmm 2XWY Cable</t>
  </si>
  <si>
    <t>4C x 2.5 Sqmm 2XWY Cable</t>
  </si>
  <si>
    <t>3C x 6 Sqmm 2XWY Cable</t>
  </si>
  <si>
    <t>3C x 4 Sqmm 2XWY Cable</t>
  </si>
  <si>
    <t>3C x 2.5 Sqmm 2XWY Cable</t>
  </si>
  <si>
    <t>1C x 50 Sqmm YY Cable</t>
  </si>
  <si>
    <t>1C x 6 Sqmm YY Cable</t>
  </si>
  <si>
    <t>PRIMARY POINT 2C X 4 Sq. mm - LED DRIVER</t>
  </si>
  <si>
    <t>SECONDARY POINT 2C X 2.5 Sq. mm - LED DRIVER</t>
  </si>
  <si>
    <t>Supply &amp; Installing cable terminations for the below cables including Double compression suitable glands and lugs(crimping type), PVC taping as required and all accessories complete. (For aluminium cable, Aluminium Glands &amp; lugs to be used. For copper cables, glands &amp; lugs will be copper) ( The rate shall include gland earthing also.)</t>
  </si>
  <si>
    <t>Providing &amp; laying of 2mm thick and 50mm in height ladder type GI cable tray of the following sizes . ( The rate shall include all accessories required for wall mounting, floor run, ceiling hung etc. with all neccessary MS/GI supports, RCC fastners, MS/GI bolts - nuts - washers etc.,  cost of MS supports is included )</t>
  </si>
  <si>
    <t>LADDER GI CABLE TRAY</t>
  </si>
  <si>
    <t>600X100 mm</t>
  </si>
  <si>
    <t>400X 50mm</t>
  </si>
  <si>
    <t>300X40 mm</t>
  </si>
  <si>
    <t>150X40 mm</t>
  </si>
  <si>
    <r>
      <t>Supply &amp; Installation of floor mounted</t>
    </r>
    <r>
      <rPr>
        <b/>
        <sz val="12"/>
        <color indexed="8"/>
        <rFont val="Calibri"/>
        <family val="2"/>
      </rPr>
      <t xml:space="preserve"> GI Race way</t>
    </r>
    <r>
      <rPr>
        <sz val="12"/>
        <color indexed="8"/>
        <rFont val="Calibri"/>
        <family val="2"/>
      </rPr>
      <t xml:space="preserve"> (2.0/1.6mm thick) with cover's </t>
    </r>
  </si>
  <si>
    <t>300 x 50mm,  2.0 mm thick</t>
  </si>
  <si>
    <t>200 x 50mm , 1.6mm thick</t>
  </si>
  <si>
    <t>150 x 50mm, 1.6mm thick</t>
  </si>
  <si>
    <t>100 x 50mm, 1.6mm thick</t>
  </si>
  <si>
    <t xml:space="preserve">50 x 50mm, 1.6mm thick </t>
  </si>
  <si>
    <r>
      <t xml:space="preserve">Supply &amp; Installation of wall/ceiling mounted </t>
    </r>
    <r>
      <rPr>
        <b/>
        <sz val="12"/>
        <color indexed="8"/>
        <rFont val="Calibri"/>
        <family val="2"/>
      </rPr>
      <t xml:space="preserve">GI Race way junction boxes </t>
    </r>
    <r>
      <rPr>
        <sz val="12"/>
        <color indexed="8"/>
        <rFont val="Calibri"/>
        <family val="2"/>
      </rPr>
      <t xml:space="preserve">with top openable cover's </t>
    </r>
  </si>
  <si>
    <t>325 X 325 X 75 mm</t>
  </si>
  <si>
    <t>225 X 225 X 75 mm</t>
  </si>
  <si>
    <t>175 X 175 X 75 mm</t>
  </si>
  <si>
    <t>125 X 125 X 75 mm</t>
  </si>
  <si>
    <t xml:space="preserve">Supply and laying of MS angle ( MS sections of all types and sizes with welding and all types of fasyened arrangements etc. ) as per site manager's aproval  </t>
  </si>
  <si>
    <t>Kg's</t>
  </si>
  <si>
    <t>Total cost of Section 'B' L.V. Cables &amp; Wires</t>
  </si>
  <si>
    <t>LT PANELS AND DISTRIBUTION BOARDS</t>
  </si>
  <si>
    <t>Supply, installation, testing and commissioning of M.V.Distribution Boards suitable for 415V, 3 ph, 4 wire, 50Hz distribution system. The panel shall be free standing, floor mounting, sheet metal enclosed, flush front with aluminium busbars, separate earth bus shall be provided throughout the length of the panel. The incoming and the outgoing feeder breakers, switch fuse units, change over switches, indicating lamps, meters etc. shall be accommodated in a modular multi tier arrangement. A minimum of 400mm clearance shall be given from the floor level to the bottom most termination point. The painting shall be done in conformity with IS code. Adequate size cable alley shall be provided all round the panel and at the back for easy bending and terminations. The outgoing feeders inside the panel shall be connected through solid busbars. Flexible cable links are not acceptable. Busbars shall be provided with PVC heat shrinkable sleeves or heat resistant insulated paint. The panels shall be suitable for cable entry from top. The copper earth strip of minimum 25mm x 3mm shall run throught out the length of the top / bottom of the panel ( All MCCB'c are Thermal magnetic released MCCB'S), All the MCCB,s should have rotary handle ( RHOM))</t>
  </si>
  <si>
    <t>General Notes:</t>
  </si>
  <si>
    <t xml:space="preserve">The construction of the panel shall comply to latest standards of IEC 61439. </t>
  </si>
  <si>
    <t>The Panel shall be fully as per the requirement of Electrical Inspectorate/ CEIG authorities.</t>
  </si>
  <si>
    <t>Auxilliary contactor to be provided along with auto-manual switch .</t>
  </si>
  <si>
    <t>All doors to have double rubber gasket with shutter assembly &amp; door seating frame.</t>
  </si>
  <si>
    <r>
      <t>Any panel if more than 2.5</t>
    </r>
    <r>
      <rPr>
        <strike/>
        <sz val="12"/>
        <color indexed="8"/>
        <rFont val="Calibri"/>
        <family val="2"/>
      </rPr>
      <t xml:space="preserve"> </t>
    </r>
    <r>
      <rPr>
        <sz val="12"/>
        <color indexed="8"/>
        <rFont val="Calibri"/>
        <family val="2"/>
      </rPr>
      <t>mts width should be made in parts each part not exceeding  2.5mts</t>
    </r>
  </si>
  <si>
    <t>All UPS outgoing panels shall have  neutral busbars double the size of phase.</t>
  </si>
  <si>
    <t>g</t>
  </si>
  <si>
    <t xml:space="preserve">Breaker terminal connections from the dropper bus shall be through only Al/Cu. bus to be used. </t>
  </si>
  <si>
    <t>h</t>
  </si>
  <si>
    <t>The Bus bars and connectors should have extruded insulation</t>
  </si>
  <si>
    <t>i</t>
  </si>
  <si>
    <t>Base frame shall be with each panel. The size will be equal to each section.</t>
  </si>
  <si>
    <t>j</t>
  </si>
  <si>
    <t>Bi-metallic tape / washers to be used where ever copper &amp; Aluminium are joined.</t>
  </si>
  <si>
    <t>k</t>
  </si>
  <si>
    <t>Auto-Manual  switch  shall be  provided for all motorised breakers.</t>
  </si>
  <si>
    <t>l</t>
  </si>
  <si>
    <t>All the DB's should be installed with suitable cable end boxes or suitable frames.</t>
  </si>
  <si>
    <t>m</t>
  </si>
  <si>
    <t>Specification proposed only for Tender purpose. The contractor has to submit final BOM for our approval as per SLD.</t>
  </si>
  <si>
    <t>n</t>
  </si>
  <si>
    <t>Contractor should refer drawings and site conditions before quoting the panels.</t>
  </si>
  <si>
    <t>o</t>
  </si>
  <si>
    <t>Panel Vendor should submit actual BOM as per SLD. All the panels shall be as per SLD only.</t>
  </si>
  <si>
    <t>p</t>
  </si>
  <si>
    <t>IP-54 for indoor type and IP-65 for outdoor type</t>
  </si>
  <si>
    <t>q</t>
  </si>
  <si>
    <t>Prior ordering any items contractor has to take approval from Cinepolis Site/Project incharge.</t>
  </si>
  <si>
    <t>MAIN DISTRIBUTION PANEL-MDB ( Refer SLD 1 ) 
Indoor</t>
  </si>
  <si>
    <t>SET</t>
  </si>
  <si>
    <t>Incommer -1 / Incommer - 2</t>
  </si>
  <si>
    <t>1000A TPN 50 kA ACB  microprocessor based O/L, S/C and E/F release-2 Set</t>
  </si>
  <si>
    <t>Breaker ON / OFF / TRIP indicating lamps with suitable rating control SP MCB - 2 Set</t>
  </si>
  <si>
    <t>RYB phase indicating lamps with suitable rating control SP MCB - 2 Set</t>
  </si>
  <si>
    <t>CT 1000/5A 15 VA, CL.1- 3 Nos+
1 No. 1000/5A CT for RTPFC panel (Provision)</t>
  </si>
  <si>
    <t>MFM with RS-485 port- 2 Set (parameters V, I, Hz, KWH, PF, KW, KVAR, max. demand KW)</t>
  </si>
  <si>
    <t>Incomer 1 &amp; 2 to be interlocked electromechanically.</t>
  </si>
  <si>
    <t>Outgoing</t>
  </si>
  <si>
    <t>630A FP MCCB, 25kA Thermal magnetic based O/L, S/C release- 1 Set with CT &amp; KWH meter</t>
  </si>
  <si>
    <t>160A FP MCCB, 25kA thermal magnetic based O/L, S/C release- 3 Set with CT &amp; KWH meter</t>
  </si>
  <si>
    <t>125A FP MCCB, 25kA thermal magnetic based O/L, S/C release-  1Set with CT &amp; KWH meter</t>
  </si>
  <si>
    <t>63A FP MCB, 10kA-10 Nos with KWH meter</t>
  </si>
  <si>
    <t>40A FP MCB, 10kA-4 Nos with KWH meter</t>
  </si>
  <si>
    <t>UPS OUTPUT PANEL (60KVA) ( Refer SLD 2) Indoor type</t>
  </si>
  <si>
    <t>Incomer:-</t>
  </si>
  <si>
    <t>160A FP Changeover switch- 1Set</t>
  </si>
  <si>
    <t>160A FP MCCB,25kA thermal magnetic based O/L, S/C release - 1Set</t>
  </si>
  <si>
    <t>Metering &amp; Protection:-</t>
  </si>
  <si>
    <t>Breaker ON / OFF / TRIP indicating lamps with suitable rating control SP MCB - 1Set</t>
  </si>
  <si>
    <t>Digital Protection MCB, VSS, Voltmeter-2 Set</t>
  </si>
  <si>
    <t>CT 160/5A 15 VA, CL.1- 1 Set</t>
  </si>
  <si>
    <t>Busbar:-</t>
  </si>
  <si>
    <t>160A TP+2N AL busbar (25KA) insulated with colour coded heat shrinkable sleeves. Current density 0.8A/ Sqmm.</t>
  </si>
  <si>
    <t>Outgoing:-</t>
  </si>
  <si>
    <t>63A FP MCB 10kA- 6 Nos</t>
  </si>
  <si>
    <t>PDB CONCESSION ( Refer SLD 8) Indoor type</t>
  </si>
  <si>
    <t xml:space="preserve">63A 100 mA DP RCCB-3 Nos </t>
  </si>
  <si>
    <t xml:space="preserve">63A 100 mA FP RCCB-1 Nos </t>
  </si>
  <si>
    <t>RYB phase indicating lamps with suitable rating control SP MCB -1 Set</t>
  </si>
  <si>
    <t>Digital VAF Meter</t>
  </si>
  <si>
    <t>10-32A SP MCB - 30 Nos</t>
  </si>
  <si>
    <t>63A FP MCB 10kA- 4 Nos</t>
  </si>
  <si>
    <t>HVAC panel-1  ( Refer SLD 6 ) indoor</t>
  </si>
  <si>
    <t>630A FP MCCB,35kA thermal magnetic based O/L, S/C, E/F release - 1Set</t>
  </si>
  <si>
    <t>Metering &amp; Protection:- (each incomer)</t>
  </si>
  <si>
    <t>RYB phase indicating lamps with suitable rating control SP MCB - 1Set</t>
  </si>
  <si>
    <t>MFM with RS-485 port- 1Set (parameters V, I, Hz, KWH, PF, KW, KVAR)</t>
  </si>
  <si>
    <t>CT 600/5A 15 VA, CL.1- 3 Nos</t>
  </si>
  <si>
    <t>600A TPN Al busbar (35KA) insulated with colour coded heat shrinkable sleeves. Current density 0.8A/ Sqmm.</t>
  </si>
  <si>
    <t>100A FP MCCB-6 Nos</t>
  </si>
  <si>
    <t>10-32A FP MCB - 15 Nos</t>
  </si>
  <si>
    <t>40-63A FP MCB - 3 Nos</t>
  </si>
  <si>
    <t>Smoke exhaust panel  ( Refer SLD 7 ) Outdoor</t>
  </si>
  <si>
    <t>160A FP MCCB,25kA thermal magnetic based O/L, S/C, E/F release - 1Set</t>
  </si>
  <si>
    <t>MFM with RS-485 port-  1 Set (parameters V, I, Hz, KWH, PF, KW, KVAR)</t>
  </si>
  <si>
    <t>CT 160/5A 15 VA, CL.1- 3 Nos</t>
  </si>
  <si>
    <t>160A TPN Al busbar (25KA) insulated with colour coded heat shrinkable sleeves. Current density 0.8A/ Sqmm.</t>
  </si>
  <si>
    <t>10-32A FP MCB 10kA- 15Nos</t>
  </si>
  <si>
    <t>TOTAL OF LT FABRICATED PANELS</t>
  </si>
  <si>
    <t>LT DISTRIBUTION BOARDS</t>
  </si>
  <si>
    <t>Supply, installation, testing and commissioning of the following Distribution Boards made of 18 gauge powder coated MS sheet steel, Cu busbar, wall mounted/fully recessed in wall, indoor industrial type, with dust proof, hinged and lockable doors, double door design, complete with inter connecting wires from incomer MCB to each RCCB along with earthing terminal. The top and bottom of the box shall have adequate number of knockouts suitable to receive the conduits and cables. All MCB to be 10kA. All MCBs are C curve except UPS DBs. IP-43. Refer SLD.</t>
  </si>
  <si>
    <t>LPDB AUDI 1,2,3,4 (Refer SLD 11,12,13,14)</t>
  </si>
  <si>
    <t>12 WAY TPN DB</t>
  </si>
  <si>
    <t>63A FP MCB, 10kA- 1No</t>
  </si>
  <si>
    <t>Sub-incomer:-</t>
  </si>
  <si>
    <t xml:space="preserve">40A DP RCCB, 100mA- 3Nos </t>
  </si>
  <si>
    <t xml:space="preserve">Outgoing: - </t>
  </si>
  <si>
    <t xml:space="preserve">6-25A SP MCB, 10kA- 30 Nos </t>
  </si>
  <si>
    <t>AUDI projection DB ( Refer SLD 2.2 to 2.4 )</t>
  </si>
  <si>
    <t>Flexi DB 4R X 14 M</t>
  </si>
  <si>
    <t>63A FP MCB, 10kA- 1Nos</t>
  </si>
  <si>
    <t xml:space="preserve">10-32A DP MCB, 10kA- 12 Nos </t>
  </si>
  <si>
    <t xml:space="preserve">32A FP MCB, 10kA- 2 Nos </t>
  </si>
  <si>
    <t>AUDI EM UPS O/P DB (Refer SLD 3)</t>
  </si>
  <si>
    <t>12 Way SPN DB</t>
  </si>
  <si>
    <t>40A DP MCB, 10kA- 1No</t>
  </si>
  <si>
    <t>32A DP MCB, 10kA  5 Nos</t>
  </si>
  <si>
    <t>EM-DB AUDI 1/2/3/4 (Refer SLD 3.1 to 3.4)</t>
  </si>
  <si>
    <t>25A DP RCBO, 30kA- 1No</t>
  </si>
  <si>
    <t>10-16A SP MCB, 10kA - 8 Nos</t>
  </si>
  <si>
    <t>UPS 3 IT O/P DB ( Refer SLD 4)</t>
  </si>
  <si>
    <t>63A DP MCB- 1No</t>
  </si>
  <si>
    <t>10-16A SP MCB, 10kA - 4 Nos</t>
  </si>
  <si>
    <t>IT UPS DB-1 ( Refer SLD 4.1)</t>
  </si>
  <si>
    <t xml:space="preserve">SET </t>
  </si>
  <si>
    <t>16A DP MCB- 1No</t>
  </si>
  <si>
    <t>IT UPS DB-2 ( Refer SLD 4.2)</t>
  </si>
  <si>
    <t>LOBBY INVERTER O/P DB ( Refer SLD 5)</t>
  </si>
  <si>
    <t xml:space="preserve">12 way SPN DB </t>
  </si>
  <si>
    <t>32A DP MCB, 10kA- 5 Nos</t>
  </si>
  <si>
    <t>EM LDB 1, 2 ( Refer SLD 5.1 to 5.2)</t>
  </si>
  <si>
    <t>32A DP RCCB, 30mA- 1No</t>
  </si>
  <si>
    <t xml:space="preserve">10-16A SP MCB, 10kA- 6Nos </t>
  </si>
  <si>
    <t>AUDI EQUIPMENT DB ( Refer SLD 7.11, 7.12)</t>
  </si>
  <si>
    <t>4 Row 36 Way Flexy DB</t>
  </si>
  <si>
    <t>200A FP MCCB - 1Nos</t>
  </si>
  <si>
    <t xml:space="preserve">40A FP MCB, 10kA- 9 Nos </t>
  </si>
  <si>
    <t>PDB WARE HOUSE</t>
  </si>
  <si>
    <t>8 WAY TPN DB</t>
  </si>
  <si>
    <t xml:space="preserve">16-25A SP MCB, 10kA- 12Nos </t>
  </si>
  <si>
    <t>LDB-1  LOBBY /LD-2 Admin (Refer SLD 15 &amp; 16)</t>
  </si>
  <si>
    <t xml:space="preserve">40A DP RCCB, 30mA- 3Nos </t>
  </si>
  <si>
    <t xml:space="preserve">6-16A SP MCB, 10kA- 30Nos </t>
  </si>
  <si>
    <t>PDB 1 LOBBY / Signage poster DB (Refer SLD 17 &amp; 18)</t>
  </si>
  <si>
    <t xml:space="preserve">16-25A SP MCB, 10kA- 18Nos </t>
  </si>
  <si>
    <t>Supply &amp; installation 1-phase, 3 pin Metal clad socket and plug top controlled by 16-25A, DP MCB in a metallic enclosure</t>
  </si>
  <si>
    <t>Supply &amp; installation 1-phase, 20-25A 3 pin Metal clad socket and plug top controlled by 20-25A, DP MCB in a polycarbonate enclosure IP-65 weathe proof  (For kitchen area)</t>
  </si>
  <si>
    <t>Supply &amp; installation 3-phase, 32A 3 pin Metal clad socket and plug top controlled by 32A, FP MCB in a polycarbonate enclosure IP-65 weather proof (For kitchen)</t>
  </si>
  <si>
    <t>Supply &amp; installation 3-phase, 32A 3 pin Metal clad socket and plug top controlled by 32A, FP MCB in a metallic enclosure</t>
  </si>
  <si>
    <t>Total cost of Section 'C' LT Panels &amp; DB's</t>
  </si>
  <si>
    <t>D</t>
  </si>
  <si>
    <t xml:space="preserve"> EARTHING SYSTEM</t>
  </si>
  <si>
    <t>Providing &amp; fixing of earth conductor,  dressing as per following sizes including its necessary end connections complete.</t>
  </si>
  <si>
    <t>50 x 6mm GI strip</t>
  </si>
  <si>
    <t>50 x 3mm Cu. strip</t>
  </si>
  <si>
    <t>50 x 3mm GI strip</t>
  </si>
  <si>
    <t>25 x 6mm  GI strip</t>
  </si>
  <si>
    <t>25 x 3mm  GI strip</t>
  </si>
  <si>
    <t>8 S.W.G GI wire</t>
  </si>
  <si>
    <t>1C x 70 Sqmm Cu. Ar. Cable</t>
  </si>
  <si>
    <t>1C x 35 Sqmm Cu.Ar. Cable</t>
  </si>
  <si>
    <t>1C x 25 Sqmm Cu.Ar. Cable</t>
  </si>
  <si>
    <t>1C x 16 Sqmm Cu. Ar.cable</t>
  </si>
  <si>
    <t>1C x 10 Sqmm Cu. Ar.cable</t>
  </si>
  <si>
    <t>1C x 95 Sqmm CU Flexible cable</t>
  </si>
  <si>
    <t>1C x 16 Sqmm CU Flexible cable</t>
  </si>
  <si>
    <t>1C x 10 Sqmm CU Flexible cable</t>
  </si>
  <si>
    <t>1C x 6 Sqmm CU flexible wire</t>
  </si>
  <si>
    <t>1C x 4 Sqmm CU flexible wire</t>
  </si>
  <si>
    <t>Earthing Tap off box with 300 mm long  50 x 6 mm Cu strip with required insulators .</t>
  </si>
  <si>
    <r>
      <rPr>
        <b/>
        <sz val="12"/>
        <color indexed="8"/>
        <rFont val="Calibri"/>
        <family val="2"/>
      </rPr>
      <t>Earth Busbar Box :</t>
    </r>
    <r>
      <rPr>
        <sz val="12"/>
        <color indexed="8"/>
        <rFont val="Calibri"/>
        <family val="2"/>
      </rPr>
      <t xml:space="preserve"> 300mm x 150mm x 100mm Potential Free Box with required number of earthing bushings and insulation for earth terminals</t>
    </r>
  </si>
  <si>
    <t>Total cost of Section 'D' Earthing</t>
  </si>
  <si>
    <t>E</t>
  </si>
  <si>
    <t>INSTALLATION OF LIGHT FIXTURES.</t>
  </si>
  <si>
    <t>Installation  of lighting fixtures is excluded from the scope of this tender.</t>
  </si>
  <si>
    <t>RECESSED LED PANEL ANKUR XPERTZ ANKUR XRL (592 X 592MM); COLOUR: WHITE LIGHT ; 40W; FINISH: WHITE; 2900 LF, Code in drawing D00955</t>
  </si>
  <si>
    <t>TUBE 18W LED 6500K. SUPPLY OF LED TUBE LIGHT; 4FT; WHITE ALUMINIUM ALLOY BODY WITH PMMA COVER; BEAM ANGLE: 120°, C.R.I. &gt;80; LIFE SPAN : 50,000 HRS. Code in drawing D011164</t>
  </si>
  <si>
    <t>LED 9W TUBE LIGHT, 6500K, WHITE SHAPE, 2FT (609.6MM), 80LUX. BEAM ANGLE: 170°. IP20. C.R.I.&gt;80. LIFESPAN 50.000H. Code in drawing D008611</t>
  </si>
  <si>
    <t>DOWNLIGHT LED FOR AUDI, 2700K, BLACK SHAPE, 6W. IP20. C.R.I.&gt;85. DIAMETER 85MM AND 97MM HEIGHT. LIFESPAN 50.000H. Code in drawing D008615</t>
  </si>
  <si>
    <r>
      <t>Recessed downlight LED, LED make OSRAM/LT 3000K, White aluminium die cast diameter 89 mm Height 55 mm 15 W, Beam angle 36</t>
    </r>
    <r>
      <rPr>
        <vertAlign val="superscript"/>
        <sz val="12"/>
        <color indexed="8"/>
        <rFont val="Calibri"/>
        <family val="2"/>
      </rPr>
      <t xml:space="preserve">0  </t>
    </r>
    <r>
      <rPr>
        <sz val="12"/>
        <color indexed="8"/>
        <rFont val="Calibri"/>
        <family val="2"/>
      </rPr>
      <t>IP 20, CRI&gt;80 Lifespan 50,000Hrs. code in drawing D009255</t>
    </r>
  </si>
  <si>
    <t>RECESSED DOWNLIGHT LED, LED MAKE: OSRAM/LT, 3000K, WHITE ALUMINUM DIE-CAST, DIAMETER 74mm, HEIGHT 55mm. 7W. BEAM ANGLE: 36°, IP20, C.R.I.&gt;80. LIFESPAN 50.000H., Code in drawing D011140</t>
  </si>
  <si>
    <t xml:space="preserve">LED STRIP, CEILING/WALL MOUNT, 3000°K, COPPER AND PCB, DOT FREE (WITH MILKY PVC COVER). 60 LED/M, 10W/M, IP20, C.R.I.&gt;80. LIFESPAN: 3,000H. (5.4 Meter each length)  Code in drawing D011168 </t>
  </si>
  <si>
    <r>
      <t xml:space="preserve">PENDANT LED, 3000K, BLACK EXTRUDED ALUMINIUM SHAPE, 4W, 300LUX. BEAM ANGLE: 24°. IP20. C.R.I.&gt;85. DIMENSIONS: </t>
    </r>
    <r>
      <rPr>
        <b/>
        <sz val="12"/>
        <color indexed="8"/>
        <rFont val="Calibri"/>
        <family val="2"/>
      </rPr>
      <t>12000X38</t>
    </r>
    <r>
      <rPr>
        <sz val="12"/>
        <color indexed="8"/>
        <rFont val="Calibri"/>
        <family val="2"/>
      </rPr>
      <t>MM AND 75MM HEIGHT. LIFESPAN 50.000H. Code in drawing D011141</t>
    </r>
  </si>
  <si>
    <t>Mtrs</t>
  </si>
  <si>
    <r>
      <t xml:space="preserve">PENDANT LED, 3000K, BLACK EXTRUDED ALUMINIUM SHAPE, 4W, 300LUX. BEAM ANGLE: 24°. IP20. C.R.I.&gt;85. DIMENSIONS: </t>
    </r>
    <r>
      <rPr>
        <b/>
        <sz val="12"/>
        <color indexed="8"/>
        <rFont val="Calibri"/>
        <family val="2"/>
      </rPr>
      <t>12000X38MM</t>
    </r>
    <r>
      <rPr>
        <sz val="12"/>
        <color indexed="8"/>
        <rFont val="Calibri"/>
        <family val="2"/>
      </rPr>
      <t xml:space="preserve"> AND 75MM HEIGHT. LIFESPAN 50.000H. Code in drawing D011142</t>
    </r>
  </si>
  <si>
    <t>RECESSED DOWNLIGHT LED, LED MAKE: OSRAM/LT, 3000K, WHITE ALUMINUM DIE-CAST, DIAMETER 56mm, HEIGHT 38mm. 3W. BEAM ANGLE: 36°, IP20, C.R.I.&gt;80. LIFESPAN 50.000H. Code in drawing D011143</t>
  </si>
  <si>
    <t>LED STRIP, CEILING/WALL MOUNT, 4000°K, COPPER AND PCB, DOT FREE (WITH MILKY PVC COVER). 60 LED/M, 10W/M, IP20, C.R.I.&gt;80. LIFESPAN: 3,000H. Code in drawing D0118614</t>
  </si>
  <si>
    <t>EMERGENCY LIGHT WITH EXIT TEXT, WALL MOUNTED, LED MAKE OSRAM/LT, 6500K, MS BODY WHITE/BLACK, 6W. BEAM ANGLE: 120°, IP20, C.R.I. &gt;85. LIFE SPAN: 50,000. FIXTURE DIMENSION: LENGTH 300mm, HEIGHT 272mm, WIDTH 10mm Code in drawing  D009971 Exit Signage</t>
  </si>
  <si>
    <t>EMERGENCY LIGHT WITHOUT EXIT TEXT, WALL MOUNTED, LED MAKE OSRAM/LT, 6500K, MS BODY WHITE/BLACK, 6W. BEAM ANGLE: 120°, IP20, C.R.I. &gt;85. LIFE SPAN: 50,000. FIXTURE DIMENSION: LENGTH 300mm, HEIGHT 272mm, WIDTH 10mm</t>
  </si>
  <si>
    <t>LED TUBE LIGHT 900MM LONG TO ILLUMINATE CONCESSIONS' BACK WALL. TO BE DEFINED. Code in drawing LT 26</t>
  </si>
  <si>
    <t>Maintenance 1X28 W LED luminary</t>
  </si>
  <si>
    <t>MAINTENANCE AUDI LIGHT: FLOODLIGHT WITH U-CLAMP; 30W; BLACK IN COLOUR; COLOR TEMPERATURE: 3000K; LIFE SPAN: 50,000 HRS ; LUMINOUS EFFICACY 120LM/W. ALL COMPONENT LIKE CONTROL GEAR, STEP DOWN TRANSFORMERS, ETC., INTERNAL WIRING BETWEEN ACCESSORIES
Code in drg : D000 865</t>
  </si>
  <si>
    <t>Total cost of Section 'E' Lighting fixtures</t>
  </si>
  <si>
    <t>F</t>
  </si>
  <si>
    <t>COMMUNICATION DATA AND VOICE</t>
  </si>
  <si>
    <t>20 pair jelly filled Armoured Cu telephone cable</t>
  </si>
  <si>
    <t>TAG Box suitable for 50pair armoured cu tel cable with crown</t>
  </si>
  <si>
    <t>TAG Box suitable for 20pair armoured cu tel cable with crown</t>
  </si>
  <si>
    <t>Sets</t>
  </si>
  <si>
    <t xml:space="preserve">Supply and wiring for telephone system using 2 pair telephone cable in existing conduit. 
</t>
  </si>
  <si>
    <t>Supply and installation of CAT 6A cable in existing conduit</t>
  </si>
  <si>
    <t>Supply and installation of CAT 6 S/FTP cable in existing conduit</t>
  </si>
  <si>
    <t>Supply and installation of CAT 7 ( TMS to each proj Rm ) cable in existing conduit</t>
  </si>
  <si>
    <t>Supply, laying, testing and commissioning of 12 Core Single Mode Optical Fibre Cable, conforming to ITU-T G.652D / G.657A1 standard, comprising colour-coded fibres housed in a loose tube / tight buffered construction, with FR / LSZH outer sheath suitable for indoor installation.</t>
  </si>
  <si>
    <t>Supply, installation, testing and commissioning of High-Speed HDMI Cable, compliant with HDMI 2.0 / 2.1 standards, capable of supporting Full HD / 4K / 8K video resolution, HDR, Ethernet and Audio Return Channel (ARC/eARC) as applicable.
Cable shall be factory-terminated with gold-plated HDMI Type-A connectors at both ends, with high-quality copper conductors, multi-layer shielding for EMI protection, and durable PVC / LSZH outer jacket. (Considering length 5 Mtrs)</t>
  </si>
  <si>
    <t>Supply and installation of RG 6 cable in existing conduit</t>
  </si>
  <si>
    <t>Supply, installation, testing and commissioning of clip on telephone  type  outlet  mounted on a GI outlet box with front plate and all necessary accessories complete as required  including the termination of wires.(RJ11)</t>
  </si>
  <si>
    <t>Supply, installation, testing and commissioning of clip on Data   outlet  mounted on a GI outlet box with front plate and all necessary accessories complete as required  including the termination of wires.(RJ45)</t>
  </si>
  <si>
    <t>Supply and ,installation of Novar/ Steelways make floor mounted Ega box  250 mm by 250 mm for housing 2Nos 6A socket with 1Nos 6A switch on UPS and 1Nos 6A socket with 1Nos 6A switch on Raw power and 2Nos data/voice boxes complete as required. ( For QR code scanner)</t>
  </si>
  <si>
    <t>Supply and ,installation of Novar/ Steelways make floor mounted Ega box  100 mm by 100 mm for housing 6/16A switch and socket complete as required. (For DFMD)</t>
  </si>
  <si>
    <t>Total cost of Section 'F' Communication, Data &amp; Voice</t>
  </si>
  <si>
    <t>G</t>
  </si>
  <si>
    <t>AUDI SPEAKER SYSTEM WIRING</t>
  </si>
  <si>
    <t>Audi speaker wiring in medium gauge PVC conduit</t>
  </si>
  <si>
    <t>Supply and installation of following sizes of FRLS Medium gauge PVC conduit  recess /Surface in Floor/ wall including all accessories, GI fish wire, fixing hardware etc. including chasing the wall / floor and plastering the chased portion and making the good the damages etc. complete as required for PA &amp; Music system wiring as required.</t>
  </si>
  <si>
    <t>Medium gauge PVC conduit 20 mm dia</t>
  </si>
  <si>
    <t>Mtr</t>
  </si>
  <si>
    <t>Medium gauge PVC conduit 25 mm dia</t>
  </si>
  <si>
    <t>Medium gauge PVC conduit 32 mm dia</t>
  </si>
  <si>
    <t>Medium gauge PVC conduit 40 mm dia</t>
  </si>
  <si>
    <t>Medium gauge PVC conduit 50 mm dia</t>
  </si>
  <si>
    <t>Medium gauge PVC conduit 65 mm dia</t>
  </si>
  <si>
    <r>
      <t>Supply, installation, testing &amp; commissioning of audi speaker wiring using</t>
    </r>
    <r>
      <rPr>
        <b/>
        <sz val="11"/>
        <rFont val="Calibri"/>
        <family val="2"/>
      </rPr>
      <t xml:space="preserve"> 2 Nos. 4 Sq.mm</t>
    </r>
    <r>
      <rPr>
        <sz val="11"/>
        <rFont val="Calibri"/>
        <family val="2"/>
      </rPr>
      <t xml:space="preserve"> multistranded flexible FRLS PVC wire in</t>
    </r>
    <r>
      <rPr>
        <b/>
        <sz val="11"/>
        <rFont val="Calibri"/>
        <family val="2"/>
      </rPr>
      <t xml:space="preserve"> already laid  </t>
    </r>
    <r>
      <rPr>
        <sz val="11"/>
        <rFont val="Calibri"/>
        <family val="2"/>
      </rPr>
      <t>FRLS medium guage PVC conduit with accessories for auditorium speakers laying on surface / concealed as required.</t>
    </r>
  </si>
  <si>
    <r>
      <t xml:space="preserve">Supply, installation, testing &amp; commissioning of audi speaker wiring using </t>
    </r>
    <r>
      <rPr>
        <b/>
        <sz val="11"/>
        <rFont val="Calibri"/>
        <family val="2"/>
      </rPr>
      <t xml:space="preserve">2 Nos. 6 </t>
    </r>
    <r>
      <rPr>
        <sz val="11"/>
        <rFont val="Calibri"/>
        <family val="2"/>
      </rPr>
      <t xml:space="preserve">Sq.mm multistranded flexible FRLS PVC wire in </t>
    </r>
    <r>
      <rPr>
        <b/>
        <sz val="11"/>
        <rFont val="Calibri"/>
        <family val="2"/>
      </rPr>
      <t xml:space="preserve">already laid </t>
    </r>
    <r>
      <rPr>
        <sz val="11"/>
        <rFont val="Calibri"/>
        <family val="2"/>
      </rPr>
      <t xml:space="preserve"> FRLS medium guage PVC conduit with accessories for auditorium speakers laying on surface / concealed as required.</t>
    </r>
  </si>
  <si>
    <t>TOTAL OF AUDI SPEAKER SYSTEM</t>
  </si>
  <si>
    <t>H</t>
  </si>
  <si>
    <t>Temporary Electrical Works</t>
  </si>
  <si>
    <t>Providing temporary construction lighting and power for the Floors including Project Managers office area by using required 20nos. 1 x 20 Watt LED fixtures with cover (minimum 250 Lux), required flexible double insulated FRLS copper wiring, distribution board, minimum 25 nos. 40 W LED flood light , earthing,  throught the duration of the project. It will be the responsibility of Electrical Contractor to distribute power to all the contractors working at site. The rates shall be all inclusive. (All item mentioned above, shall be new and of good quality by considering site safety parameter.Old and repaired item shall never be allowed to used at site.) Wall chipping for utility sockets, safety glasses for UPS and Battery room, Hand gloves 1100V grade for electrical rooms, shall also be included.</t>
  </si>
  <si>
    <t>LS</t>
  </si>
  <si>
    <t>Total cost of Section 'G' Safety &amp; Miscilanious</t>
  </si>
  <si>
    <t>SECTION</t>
  </si>
  <si>
    <t>RENOVATION</t>
  </si>
  <si>
    <t>EARTHING SYSTEM</t>
  </si>
  <si>
    <t>GST @ 18%</t>
  </si>
  <si>
    <t>Grand Total</t>
  </si>
  <si>
    <t>TEMPORARY WORK</t>
  </si>
  <si>
    <t>Labor Cess @ 1%</t>
  </si>
  <si>
    <t>Sub - Total</t>
  </si>
  <si>
    <t>PROJECT : CINEPOLIS INDIA PVT LTD, K-MALL, JODHPUR</t>
  </si>
  <si>
    <t xml:space="preserve">BILL OF QUANTITIES FOR CCTV SYSTEM </t>
  </si>
  <si>
    <t>SR. NO.</t>
  </si>
  <si>
    <t>SHORT TEXT
(Character limit 40 only)</t>
  </si>
  <si>
    <t>Qty</t>
  </si>
  <si>
    <t>AMOUNT
(Rs.)</t>
  </si>
  <si>
    <t>IP CCTV</t>
  </si>
  <si>
    <t>Supply, Installation, Testing &amp; Commissioning of Network (IP) Based CCTV Surveillance System comprising of following:</t>
  </si>
  <si>
    <t>IP Fixed Dome camera</t>
  </si>
  <si>
    <t>IP Fixed Dome camera with 1/3" CCD/CMOS, Progressive/De-interlace, Very High Definition resolution (1920 x 1080), min. Dual streaming, 25 FPS, H.264 / JMPEG compression support, 2.8 mm fixed focal lens, 0 lux with IR, Tamper detection, Wide dynamic Range, PoE power input, IP 43, as per detailed specifications.</t>
  </si>
  <si>
    <t>EA</t>
  </si>
  <si>
    <t>IP Fixed Dome camera
(with audio recording)</t>
  </si>
  <si>
    <t>IP Fixed Dome camera (in-buit microphone) with 1/3" CCD/CMOS, Progressive/De-interlace, Very High Definition resolution (1920 x 1080), min. Dual streaming, 25 FPS, H.264 / JMPEG compression support, 2.8 mm fixed focal lens, 0 lux with IR, Tamper detection, Wide dynamic Range, PoE power input, IP 43, as per detailed specifications.</t>
  </si>
  <si>
    <t>Outdoor type IP Bullet camera</t>
  </si>
  <si>
    <t>Outdoor type IP Bullet camera with 1/2.8" CMOS, Progressive Scan, Day/Night, 2.8 mm - 12 mm motorised zoom lens, Support H.264 &amp; MJPEG, 25/30 FPS @ 1080p (1920×1080), Smart Detection - Tripwire detection, Intrusion detection, Abandoned/Missing Object detection, Scene Change detection, Audio Detection, Face Detection, Support Corridor Mode, Digital WDR, Day/Night (ICR), 3D DNR, AWB, AGC, BLC, Multiple network monitoring: Web viewer, CMS &amp; Mobile App, 1/1 Alarm in/out, 1/1 audio in/out, 30 Mtr IR Range, Micro SD memory support upto 128 GB, Support ONVIF, PSIA, CGI, IP67, PoE as per detailed specifications.</t>
  </si>
  <si>
    <t>64 Ch Smart Network Video Recorder</t>
  </si>
  <si>
    <t xml:space="preserve">Smart Network Video Recorder: 64 channel IP camera license enabled input, H.264/MJPEG dual codec decoding, 320 Mbps incoming bandwidth, 4k/HDMI/VGA/TV support video output, 8/16 channel synchronous realtime preview, GRID interface, Two-way Talk, Support up to 12 Megapixel Recording, Support Multi-brand network cameras, ONVIF Version conformance, 16/4 Alarm i/o, Including 8 SATA HDDs suitable for 30 days backup, Support 1 eSATA port, 2 USB 2.0, 2 RJ-45 ports (10/ 100/ 1000 Mbps), 1 RS 485 Port, 1 RS 232 Port, Multiple network monitoring: Web viewer, CMS &amp; Mobile App, support ANPR camera, as per detailed specifications                                                                                                                                     </t>
  </si>
  <si>
    <t>32 Channel Smart NVR</t>
  </si>
  <si>
    <t>32 channel IP camera license enabled input &amp; (SAME AS ABOVE)</t>
  </si>
  <si>
    <t>16 Channel Smart NVR</t>
  </si>
  <si>
    <t>16 channel IP camera license enabled input &amp; (SAME AS ABOVE)</t>
  </si>
  <si>
    <t>12 Channel Smart NVR</t>
  </si>
  <si>
    <t>(SAME AS ABOVE)</t>
  </si>
  <si>
    <t>32" colour, HD monitor</t>
  </si>
  <si>
    <t>32" colour, Flat Screen Type Professional CCTV Surveillance HD monitor 100-230 VAC 50 Hz, 24x7 with wall mounted swivel stand</t>
  </si>
  <si>
    <t>SURVILLANCE HARD DISC</t>
  </si>
  <si>
    <t>SURVILLANCE HARD DISC SUITABLE FOR 30 DAYS BACKUP (min 4 TB) (1+1)</t>
  </si>
  <si>
    <t>POE Switch
24 port</t>
  </si>
  <si>
    <t xml:space="preserve">Independent LAN for IP CCTV System: 24 port layer 2 switch with 10/100/1000  POE Web Semi-Managed Switches, mounted in 4 U Rack and with 2 combo SFP ports and all related termination accessories as per site specific System requirement. (Rack price also to be included) </t>
  </si>
  <si>
    <t>16 port</t>
  </si>
  <si>
    <t>16 Port layer 2 switch (SAME AS ABOVE)</t>
  </si>
  <si>
    <t>Cat-6 cable</t>
  </si>
  <si>
    <t>Cat-6 cable with required terminations as required with Cable tie's including PVC conduit &amp; accessories</t>
  </si>
  <si>
    <t>M</t>
  </si>
  <si>
    <t>Additional Item</t>
  </si>
  <si>
    <t>Any additional items required to complete fully functional system to meet detailed specifications.</t>
  </si>
  <si>
    <t>TOTAL OF IP CCTV</t>
  </si>
  <si>
    <t>CCTV</t>
  </si>
  <si>
    <t>REFURBISHMENT OF 4 SCREEN MULTIPLEX AT P&amp;M MALL PATNA</t>
  </si>
  <si>
    <t>4 SCREEN MULTIPLEX AT K. MALL JODHPUR</t>
  </si>
  <si>
    <t>BILL OF QUANTITIES FOR PUBLIC ADDRESS SYSTEM WORK</t>
  </si>
  <si>
    <t>SR.</t>
  </si>
  <si>
    <t>MUSIC AND PUBLIC ADDRESS SYSTEM</t>
  </si>
  <si>
    <t>5 Zone Call Station with goose neck Microphone with zone selection &amp; all call selection to be connected peer to peer with the network controller</t>
  </si>
  <si>
    <t>Supply, installation, Testing, &amp; commissioning of the Message Tone genetaror for pre-recorded message.Shall be an EN54-16 certified user interface.</t>
  </si>
  <si>
    <t>Network controller + Amplifire  - 5 zone with following features
1. Microcontroller based with builtin 240 Watt Amplifier
2. Accomodates 5 set of zones
3. Accomadates 5 Zone Call stations peer to peer
4. Automated Evacuation message facility</t>
  </si>
  <si>
    <t>Rack for mounting the entire system. (All above components of the system to be rack mountable.</t>
  </si>
  <si>
    <t>Set</t>
  </si>
  <si>
    <t>SPEAKERS</t>
  </si>
  <si>
    <r>
      <t xml:space="preserve">Supply, installation, testing &amp; commissioning of </t>
    </r>
    <r>
      <rPr>
        <b/>
        <sz val="11"/>
        <rFont val="Calibri"/>
        <family val="2"/>
      </rPr>
      <t>15 to 30W</t>
    </r>
    <r>
      <rPr>
        <sz val="11"/>
        <rFont val="Calibri"/>
        <family val="2"/>
      </rPr>
      <t xml:space="preserve"> </t>
    </r>
    <r>
      <rPr>
        <b/>
        <sz val="11"/>
        <rFont val="Calibri"/>
        <family val="2"/>
      </rPr>
      <t>ceiling mounted</t>
    </r>
    <r>
      <rPr>
        <sz val="11"/>
        <rFont val="Calibri"/>
        <family val="2"/>
      </rPr>
      <t xml:space="preserve"> speakers complete.</t>
    </r>
  </si>
  <si>
    <r>
      <t xml:space="preserve">Supply, installation, testing &amp; commissioning of </t>
    </r>
    <r>
      <rPr>
        <b/>
        <sz val="11"/>
        <rFont val="Calibri"/>
        <family val="2"/>
      </rPr>
      <t>15 to 30W</t>
    </r>
    <r>
      <rPr>
        <sz val="11"/>
        <rFont val="Calibri"/>
        <family val="2"/>
      </rPr>
      <t xml:space="preserve"> </t>
    </r>
    <r>
      <rPr>
        <b/>
        <sz val="11"/>
        <rFont val="Calibri"/>
        <family val="2"/>
      </rPr>
      <t>wall mounted</t>
    </r>
    <r>
      <rPr>
        <sz val="11"/>
        <rFont val="Calibri"/>
        <family val="2"/>
      </rPr>
      <t xml:space="preserve"> speakers complete.</t>
    </r>
  </si>
  <si>
    <r>
      <t xml:space="preserve">Supply, installation, testing &amp; commissioning of 6 W RMS 4 Ohms full range </t>
    </r>
    <r>
      <rPr>
        <b/>
        <sz val="11"/>
        <rFont val="Calibri"/>
        <family val="2"/>
      </rPr>
      <t>PA speakers</t>
    </r>
    <r>
      <rPr>
        <sz val="11"/>
        <rFont val="Calibri"/>
        <family val="2"/>
      </rPr>
      <t xml:space="preserve"> on bracket, false ceiling etc. with dual cone woofer 20 W peak Output, 100 Hz to 15KHz frequency with Line matching transformer for 95 dBA sound output. </t>
    </r>
  </si>
  <si>
    <r>
      <t xml:space="preserve">Supply, installation, testing &amp; commissioning of 10 W RMS 4 Ohms full range </t>
    </r>
    <r>
      <rPr>
        <b/>
        <sz val="11"/>
        <rFont val="Calibri"/>
        <family val="2"/>
      </rPr>
      <t>Horn type PA</t>
    </r>
    <r>
      <rPr>
        <sz val="11"/>
        <rFont val="Calibri"/>
        <family val="2"/>
      </rPr>
      <t xml:space="preserve"> speakers on bracket, false ceiling etc. with dual cone woofer 10 W peak Output, 100 Hz to 15KHz frequency with Line matching transformer for 95 dBA sound output. </t>
    </r>
  </si>
  <si>
    <t>Supply, laying, testing &amp; commissioning of cable for music system with 40/36 twin parallel FR PVC sheathed armoured Cable of approved make. End termination of FR cable with SIBG gland and required accesories. All complete as required and as per final direction &amp; approval of the consultant</t>
  </si>
  <si>
    <t>TOTAL OF PUBLIC ADDRESS SYSTEM</t>
  </si>
  <si>
    <t>Public Addressal System</t>
  </si>
  <si>
    <t>REFURBISHMENT OF 4 SCREEN MULTIPLEX AT K. MALL JODHPUR</t>
  </si>
  <si>
    <t>BILL OF QUANTITIES FOR ACCESS CONTROL SYSTEM WORKS</t>
  </si>
  <si>
    <t>SR</t>
  </si>
  <si>
    <t>ACCESS CONTROL SYSTEM</t>
  </si>
  <si>
    <t>Supply, installation, testing and commissioning of standalone Access Control System C3-400B 4 door multidoor access controller for supporting Proximity Card or a Biometric readers. System should be capable of handling Card / Biometric data with power supply as spec`s below</t>
  </si>
  <si>
    <t>Multiple card / Biometric reading technologies supported, Inbuilt database backup to facilitate offline use Automatic locking &amp; unlocking of the doors based on Fire Signal, System should support max 4 nos doors having Card cum Biometric readers located at different location System should be compatible for integrate with Clients Enterprise version (if required)</t>
  </si>
  <si>
    <t>Supply, Installation, Testing and Commissioning of Smart Card Reader (KR500E) with read range of 3"</t>
  </si>
  <si>
    <t>Supply, Installation, Testing and Commissioning of normal exit &amp; Emergency Release push button switch Polycarbonate housing.</t>
  </si>
  <si>
    <t>Supply, Installation, Testing and Commissioning of Electromagnetic lock-600 lb holding force</t>
  </si>
  <si>
    <t>Supply, Installation, Testing and Commissioning of Electromagneitc Lock with built in Magnetic contacts Single leaf Doors. 600 lbs capacity - L bracket as required  (EM 600-LED )</t>
  </si>
  <si>
    <t>Supply, Installation, Testing and Commissioning of Electromagneitc Lock with builtin Magnetic contacts double leaf Doors. 600 lbs capacity - U bracket as required  (EM 600-LED )</t>
  </si>
  <si>
    <t xml:space="preserve">Supply, Installation, Testing and Commissioning of Egress Switch </t>
  </si>
  <si>
    <t>Supply, Installation, Testing and Commissioning of Proximity cards (PVC)</t>
  </si>
  <si>
    <t>Supply, Installation, Testing and Commissioning of Proximity key fobs</t>
  </si>
  <si>
    <t>Supply, Installation, Testing and Commissioning of Access Control Enterprise version Server Software + Access Control Enterprise version Client License loaded on Client machines</t>
  </si>
  <si>
    <t>Supply, Installation, Testing and Commissioning of following communication &amp; power cables in the conduit/ LV receway.</t>
  </si>
  <si>
    <t>11A</t>
  </si>
  <si>
    <t>Communication cables</t>
  </si>
  <si>
    <t>Cat 6</t>
  </si>
  <si>
    <t>Cat 6A</t>
  </si>
  <si>
    <t>Cat 7</t>
  </si>
  <si>
    <t>11B</t>
  </si>
  <si>
    <t>Power cables</t>
  </si>
  <si>
    <t xml:space="preserve">8 C X 18 AWG Shielded cable </t>
  </si>
  <si>
    <t xml:space="preserve">4c x 18 AWG Shielded cable  </t>
  </si>
  <si>
    <t xml:space="preserve">4c x 24 AWG Shielded cable  </t>
  </si>
  <si>
    <t>Supply, Installation, Testing and Commissioning of Medium Grade - 25 mm FRPVC Conduit with fittings and accessories ISI Marked with GI saddle &amp; spacers at every 0.3 Mtr and flexible conduits for all drops above false ceiling.</t>
  </si>
  <si>
    <t>Supply, Installation, Testing and Commissioning of Fully closed GI Powder coated trunking of 16 Gauge with GI supports at every 3 mtrs, and  Aluminum Junction Boxes @ every 6 mtr</t>
  </si>
  <si>
    <t>50 x 50 mm</t>
  </si>
  <si>
    <t>63 x 38 mm</t>
  </si>
  <si>
    <t>83 x 38 mm</t>
  </si>
  <si>
    <t>100 x 40 mm</t>
  </si>
  <si>
    <t xml:space="preserve">Supply, Installation, Testing and Commissioning of Piezo sounders for Fire Exits </t>
  </si>
  <si>
    <t>Supply, Installation, Testing and Commissioning of fingerprint Biometric cum card Reader, with Power + Control kit.</t>
  </si>
  <si>
    <t xml:space="preserve"> TOTAL COST OF ACCESS CONTROL SYSTEM</t>
  </si>
  <si>
    <t>01</t>
  </si>
  <si>
    <t>The UPS power supply will be available near to the system.</t>
  </si>
  <si>
    <t xml:space="preserve">02 </t>
  </si>
  <si>
    <t>Vendor to quote seperatly if any item required to function the system.</t>
  </si>
  <si>
    <t>Access Control</t>
  </si>
  <si>
    <t>Area 1 Qty</t>
  </si>
  <si>
    <t>Area 2 Qty</t>
  </si>
  <si>
    <t>Area 3</t>
  </si>
  <si>
    <t>Total Qty</t>
  </si>
  <si>
    <t>Rate Supply</t>
  </si>
  <si>
    <t>Total Rate</t>
  </si>
  <si>
    <t>Rate Install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</si>
</sst>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 #,##0_ ;_ * \-#,##0_ ;_ * &quot;-&quot;??_ ;_ @_ "/>
    <numFmt numFmtId="165" formatCode="_(* #,##0.00_);_(* \(#,##0.00\);_(* &quot;-&quot;??_);_(@_)"/>
    <numFmt numFmtId="166" formatCode="_ * #,##0.0_ ;_ * \-#,##0.0_ ;_ * &quot;-&quot;??_ ;_ @_ "/>
    <numFmt numFmtId="167" formatCode="_ &quot;₹&quot;\ * #,##0_ ;_ &quot;₹&quot;\ * \-#,##0_ ;_ &quot;₹&quot;\ * &quot;-&quot;??_ ;_ @_ "/>
    <numFmt numFmtId="168" formatCode="_(* #,##0_);_(* \(#,##0\);_(* &quot;-&quot;??_);_(@_)"/>
    <numFmt numFmtId="169" formatCode="0;[Red]0"/>
    <numFmt numFmtId="170" formatCode="0.0"/>
    <numFmt numFmtId="171" formatCode="0.0;[Red]0.0"/>
    <numFmt numFmtId="172" formatCode="_-* #,##0.00_-;\-* #,##0.00_-;_-* &quot;-&quot;??_-;_-@_-"/>
    <numFmt numFmtId="173" formatCode="_(* #,##0.00_);_(* \(#,##0.00\);_(* \-??_);_(@_)"/>
  </numFmts>
  <fonts count="4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font>
    <font>
      <b/>
      <sz val="10"/>
      <color theme="0"/>
      <name val="Verdana"/>
      <family val="2"/>
    </font>
    <font>
      <sz val="10"/>
      <name val="Verdana"/>
      <family val="2"/>
    </font>
    <font>
      <b/>
      <sz val="10"/>
      <name val="Verdana"/>
      <family val="2"/>
    </font>
    <font>
      <sz val="10"/>
      <color indexed="8"/>
      <name val="Verdana"/>
      <family val="2"/>
    </font>
    <font>
      <sz val="10"/>
      <color theme="1"/>
      <name val="Verdana"/>
      <family val="2"/>
    </font>
    <font>
      <b/>
      <strike/>
      <sz val="10"/>
      <name val="Verdana"/>
      <family val="2"/>
    </font>
    <font>
      <strike/>
      <sz val="10"/>
      <name val="Verdana"/>
      <family val="2"/>
    </font>
    <font>
      <sz val="10"/>
      <name val="Arial"/>
      <family val="2"/>
    </font>
    <font>
      <b/>
      <sz val="14"/>
      <color theme="1"/>
      <name val="Aptos"/>
      <family val="2"/>
    </font>
    <font>
      <sz val="11"/>
      <color theme="1"/>
      <name val="Aptos"/>
      <family val="2"/>
    </font>
    <font>
      <sz val="12"/>
      <color theme="1"/>
      <name val="Aptos"/>
      <family val="2"/>
    </font>
    <font>
      <b/>
      <sz val="12"/>
      <color theme="1"/>
      <name val="Aptos"/>
      <family val="2"/>
    </font>
    <font>
      <b/>
      <sz val="14"/>
      <name val="Calibri"/>
      <family val="2"/>
      <scheme val="minor"/>
    </font>
    <font>
      <sz val="14"/>
      <name val="Calibri"/>
      <family val="2"/>
      <scheme val="minor"/>
    </font>
    <font>
      <b/>
      <u/>
      <sz val="14"/>
      <name val="Calibri"/>
      <family val="2"/>
      <scheme val="minor"/>
    </font>
    <font>
      <b/>
      <sz val="11"/>
      <name val="Calibri"/>
      <family val="2"/>
      <scheme val="minor"/>
    </font>
    <font>
      <sz val="11"/>
      <name val="Calibri"/>
      <family val="2"/>
      <scheme val="minor"/>
    </font>
    <font>
      <b/>
      <sz val="11"/>
      <name val="Calibri"/>
      <family val="2"/>
    </font>
    <font>
      <sz val="11"/>
      <name val="Calibri"/>
      <family val="2"/>
    </font>
    <font>
      <vertAlign val="superscript"/>
      <sz val="11"/>
      <name val="Calibri"/>
      <family val="2"/>
    </font>
    <font>
      <sz val="11"/>
      <color indexed="10"/>
      <name val="Calibri"/>
      <family val="2"/>
      <scheme val="minor"/>
    </font>
    <font>
      <b/>
      <sz val="12"/>
      <color theme="1"/>
      <name val="Calibri"/>
      <family val="2"/>
    </font>
    <font>
      <sz val="12"/>
      <color theme="1"/>
      <name val="Calibri"/>
      <family val="2"/>
    </font>
    <font>
      <b/>
      <sz val="12"/>
      <name val="Calibri"/>
      <family val="2"/>
    </font>
    <font>
      <b/>
      <sz val="12"/>
      <color rgb="FF000000"/>
      <name val="Calibri"/>
      <family val="2"/>
      <scheme val="minor"/>
    </font>
    <font>
      <b/>
      <u/>
      <sz val="12"/>
      <color theme="1"/>
      <name val="Calibri"/>
      <family val="2"/>
    </font>
    <font>
      <b/>
      <sz val="12"/>
      <color indexed="8"/>
      <name val="Calibri"/>
      <family val="2"/>
    </font>
    <font>
      <sz val="12"/>
      <color indexed="8"/>
      <name val="Calibri"/>
      <family val="2"/>
    </font>
    <font>
      <sz val="10"/>
      <name val="Courier"/>
      <family val="3"/>
    </font>
    <font>
      <strike/>
      <sz val="12"/>
      <color indexed="8"/>
      <name val="Calibri"/>
      <family val="2"/>
    </font>
    <font>
      <sz val="12"/>
      <name val="Calibri"/>
      <family val="2"/>
    </font>
    <font>
      <vertAlign val="superscript"/>
      <sz val="12"/>
      <color indexed="8"/>
      <name val="Calibri"/>
      <family val="2"/>
    </font>
    <font>
      <sz val="10"/>
      <name val="Times New Roman"/>
      <family val="1"/>
    </font>
    <font>
      <b/>
      <sz val="10"/>
      <name val="Arial"/>
      <family val="2"/>
    </font>
    <font>
      <sz val="10"/>
      <name val="Helv"/>
      <charset val="204"/>
    </font>
    <font>
      <b/>
      <sz val="10"/>
      <color theme="1"/>
      <name val="Verdana"/>
      <family val="2"/>
    </font>
    <font>
      <sz val="11"/>
      <name val="Arial"/>
      <family val="2"/>
    </font>
    <font>
      <sz val="12"/>
      <name val="Aptos"/>
      <family val="2"/>
    </font>
    <font>
      <b/>
      <sz val="12"/>
      <name val="Aptos"/>
      <family val="2"/>
    </font>
  </fonts>
  <fills count="1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2"/>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s>
  <borders count="46">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theme="0"/>
      </right>
      <top style="thin">
        <color indexed="64"/>
      </top>
      <bottom/>
      <diagonal/>
    </border>
    <border>
      <left style="thin">
        <color theme="0"/>
      </left>
      <right/>
      <top style="thin">
        <color indexed="64"/>
      </top>
      <bottom/>
      <diagonal/>
    </border>
    <border>
      <left/>
      <right/>
      <top style="thin">
        <color indexed="64"/>
      </top>
      <bottom/>
      <diagonal/>
    </border>
    <border>
      <left style="thin">
        <color theme="0"/>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s>
  <cellStyleXfs count="25">
    <xf numFmtId="0" fontId="0" fillId="0" borderId="0"/>
    <xf numFmtId="43" fontId="1" fillId="0" borderId="0" applyFont="0" applyFill="0" applyBorder="0" applyAlignment="0" applyProtection="0"/>
    <xf numFmtId="0" fontId="3" fillId="0" borderId="0">
      <alignment vertical="center"/>
    </xf>
    <xf numFmtId="43" fontId="3" fillId="0" borderId="0" applyFont="0" applyFill="0" applyBorder="0" applyAlignment="0" applyProtection="0">
      <alignment vertical="center"/>
    </xf>
    <xf numFmtId="0" fontId="1" fillId="0" borderId="0"/>
    <xf numFmtId="0" fontId="3" fillId="0" borderId="0">
      <alignment vertical="center"/>
    </xf>
    <xf numFmtId="165" fontId="11" fillId="0" borderId="0" applyFont="0" applyFill="0" applyBorder="0" applyAlignment="0" applyProtection="0">
      <alignment vertical="center"/>
    </xf>
    <xf numFmtId="0" fontId="5" fillId="0" borderId="0"/>
    <xf numFmtId="165" fontId="5"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172" fontId="11" fillId="0" borderId="0" applyFont="0" applyFill="0" applyBorder="0" applyAlignment="0" applyProtection="0"/>
    <xf numFmtId="172" fontId="11" fillId="0" borderId="0" applyFont="0" applyFill="0" applyBorder="0" applyAlignment="0" applyProtection="0"/>
    <xf numFmtId="0" fontId="11" fillId="0" borderId="0"/>
    <xf numFmtId="0" fontId="32" fillId="0" borderId="0"/>
    <xf numFmtId="0" fontId="36" fillId="0" borderId="0"/>
    <xf numFmtId="0" fontId="11" fillId="0" borderId="0"/>
    <xf numFmtId="0" fontId="11" fillId="0" borderId="0"/>
    <xf numFmtId="173" fontId="11" fillId="0" borderId="0" applyFill="0" applyBorder="0" applyAlignment="0" applyProtection="0"/>
    <xf numFmtId="165" fontId="11" fillId="0" borderId="0" applyFont="0" applyFill="0" applyBorder="0" applyAlignment="0" applyProtection="0"/>
    <xf numFmtId="0" fontId="38" fillId="0" borderId="0"/>
    <xf numFmtId="165" fontId="11" fillId="0" borderId="0" applyFont="0" applyFill="0" applyBorder="0" applyAlignment="0" applyProtection="0"/>
    <xf numFmtId="0" fontId="11" fillId="0" borderId="0"/>
    <xf numFmtId="0" fontId="11" fillId="0" borderId="0"/>
  </cellStyleXfs>
  <cellXfs count="555">
    <xf numFmtId="0" fontId="0" fillId="0" borderId="0" xfId="0"/>
    <xf numFmtId="0" fontId="5" fillId="0" borderId="0" xfId="2" applyFont="1" applyAlignment="1">
      <alignment vertical="center" wrapText="1"/>
    </xf>
    <xf numFmtId="0" fontId="4" fillId="2" borderId="8" xfId="2" applyFont="1" applyFill="1" applyBorder="1" applyAlignment="1">
      <alignment horizontal="center" vertical="center" wrapText="1"/>
    </xf>
    <xf numFmtId="0" fontId="6" fillId="3" borderId="9" xfId="2" applyFont="1" applyFill="1" applyBorder="1" applyAlignment="1">
      <alignment horizontal="center" vertical="center" wrapText="1"/>
    </xf>
    <xf numFmtId="0" fontId="6" fillId="3" borderId="0" xfId="2" applyFont="1" applyFill="1" applyAlignment="1">
      <alignment vertical="center" wrapText="1"/>
    </xf>
    <xf numFmtId="49" fontId="6" fillId="3" borderId="0" xfId="2" applyNumberFormat="1" applyFont="1" applyFill="1" applyAlignment="1">
      <alignment horizontal="center" vertical="center" wrapText="1"/>
    </xf>
    <xf numFmtId="164" fontId="6" fillId="3" borderId="0" xfId="3" applyNumberFormat="1" applyFont="1" applyFill="1" applyBorder="1" applyAlignment="1">
      <alignment horizontal="center" vertical="center" wrapText="1"/>
    </xf>
    <xf numFmtId="0" fontId="6" fillId="3" borderId="0" xfId="2" applyFont="1" applyFill="1" applyAlignment="1">
      <alignment horizontal="center" vertical="center" wrapText="1"/>
    </xf>
    <xf numFmtId="164" fontId="6" fillId="3" borderId="10" xfId="2" applyNumberFormat="1" applyFont="1" applyFill="1" applyBorder="1" applyAlignment="1">
      <alignment horizontal="center" vertical="center" wrapText="1"/>
    </xf>
    <xf numFmtId="0" fontId="4" fillId="2" borderId="14" xfId="2" applyFont="1" applyFill="1" applyBorder="1" applyAlignment="1">
      <alignment horizontal="center" vertical="center" wrapText="1"/>
    </xf>
    <xf numFmtId="0" fontId="4" fillId="2" borderId="15" xfId="2" applyFont="1" applyFill="1" applyBorder="1" applyAlignment="1">
      <alignment horizontal="center" vertical="center" wrapText="1"/>
    </xf>
    <xf numFmtId="49" fontId="4" fillId="2" borderId="15" xfId="2" applyNumberFormat="1" applyFont="1" applyFill="1" applyBorder="1" applyAlignment="1">
      <alignment horizontal="center" vertical="center" wrapText="1"/>
    </xf>
    <xf numFmtId="164" fontId="4" fillId="2" borderId="16" xfId="2" applyNumberFormat="1" applyFont="1" applyFill="1" applyBorder="1" applyAlignment="1">
      <alignment horizontal="center" vertical="center" wrapText="1"/>
    </xf>
    <xf numFmtId="0" fontId="6" fillId="0" borderId="17" xfId="2" applyFont="1" applyBorder="1" applyAlignment="1">
      <alignment horizontal="center" vertical="center" wrapText="1"/>
    </xf>
    <xf numFmtId="0" fontId="6" fillId="0" borderId="18" xfId="2" applyFont="1" applyBorder="1" applyAlignment="1">
      <alignment vertical="center" wrapText="1"/>
    </xf>
    <xf numFmtId="49" fontId="6" fillId="0" borderId="18" xfId="2" applyNumberFormat="1" applyFont="1" applyBorder="1" applyAlignment="1">
      <alignment horizontal="center" vertical="center" wrapText="1"/>
    </xf>
    <xf numFmtId="164" fontId="6" fillId="0" borderId="18" xfId="3" applyNumberFormat="1" applyFont="1" applyFill="1" applyBorder="1" applyAlignment="1">
      <alignment horizontal="center" vertical="center" wrapText="1"/>
    </xf>
    <xf numFmtId="0" fontId="6" fillId="0" borderId="18" xfId="2" applyFont="1" applyBorder="1" applyAlignment="1">
      <alignment horizontal="center" vertical="center" wrapText="1"/>
    </xf>
    <xf numFmtId="164" fontId="6" fillId="0" borderId="19" xfId="2" applyNumberFormat="1" applyFont="1" applyBorder="1" applyAlignment="1">
      <alignment horizontal="center" vertical="center" wrapText="1"/>
    </xf>
    <xf numFmtId="0" fontId="6" fillId="0" borderId="20" xfId="2" applyFont="1" applyBorder="1" applyAlignment="1">
      <alignment horizontal="center" vertical="center" wrapText="1"/>
    </xf>
    <xf numFmtId="0" fontId="6" fillId="0" borderId="21" xfId="2" applyFont="1" applyBorder="1" applyAlignment="1">
      <alignment vertical="center" wrapText="1"/>
    </xf>
    <xf numFmtId="49" fontId="6" fillId="0" borderId="21" xfId="2" applyNumberFormat="1" applyFont="1" applyBorder="1" applyAlignment="1">
      <alignment horizontal="center" vertical="center" wrapText="1"/>
    </xf>
    <xf numFmtId="164" fontId="6" fillId="0" borderId="21" xfId="3" applyNumberFormat="1" applyFont="1" applyFill="1" applyBorder="1" applyAlignment="1">
      <alignment horizontal="center" vertical="center" wrapText="1"/>
    </xf>
    <xf numFmtId="0" fontId="6" fillId="0" borderId="21" xfId="2" applyFont="1" applyBorder="1" applyAlignment="1">
      <alignment horizontal="center" vertical="center" wrapText="1"/>
    </xf>
    <xf numFmtId="164" fontId="6" fillId="0" borderId="22" xfId="2" applyNumberFormat="1" applyFont="1" applyBorder="1" applyAlignment="1">
      <alignment horizontal="center" vertical="center" wrapText="1"/>
    </xf>
    <xf numFmtId="0" fontId="6" fillId="0" borderId="0" xfId="2" applyFont="1" applyAlignment="1">
      <alignment vertical="center" wrapText="1"/>
    </xf>
    <xf numFmtId="0" fontId="6" fillId="0" borderId="23" xfId="2" applyFont="1" applyBorder="1" applyAlignment="1">
      <alignment horizontal="center" vertical="center" wrapText="1"/>
    </xf>
    <xf numFmtId="2" fontId="6" fillId="0" borderId="24" xfId="2" applyNumberFormat="1" applyFont="1" applyBorder="1" applyAlignment="1">
      <alignment vertical="center" wrapText="1"/>
    </xf>
    <xf numFmtId="49" fontId="6" fillId="0" borderId="24"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wrapText="1"/>
    </xf>
    <xf numFmtId="43" fontId="6" fillId="0" borderId="24" xfId="3" applyFont="1" applyFill="1" applyBorder="1" applyAlignment="1">
      <alignment horizontal="center" vertical="center" wrapText="1"/>
    </xf>
    <xf numFmtId="164" fontId="6" fillId="0" borderId="25" xfId="2" applyNumberFormat="1" applyFont="1" applyBorder="1" applyAlignment="1">
      <alignment horizontal="center" vertical="center" wrapText="1"/>
    </xf>
    <xf numFmtId="0" fontId="6" fillId="0" borderId="23" xfId="2" applyFont="1" applyBorder="1" applyAlignment="1">
      <alignment horizontal="center" vertical="center"/>
    </xf>
    <xf numFmtId="0" fontId="6" fillId="0" borderId="24" xfId="2" applyFont="1" applyBorder="1" applyAlignment="1">
      <alignment vertical="center" wrapText="1"/>
    </xf>
    <xf numFmtId="0" fontId="5" fillId="0" borderId="0" xfId="2" applyFont="1">
      <alignment vertical="center"/>
    </xf>
    <xf numFmtId="0" fontId="9" fillId="0" borderId="23" xfId="2" applyFont="1" applyBorder="1" applyAlignment="1">
      <alignment horizontal="center" vertical="center" wrapText="1"/>
    </xf>
    <xf numFmtId="0" fontId="9" fillId="0" borderId="24" xfId="2" applyFont="1" applyBorder="1" applyAlignment="1">
      <alignment vertical="center" wrapText="1"/>
    </xf>
    <xf numFmtId="49" fontId="9" fillId="0" borderId="24" xfId="2" applyNumberFormat="1" applyFont="1" applyBorder="1" applyAlignment="1">
      <alignment horizontal="center" vertical="center" wrapText="1"/>
    </xf>
    <xf numFmtId="164" fontId="9" fillId="0" borderId="24" xfId="3" applyNumberFormat="1" applyFont="1" applyFill="1" applyBorder="1" applyAlignment="1">
      <alignment horizontal="center" vertical="center" wrapText="1"/>
    </xf>
    <xf numFmtId="43" fontId="9" fillId="0" borderId="24" xfId="3" applyFont="1" applyFill="1" applyBorder="1" applyAlignment="1">
      <alignment horizontal="center" vertical="center" wrapText="1"/>
    </xf>
    <xf numFmtId="164" fontId="9" fillId="0" borderId="25" xfId="2" applyNumberFormat="1" applyFont="1" applyBorder="1" applyAlignment="1">
      <alignment horizontal="center" vertical="center" wrapText="1"/>
    </xf>
    <xf numFmtId="0" fontId="10" fillId="0" borderId="0" xfId="2" applyFont="1" applyAlignment="1">
      <alignment vertical="center" wrapText="1"/>
    </xf>
    <xf numFmtId="2" fontId="6" fillId="0" borderId="23" xfId="2" applyNumberFormat="1" applyFont="1" applyBorder="1" applyAlignment="1">
      <alignment horizontal="center" vertical="center" wrapText="1"/>
    </xf>
    <xf numFmtId="164" fontId="6" fillId="0" borderId="24" xfId="3" applyNumberFormat="1" applyFont="1" applyFill="1" applyBorder="1" applyAlignment="1">
      <alignment horizontal="center" vertical="center"/>
    </xf>
    <xf numFmtId="0" fontId="5" fillId="0" borderId="24" xfId="2" applyFont="1" applyBorder="1" applyAlignment="1">
      <alignment vertical="center" wrapText="1"/>
    </xf>
    <xf numFmtId="164" fontId="6" fillId="0" borderId="25" xfId="2" applyNumberFormat="1" applyFont="1" applyBorder="1" applyAlignment="1">
      <alignment horizontal="center" vertical="center"/>
    </xf>
    <xf numFmtId="49" fontId="6" fillId="0" borderId="24" xfId="2" applyNumberFormat="1" applyFont="1" applyBorder="1" applyAlignment="1">
      <alignment horizontal="center" vertical="center"/>
    </xf>
    <xf numFmtId="43" fontId="6" fillId="0" borderId="24" xfId="3" applyFont="1" applyFill="1" applyBorder="1" applyAlignment="1">
      <alignment horizontal="center" vertical="center"/>
    </xf>
    <xf numFmtId="0" fontId="6" fillId="0" borderId="24" xfId="0" applyFont="1" applyBorder="1" applyAlignment="1">
      <alignment vertical="center" wrapText="1"/>
    </xf>
    <xf numFmtId="49" fontId="6" fillId="0" borderId="24" xfId="3" applyNumberFormat="1" applyFont="1" applyFill="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49" fontId="6" fillId="0" borderId="24" xfId="0" applyNumberFormat="1" applyFont="1" applyBorder="1" applyAlignment="1">
      <alignment horizontal="center" vertical="center" wrapText="1"/>
    </xf>
    <xf numFmtId="1" fontId="6" fillId="0" borderId="24" xfId="3" applyNumberFormat="1" applyFont="1" applyFill="1" applyBorder="1" applyAlignment="1">
      <alignment horizontal="center" vertical="center" wrapText="1"/>
    </xf>
    <xf numFmtId="165" fontId="6" fillId="0" borderId="25" xfId="3" applyNumberFormat="1" applyFont="1" applyFill="1" applyBorder="1" applyAlignment="1">
      <alignment horizontal="center" vertical="center" wrapText="1"/>
    </xf>
    <xf numFmtId="0" fontId="5" fillId="0" borderId="0" xfId="0" applyFont="1" applyAlignment="1">
      <alignment vertical="center" wrapText="1"/>
    </xf>
    <xf numFmtId="0" fontId="5" fillId="0" borderId="24" xfId="0" applyFont="1" applyBorder="1" applyAlignment="1">
      <alignment vertical="top" wrapText="1"/>
    </xf>
    <xf numFmtId="43" fontId="6" fillId="0" borderId="25" xfId="0" applyNumberFormat="1" applyFont="1" applyBorder="1" applyAlignment="1">
      <alignment horizontal="center" vertical="center" wrapText="1"/>
    </xf>
    <xf numFmtId="0" fontId="5" fillId="0" borderId="0" xfId="0" applyFont="1" applyAlignment="1">
      <alignment vertical="center"/>
    </xf>
    <xf numFmtId="0" fontId="6" fillId="0" borderId="25" xfId="0" applyFont="1" applyBorder="1" applyAlignment="1">
      <alignment horizontal="center" vertical="center" wrapText="1"/>
    </xf>
    <xf numFmtId="2" fontId="6" fillId="0" borderId="24" xfId="0" applyNumberFormat="1" applyFont="1" applyBorder="1" applyAlignment="1">
      <alignment vertical="center" wrapText="1"/>
    </xf>
    <xf numFmtId="164" fontId="6" fillId="0" borderId="25" xfId="3" applyNumberFormat="1" applyFont="1" applyFill="1" applyBorder="1" applyAlignment="1">
      <alignment horizontal="center" vertical="center" wrapText="1"/>
    </xf>
    <xf numFmtId="2" fontId="5" fillId="0" borderId="24" xfId="2" applyNumberFormat="1" applyFont="1" applyBorder="1" applyAlignment="1">
      <alignment vertical="center" wrapText="1"/>
    </xf>
    <xf numFmtId="0" fontId="6" fillId="0" borderId="24" xfId="2" quotePrefix="1" applyFont="1" applyBorder="1" applyAlignment="1">
      <alignment vertical="center" wrapText="1"/>
    </xf>
    <xf numFmtId="2" fontId="6" fillId="0" borderId="23" xfId="2" applyNumberFormat="1" applyFont="1" applyBorder="1" applyAlignment="1">
      <alignment horizontal="center" vertical="center"/>
    </xf>
    <xf numFmtId="0" fontId="5" fillId="0" borderId="24" xfId="2" quotePrefix="1" applyFont="1" applyBorder="1" applyAlignment="1">
      <alignment vertical="center" wrapText="1"/>
    </xf>
    <xf numFmtId="0" fontId="6" fillId="0" borderId="9" xfId="2" applyFont="1" applyBorder="1" applyAlignment="1">
      <alignment horizontal="center" vertical="center"/>
    </xf>
    <xf numFmtId="0" fontId="6" fillId="0" borderId="23" xfId="4" applyFont="1" applyBorder="1" applyAlignment="1">
      <alignment horizontal="center" vertical="center"/>
    </xf>
    <xf numFmtId="166" fontId="6" fillId="0" borderId="24" xfId="3" applyNumberFormat="1" applyFont="1" applyFill="1" applyBorder="1" applyAlignment="1">
      <alignment horizontal="center" vertical="center" wrapText="1"/>
    </xf>
    <xf numFmtId="43" fontId="6" fillId="0" borderId="24" xfId="3" applyFont="1" applyFill="1" applyBorder="1" applyAlignment="1">
      <alignment vertical="center" wrapText="1"/>
    </xf>
    <xf numFmtId="49" fontId="6" fillId="0" borderId="24" xfId="3" applyNumberFormat="1" applyFont="1" applyFill="1" applyBorder="1" applyAlignment="1">
      <alignment horizontal="center" vertical="center"/>
    </xf>
    <xf numFmtId="164" fontId="6" fillId="0" borderId="25" xfId="3" applyNumberFormat="1" applyFont="1" applyFill="1" applyBorder="1" applyAlignment="1">
      <alignment horizontal="center" vertical="center"/>
    </xf>
    <xf numFmtId="43" fontId="6" fillId="0" borderId="24" xfId="3" applyFont="1" applyFill="1" applyBorder="1" applyAlignment="1" applyProtection="1">
      <alignment horizontal="center" vertical="center" wrapText="1"/>
      <protection locked="0"/>
    </xf>
    <xf numFmtId="0" fontId="6" fillId="0" borderId="24" xfId="5" applyFont="1" applyBorder="1" applyAlignment="1">
      <alignment vertical="center" wrapText="1"/>
    </xf>
    <xf numFmtId="0" fontId="6" fillId="0" borderId="24" xfId="2" applyFont="1" applyBorder="1">
      <alignment vertical="center"/>
    </xf>
    <xf numFmtId="0" fontId="5" fillId="0" borderId="23" xfId="2" applyFont="1" applyBorder="1" applyAlignment="1">
      <alignment horizontal="center" vertical="center"/>
    </xf>
    <xf numFmtId="49" fontId="6" fillId="0" borderId="24" xfId="6" applyNumberFormat="1" applyFont="1" applyFill="1" applyBorder="1" applyAlignment="1">
      <alignment horizontal="center" vertical="center" wrapText="1"/>
    </xf>
    <xf numFmtId="0" fontId="6" fillId="0" borderId="24" xfId="2" applyFont="1" applyBorder="1" applyAlignment="1">
      <alignment horizontal="center" vertical="center"/>
    </xf>
    <xf numFmtId="0" fontId="6" fillId="0" borderId="26" xfId="2" applyFont="1" applyBorder="1" applyAlignment="1">
      <alignment horizontal="center" vertical="center"/>
    </xf>
    <xf numFmtId="0" fontId="6" fillId="0" borderId="27" xfId="2" applyFont="1" applyBorder="1" applyAlignment="1">
      <alignment vertical="center" wrapText="1"/>
    </xf>
    <xf numFmtId="49" fontId="6" fillId="0" borderId="27" xfId="2" applyNumberFormat="1" applyFont="1" applyBorder="1" applyAlignment="1">
      <alignment horizontal="center" vertical="center" wrapText="1"/>
    </xf>
    <xf numFmtId="164" fontId="6" fillId="0" borderId="27" xfId="3" applyNumberFormat="1" applyFont="1" applyFill="1" applyBorder="1" applyAlignment="1">
      <alignment horizontal="center" vertical="center" wrapText="1"/>
    </xf>
    <xf numFmtId="0" fontId="6" fillId="0" borderId="27" xfId="2" applyFont="1" applyBorder="1" applyAlignment="1">
      <alignment horizontal="center" vertical="center" wrapText="1"/>
    </xf>
    <xf numFmtId="164" fontId="6" fillId="0" borderId="28" xfId="2" applyNumberFormat="1" applyFont="1" applyBorder="1" applyAlignment="1">
      <alignment horizontal="center" vertical="center" wrapText="1"/>
    </xf>
    <xf numFmtId="0" fontId="4" fillId="2" borderId="29" xfId="2" applyFont="1" applyFill="1" applyBorder="1" applyAlignment="1">
      <alignment horizontal="center" vertical="center" wrapText="1"/>
    </xf>
    <xf numFmtId="0" fontId="4" fillId="2" borderId="30" xfId="2" applyFont="1" applyFill="1" applyBorder="1" applyAlignment="1">
      <alignment vertical="center" wrapText="1"/>
    </xf>
    <xf numFmtId="49" fontId="4" fillId="2" borderId="30" xfId="2" applyNumberFormat="1" applyFont="1" applyFill="1" applyBorder="1" applyAlignment="1">
      <alignment horizontal="center" vertical="center" wrapText="1"/>
    </xf>
    <xf numFmtId="164" fontId="4" fillId="2" borderId="30" xfId="3" applyNumberFormat="1" applyFont="1" applyFill="1" applyBorder="1" applyAlignment="1">
      <alignment horizontal="center" vertical="center" wrapText="1"/>
    </xf>
    <xf numFmtId="0" fontId="4" fillId="2" borderId="30" xfId="2" applyFont="1" applyFill="1" applyBorder="1" applyAlignment="1">
      <alignment horizontal="center" vertical="center" wrapText="1"/>
    </xf>
    <xf numFmtId="167" fontId="4" fillId="2" borderId="31" xfId="2" applyNumberFormat="1" applyFont="1" applyFill="1" applyBorder="1" applyAlignment="1">
      <alignment horizontal="center" vertical="center" wrapText="1"/>
    </xf>
    <xf numFmtId="0" fontId="6" fillId="0" borderId="0" xfId="2" applyFont="1" applyAlignment="1">
      <alignment horizontal="center" vertical="center" wrapText="1"/>
    </xf>
    <xf numFmtId="49" fontId="6" fillId="0" borderId="0" xfId="2" applyNumberFormat="1" applyFont="1" applyAlignment="1">
      <alignment horizontal="center" vertical="center" wrapText="1"/>
    </xf>
    <xf numFmtId="164" fontId="6" fillId="0" borderId="0" xfId="3" applyNumberFormat="1" applyFont="1" applyAlignment="1">
      <alignment horizontal="center" vertical="center" wrapText="1"/>
    </xf>
    <xf numFmtId="164" fontId="6" fillId="0" borderId="0" xfId="2" applyNumberFormat="1" applyFont="1" applyAlignment="1">
      <alignment horizontal="center" vertical="center" wrapText="1"/>
    </xf>
    <xf numFmtId="0" fontId="13" fillId="0" borderId="0" xfId="0" applyFont="1" applyAlignment="1">
      <alignment horizontal="center" vertical="center"/>
    </xf>
    <xf numFmtId="0" fontId="12" fillId="0" borderId="32"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37" xfId="0" applyFont="1" applyBorder="1" applyAlignment="1">
      <alignment horizontal="center" vertical="center" wrapText="1"/>
    </xf>
    <xf numFmtId="0" fontId="16" fillId="5" borderId="18" xfId="7" applyFont="1" applyFill="1" applyBorder="1" applyAlignment="1">
      <alignment horizontal="center" vertical="center"/>
    </xf>
    <xf numFmtId="0" fontId="17" fillId="5" borderId="18" xfId="7" applyFont="1" applyFill="1" applyBorder="1" applyAlignment="1">
      <alignment horizontal="right" vertical="center" wrapText="1"/>
    </xf>
    <xf numFmtId="0" fontId="16" fillId="0" borderId="18" xfId="7" applyFont="1" applyBorder="1" applyAlignment="1">
      <alignment horizontal="center" vertical="center"/>
    </xf>
    <xf numFmtId="168" fontId="16" fillId="0" borderId="34" xfId="8" applyNumberFormat="1" applyFont="1" applyBorder="1" applyAlignment="1">
      <alignment horizontal="center" vertical="center"/>
    </xf>
    <xf numFmtId="0" fontId="18" fillId="5" borderId="37" xfId="7" applyFont="1" applyFill="1" applyBorder="1" applyAlignment="1">
      <alignment horizontal="center" vertical="center"/>
    </xf>
    <xf numFmtId="168" fontId="17" fillId="5" borderId="37" xfId="8" applyNumberFormat="1" applyFont="1" applyFill="1" applyBorder="1" applyAlignment="1">
      <alignment horizontal="center" vertical="center"/>
    </xf>
    <xf numFmtId="0" fontId="16" fillId="0" borderId="36" xfId="7" applyFont="1" applyBorder="1" applyAlignment="1">
      <alignment horizontal="center" vertical="center"/>
    </xf>
    <xf numFmtId="0" fontId="16" fillId="0" borderId="36" xfId="7" applyFont="1" applyBorder="1" applyAlignment="1">
      <alignment vertical="center"/>
    </xf>
    <xf numFmtId="168" fontId="16" fillId="0" borderId="36" xfId="8" applyNumberFormat="1" applyFont="1" applyBorder="1" applyAlignment="1">
      <alignment vertical="center"/>
    </xf>
    <xf numFmtId="168" fontId="16" fillId="0" borderId="36" xfId="8" applyNumberFormat="1" applyFont="1" applyBorder="1" applyAlignment="1" applyProtection="1">
      <alignment vertical="center"/>
      <protection locked="0"/>
    </xf>
    <xf numFmtId="0" fontId="16" fillId="0" borderId="18" xfId="7" applyFont="1" applyBorder="1" applyAlignment="1">
      <alignment vertical="center"/>
    </xf>
    <xf numFmtId="168" fontId="16" fillId="0" borderId="34" xfId="8" applyNumberFormat="1" applyFont="1" applyBorder="1" applyAlignment="1" applyProtection="1">
      <alignment vertical="center"/>
      <protection locked="0"/>
    </xf>
    <xf numFmtId="0" fontId="20" fillId="0" borderId="0" xfId="10" applyFont="1" applyAlignment="1">
      <alignment horizontal="center" vertical="top"/>
    </xf>
    <xf numFmtId="0" fontId="19" fillId="4" borderId="18" xfId="7" applyFont="1" applyFill="1" applyBorder="1" applyAlignment="1">
      <alignment horizontal="center" vertical="center" wrapText="1"/>
    </xf>
    <xf numFmtId="0" fontId="19" fillId="4" borderId="18" xfId="7" applyFont="1" applyFill="1" applyBorder="1" applyAlignment="1">
      <alignment horizontal="left" vertical="center" wrapText="1"/>
    </xf>
    <xf numFmtId="0" fontId="19" fillId="0" borderId="18" xfId="7" applyFont="1" applyBorder="1" applyAlignment="1">
      <alignment horizontal="center" vertical="center"/>
    </xf>
    <xf numFmtId="0" fontId="19" fillId="4" borderId="18" xfId="7" applyFont="1" applyFill="1" applyBorder="1" applyAlignment="1">
      <alignment horizontal="center" vertical="center"/>
    </xf>
    <xf numFmtId="169" fontId="19" fillId="4" borderId="18" xfId="7" applyNumberFormat="1" applyFont="1" applyFill="1" applyBorder="1" applyAlignment="1">
      <alignment horizontal="center" vertical="center" wrapText="1"/>
    </xf>
    <xf numFmtId="3" fontId="19" fillId="4" borderId="18" xfId="7" applyNumberFormat="1" applyFont="1" applyFill="1" applyBorder="1" applyAlignment="1">
      <alignment horizontal="center" vertical="center" wrapText="1"/>
    </xf>
    <xf numFmtId="0" fontId="19" fillId="0" borderId="36" xfId="10" applyFont="1" applyBorder="1" applyAlignment="1">
      <alignment horizontal="center" vertical="top"/>
    </xf>
    <xf numFmtId="0" fontId="19" fillId="0" borderId="36" xfId="10" applyFont="1" applyBorder="1" applyAlignment="1">
      <alignment horizontal="justify" vertical="top" wrapText="1"/>
    </xf>
    <xf numFmtId="0" fontId="20" fillId="0" borderId="36" xfId="10" applyFont="1" applyBorder="1" applyAlignment="1">
      <alignment horizontal="center"/>
    </xf>
    <xf numFmtId="4" fontId="20" fillId="0" borderId="36" xfId="10" applyNumberFormat="1" applyFont="1" applyBorder="1"/>
    <xf numFmtId="170" fontId="19" fillId="0" borderId="36" xfId="10" applyNumberFormat="1" applyFont="1" applyBorder="1" applyAlignment="1">
      <alignment horizontal="center" vertical="top"/>
    </xf>
    <xf numFmtId="3" fontId="20" fillId="0" borderId="36" xfId="10" applyNumberFormat="1" applyFont="1" applyBorder="1" applyAlignment="1">
      <alignment horizontal="center"/>
    </xf>
    <xf numFmtId="3" fontId="20" fillId="0" borderId="36" xfId="10" applyNumberFormat="1" applyFont="1" applyBorder="1"/>
    <xf numFmtId="0" fontId="20" fillId="0" borderId="36" xfId="10" applyFont="1" applyBorder="1" applyAlignment="1">
      <alignment horizontal="center" vertical="top"/>
    </xf>
    <xf numFmtId="0" fontId="20" fillId="0" borderId="36" xfId="10" applyFont="1" applyBorder="1" applyAlignment="1">
      <alignment horizontal="justify" vertical="top" wrapText="1"/>
    </xf>
    <xf numFmtId="0" fontId="19" fillId="0" borderId="36" xfId="9" applyFont="1" applyBorder="1" applyAlignment="1">
      <alignment horizontal="center" vertical="top"/>
    </xf>
    <xf numFmtId="0" fontId="20" fillId="0" borderId="36" xfId="9" applyFont="1" applyBorder="1" applyAlignment="1">
      <alignment horizontal="justify" vertical="top" wrapText="1"/>
    </xf>
    <xf numFmtId="0" fontId="20" fillId="0" borderId="36" xfId="9" applyFont="1" applyBorder="1" applyAlignment="1">
      <alignment horizontal="center" vertical="center"/>
    </xf>
    <xf numFmtId="3" fontId="20" fillId="0" borderId="36" xfId="9" applyNumberFormat="1" applyFont="1" applyBorder="1" applyAlignment="1">
      <alignment horizontal="center" vertical="center"/>
    </xf>
    <xf numFmtId="3" fontId="20" fillId="0" borderId="36" xfId="9" applyNumberFormat="1" applyFont="1" applyBorder="1" applyAlignment="1">
      <alignment horizontal="right" vertical="center"/>
    </xf>
    <xf numFmtId="0" fontId="20" fillId="0" borderId="0" xfId="9" applyFont="1" applyAlignment="1">
      <alignment vertical="top"/>
    </xf>
    <xf numFmtId="0" fontId="20" fillId="0" borderId="0" xfId="10" applyFont="1" applyAlignment="1">
      <alignment vertical="top"/>
    </xf>
    <xf numFmtId="3" fontId="19" fillId="0" borderId="36" xfId="10" applyNumberFormat="1" applyFont="1" applyBorder="1" applyAlignment="1">
      <alignment vertical="top" wrapText="1"/>
    </xf>
    <xf numFmtId="3" fontId="20" fillId="0" borderId="36" xfId="10" applyNumberFormat="1" applyFont="1" applyBorder="1" applyAlignment="1">
      <alignment horizontal="right"/>
    </xf>
    <xf numFmtId="3" fontId="20" fillId="0" borderId="36" xfId="10" applyNumberFormat="1" applyFont="1" applyBorder="1" applyAlignment="1">
      <alignment horizontal="justify" vertical="top" wrapText="1"/>
    </xf>
    <xf numFmtId="0" fontId="20" fillId="0" borderId="15" xfId="10" applyFont="1" applyBorder="1" applyAlignment="1">
      <alignment horizontal="center" vertical="top"/>
    </xf>
    <xf numFmtId="0" fontId="20" fillId="0" borderId="15" xfId="10" applyFont="1" applyBorder="1" applyAlignment="1">
      <alignment horizontal="justify" vertical="top" wrapText="1"/>
    </xf>
    <xf numFmtId="3" fontId="20" fillId="0" borderId="15" xfId="10" applyNumberFormat="1" applyFont="1" applyBorder="1" applyAlignment="1">
      <alignment horizontal="center"/>
    </xf>
    <xf numFmtId="0" fontId="20" fillId="0" borderId="15" xfId="10" applyFont="1" applyBorder="1" applyAlignment="1">
      <alignment horizontal="center"/>
    </xf>
    <xf numFmtId="3" fontId="20" fillId="0" borderId="15" xfId="10" applyNumberFormat="1" applyFont="1" applyBorder="1" applyAlignment="1">
      <alignment horizontal="center" wrapText="1"/>
    </xf>
    <xf numFmtId="3" fontId="20" fillId="0" borderId="15" xfId="10" applyNumberFormat="1" applyFont="1" applyBorder="1"/>
    <xf numFmtId="3" fontId="20" fillId="0" borderId="36" xfId="10" applyNumberFormat="1" applyFont="1" applyBorder="1" applyAlignment="1">
      <alignment horizontal="center" wrapText="1"/>
    </xf>
    <xf numFmtId="0" fontId="20" fillId="0" borderId="36" xfId="10" applyFont="1" applyBorder="1" applyAlignment="1">
      <alignment vertical="top"/>
    </xf>
    <xf numFmtId="0" fontId="19" fillId="0" borderId="36" xfId="10" applyFont="1" applyBorder="1" applyAlignment="1">
      <alignment horizontal="justify" vertical="top"/>
    </xf>
    <xf numFmtId="0" fontId="20" fillId="0" borderId="36" xfId="10" applyFont="1" applyBorder="1" applyAlignment="1">
      <alignment horizontal="center" wrapText="1"/>
    </xf>
    <xf numFmtId="0" fontId="20" fillId="0" borderId="36" xfId="10" applyFont="1" applyBorder="1" applyAlignment="1">
      <alignment horizontal="justify" vertical="top"/>
    </xf>
    <xf numFmtId="0" fontId="24" fillId="0" borderId="36" xfId="10" applyFont="1" applyBorder="1" applyAlignment="1">
      <alignment horizontal="center"/>
    </xf>
    <xf numFmtId="3" fontId="24" fillId="0" borderId="36" xfId="10" applyNumberFormat="1" applyFont="1" applyBorder="1"/>
    <xf numFmtId="0" fontId="24" fillId="0" borderId="0" xfId="10" applyFont="1" applyAlignment="1">
      <alignment vertical="top"/>
    </xf>
    <xf numFmtId="0" fontId="22" fillId="0" borderId="36" xfId="10" applyFont="1" applyBorder="1" applyAlignment="1">
      <alignment horizontal="justify" vertical="top"/>
    </xf>
    <xf numFmtId="0" fontId="20" fillId="0" borderId="15" xfId="10" applyFont="1" applyBorder="1" applyAlignment="1">
      <alignment horizontal="justify" vertical="top"/>
    </xf>
    <xf numFmtId="0" fontId="20" fillId="0" borderId="15" xfId="10" applyFont="1" applyBorder="1" applyAlignment="1">
      <alignment horizontal="center" wrapText="1"/>
    </xf>
    <xf numFmtId="0" fontId="20" fillId="0" borderId="36" xfId="9" applyFont="1" applyBorder="1" applyAlignment="1">
      <alignment horizontal="left" vertical="top"/>
    </xf>
    <xf numFmtId="171" fontId="20" fillId="0" borderId="36" xfId="10" applyNumberFormat="1" applyFont="1" applyBorder="1" applyAlignment="1">
      <alignment horizontal="center" vertical="top"/>
    </xf>
    <xf numFmtId="169" fontId="20" fillId="0" borderId="36" xfId="10" applyNumberFormat="1" applyFont="1" applyBorder="1" applyAlignment="1">
      <alignment horizontal="justify" vertical="top" wrapText="1"/>
    </xf>
    <xf numFmtId="169" fontId="20" fillId="0" borderId="36" xfId="10" applyNumberFormat="1" applyFont="1" applyBorder="1" applyAlignment="1">
      <alignment horizontal="center"/>
    </xf>
    <xf numFmtId="170" fontId="20" fillId="0" borderId="36" xfId="10" applyNumberFormat="1" applyFont="1" applyBorder="1" applyAlignment="1">
      <alignment horizontal="center"/>
    </xf>
    <xf numFmtId="170" fontId="20" fillId="0" borderId="36" xfId="10" applyNumberFormat="1" applyFont="1" applyBorder="1" applyAlignment="1">
      <alignment horizontal="center" vertical="top"/>
    </xf>
    <xf numFmtId="0" fontId="19" fillId="0" borderId="18" xfId="7" applyFont="1" applyBorder="1" applyAlignment="1">
      <alignment horizontal="left" vertical="center" wrapText="1"/>
    </xf>
    <xf numFmtId="164" fontId="19" fillId="4" borderId="18" xfId="11" applyNumberFormat="1" applyFont="1" applyFill="1" applyBorder="1" applyAlignment="1">
      <alignment horizontal="right" vertical="center" wrapText="1"/>
    </xf>
    <xf numFmtId="0" fontId="19" fillId="0" borderId="0" xfId="10" applyFont="1" applyAlignment="1">
      <alignment vertical="center"/>
    </xf>
    <xf numFmtId="3" fontId="20" fillId="0" borderId="15" xfId="10" applyNumberFormat="1" applyFont="1" applyBorder="1" applyAlignment="1">
      <alignment horizontal="right"/>
    </xf>
    <xf numFmtId="0" fontId="20" fillId="0" borderId="0" xfId="10" applyFont="1" applyAlignment="1">
      <alignment horizontal="justify" vertical="top" wrapText="1"/>
    </xf>
    <xf numFmtId="0" fontId="20" fillId="0" borderId="0" xfId="10" applyFont="1" applyAlignment="1">
      <alignment horizontal="center"/>
    </xf>
    <xf numFmtId="3" fontId="20" fillId="0" borderId="0" xfId="10" applyNumberFormat="1" applyFont="1" applyAlignment="1">
      <alignment horizontal="center"/>
    </xf>
    <xf numFmtId="3" fontId="20" fillId="0" borderId="0" xfId="10" applyNumberFormat="1" applyFont="1"/>
    <xf numFmtId="0" fontId="26" fillId="3" borderId="0" xfId="10" applyFont="1" applyFill="1" applyAlignment="1">
      <alignment vertical="center"/>
    </xf>
    <xf numFmtId="2" fontId="28" fillId="6" borderId="18" xfId="10" applyNumberFormat="1" applyFont="1" applyFill="1" applyBorder="1" applyAlignment="1">
      <alignment horizontal="center" vertical="center" wrapText="1"/>
    </xf>
    <xf numFmtId="0" fontId="28" fillId="6" borderId="18" xfId="10" applyFont="1" applyFill="1" applyBorder="1" applyAlignment="1">
      <alignment horizontal="center" vertical="center" wrapText="1"/>
    </xf>
    <xf numFmtId="172" fontId="25" fillId="7" borderId="18" xfId="12" applyFont="1" applyFill="1" applyBorder="1" applyAlignment="1">
      <alignment horizontal="center" vertical="top" wrapText="1"/>
    </xf>
    <xf numFmtId="0" fontId="29" fillId="7" borderId="18" xfId="10" applyFont="1" applyFill="1" applyBorder="1" applyAlignment="1">
      <alignment horizontal="left" vertical="justify"/>
    </xf>
    <xf numFmtId="172" fontId="29" fillId="7" borderId="18" xfId="12" applyFont="1" applyFill="1" applyBorder="1" applyAlignment="1">
      <alignment horizontal="center" vertical="top" wrapText="1"/>
    </xf>
    <xf numFmtId="0" fontId="26" fillId="0" borderId="18" xfId="10" applyFont="1" applyBorder="1" applyAlignment="1">
      <alignment horizontal="center" vertical="center"/>
    </xf>
    <xf numFmtId="0" fontId="26" fillId="3" borderId="18" xfId="10" applyFont="1" applyFill="1" applyBorder="1" applyAlignment="1">
      <alignment horizontal="justify" vertical="center"/>
    </xf>
    <xf numFmtId="0" fontId="26" fillId="3" borderId="18" xfId="10" applyFont="1" applyFill="1" applyBorder="1" applyAlignment="1">
      <alignment horizontal="center" vertical="center"/>
    </xf>
    <xf numFmtId="172" fontId="26" fillId="3" borderId="18" xfId="12" applyFont="1" applyFill="1" applyBorder="1" applyAlignment="1">
      <alignment horizontal="right" vertical="center"/>
    </xf>
    <xf numFmtId="172" fontId="26" fillId="3" borderId="18" xfId="12" applyFont="1" applyFill="1" applyBorder="1" applyAlignment="1">
      <alignment horizontal="center" vertical="center"/>
    </xf>
    <xf numFmtId="0" fontId="26" fillId="3" borderId="18" xfId="10" applyFont="1" applyFill="1" applyBorder="1" applyAlignment="1">
      <alignment horizontal="left" vertical="justify"/>
    </xf>
    <xf numFmtId="172" fontId="26" fillId="0" borderId="18" xfId="13" applyFont="1" applyFill="1" applyBorder="1" applyAlignment="1">
      <alignment horizontal="right" vertical="center"/>
    </xf>
    <xf numFmtId="172" fontId="26" fillId="0" borderId="18" xfId="13" applyFont="1" applyFill="1" applyBorder="1" applyAlignment="1">
      <alignment horizontal="center" vertical="center"/>
    </xf>
    <xf numFmtId="0" fontId="31" fillId="3" borderId="18" xfId="10" applyFont="1" applyFill="1" applyBorder="1" applyAlignment="1">
      <alignment horizontal="justify" vertical="center"/>
    </xf>
    <xf numFmtId="0" fontId="26" fillId="3" borderId="18" xfId="10" applyFont="1" applyFill="1" applyBorder="1" applyAlignment="1">
      <alignment horizontal="left" vertical="center" wrapText="1"/>
    </xf>
    <xf numFmtId="170" fontId="26" fillId="0" borderId="18" xfId="10" applyNumberFormat="1" applyFont="1" applyBorder="1" applyAlignment="1">
      <alignment horizontal="center" vertical="center"/>
    </xf>
    <xf numFmtId="0" fontId="25" fillId="3" borderId="18" xfId="10" applyFont="1" applyFill="1" applyBorder="1" applyAlignment="1">
      <alignment horizontal="left" vertical="justify"/>
    </xf>
    <xf numFmtId="0" fontId="31" fillId="3" borderId="18" xfId="10" applyFont="1" applyFill="1" applyBorder="1" applyAlignment="1">
      <alignment horizontal="justify" vertical="center" wrapText="1"/>
    </xf>
    <xf numFmtId="0" fontId="26" fillId="3" borderId="18" xfId="14" applyFont="1" applyFill="1" applyBorder="1" applyAlignment="1">
      <alignment horizontal="center" vertical="center"/>
    </xf>
    <xf numFmtId="0" fontId="26" fillId="3" borderId="18" xfId="14" applyFont="1" applyFill="1" applyBorder="1" applyAlignment="1">
      <alignment horizontal="left" vertical="justify"/>
    </xf>
    <xf numFmtId="0" fontId="25" fillId="3" borderId="18" xfId="10" applyFont="1" applyFill="1" applyBorder="1" applyAlignment="1">
      <alignment horizontal="center" vertical="center"/>
    </xf>
    <xf numFmtId="172" fontId="25" fillId="3" borderId="18" xfId="12" applyFont="1" applyFill="1" applyBorder="1" applyAlignment="1">
      <alignment horizontal="right" vertical="center"/>
    </xf>
    <xf numFmtId="172" fontId="25" fillId="3" borderId="18" xfId="12" applyFont="1" applyFill="1" applyBorder="1" applyAlignment="1">
      <alignment horizontal="center" vertical="center"/>
    </xf>
    <xf numFmtId="2" fontId="26" fillId="0" borderId="18" xfId="10" applyNumberFormat="1" applyFont="1" applyBorder="1" applyAlignment="1">
      <alignment horizontal="center" vertical="center"/>
    </xf>
    <xf numFmtId="0" fontId="26" fillId="3" borderId="18" xfId="10" applyFont="1" applyFill="1" applyBorder="1" applyAlignment="1">
      <alignment vertical="center"/>
    </xf>
    <xf numFmtId="0" fontId="26" fillId="4" borderId="18" xfId="10" applyFont="1" applyFill="1" applyBorder="1" applyAlignment="1">
      <alignment horizontal="center" vertical="center"/>
    </xf>
    <xf numFmtId="0" fontId="25" fillId="4" borderId="18" xfId="10" applyFont="1" applyFill="1" applyBorder="1" applyAlignment="1">
      <alignment horizontal="left" vertical="justify"/>
    </xf>
    <xf numFmtId="0" fontId="25" fillId="4" borderId="18" xfId="10" applyFont="1" applyFill="1" applyBorder="1" applyAlignment="1">
      <alignment horizontal="center" vertical="center"/>
    </xf>
    <xf numFmtId="172" fontId="25" fillId="4" borderId="18" xfId="12" applyFont="1" applyFill="1" applyBorder="1" applyAlignment="1">
      <alignment horizontal="right" vertical="center"/>
    </xf>
    <xf numFmtId="172" fontId="25" fillId="4" borderId="18" xfId="12" applyFont="1" applyFill="1" applyBorder="1" applyAlignment="1">
      <alignment horizontal="center" vertical="center"/>
    </xf>
    <xf numFmtId="0" fontId="26" fillId="3" borderId="18" xfId="10" applyFont="1" applyFill="1" applyBorder="1" applyAlignment="1">
      <alignment horizontal="center" vertical="justify"/>
    </xf>
    <xf numFmtId="172" fontId="26" fillId="3" borderId="18" xfId="13" applyFont="1" applyFill="1" applyBorder="1" applyAlignment="1">
      <alignment horizontal="right" vertical="center"/>
    </xf>
    <xf numFmtId="172" fontId="26" fillId="3" borderId="18" xfId="13" applyFont="1" applyFill="1" applyBorder="1" applyAlignment="1">
      <alignment horizontal="center" vertical="center"/>
    </xf>
    <xf numFmtId="0" fontId="26" fillId="0" borderId="18" xfId="10" quotePrefix="1" applyFont="1" applyBorder="1" applyAlignment="1">
      <alignment horizontal="center" vertical="center"/>
    </xf>
    <xf numFmtId="0" fontId="26" fillId="0" borderId="0" xfId="10" applyFont="1" applyAlignment="1">
      <alignment horizontal="center" vertical="center"/>
    </xf>
    <xf numFmtId="0" fontId="26" fillId="3" borderId="0" xfId="10" applyFont="1" applyFill="1" applyAlignment="1">
      <alignment horizontal="left" vertical="justify"/>
    </xf>
    <xf numFmtId="0" fontId="26" fillId="0" borderId="18" xfId="15" applyFont="1" applyBorder="1" applyAlignment="1">
      <alignment horizontal="center"/>
    </xf>
    <xf numFmtId="0" fontId="29" fillId="3" borderId="18" xfId="14" applyFont="1" applyFill="1" applyBorder="1" applyAlignment="1">
      <alignment horizontal="justify" vertical="top" wrapText="1"/>
    </xf>
    <xf numFmtId="172" fontId="26" fillId="3" borderId="18" xfId="12" applyFont="1" applyFill="1" applyBorder="1" applyAlignment="1" applyProtection="1">
      <alignment horizontal="right" vertical="center"/>
      <protection locked="0"/>
    </xf>
    <xf numFmtId="0" fontId="26" fillId="0" borderId="18" xfId="10" applyFont="1" applyBorder="1" applyAlignment="1">
      <alignment horizontal="center" vertical="top"/>
    </xf>
    <xf numFmtId="0" fontId="26" fillId="3" borderId="18" xfId="10" applyFont="1" applyFill="1" applyBorder="1" applyAlignment="1">
      <alignment horizontal="justify" vertical="top"/>
    </xf>
    <xf numFmtId="0" fontId="25" fillId="3" borderId="18" xfId="10" applyFont="1" applyFill="1" applyBorder="1" applyAlignment="1">
      <alignment horizontal="justify" vertical="top"/>
    </xf>
    <xf numFmtId="0" fontId="25" fillId="0" borderId="39" xfId="10" applyFont="1" applyBorder="1" applyAlignment="1">
      <alignment horizontal="center" vertical="center"/>
    </xf>
    <xf numFmtId="0" fontId="26" fillId="3" borderId="39" xfId="10" applyFont="1" applyFill="1" applyBorder="1" applyAlignment="1">
      <alignment horizontal="justify" vertical="center" wrapText="1"/>
    </xf>
    <xf numFmtId="0" fontId="26" fillId="3" borderId="39" xfId="10" applyFont="1" applyFill="1" applyBorder="1" applyAlignment="1">
      <alignment horizontal="center" vertical="center"/>
    </xf>
    <xf numFmtId="172" fontId="26" fillId="3" borderId="39" xfId="12" applyFont="1" applyFill="1" applyBorder="1" applyAlignment="1">
      <alignment horizontal="center" vertical="center" wrapText="1"/>
    </xf>
    <xf numFmtId="172" fontId="26" fillId="0" borderId="39" xfId="13" applyFont="1" applyFill="1" applyBorder="1" applyAlignment="1">
      <alignment horizontal="center" vertical="center"/>
    </xf>
    <xf numFmtId="0" fontId="22" fillId="0" borderId="18" xfId="10" applyFont="1" applyBorder="1" applyAlignment="1">
      <alignment horizontal="center" vertical="center"/>
    </xf>
    <xf numFmtId="0" fontId="21" fillId="0" borderId="18" xfId="10" applyFont="1" applyBorder="1" applyAlignment="1">
      <alignment horizontal="justify" vertical="center" wrapText="1"/>
    </xf>
    <xf numFmtId="172" fontId="22" fillId="0" borderId="18" xfId="13" applyFont="1" applyFill="1" applyBorder="1" applyAlignment="1">
      <alignment horizontal="center" vertical="center" wrapText="1"/>
    </xf>
    <xf numFmtId="172" fontId="22" fillId="0" borderId="18" xfId="13" applyFont="1" applyFill="1" applyBorder="1" applyAlignment="1">
      <alignment horizontal="center" vertical="center"/>
    </xf>
    <xf numFmtId="0" fontId="22" fillId="0" borderId="18" xfId="10" applyFont="1" applyBorder="1" applyAlignment="1">
      <alignment horizontal="center" vertical="top"/>
    </xf>
    <xf numFmtId="0" fontId="22" fillId="3" borderId="18" xfId="10" applyFont="1" applyFill="1" applyBorder="1" applyAlignment="1">
      <alignment horizontal="justify" vertical="center"/>
    </xf>
    <xf numFmtId="0" fontId="22" fillId="3" borderId="18" xfId="10" applyFont="1" applyFill="1" applyBorder="1" applyAlignment="1">
      <alignment horizontal="center" vertical="center"/>
    </xf>
    <xf numFmtId="172" fontId="22" fillId="3" borderId="18" xfId="13" applyFont="1" applyFill="1" applyBorder="1" applyAlignment="1" applyProtection="1">
      <alignment horizontal="right" vertical="center"/>
      <protection locked="0"/>
    </xf>
    <xf numFmtId="0" fontId="22" fillId="3" borderId="18" xfId="10" applyFont="1" applyFill="1" applyBorder="1" applyAlignment="1">
      <alignment horizontal="justify" vertical="center" wrapText="1"/>
    </xf>
    <xf numFmtId="0" fontId="21" fillId="3" borderId="18" xfId="10" applyFont="1" applyFill="1" applyBorder="1" applyAlignment="1">
      <alignment horizontal="justify" vertical="center"/>
    </xf>
    <xf numFmtId="172" fontId="22" fillId="3" borderId="18" xfId="13" applyFont="1" applyFill="1" applyBorder="1" applyAlignment="1">
      <alignment horizontal="center" vertical="center"/>
    </xf>
    <xf numFmtId="0" fontId="21" fillId="3" borderId="18" xfId="10" applyFont="1" applyFill="1" applyBorder="1" applyAlignment="1">
      <alignment horizontal="justify" vertical="center" wrapText="1"/>
    </xf>
    <xf numFmtId="0" fontId="22" fillId="0" borderId="18" xfId="10" applyFont="1" applyBorder="1" applyAlignment="1">
      <alignment horizontal="justify" vertical="center" wrapText="1"/>
    </xf>
    <xf numFmtId="172" fontId="22" fillId="0" borderId="18" xfId="13" applyFont="1" applyFill="1" applyBorder="1" applyAlignment="1">
      <alignment horizontal="right" vertical="center"/>
    </xf>
    <xf numFmtId="0" fontId="22" fillId="4" borderId="18" xfId="10" applyFont="1" applyFill="1" applyBorder="1" applyAlignment="1">
      <alignment horizontal="center" vertical="center"/>
    </xf>
    <xf numFmtId="0" fontId="21" fillId="4" borderId="18" xfId="10" applyFont="1" applyFill="1" applyBorder="1" applyAlignment="1">
      <alignment horizontal="justify" vertical="center"/>
    </xf>
    <xf numFmtId="0" fontId="21" fillId="4" borderId="18" xfId="10" applyFont="1" applyFill="1" applyBorder="1" applyAlignment="1">
      <alignment horizontal="center" vertical="center"/>
    </xf>
    <xf numFmtId="172" fontId="21" fillId="4" borderId="18" xfId="13" applyFont="1" applyFill="1" applyBorder="1" applyAlignment="1">
      <alignment horizontal="center" vertical="center"/>
    </xf>
    <xf numFmtId="0" fontId="21" fillId="3" borderId="18" xfId="10" applyFont="1" applyFill="1" applyBorder="1" applyAlignment="1">
      <alignment horizontal="center" vertical="center"/>
    </xf>
    <xf numFmtId="172" fontId="21" fillId="3" borderId="18" xfId="13" applyFont="1" applyFill="1" applyBorder="1" applyAlignment="1">
      <alignment horizontal="center" vertical="center"/>
    </xf>
    <xf numFmtId="0" fontId="22" fillId="0" borderId="18" xfId="10" quotePrefix="1" applyFont="1" applyBorder="1" applyAlignment="1">
      <alignment horizontal="center" vertical="center"/>
    </xf>
    <xf numFmtId="0" fontId="22" fillId="0" borderId="18" xfId="10" applyFont="1" applyBorder="1" applyAlignment="1">
      <alignment vertical="center"/>
    </xf>
    <xf numFmtId="0" fontId="22" fillId="3" borderId="37" xfId="10" applyFont="1" applyFill="1" applyBorder="1" applyAlignment="1">
      <alignment horizontal="center" vertical="center"/>
    </xf>
    <xf numFmtId="2" fontId="22" fillId="0" borderId="18" xfId="10" applyNumberFormat="1" applyFont="1" applyBorder="1" applyAlignment="1">
      <alignment horizontal="center" vertical="center"/>
    </xf>
    <xf numFmtId="0" fontId="22" fillId="0" borderId="18" xfId="10" applyFont="1" applyBorder="1" applyAlignment="1">
      <alignment horizontal="left" vertical="center" wrapText="1"/>
    </xf>
    <xf numFmtId="0" fontId="21" fillId="0" borderId="18" xfId="10" applyFont="1" applyBorder="1" applyAlignment="1">
      <alignment horizontal="justify" vertical="top" wrapText="1"/>
    </xf>
    <xf numFmtId="0" fontId="22" fillId="0" borderId="18" xfId="10" applyFont="1" applyBorder="1" applyAlignment="1">
      <alignment horizontal="justify" vertical="top" wrapText="1"/>
    </xf>
    <xf numFmtId="0" fontId="26" fillId="3" borderId="18" xfId="10" applyFont="1" applyFill="1" applyBorder="1" applyAlignment="1">
      <alignment horizontal="justify" vertical="center" wrapText="1"/>
    </xf>
    <xf numFmtId="0" fontId="34" fillId="0" borderId="18" xfId="10" applyFont="1" applyBorder="1" applyAlignment="1">
      <alignment horizontal="center" vertical="center"/>
    </xf>
    <xf numFmtId="0" fontId="34" fillId="3" borderId="18" xfId="10" applyFont="1" applyFill="1" applyBorder="1" applyAlignment="1">
      <alignment horizontal="justify" vertical="center" wrapText="1"/>
    </xf>
    <xf numFmtId="0" fontId="34" fillId="3" borderId="18" xfId="10" applyFont="1" applyFill="1" applyBorder="1" applyAlignment="1">
      <alignment horizontal="center" vertical="center"/>
    </xf>
    <xf numFmtId="172" fontId="34" fillId="0" borderId="18" xfId="13" applyFont="1" applyFill="1" applyBorder="1" applyAlignment="1">
      <alignment horizontal="right" vertical="center"/>
    </xf>
    <xf numFmtId="172" fontId="34" fillId="3" borderId="18" xfId="13" applyFont="1" applyFill="1" applyBorder="1" applyAlignment="1">
      <alignment horizontal="center" vertical="center"/>
    </xf>
    <xf numFmtId="0" fontId="26" fillId="3" borderId="36" xfId="10" applyFont="1" applyFill="1" applyBorder="1" applyAlignment="1">
      <alignment horizontal="center" vertical="center"/>
    </xf>
    <xf numFmtId="0" fontId="26" fillId="3" borderId="36" xfId="10" applyFont="1" applyFill="1" applyBorder="1" applyAlignment="1">
      <alignment horizontal="justify" vertical="top" wrapText="1"/>
    </xf>
    <xf numFmtId="172" fontId="26" fillId="3" borderId="36" xfId="12" applyFont="1" applyFill="1" applyBorder="1" applyAlignment="1">
      <alignment horizontal="center" vertical="center" wrapText="1"/>
    </xf>
    <xf numFmtId="172" fontId="26" fillId="3" borderId="36" xfId="13" applyFont="1" applyFill="1" applyBorder="1" applyAlignment="1">
      <alignment horizontal="center" vertical="center"/>
    </xf>
    <xf numFmtId="172" fontId="26" fillId="4" borderId="18" xfId="12" applyFont="1" applyFill="1" applyBorder="1" applyAlignment="1">
      <alignment horizontal="right" vertical="center"/>
    </xf>
    <xf numFmtId="0" fontId="26" fillId="3" borderId="18" xfId="10" applyFont="1" applyFill="1" applyBorder="1" applyAlignment="1">
      <alignment horizontal="justify" vertical="top" wrapText="1"/>
    </xf>
    <xf numFmtId="0" fontId="34" fillId="3" borderId="18" xfId="10" applyFont="1" applyFill="1" applyBorder="1" applyAlignment="1">
      <alignment horizontal="left" vertical="justify"/>
    </xf>
    <xf numFmtId="1" fontId="26" fillId="0" borderId="18" xfId="10" applyNumberFormat="1" applyFont="1" applyBorder="1" applyAlignment="1">
      <alignment horizontal="center" vertical="center"/>
    </xf>
    <xf numFmtId="0" fontId="29" fillId="7" borderId="18" xfId="10" applyFont="1" applyFill="1" applyBorder="1" applyAlignment="1">
      <alignment horizontal="left" vertical="justify" wrapText="1"/>
    </xf>
    <xf numFmtId="0" fontId="26" fillId="3" borderId="18" xfId="14" applyFont="1" applyFill="1" applyBorder="1" applyAlignment="1">
      <alignment horizontal="justify" vertical="center"/>
    </xf>
    <xf numFmtId="0" fontId="26" fillId="3" borderId="18" xfId="10" applyFont="1" applyFill="1" applyBorder="1" applyAlignment="1">
      <alignment horizontal="center"/>
    </xf>
    <xf numFmtId="0" fontId="26" fillId="3" borderId="18" xfId="14" applyFont="1" applyFill="1" applyBorder="1" applyAlignment="1">
      <alignment horizontal="center"/>
    </xf>
    <xf numFmtId="172" fontId="26" fillId="8" borderId="18" xfId="13" applyFont="1" applyFill="1" applyBorder="1" applyAlignment="1">
      <alignment horizontal="center" vertical="center"/>
    </xf>
    <xf numFmtId="0" fontId="26" fillId="8" borderId="18" xfId="10" applyFont="1" applyFill="1" applyBorder="1" applyAlignment="1">
      <alignment horizontal="center" vertical="center"/>
    </xf>
    <xf numFmtId="0" fontId="26" fillId="8" borderId="18" xfId="14" applyFont="1" applyFill="1" applyBorder="1" applyAlignment="1">
      <alignment horizontal="justify" vertical="center"/>
    </xf>
    <xf numFmtId="0" fontId="26" fillId="8" borderId="18" xfId="14" applyFont="1" applyFill="1" applyBorder="1" applyAlignment="1">
      <alignment horizontal="center" vertical="center"/>
    </xf>
    <xf numFmtId="0" fontId="19" fillId="0" borderId="24" xfId="12" applyNumberFormat="1" applyFont="1" applyFill="1" applyBorder="1" applyAlignment="1">
      <alignment horizontal="center" vertical="top" wrapText="1"/>
    </xf>
    <xf numFmtId="0" fontId="19" fillId="0" borderId="24" xfId="10" applyFont="1" applyBorder="1" applyAlignment="1">
      <alignment horizontal="justify" vertical="top" wrapText="1"/>
    </xf>
    <xf numFmtId="0" fontId="19" fillId="0" borderId="24" xfId="10" applyFont="1" applyBorder="1" applyAlignment="1">
      <alignment horizontal="center" wrapText="1"/>
    </xf>
    <xf numFmtId="0" fontId="2" fillId="0" borderId="24" xfId="10" applyFont="1" applyBorder="1" applyAlignment="1">
      <alignment horizontal="center" wrapText="1"/>
    </xf>
    <xf numFmtId="168" fontId="20" fillId="0" borderId="24" xfId="12" applyNumberFormat="1" applyFont="1" applyFill="1" applyBorder="1" applyAlignment="1"/>
    <xf numFmtId="168" fontId="20" fillId="0" borderId="24" xfId="12" applyNumberFormat="1" applyFont="1" applyFill="1" applyBorder="1" applyAlignment="1">
      <alignment horizontal="justify" wrapText="1"/>
    </xf>
    <xf numFmtId="0" fontId="20" fillId="3" borderId="24" xfId="12" applyNumberFormat="1" applyFont="1" applyFill="1" applyBorder="1" applyAlignment="1">
      <alignment horizontal="center" vertical="top" wrapText="1"/>
    </xf>
    <xf numFmtId="0" fontId="20" fillId="3" borderId="24" xfId="10" applyFont="1" applyFill="1" applyBorder="1" applyAlignment="1">
      <alignment horizontal="justify" vertical="center" wrapText="1"/>
    </xf>
    <xf numFmtId="0" fontId="20" fillId="3" borderId="24" xfId="16" applyFont="1" applyFill="1" applyBorder="1" applyAlignment="1">
      <alignment horizontal="center" wrapText="1"/>
    </xf>
    <xf numFmtId="0" fontId="1" fillId="3" borderId="24" xfId="10" applyFont="1" applyFill="1" applyBorder="1" applyAlignment="1">
      <alignment horizontal="center" wrapText="1"/>
    </xf>
    <xf numFmtId="168" fontId="20" fillId="3" borderId="24" xfId="12" applyNumberFormat="1" applyFont="1" applyFill="1" applyBorder="1" applyAlignment="1">
      <alignment wrapText="1"/>
    </xf>
    <xf numFmtId="168" fontId="20" fillId="3" borderId="24" xfId="12" applyNumberFormat="1" applyFont="1" applyFill="1" applyBorder="1" applyAlignment="1">
      <alignment horizontal="justify" wrapText="1"/>
    </xf>
    <xf numFmtId="0" fontId="20" fillId="3" borderId="24" xfId="10" applyFont="1" applyFill="1" applyBorder="1" applyAlignment="1">
      <alignment horizontal="justify" vertical="top" wrapText="1"/>
    </xf>
    <xf numFmtId="0" fontId="20" fillId="3" borderId="24" xfId="10" applyFont="1" applyFill="1" applyBorder="1" applyAlignment="1">
      <alignment horizontal="center" wrapText="1"/>
    </xf>
    <xf numFmtId="0" fontId="20" fillId="8" borderId="24" xfId="12" applyNumberFormat="1" applyFont="1" applyFill="1" applyBorder="1" applyAlignment="1">
      <alignment horizontal="center" vertical="top" wrapText="1"/>
    </xf>
    <xf numFmtId="0" fontId="20" fillId="8" borderId="24" xfId="10" applyFont="1" applyFill="1" applyBorder="1" applyAlignment="1">
      <alignment horizontal="justify" vertical="top" wrapText="1"/>
    </xf>
    <xf numFmtId="0" fontId="20" fillId="8" borderId="24" xfId="10" applyFont="1" applyFill="1" applyBorder="1" applyAlignment="1">
      <alignment horizontal="center" wrapText="1"/>
    </xf>
    <xf numFmtId="168" fontId="20" fillId="8" borderId="24" xfId="12" applyNumberFormat="1" applyFont="1" applyFill="1" applyBorder="1" applyAlignment="1">
      <alignment wrapText="1"/>
    </xf>
    <xf numFmtId="168" fontId="20" fillId="8" borderId="24" xfId="12" applyNumberFormat="1" applyFont="1" applyFill="1" applyBorder="1" applyAlignment="1">
      <alignment horizontal="justify" wrapText="1"/>
    </xf>
    <xf numFmtId="0" fontId="20" fillId="0" borderId="24" xfId="12" applyNumberFormat="1" applyFont="1" applyFill="1" applyBorder="1" applyAlignment="1">
      <alignment horizontal="center" vertical="top" wrapText="1"/>
    </xf>
    <xf numFmtId="0" fontId="20" fillId="0" borderId="24" xfId="10" applyFont="1" applyBorder="1" applyAlignment="1">
      <alignment horizontal="justify" vertical="top" wrapText="1"/>
    </xf>
    <xf numFmtId="0" fontId="20" fillId="0" borderId="24" xfId="10" applyFont="1" applyBorder="1" applyAlignment="1">
      <alignment horizontal="center" wrapText="1"/>
    </xf>
    <xf numFmtId="168" fontId="20" fillId="0" borderId="24" xfId="12" applyNumberFormat="1" applyFont="1" applyFill="1" applyBorder="1" applyAlignment="1">
      <alignment wrapText="1"/>
    </xf>
    <xf numFmtId="0" fontId="20" fillId="0" borderId="27" xfId="12" applyNumberFormat="1" applyFont="1" applyFill="1" applyBorder="1" applyAlignment="1">
      <alignment horizontal="center" vertical="top" wrapText="1"/>
    </xf>
    <xf numFmtId="0" fontId="20" fillId="0" borderId="27" xfId="10" applyFont="1" applyBorder="1" applyAlignment="1">
      <alignment horizontal="justify" vertical="top" wrapText="1"/>
    </xf>
    <xf numFmtId="0" fontId="20" fillId="0" borderId="27" xfId="10" applyFont="1" applyBorder="1" applyAlignment="1">
      <alignment horizontal="center" wrapText="1"/>
    </xf>
    <xf numFmtId="0" fontId="1" fillId="0" borderId="27" xfId="10" applyFont="1" applyBorder="1" applyAlignment="1">
      <alignment horizontal="center" wrapText="1"/>
    </xf>
    <xf numFmtId="168" fontId="20" fillId="0" borderId="27" xfId="12" applyNumberFormat="1" applyFont="1" applyFill="1" applyBorder="1" applyAlignment="1">
      <alignment wrapText="1"/>
    </xf>
    <xf numFmtId="168" fontId="20" fillId="0" borderId="27" xfId="12" applyNumberFormat="1" applyFont="1" applyFill="1" applyBorder="1" applyAlignment="1">
      <alignment horizontal="justify" wrapText="1"/>
    </xf>
    <xf numFmtId="1" fontId="26" fillId="0" borderId="18" xfId="10" quotePrefix="1" applyNumberFormat="1" applyFont="1" applyBorder="1" applyAlignment="1">
      <alignment horizontal="center" vertical="center"/>
    </xf>
    <xf numFmtId="0" fontId="26" fillId="3" borderId="18" xfId="14" applyFont="1" applyFill="1" applyBorder="1" applyAlignment="1">
      <alignment horizontal="justify" vertical="justify"/>
    </xf>
    <xf numFmtId="0" fontId="26" fillId="3" borderId="0" xfId="10" applyFont="1" applyFill="1" applyAlignment="1">
      <alignment horizontal="center" vertical="center"/>
    </xf>
    <xf numFmtId="172" fontId="26" fillId="3" borderId="0" xfId="12" applyFont="1" applyFill="1" applyBorder="1" applyAlignment="1">
      <alignment horizontal="right" vertical="center"/>
    </xf>
    <xf numFmtId="0" fontId="37" fillId="0" borderId="18" xfId="0" applyFont="1" applyBorder="1" applyAlignment="1">
      <alignment horizontal="center" vertical="center"/>
    </xf>
    <xf numFmtId="0" fontId="37" fillId="9" borderId="18" xfId="0" applyFont="1" applyFill="1" applyBorder="1" applyAlignment="1">
      <alignment horizontal="center" vertical="center"/>
    </xf>
    <xf numFmtId="0" fontId="11" fillId="0" borderId="18" xfId="0" applyFont="1" applyBorder="1" applyAlignment="1">
      <alignment horizontal="center" vertical="center"/>
    </xf>
    <xf numFmtId="0" fontId="11" fillId="0" borderId="18" xfId="0" applyFont="1" applyBorder="1" applyAlignment="1">
      <alignment horizontal="left" vertical="center"/>
    </xf>
    <xf numFmtId="172" fontId="0" fillId="0" borderId="18" xfId="13" applyFont="1" applyBorder="1" applyAlignment="1">
      <alignment horizontal="right" vertical="center"/>
    </xf>
    <xf numFmtId="0" fontId="11" fillId="0" borderId="18" xfId="0" applyFont="1" applyBorder="1" applyAlignment="1">
      <alignment vertical="center"/>
    </xf>
    <xf numFmtId="0" fontId="37" fillId="10" borderId="18" xfId="0" applyFont="1" applyFill="1" applyBorder="1" applyAlignment="1">
      <alignment horizontal="center" vertical="center"/>
    </xf>
    <xf numFmtId="0" fontId="37" fillId="10" borderId="18" xfId="0" applyFont="1" applyFill="1" applyBorder="1" applyAlignment="1">
      <alignment horizontal="left" vertical="center"/>
    </xf>
    <xf numFmtId="172" fontId="37" fillId="10" borderId="18" xfId="13" applyFont="1" applyFill="1" applyBorder="1" applyAlignment="1">
      <alignment horizontal="right" vertical="center"/>
    </xf>
    <xf numFmtId="2" fontId="28" fillId="6" borderId="18" xfId="0" applyNumberFormat="1" applyFont="1" applyFill="1" applyBorder="1" applyAlignment="1">
      <alignment horizontal="center" vertical="center" wrapText="1"/>
    </xf>
    <xf numFmtId="0" fontId="28" fillId="6" borderId="18" xfId="0" applyFont="1" applyFill="1" applyBorder="1" applyAlignment="1">
      <alignment horizontal="center" vertical="center" wrapText="1"/>
    </xf>
    <xf numFmtId="0" fontId="26" fillId="0" borderId="18" xfId="0" applyFont="1" applyBorder="1" applyAlignment="1">
      <alignment horizontal="center" vertical="center"/>
    </xf>
    <xf numFmtId="0" fontId="25" fillId="3" borderId="18" xfId="0" applyFont="1" applyFill="1" applyBorder="1" applyAlignment="1">
      <alignment horizontal="left" vertical="justify"/>
    </xf>
    <xf numFmtId="0" fontId="26" fillId="3" borderId="18" xfId="0" applyFont="1" applyFill="1" applyBorder="1" applyAlignment="1">
      <alignment horizontal="center" vertical="center"/>
    </xf>
    <xf numFmtId="172" fontId="25" fillId="7" borderId="18" xfId="13" applyFont="1" applyFill="1" applyBorder="1" applyAlignment="1">
      <alignment horizontal="center" vertical="top" wrapText="1"/>
    </xf>
    <xf numFmtId="0" fontId="29" fillId="7" borderId="18" xfId="0" applyFont="1" applyFill="1" applyBorder="1" applyAlignment="1">
      <alignment horizontal="left" vertical="justify"/>
    </xf>
    <xf numFmtId="172" fontId="29" fillId="7" borderId="18" xfId="13" applyFont="1" applyFill="1" applyBorder="1" applyAlignment="1">
      <alignment horizontal="center" vertical="top" wrapText="1"/>
    </xf>
    <xf numFmtId="0" fontId="26" fillId="3" borderId="18" xfId="0" applyFont="1" applyFill="1" applyBorder="1" applyAlignment="1">
      <alignment horizontal="left" vertical="justify"/>
    </xf>
    <xf numFmtId="0" fontId="26" fillId="3" borderId="18" xfId="0" applyFont="1" applyFill="1" applyBorder="1" applyAlignment="1">
      <alignment horizontal="justify" vertical="center"/>
    </xf>
    <xf numFmtId="0" fontId="26" fillId="3" borderId="18" xfId="0" applyFont="1" applyFill="1" applyBorder="1" applyAlignment="1">
      <alignment horizontal="center" vertical="justify"/>
    </xf>
    <xf numFmtId="0" fontId="26" fillId="0" borderId="0" xfId="0" applyFont="1" applyAlignment="1">
      <alignment horizontal="center" vertical="center"/>
    </xf>
    <xf numFmtId="0" fontId="26" fillId="3" borderId="0" xfId="0" applyFont="1" applyFill="1" applyAlignment="1">
      <alignment horizontal="left" vertical="justify"/>
    </xf>
    <xf numFmtId="0" fontId="26" fillId="3" borderId="0" xfId="0" applyFont="1" applyFill="1" applyAlignment="1">
      <alignment horizontal="center" vertical="center"/>
    </xf>
    <xf numFmtId="172" fontId="26" fillId="3" borderId="0" xfId="13" applyFont="1" applyFill="1" applyBorder="1" applyAlignment="1">
      <alignment horizontal="right" vertical="center"/>
    </xf>
    <xf numFmtId="2" fontId="26" fillId="0" borderId="18" xfId="0" applyNumberFormat="1" applyFont="1" applyBorder="1" applyAlignment="1">
      <alignment horizontal="center" vertical="center"/>
    </xf>
    <xf numFmtId="0" fontId="26" fillId="3" borderId="18" xfId="0" applyFont="1" applyFill="1" applyBorder="1" applyAlignment="1">
      <alignment horizontal="left" vertical="center"/>
    </xf>
    <xf numFmtId="0" fontId="26" fillId="0" borderId="18" xfId="0" quotePrefix="1" applyFont="1" applyBorder="1" applyAlignment="1">
      <alignment horizontal="center" vertical="center"/>
    </xf>
    <xf numFmtId="170" fontId="26" fillId="0" borderId="18" xfId="0" applyNumberFormat="1" applyFont="1" applyBorder="1" applyAlignment="1">
      <alignment horizontal="center" vertical="center"/>
    </xf>
    <xf numFmtId="0" fontId="26" fillId="4" borderId="18" xfId="0" applyFont="1" applyFill="1" applyBorder="1" applyAlignment="1">
      <alignment horizontal="center" vertical="center"/>
    </xf>
    <xf numFmtId="0" fontId="25" fillId="4" borderId="18" xfId="0" applyFont="1" applyFill="1" applyBorder="1" applyAlignment="1">
      <alignment horizontal="left" vertical="justify"/>
    </xf>
    <xf numFmtId="0" fontId="25" fillId="4" borderId="18" xfId="0" applyFont="1" applyFill="1" applyBorder="1" applyAlignment="1">
      <alignment horizontal="center" vertical="center"/>
    </xf>
    <xf numFmtId="172" fontId="25" fillId="4" borderId="18" xfId="13" applyFont="1" applyFill="1" applyBorder="1" applyAlignment="1">
      <alignment horizontal="right" vertical="center"/>
    </xf>
    <xf numFmtId="172" fontId="25" fillId="4" borderId="18" xfId="13" applyFont="1" applyFill="1" applyBorder="1" applyAlignment="1">
      <alignment horizontal="center" vertical="center"/>
    </xf>
    <xf numFmtId="0" fontId="6" fillId="0" borderId="7" xfId="16" applyFont="1" applyBorder="1" applyAlignment="1">
      <alignment vertical="center"/>
    </xf>
    <xf numFmtId="0" fontId="6" fillId="0" borderId="42" xfId="16" applyFont="1" applyBorder="1" applyAlignment="1">
      <alignment vertical="center"/>
    </xf>
    <xf numFmtId="0" fontId="5" fillId="0" borderId="0" xfId="17" applyFont="1" applyAlignment="1">
      <alignment horizontal="justify" vertical="top"/>
    </xf>
    <xf numFmtId="0" fontId="6" fillId="0" borderId="18" xfId="17" applyFont="1" applyBorder="1" applyAlignment="1">
      <alignment horizontal="center" vertical="center" wrapText="1"/>
    </xf>
    <xf numFmtId="0" fontId="6" fillId="0" borderId="18" xfId="17" applyFont="1" applyBorder="1" applyAlignment="1">
      <alignment horizontal="left" vertical="center" wrapText="1"/>
    </xf>
    <xf numFmtId="3" fontId="6" fillId="0" borderId="18" xfId="17" applyNumberFormat="1" applyFont="1" applyBorder="1" applyAlignment="1">
      <alignment horizontal="center" vertical="center" wrapText="1"/>
    </xf>
    <xf numFmtId="0" fontId="6" fillId="0" borderId="18" xfId="17" applyFont="1" applyBorder="1" applyAlignment="1">
      <alignment horizontal="center" vertical="center"/>
    </xf>
    <xf numFmtId="0" fontId="5" fillId="0" borderId="0" xfId="17" applyFont="1"/>
    <xf numFmtId="0" fontId="6" fillId="0" borderId="36" xfId="18" applyFont="1" applyBorder="1" applyAlignment="1">
      <alignment horizontal="center" vertical="top" wrapText="1"/>
    </xf>
    <xf numFmtId="0" fontId="6" fillId="0" borderId="36" xfId="17" applyFont="1" applyBorder="1" applyAlignment="1">
      <alignment horizontal="left" vertical="top" wrapText="1"/>
    </xf>
    <xf numFmtId="0" fontId="5" fillId="0" borderId="36" xfId="19" applyNumberFormat="1" applyFont="1" applyBorder="1" applyAlignment="1">
      <alignment horizontal="center" wrapText="1"/>
    </xf>
    <xf numFmtId="0" fontId="5" fillId="0" borderId="36" xfId="18" applyFont="1" applyBorder="1" applyAlignment="1">
      <alignment horizontal="center" wrapText="1"/>
    </xf>
    <xf numFmtId="3" fontId="5" fillId="0" borderId="36" xfId="20" applyNumberFormat="1" applyFont="1" applyBorder="1" applyAlignment="1">
      <alignment horizontal="center" wrapText="1"/>
    </xf>
    <xf numFmtId="3" fontId="5" fillId="0" borderId="36" xfId="20" applyNumberFormat="1" applyFont="1" applyBorder="1" applyAlignment="1">
      <alignment wrapText="1"/>
    </xf>
    <xf numFmtId="0" fontId="5" fillId="0" borderId="36" xfId="21" applyFont="1" applyBorder="1" applyAlignment="1">
      <alignment horizontal="justify" vertical="top" wrapText="1"/>
    </xf>
    <xf numFmtId="170" fontId="5" fillId="0" borderId="36" xfId="18" applyNumberFormat="1" applyFont="1" applyBorder="1" applyAlignment="1">
      <alignment horizontal="center" vertical="top" wrapText="1"/>
    </xf>
    <xf numFmtId="170" fontId="6" fillId="0" borderId="36" xfId="18" applyNumberFormat="1" applyFont="1" applyBorder="1" applyAlignment="1">
      <alignment horizontal="left" vertical="top" wrapText="1"/>
    </xf>
    <xf numFmtId="0" fontId="5" fillId="0" borderId="36" xfId="17" applyFont="1" applyBorder="1" applyAlignment="1">
      <alignment horizontal="justify" vertical="top" wrapText="1"/>
    </xf>
    <xf numFmtId="173" fontId="5" fillId="0" borderId="36" xfId="19" applyFont="1" applyBorder="1" applyAlignment="1">
      <alignment horizontal="center" wrapText="1"/>
    </xf>
    <xf numFmtId="170" fontId="20" fillId="0" borderId="36" xfId="17" applyNumberFormat="1" applyFont="1" applyBorder="1" applyAlignment="1">
      <alignment horizontal="center"/>
    </xf>
    <xf numFmtId="164" fontId="5" fillId="0" borderId="36" xfId="20" applyNumberFormat="1" applyFont="1" applyBorder="1" applyAlignment="1">
      <alignment horizontal="center" wrapText="1"/>
    </xf>
    <xf numFmtId="164" fontId="5" fillId="0" borderId="36" xfId="20" applyNumberFormat="1" applyFont="1" applyBorder="1" applyAlignment="1">
      <alignment wrapText="1"/>
    </xf>
    <xf numFmtId="0" fontId="5" fillId="0" borderId="36" xfId="17" applyFont="1" applyBorder="1"/>
    <xf numFmtId="170" fontId="5" fillId="0" borderId="15" xfId="18" applyNumberFormat="1" applyFont="1" applyBorder="1" applyAlignment="1">
      <alignment horizontal="center" vertical="top" wrapText="1"/>
    </xf>
    <xf numFmtId="170" fontId="6" fillId="0" borderId="15" xfId="18" applyNumberFormat="1" applyFont="1" applyBorder="1" applyAlignment="1">
      <alignment horizontal="left" vertical="top" wrapText="1"/>
    </xf>
    <xf numFmtId="0" fontId="5" fillId="0" borderId="43" xfId="17" applyFont="1" applyBorder="1"/>
    <xf numFmtId="0" fontId="5" fillId="0" borderId="15" xfId="17" applyFont="1" applyBorder="1" applyAlignment="1">
      <alignment horizontal="justify" vertical="top" wrapText="1"/>
    </xf>
    <xf numFmtId="173" fontId="5" fillId="0" borderId="15" xfId="19" applyFont="1" applyBorder="1" applyAlignment="1">
      <alignment horizontal="center" wrapText="1"/>
    </xf>
    <xf numFmtId="164" fontId="5" fillId="0" borderId="15" xfId="20" applyNumberFormat="1" applyFont="1" applyBorder="1" applyAlignment="1">
      <alignment horizontal="center" wrapText="1"/>
    </xf>
    <xf numFmtId="164" fontId="5" fillId="0" borderId="15" xfId="20" applyNumberFormat="1" applyFont="1" applyBorder="1" applyAlignment="1">
      <alignment wrapText="1"/>
    </xf>
    <xf numFmtId="0" fontId="5" fillId="0" borderId="37" xfId="17" applyFont="1" applyBorder="1"/>
    <xf numFmtId="0" fontId="6" fillId="0" borderId="36" xfId="17" applyFont="1" applyBorder="1" applyAlignment="1">
      <alignment horizontal="justify" vertical="top" wrapText="1"/>
    </xf>
    <xf numFmtId="0" fontId="5" fillId="0" borderId="36" xfId="19" applyNumberFormat="1" applyFont="1" applyFill="1" applyBorder="1" applyAlignment="1">
      <alignment horizontal="center" wrapText="1"/>
    </xf>
    <xf numFmtId="170" fontId="5" fillId="4" borderId="18" xfId="17" applyNumberFormat="1" applyFont="1" applyFill="1" applyBorder="1" applyAlignment="1">
      <alignment horizontal="center" vertical="top" wrapText="1"/>
    </xf>
    <xf numFmtId="170" fontId="6" fillId="4" borderId="18" xfId="17" applyNumberFormat="1" applyFont="1" applyFill="1" applyBorder="1" applyAlignment="1">
      <alignment horizontal="left" vertical="top" wrapText="1"/>
    </xf>
    <xf numFmtId="0" fontId="6" fillId="4" borderId="18" xfId="17" applyFont="1" applyFill="1" applyBorder="1" applyAlignment="1">
      <alignment horizontal="center"/>
    </xf>
    <xf numFmtId="0" fontId="5" fillId="4" borderId="18" xfId="17" applyFont="1" applyFill="1" applyBorder="1"/>
    <xf numFmtId="164" fontId="5" fillId="4" borderId="18" xfId="20" applyNumberFormat="1" applyFont="1" applyFill="1" applyBorder="1"/>
    <xf numFmtId="164" fontId="6" fillId="4" borderId="18" xfId="20" applyNumberFormat="1" applyFont="1" applyFill="1" applyBorder="1"/>
    <xf numFmtId="0" fontId="5" fillId="0" borderId="0" xfId="17" applyFont="1" applyAlignment="1">
      <alignment vertical="top"/>
    </xf>
    <xf numFmtId="0" fontId="39" fillId="0" borderId="0" xfId="17" applyFont="1" applyAlignment="1">
      <alignment horizontal="left" vertical="top"/>
    </xf>
    <xf numFmtId="0" fontId="20" fillId="0" borderId="0" xfId="17" applyFont="1" applyAlignment="1">
      <alignment horizontal="justify" vertical="top"/>
    </xf>
    <xf numFmtId="165" fontId="25" fillId="3" borderId="33" xfId="20" applyFont="1" applyFill="1" applyBorder="1" applyAlignment="1">
      <alignment vertical="top" wrapText="1"/>
    </xf>
    <xf numFmtId="0" fontId="19" fillId="4" borderId="18" xfId="22" applyNumberFormat="1" applyFont="1" applyFill="1" applyBorder="1" applyAlignment="1">
      <alignment horizontal="center" vertical="center" wrapText="1"/>
    </xf>
    <xf numFmtId="0" fontId="19" fillId="4" borderId="18" xfId="17" applyFont="1" applyFill="1" applyBorder="1" applyAlignment="1">
      <alignment horizontal="center" vertical="center" wrapText="1"/>
    </xf>
    <xf numFmtId="168" fontId="19" fillId="4" borderId="18" xfId="22" applyNumberFormat="1" applyFont="1" applyFill="1" applyBorder="1" applyAlignment="1">
      <alignment horizontal="center" vertical="center" wrapText="1"/>
    </xf>
    <xf numFmtId="0" fontId="19" fillId="0" borderId="0" xfId="17" applyFont="1" applyAlignment="1">
      <alignment horizontal="center" vertical="center" wrapText="1"/>
    </xf>
    <xf numFmtId="0" fontId="20" fillId="3" borderId="39" xfId="17" applyFont="1" applyFill="1" applyBorder="1" applyAlignment="1">
      <alignment horizontal="center" vertical="center" wrapText="1"/>
    </xf>
    <xf numFmtId="0" fontId="19" fillId="3" borderId="39" xfId="17" applyFont="1" applyFill="1" applyBorder="1" applyAlignment="1">
      <alignment horizontal="justify" vertical="center" wrapText="1"/>
    </xf>
    <xf numFmtId="3" fontId="19" fillId="3" borderId="39" xfId="17" applyNumberFormat="1" applyFont="1" applyFill="1" applyBorder="1" applyAlignment="1">
      <alignment horizontal="center" vertical="center" wrapText="1"/>
    </xf>
    <xf numFmtId="168" fontId="19" fillId="3" borderId="39" xfId="22" applyNumberFormat="1" applyFont="1" applyFill="1" applyBorder="1" applyAlignment="1">
      <alignment horizontal="center" vertical="center"/>
    </xf>
    <xf numFmtId="168" fontId="19" fillId="3" borderId="39" xfId="22" applyNumberFormat="1" applyFont="1" applyFill="1" applyBorder="1" applyAlignment="1">
      <alignment horizontal="center" vertical="center" wrapText="1"/>
    </xf>
    <xf numFmtId="0" fontId="20" fillId="0" borderId="0" xfId="17" applyFont="1"/>
    <xf numFmtId="0" fontId="20" fillId="3" borderId="24" xfId="17" applyFont="1" applyFill="1" applyBorder="1" applyAlignment="1">
      <alignment horizontal="center" vertical="center" wrapText="1"/>
    </xf>
    <xf numFmtId="0" fontId="19" fillId="3" borderId="24" xfId="17" applyFont="1" applyFill="1" applyBorder="1" applyAlignment="1">
      <alignment horizontal="justify" vertical="center" wrapText="1"/>
    </xf>
    <xf numFmtId="3" fontId="19" fillId="3" borderId="24" xfId="17" applyNumberFormat="1" applyFont="1" applyFill="1" applyBorder="1" applyAlignment="1">
      <alignment horizontal="center" vertical="center" wrapText="1"/>
    </xf>
    <xf numFmtId="168" fontId="19" fillId="3" borderId="24" xfId="22" applyNumberFormat="1" applyFont="1" applyFill="1" applyBorder="1" applyAlignment="1">
      <alignment horizontal="center" vertical="center"/>
    </xf>
    <xf numFmtId="168" fontId="19" fillId="3" borderId="24" xfId="22" applyNumberFormat="1" applyFont="1" applyFill="1" applyBorder="1" applyAlignment="1">
      <alignment horizontal="center" vertical="center" wrapText="1"/>
    </xf>
    <xf numFmtId="3" fontId="20" fillId="3" borderId="24" xfId="17" applyNumberFormat="1" applyFont="1" applyFill="1" applyBorder="1" applyAlignment="1">
      <alignment horizontal="center"/>
    </xf>
    <xf numFmtId="168" fontId="20" fillId="3" borderId="24" xfId="22" applyNumberFormat="1" applyFont="1" applyFill="1" applyBorder="1" applyAlignment="1">
      <alignment horizontal="right"/>
    </xf>
    <xf numFmtId="0" fontId="19" fillId="0" borderId="24" xfId="23" applyFont="1" applyBorder="1" applyAlignment="1">
      <alignment horizontal="justify" vertical="top" wrapText="1"/>
    </xf>
    <xf numFmtId="168" fontId="20" fillId="3" borderId="24" xfId="22" applyNumberFormat="1" applyFont="1" applyFill="1" applyBorder="1" applyAlignment="1">
      <alignment horizontal="center"/>
    </xf>
    <xf numFmtId="0" fontId="20" fillId="0" borderId="24" xfId="23" applyFont="1" applyBorder="1" applyAlignment="1">
      <alignment horizontal="justify" vertical="top" wrapText="1"/>
    </xf>
    <xf numFmtId="170" fontId="20" fillId="3" borderId="24" xfId="16" applyNumberFormat="1" applyFont="1" applyFill="1" applyBorder="1" applyAlignment="1">
      <alignment horizontal="center" vertical="top" wrapText="1"/>
    </xf>
    <xf numFmtId="0" fontId="20" fillId="3" borderId="24" xfId="16" applyFont="1" applyFill="1" applyBorder="1" applyAlignment="1">
      <alignment horizontal="justify" vertical="top" wrapText="1"/>
    </xf>
    <xf numFmtId="0" fontId="20" fillId="3" borderId="24" xfId="16" applyFont="1" applyFill="1" applyBorder="1" applyAlignment="1">
      <alignment horizontal="center"/>
    </xf>
    <xf numFmtId="0" fontId="20" fillId="3" borderId="24" xfId="17" applyFont="1" applyFill="1" applyBorder="1"/>
    <xf numFmtId="0" fontId="20" fillId="3" borderId="24" xfId="17" applyFont="1" applyFill="1" applyBorder="1" applyAlignment="1">
      <alignment horizontal="justify" vertical="top" wrapText="1"/>
    </xf>
    <xf numFmtId="173" fontId="20" fillId="3" borderId="24" xfId="19" applyFont="1" applyFill="1" applyBorder="1" applyAlignment="1">
      <alignment horizontal="center" wrapText="1"/>
    </xf>
    <xf numFmtId="0" fontId="20" fillId="3" borderId="24" xfId="19" applyNumberFormat="1" applyFont="1" applyFill="1" applyBorder="1" applyAlignment="1">
      <alignment horizontal="center"/>
    </xf>
    <xf numFmtId="168" fontId="20" fillId="3" borderId="24" xfId="22" applyNumberFormat="1" applyFont="1" applyFill="1" applyBorder="1" applyAlignment="1"/>
    <xf numFmtId="0" fontId="20" fillId="3" borderId="24" xfId="17" applyFont="1" applyFill="1" applyBorder="1" applyAlignment="1">
      <alignment horizontal="center"/>
    </xf>
    <xf numFmtId="0" fontId="19" fillId="3" borderId="24" xfId="17" applyFont="1" applyFill="1" applyBorder="1" applyAlignment="1">
      <alignment horizontal="justify" vertical="top" wrapText="1"/>
    </xf>
    <xf numFmtId="0" fontId="20" fillId="3" borderId="24" xfId="17" applyFont="1" applyFill="1" applyBorder="1" applyAlignment="1">
      <alignment horizontal="center" vertical="top" wrapText="1"/>
    </xf>
    <xf numFmtId="0" fontId="20" fillId="3" borderId="24" xfId="17" applyFont="1" applyFill="1" applyBorder="1" applyAlignment="1">
      <alignment horizontal="justify" vertical="center" wrapText="1"/>
    </xf>
    <xf numFmtId="1" fontId="20" fillId="0" borderId="24" xfId="18" applyNumberFormat="1" applyFont="1" applyBorder="1" applyAlignment="1">
      <alignment horizontal="center" vertical="top" wrapText="1"/>
    </xf>
    <xf numFmtId="0" fontId="20" fillId="0" borderId="24" xfId="16" applyFont="1" applyBorder="1" applyAlignment="1">
      <alignment horizontal="center" wrapText="1"/>
    </xf>
    <xf numFmtId="0" fontId="20" fillId="0" borderId="24" xfId="17" applyFont="1" applyBorder="1" applyAlignment="1">
      <alignment horizontal="center"/>
    </xf>
    <xf numFmtId="168" fontId="20" fillId="0" borderId="24" xfId="22" applyNumberFormat="1" applyFont="1" applyFill="1" applyBorder="1" applyAlignment="1"/>
    <xf numFmtId="168" fontId="20" fillId="0" borderId="24" xfId="22" applyNumberFormat="1" applyFont="1" applyFill="1" applyBorder="1" applyAlignment="1">
      <alignment horizontal="right"/>
    </xf>
    <xf numFmtId="0" fontId="20" fillId="3" borderId="44" xfId="17" applyFont="1" applyFill="1" applyBorder="1"/>
    <xf numFmtId="0" fontId="20" fillId="3" borderId="44" xfId="17" applyFont="1" applyFill="1" applyBorder="1" applyAlignment="1">
      <alignment horizontal="justify" vertical="top" wrapText="1"/>
    </xf>
    <xf numFmtId="173" fontId="20" fillId="3" borderId="44" xfId="19" applyFont="1" applyFill="1" applyBorder="1" applyAlignment="1">
      <alignment horizontal="center" wrapText="1"/>
    </xf>
    <xf numFmtId="0" fontId="20" fillId="3" borderId="44" xfId="19" applyNumberFormat="1" applyFont="1" applyFill="1" applyBorder="1" applyAlignment="1">
      <alignment horizontal="center"/>
    </xf>
    <xf numFmtId="168" fontId="20" fillId="3" borderId="44" xfId="22" applyNumberFormat="1" applyFont="1" applyFill="1" applyBorder="1" applyAlignment="1">
      <alignment horizontal="center"/>
    </xf>
    <xf numFmtId="168" fontId="20" fillId="3" borderId="44" xfId="22" applyNumberFormat="1" applyFont="1" applyFill="1" applyBorder="1" applyAlignment="1"/>
    <xf numFmtId="170" fontId="20" fillId="4" borderId="18" xfId="17" applyNumberFormat="1" applyFont="1" applyFill="1" applyBorder="1" applyAlignment="1">
      <alignment horizontal="center" vertical="top" wrapText="1"/>
    </xf>
    <xf numFmtId="170" fontId="19" fillId="4" borderId="18" xfId="17" applyNumberFormat="1" applyFont="1" applyFill="1" applyBorder="1" applyAlignment="1">
      <alignment horizontal="justify" vertical="center" wrapText="1"/>
    </xf>
    <xf numFmtId="0" fontId="19" fillId="4" borderId="18" xfId="17" applyFont="1" applyFill="1" applyBorder="1" applyAlignment="1">
      <alignment horizontal="center"/>
    </xf>
    <xf numFmtId="0" fontId="20" fillId="4" borderId="18" xfId="17" applyFont="1" applyFill="1" applyBorder="1"/>
    <xf numFmtId="168" fontId="20" fillId="4" borderId="18" xfId="22" applyNumberFormat="1" applyFont="1" applyFill="1" applyBorder="1"/>
    <xf numFmtId="168" fontId="19" fillId="4" borderId="18" xfId="22" applyNumberFormat="1" applyFont="1" applyFill="1" applyBorder="1" applyAlignment="1">
      <alignment vertical="center"/>
    </xf>
    <xf numFmtId="0" fontId="20" fillId="0" borderId="0" xfId="17" applyFont="1" applyAlignment="1">
      <alignment vertical="top"/>
    </xf>
    <xf numFmtId="168" fontId="20" fillId="0" borderId="0" xfId="22" applyNumberFormat="1" applyFont="1"/>
    <xf numFmtId="0" fontId="0" fillId="0" borderId="0" xfId="0" applyAlignment="1">
      <alignment vertical="top"/>
    </xf>
    <xf numFmtId="0" fontId="40" fillId="0" borderId="0" xfId="17" applyFont="1" applyAlignment="1">
      <alignment horizontal="justify" vertical="top"/>
    </xf>
    <xf numFmtId="0" fontId="41" fillId="0" borderId="45" xfId="24" applyFont="1" applyBorder="1" applyAlignment="1">
      <alignment horizontal="center" vertical="top"/>
    </xf>
    <xf numFmtId="0" fontId="41" fillId="0" borderId="12" xfId="24" applyFont="1" applyBorder="1" applyAlignment="1">
      <alignment horizontal="justify" vertical="top" wrapText="1"/>
    </xf>
    <xf numFmtId="0" fontId="41" fillId="0" borderId="0" xfId="0" applyFont="1"/>
    <xf numFmtId="0" fontId="42" fillId="6" borderId="37" xfId="24" applyFont="1" applyFill="1" applyBorder="1" applyAlignment="1">
      <alignment horizontal="center" vertical="center"/>
    </xf>
    <xf numFmtId="0" fontId="42" fillId="6" borderId="42" xfId="24" applyFont="1" applyFill="1" applyBorder="1" applyAlignment="1">
      <alignment horizontal="center" vertical="center" wrapText="1"/>
    </xf>
    <xf numFmtId="165" fontId="42" fillId="6" borderId="37" xfId="20" applyFont="1" applyFill="1" applyBorder="1" applyAlignment="1">
      <alignment horizontal="center" vertical="center" wrapText="1"/>
    </xf>
    <xf numFmtId="0" fontId="41" fillId="0" borderId="0" xfId="0" applyFont="1" applyAlignment="1">
      <alignment vertical="top"/>
    </xf>
    <xf numFmtId="0" fontId="0" fillId="0" borderId="0" xfId="0" applyAlignment="1">
      <alignment vertical="center" wrapText="1"/>
    </xf>
    <xf numFmtId="0" fontId="42" fillId="0" borderId="37" xfId="24" applyFont="1" applyBorder="1" applyAlignment="1">
      <alignment horizontal="center" vertical="top"/>
    </xf>
    <xf numFmtId="0" fontId="42" fillId="0" borderId="42" xfId="24" applyFont="1" applyBorder="1" applyAlignment="1">
      <alignment horizontal="center" vertical="top" wrapText="1"/>
    </xf>
    <xf numFmtId="165" fontId="42" fillId="0" borderId="37" xfId="20" applyFont="1" applyFill="1" applyBorder="1" applyAlignment="1">
      <alignment horizontal="center" wrapText="1"/>
    </xf>
    <xf numFmtId="2" fontId="42" fillId="0" borderId="36" xfId="0" applyNumberFormat="1" applyFont="1" applyBorder="1" applyAlignment="1">
      <alignment horizontal="center" vertical="top"/>
    </xf>
    <xf numFmtId="0" fontId="42" fillId="0" borderId="43" xfId="0" applyFont="1" applyBorder="1" applyAlignment="1">
      <alignment vertical="top" wrapText="1" shrinkToFit="1"/>
    </xf>
    <xf numFmtId="38" fontId="41" fillId="0" borderId="36" xfId="0" applyNumberFormat="1" applyFont="1" applyBorder="1" applyAlignment="1">
      <alignment horizontal="center" wrapText="1"/>
    </xf>
    <xf numFmtId="3" fontId="41" fillId="0" borderId="36" xfId="0" applyNumberFormat="1" applyFont="1" applyBorder="1" applyAlignment="1">
      <alignment horizontal="center" wrapText="1"/>
    </xf>
    <xf numFmtId="3" fontId="41" fillId="0" borderId="36" xfId="0" applyNumberFormat="1" applyFont="1" applyBorder="1" applyAlignment="1">
      <alignment horizontal="right" wrapText="1"/>
    </xf>
    <xf numFmtId="1" fontId="41" fillId="0" borderId="36" xfId="0" applyNumberFormat="1" applyFont="1" applyBorder="1" applyAlignment="1">
      <alignment horizontal="center" vertical="top"/>
    </xf>
    <xf numFmtId="0" fontId="41" fillId="0" borderId="43" xfId="0" applyFont="1" applyBorder="1" applyAlignment="1">
      <alignment horizontal="justify" vertical="center" wrapText="1"/>
    </xf>
    <xf numFmtId="0" fontId="41" fillId="0" borderId="36" xfId="0" applyFont="1" applyBorder="1" applyAlignment="1">
      <alignment horizontal="center" wrapText="1"/>
    </xf>
    <xf numFmtId="0" fontId="41" fillId="0" borderId="43" xfId="0" applyFont="1" applyBorder="1" applyAlignment="1">
      <alignment vertical="top" wrapText="1"/>
    </xf>
    <xf numFmtId="0" fontId="41" fillId="0" borderId="36" xfId="0" applyFont="1" applyBorder="1" applyAlignment="1">
      <alignment wrapText="1"/>
    </xf>
    <xf numFmtId="0" fontId="41" fillId="0" borderId="43" xfId="0" applyFont="1" applyBorder="1" applyAlignment="1">
      <alignment horizontal="justify" vertical="top"/>
    </xf>
    <xf numFmtId="3" fontId="41" fillId="0" borderId="36" xfId="0" applyNumberFormat="1" applyFont="1" applyBorder="1" applyAlignment="1">
      <alignment horizontal="center"/>
    </xf>
    <xf numFmtId="0" fontId="41" fillId="5" borderId="0" xfId="0" applyFont="1" applyFill="1" applyAlignment="1">
      <alignment vertical="top"/>
    </xf>
    <xf numFmtId="0" fontId="41" fillId="0" borderId="36" xfId="0" applyFont="1" applyBorder="1" applyAlignment="1">
      <alignment horizontal="justify"/>
    </xf>
    <xf numFmtId="1" fontId="41" fillId="3" borderId="36" xfId="0" applyNumberFormat="1" applyFont="1" applyFill="1" applyBorder="1" applyAlignment="1">
      <alignment horizontal="center" vertical="top"/>
    </xf>
    <xf numFmtId="0" fontId="41" fillId="3" borderId="43" xfId="0" applyFont="1" applyFill="1" applyBorder="1" applyAlignment="1">
      <alignment horizontal="justify" vertical="top"/>
    </xf>
    <xf numFmtId="0" fontId="41" fillId="3" borderId="36" xfId="0" applyFont="1" applyFill="1" applyBorder="1" applyAlignment="1">
      <alignment horizontal="center" wrapText="1"/>
    </xf>
    <xf numFmtId="38" fontId="41" fillId="3" borderId="36" xfId="0" applyNumberFormat="1" applyFont="1" applyFill="1" applyBorder="1" applyAlignment="1">
      <alignment horizontal="center" wrapText="1"/>
    </xf>
    <xf numFmtId="3" fontId="41" fillId="3" borderId="36" xfId="0" applyNumberFormat="1" applyFont="1" applyFill="1" applyBorder="1" applyAlignment="1">
      <alignment horizontal="center"/>
    </xf>
    <xf numFmtId="3" fontId="41" fillId="3" borderId="36" xfId="0" applyNumberFormat="1" applyFont="1" applyFill="1" applyBorder="1" applyAlignment="1">
      <alignment horizontal="right" wrapText="1"/>
    </xf>
    <xf numFmtId="0" fontId="41" fillId="3" borderId="0" xfId="0" applyFont="1" applyFill="1" applyAlignment="1">
      <alignment vertical="top"/>
    </xf>
    <xf numFmtId="1" fontId="41" fillId="0" borderId="15" xfId="0" applyNumberFormat="1" applyFont="1" applyBorder="1" applyAlignment="1">
      <alignment horizontal="center" vertical="top"/>
    </xf>
    <xf numFmtId="0" fontId="42" fillId="0" borderId="35" xfId="0" applyFont="1" applyBorder="1" applyAlignment="1">
      <alignment vertical="top" wrapText="1" shrinkToFit="1"/>
    </xf>
    <xf numFmtId="38" fontId="41" fillId="0" borderId="15" xfId="0" applyNumberFormat="1" applyFont="1" applyBorder="1" applyAlignment="1">
      <alignment horizontal="center" wrapText="1"/>
    </xf>
    <xf numFmtId="3" fontId="41" fillId="0" borderId="15" xfId="0" applyNumberFormat="1" applyFont="1" applyBorder="1" applyAlignment="1">
      <alignment horizontal="center" wrapText="1"/>
    </xf>
    <xf numFmtId="3" fontId="41" fillId="0" borderId="15" xfId="0" applyNumberFormat="1" applyFont="1" applyBorder="1" applyAlignment="1">
      <alignment horizontal="right" wrapText="1"/>
    </xf>
    <xf numFmtId="0" fontId="41" fillId="0" borderId="36" xfId="0" applyFont="1" applyBorder="1" applyAlignment="1">
      <alignment horizontal="center" vertical="top"/>
    </xf>
    <xf numFmtId="0" fontId="41" fillId="0" borderId="43" xfId="0" applyFont="1" applyBorder="1" applyAlignment="1">
      <alignment vertical="top"/>
    </xf>
    <xf numFmtId="0" fontId="41" fillId="0" borderId="36" xfId="0" applyFont="1" applyBorder="1" applyAlignment="1">
      <alignment horizontal="center"/>
    </xf>
    <xf numFmtId="3" fontId="41" fillId="0" borderId="36" xfId="0" applyNumberFormat="1" applyFont="1" applyBorder="1" applyAlignment="1">
      <alignment horizontal="right"/>
    </xf>
    <xf numFmtId="170" fontId="41" fillId="0" borderId="36" xfId="0" applyNumberFormat="1" applyFont="1" applyBorder="1" applyAlignment="1">
      <alignment horizontal="center" vertical="top"/>
    </xf>
    <xf numFmtId="1" fontId="14" fillId="0" borderId="36" xfId="0" applyNumberFormat="1" applyFont="1" applyBorder="1" applyAlignment="1">
      <alignment horizontal="center" vertical="top"/>
    </xf>
    <xf numFmtId="0" fontId="14" fillId="0" borderId="43" xfId="0" applyFont="1" applyBorder="1" applyAlignment="1">
      <alignment horizontal="justify" vertical="top"/>
    </xf>
    <xf numFmtId="0" fontId="14" fillId="0" borderId="36" xfId="0" applyFont="1" applyBorder="1" applyAlignment="1">
      <alignment horizontal="center" wrapText="1"/>
    </xf>
    <xf numFmtId="38" fontId="14" fillId="0" borderId="36" xfId="0" applyNumberFormat="1" applyFont="1" applyBorder="1" applyAlignment="1">
      <alignment horizontal="center" wrapText="1"/>
    </xf>
    <xf numFmtId="3" fontId="14" fillId="0" borderId="36" xfId="0" applyNumberFormat="1" applyFont="1" applyBorder="1" applyAlignment="1">
      <alignment horizontal="center"/>
    </xf>
    <xf numFmtId="170" fontId="41" fillId="0" borderId="15" xfId="0" applyNumberFormat="1" applyFont="1" applyBorder="1" applyAlignment="1">
      <alignment horizontal="center" vertical="top"/>
    </xf>
    <xf numFmtId="0" fontId="41" fillId="0" borderId="35" xfId="0" applyFont="1" applyBorder="1" applyAlignment="1">
      <alignment horizontal="justify" vertical="top"/>
    </xf>
    <xf numFmtId="0" fontId="41" fillId="0" borderId="15" xfId="0" applyFont="1" applyBorder="1" applyAlignment="1">
      <alignment horizontal="center" wrapText="1"/>
    </xf>
    <xf numFmtId="3" fontId="41" fillId="0" borderId="15" xfId="0" applyNumberFormat="1" applyFont="1" applyBorder="1" applyAlignment="1">
      <alignment horizontal="center"/>
    </xf>
    <xf numFmtId="3" fontId="42" fillId="6" borderId="18" xfId="0" applyNumberFormat="1" applyFont="1" applyFill="1" applyBorder="1" applyAlignment="1">
      <alignment horizontal="center" vertical="top" wrapText="1"/>
    </xf>
    <xf numFmtId="3" fontId="42" fillId="6" borderId="34" xfId="0" applyNumberFormat="1" applyFont="1" applyFill="1" applyBorder="1" applyAlignment="1">
      <alignment horizontal="left" vertical="top"/>
    </xf>
    <xf numFmtId="3" fontId="42" fillId="6" borderId="18" xfId="0" applyNumberFormat="1" applyFont="1" applyFill="1" applyBorder="1" applyAlignment="1">
      <alignment horizontal="center"/>
    </xf>
    <xf numFmtId="3" fontId="42" fillId="6" borderId="18" xfId="0" applyNumberFormat="1" applyFont="1" applyFill="1" applyBorder="1" applyAlignment="1">
      <alignment horizontal="right"/>
    </xf>
    <xf numFmtId="0" fontId="41" fillId="0" borderId="36" xfId="0" applyFont="1" applyBorder="1" applyAlignment="1">
      <alignment vertical="top"/>
    </xf>
    <xf numFmtId="0" fontId="41" fillId="0" borderId="0" xfId="0" applyFont="1" applyAlignment="1">
      <alignment horizontal="center"/>
    </xf>
    <xf numFmtId="3" fontId="41" fillId="0" borderId="0" xfId="0" applyNumberFormat="1" applyFont="1" applyAlignment="1">
      <alignment horizontal="center"/>
    </xf>
    <xf numFmtId="3" fontId="41" fillId="0" borderId="0" xfId="0" applyNumberFormat="1" applyFont="1" applyAlignment="1">
      <alignment horizontal="right"/>
    </xf>
    <xf numFmtId="0" fontId="41" fillId="0" borderId="36" xfId="0" quotePrefix="1" applyFont="1" applyBorder="1" applyAlignment="1">
      <alignment horizontal="center" vertical="top"/>
    </xf>
    <xf numFmtId="43" fontId="14" fillId="0" borderId="18" xfId="1" applyFont="1" applyBorder="1" applyAlignment="1">
      <alignment horizontal="center" vertical="center" wrapText="1"/>
    </xf>
    <xf numFmtId="43" fontId="13" fillId="0" borderId="18" xfId="1" applyFont="1" applyBorder="1" applyAlignment="1">
      <alignment horizontal="center" vertical="center"/>
    </xf>
    <xf numFmtId="0" fontId="15" fillId="11" borderId="15" xfId="0" applyFont="1" applyFill="1" applyBorder="1" applyAlignment="1">
      <alignment horizontal="center" vertical="center" wrapText="1"/>
    </xf>
    <xf numFmtId="43" fontId="14" fillId="11" borderId="15" xfId="1" applyFont="1" applyFill="1" applyBorder="1" applyAlignment="1">
      <alignment horizontal="center" vertical="center" wrapText="1"/>
    </xf>
    <xf numFmtId="0" fontId="15" fillId="12" borderId="18" xfId="0" applyFont="1" applyFill="1" applyBorder="1" applyAlignment="1">
      <alignment horizontal="center" vertical="center" wrapText="1"/>
    </xf>
    <xf numFmtId="43" fontId="14" fillId="12" borderId="18" xfId="1" applyFont="1" applyFill="1" applyBorder="1" applyAlignment="1">
      <alignment horizontal="center" vertical="center" wrapText="1"/>
    </xf>
    <xf numFmtId="0" fontId="15" fillId="13" borderId="18" xfId="0" applyFont="1" applyFill="1" applyBorder="1" applyAlignment="1">
      <alignment horizontal="center" vertical="center" wrapText="1"/>
    </xf>
    <xf numFmtId="43" fontId="14" fillId="13" borderId="18" xfId="1" applyFont="1" applyFill="1" applyBorder="1" applyAlignment="1">
      <alignment horizontal="center" vertical="center" wrapText="1"/>
    </xf>
    <xf numFmtId="0" fontId="15" fillId="8" borderId="18" xfId="0" applyFont="1" applyFill="1" applyBorder="1" applyAlignment="1">
      <alignment horizontal="center" vertical="center" wrapText="1"/>
    </xf>
    <xf numFmtId="43" fontId="14" fillId="8" borderId="18" xfId="1" applyFont="1" applyFill="1" applyBorder="1" applyAlignment="1">
      <alignment horizontal="center" vertical="center" wrapText="1"/>
    </xf>
    <xf numFmtId="43" fontId="13" fillId="0" borderId="37" xfId="1" applyFont="1" applyBorder="1" applyAlignment="1">
      <alignment horizontal="center" vertical="center"/>
    </xf>
    <xf numFmtId="0" fontId="15" fillId="0" borderId="29" xfId="0" applyFont="1" applyBorder="1" applyAlignment="1">
      <alignment horizontal="center" vertical="center" wrapText="1"/>
    </xf>
    <xf numFmtId="43" fontId="14" fillId="0" borderId="31" xfId="1" applyFont="1" applyBorder="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vertical="center" wrapText="1"/>
    </xf>
    <xf numFmtId="0" fontId="4" fillId="2" borderId="5" xfId="2" applyFont="1" applyFill="1" applyBorder="1" applyAlignment="1">
      <alignment vertical="center" wrapText="1"/>
    </xf>
    <xf numFmtId="0" fontId="4" fillId="2" borderId="6" xfId="2" applyFont="1" applyFill="1" applyBorder="1" applyAlignment="1">
      <alignment horizontal="center" vertical="center" wrapText="1"/>
    </xf>
    <xf numFmtId="0" fontId="4" fillId="2" borderId="7"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7" fillId="0" borderId="11" xfId="2" applyFont="1" applyBorder="1" applyAlignment="1">
      <alignment vertical="center" wrapText="1"/>
    </xf>
    <xf numFmtId="0" fontId="7" fillId="0" borderId="12" xfId="2" applyFont="1" applyBorder="1" applyAlignment="1">
      <alignment vertical="center" wrapText="1"/>
    </xf>
    <xf numFmtId="0" fontId="7" fillId="0" borderId="13" xfId="2" applyFont="1" applyBorder="1" applyAlignment="1">
      <alignment vertical="center" wrapText="1"/>
    </xf>
    <xf numFmtId="0" fontId="16" fillId="4" borderId="18" xfId="7" applyFont="1" applyFill="1" applyBorder="1" applyAlignment="1">
      <alignment horizontal="center" vertical="center" wrapText="1"/>
    </xf>
    <xf numFmtId="0" fontId="19" fillId="0" borderId="33" xfId="9" applyFont="1" applyBorder="1" applyAlignment="1">
      <alignment horizontal="center" vertical="center" wrapText="1"/>
    </xf>
    <xf numFmtId="0" fontId="19" fillId="0" borderId="38" xfId="9" applyFont="1" applyBorder="1" applyAlignment="1">
      <alignment horizontal="center" vertical="center" wrapText="1"/>
    </xf>
    <xf numFmtId="0" fontId="19" fillId="0" borderId="34" xfId="9" applyFont="1" applyBorder="1" applyAlignment="1">
      <alignment horizontal="center" vertical="center" wrapText="1"/>
    </xf>
    <xf numFmtId="0" fontId="25" fillId="3" borderId="18" xfId="10" applyFont="1" applyFill="1" applyBorder="1" applyAlignment="1">
      <alignment horizontal="center" vertical="top" wrapText="1"/>
    </xf>
    <xf numFmtId="172" fontId="25" fillId="3" borderId="18" xfId="12" applyFont="1" applyFill="1" applyBorder="1" applyAlignment="1">
      <alignment horizontal="center" vertical="top" wrapText="1"/>
    </xf>
    <xf numFmtId="172" fontId="27" fillId="3" borderId="33" xfId="12" applyFont="1" applyFill="1" applyBorder="1" applyAlignment="1">
      <alignment horizontal="center" vertical="center" wrapText="1"/>
    </xf>
    <xf numFmtId="172" fontId="27" fillId="3" borderId="38" xfId="12" applyFont="1" applyFill="1" applyBorder="1" applyAlignment="1">
      <alignment horizontal="center" vertical="center" wrapText="1"/>
    </xf>
    <xf numFmtId="172" fontId="27" fillId="3" borderId="34" xfId="12" applyFont="1" applyFill="1" applyBorder="1" applyAlignment="1">
      <alignment horizontal="center" vertical="center" wrapText="1"/>
    </xf>
    <xf numFmtId="0" fontId="25" fillId="3" borderId="18" xfId="0" applyFont="1" applyFill="1" applyBorder="1" applyAlignment="1">
      <alignment horizontal="center" vertical="top" wrapText="1"/>
    </xf>
    <xf numFmtId="172" fontId="25" fillId="3" borderId="18" xfId="13" applyFont="1" applyFill="1" applyBorder="1" applyAlignment="1">
      <alignment horizontal="center" vertical="top" wrapText="1"/>
    </xf>
    <xf numFmtId="172" fontId="27" fillId="3" borderId="33" xfId="13" applyFont="1" applyFill="1" applyBorder="1" applyAlignment="1">
      <alignment horizontal="center" vertical="center" wrapText="1"/>
    </xf>
    <xf numFmtId="172" fontId="27" fillId="3" borderId="38" xfId="13" applyFont="1" applyFill="1" applyBorder="1" applyAlignment="1">
      <alignment horizontal="center" vertical="center" wrapText="1"/>
    </xf>
    <xf numFmtId="172" fontId="27" fillId="3" borderId="34" xfId="13" applyFont="1" applyFill="1" applyBorder="1" applyAlignment="1">
      <alignment horizontal="center" vertical="center" wrapText="1"/>
    </xf>
    <xf numFmtId="0" fontId="25" fillId="3" borderId="33" xfId="10" applyFont="1" applyFill="1" applyBorder="1" applyAlignment="1">
      <alignment horizontal="center" vertical="top" wrapText="1"/>
    </xf>
    <xf numFmtId="0" fontId="25" fillId="3" borderId="38" xfId="10" applyFont="1" applyFill="1" applyBorder="1" applyAlignment="1">
      <alignment horizontal="center" vertical="top" wrapText="1"/>
    </xf>
    <xf numFmtId="0" fontId="25" fillId="3" borderId="34" xfId="10" applyFont="1" applyFill="1" applyBorder="1" applyAlignment="1">
      <alignment horizontal="center" vertical="top" wrapText="1"/>
    </xf>
    <xf numFmtId="172" fontId="25" fillId="3" borderId="33" xfId="12" applyFont="1" applyFill="1" applyBorder="1" applyAlignment="1">
      <alignment horizontal="center" vertical="top" wrapText="1"/>
    </xf>
    <xf numFmtId="172" fontId="25" fillId="3" borderId="38" xfId="12" applyFont="1" applyFill="1" applyBorder="1" applyAlignment="1">
      <alignment horizontal="center" vertical="top" wrapText="1"/>
    </xf>
    <xf numFmtId="172" fontId="25" fillId="3" borderId="34" xfId="12" applyFont="1" applyFill="1" applyBorder="1" applyAlignment="1">
      <alignment horizontal="center" vertical="top" wrapText="1"/>
    </xf>
    <xf numFmtId="0" fontId="6" fillId="0" borderId="41" xfId="16" applyFont="1" applyBorder="1" applyAlignment="1">
      <alignment horizontal="center" vertical="center" wrapText="1"/>
    </xf>
    <xf numFmtId="0" fontId="6" fillId="0" borderId="7" xfId="16" applyFont="1" applyBorder="1" applyAlignment="1">
      <alignment horizontal="center" vertical="center" wrapText="1"/>
    </xf>
    <xf numFmtId="0" fontId="6" fillId="0" borderId="18" xfId="16" applyFont="1" applyBorder="1" applyAlignment="1">
      <alignment horizontal="center" vertical="center" wrapText="1"/>
    </xf>
    <xf numFmtId="3" fontId="6" fillId="0" borderId="33" xfId="16" applyNumberFormat="1" applyFont="1" applyBorder="1" applyAlignment="1">
      <alignment horizontal="right" vertical="center"/>
    </xf>
    <xf numFmtId="3" fontId="5" fillId="0" borderId="34" xfId="17" applyNumberFormat="1" applyFont="1" applyBorder="1" applyAlignment="1">
      <alignment horizontal="right" vertical="center"/>
    </xf>
    <xf numFmtId="0" fontId="25" fillId="3" borderId="33" xfId="17" applyFont="1" applyFill="1" applyBorder="1" applyAlignment="1">
      <alignment horizontal="center" vertical="top" wrapText="1"/>
    </xf>
    <xf numFmtId="0" fontId="25" fillId="3" borderId="38" xfId="17" applyFont="1" applyFill="1" applyBorder="1" applyAlignment="1">
      <alignment horizontal="center" vertical="top" wrapText="1"/>
    </xf>
    <xf numFmtId="0" fontId="25" fillId="3" borderId="34" xfId="17" applyFont="1" applyFill="1" applyBorder="1" applyAlignment="1">
      <alignment horizontal="center" vertical="top" wrapText="1"/>
    </xf>
    <xf numFmtId="165" fontId="25" fillId="3" borderId="38" xfId="20" applyFont="1" applyFill="1" applyBorder="1" applyAlignment="1">
      <alignment horizontal="center" vertical="top" wrapText="1"/>
    </xf>
    <xf numFmtId="165" fontId="25" fillId="3" borderId="34" xfId="20" applyFont="1" applyFill="1" applyBorder="1" applyAlignment="1">
      <alignment horizontal="center" vertical="top" wrapText="1"/>
    </xf>
    <xf numFmtId="165" fontId="27" fillId="3" borderId="33" xfId="20" applyFont="1" applyFill="1" applyBorder="1" applyAlignment="1">
      <alignment horizontal="center" vertical="center" wrapText="1"/>
    </xf>
    <xf numFmtId="165" fontId="27" fillId="3" borderId="38" xfId="20" applyFont="1" applyFill="1" applyBorder="1" applyAlignment="1">
      <alignment horizontal="center" vertical="center" wrapText="1"/>
    </xf>
    <xf numFmtId="165" fontId="27" fillId="3" borderId="34" xfId="20" applyFont="1" applyFill="1" applyBorder="1" applyAlignment="1">
      <alignment horizontal="center" vertical="center" wrapText="1"/>
    </xf>
    <xf numFmtId="0" fontId="25" fillId="3" borderId="41" xfId="0" applyFont="1" applyFill="1" applyBorder="1" applyAlignment="1">
      <alignment horizontal="center" vertical="top" wrapText="1"/>
    </xf>
    <xf numFmtId="0" fontId="25" fillId="3" borderId="7" xfId="0" applyFont="1" applyFill="1" applyBorder="1" applyAlignment="1">
      <alignment horizontal="center" vertical="top" wrapText="1"/>
    </xf>
    <xf numFmtId="0" fontId="25" fillId="3" borderId="42" xfId="0" applyFont="1" applyFill="1" applyBorder="1" applyAlignment="1">
      <alignment horizontal="center" vertical="top" wrapText="1"/>
    </xf>
    <xf numFmtId="43" fontId="25" fillId="3" borderId="40" xfId="1" applyFont="1" applyFill="1" applyBorder="1" applyAlignment="1">
      <alignment horizontal="center" vertical="top" wrapText="1"/>
    </xf>
    <xf numFmtId="43" fontId="25" fillId="3" borderId="0" xfId="1" applyFont="1" applyFill="1" applyBorder="1" applyAlignment="1">
      <alignment horizontal="center" vertical="top" wrapText="1"/>
    </xf>
    <xf numFmtId="43" fontId="25" fillId="3" borderId="43" xfId="1" applyFont="1" applyFill="1" applyBorder="1" applyAlignment="1">
      <alignment horizontal="center" vertical="top" wrapText="1"/>
    </xf>
    <xf numFmtId="43" fontId="27" fillId="3" borderId="40" xfId="1" applyFont="1" applyFill="1" applyBorder="1" applyAlignment="1">
      <alignment horizontal="center" vertical="center" wrapText="1"/>
    </xf>
    <xf numFmtId="43" fontId="27" fillId="3" borderId="0" xfId="1" applyFont="1" applyFill="1" applyBorder="1" applyAlignment="1">
      <alignment horizontal="center" vertical="center" wrapText="1"/>
    </xf>
    <xf numFmtId="43" fontId="27" fillId="3" borderId="43" xfId="1" applyFont="1" applyFill="1" applyBorder="1" applyAlignment="1">
      <alignment horizontal="center" vertical="center" wrapText="1"/>
    </xf>
    <xf numFmtId="165" fontId="42" fillId="0" borderId="12" xfId="20" applyFont="1" applyFill="1" applyBorder="1" applyAlignment="1">
      <alignment horizontal="center" wrapText="1"/>
    </xf>
    <xf numFmtId="165" fontId="42" fillId="0" borderId="35" xfId="20" applyFont="1" applyFill="1" applyBorder="1" applyAlignment="1">
      <alignment horizontal="center" wrapText="1"/>
    </xf>
    <xf numFmtId="0" fontId="20" fillId="0" borderId="0" xfId="10" applyFont="1" applyBorder="1" applyAlignment="1">
      <alignment horizontal="justify" vertical="top" wrapText="1"/>
    </xf>
  </cellXfs>
  <cellStyles count="25">
    <cellStyle name="Comma" xfId="1" builtinId="3"/>
    <cellStyle name="Comma 10" xfId="6" xr:uid="{7D046FE5-4677-4F18-851D-1025920A9D22}"/>
    <cellStyle name="Comma 10 2" xfId="22" xr:uid="{C54BDC36-9E5C-4F0A-A4B5-612D61348BDC}"/>
    <cellStyle name="Comma 2" xfId="3" xr:uid="{C8AA068A-F34B-438B-897F-9F3B9D626731}"/>
    <cellStyle name="Comma 2 2" xfId="13" xr:uid="{B4649660-5089-495A-B4DB-C25C845D88A0}"/>
    <cellStyle name="Comma 3" xfId="8" xr:uid="{C65E611F-830C-4FEF-9E25-5A752C17A9CB}"/>
    <cellStyle name="Comma 3 2" xfId="20" xr:uid="{90B78CB2-CEA9-4076-B1E0-6C230E3E1C6E}"/>
    <cellStyle name="Comma 4" xfId="11" xr:uid="{F8ABC48D-D7FE-4700-80BD-940F016E36BC}"/>
    <cellStyle name="Comma 5" xfId="12" xr:uid="{5517C9C7-0EC8-4162-9374-A3F5A251C197}"/>
    <cellStyle name="Comma_HSBC1 1_Security BOQ 2 2" xfId="19" xr:uid="{EEC43101-C73B-40A4-B114-AF5F197F6C53}"/>
    <cellStyle name="Normal" xfId="0" builtinId="0"/>
    <cellStyle name="Normal 11" xfId="17" xr:uid="{2689325E-61C2-4ACC-AE3A-EA04D6CE1070}"/>
    <cellStyle name="Normal 2" xfId="2" xr:uid="{7D538D08-B546-4F47-96FE-8632779DF687}"/>
    <cellStyle name="Normal 2 2" xfId="5" xr:uid="{D5929F62-5A4B-4251-9A6F-FA00A93DD38B}"/>
    <cellStyle name="Normal 2 3" xfId="10" xr:uid="{CE9A0B40-2ADC-438A-B05B-4AB30020BDD4}"/>
    <cellStyle name="Normal 3" xfId="7" xr:uid="{63048157-1A85-472D-999B-73AF3C594CB2}"/>
    <cellStyle name="Normal 3 2" xfId="23" xr:uid="{84197918-3360-468E-AC0E-87B982E3CD31}"/>
    <cellStyle name="Normal 30 2" xfId="24" xr:uid="{CBED45D0-3437-4AF2-AE18-694083CCFDA5}"/>
    <cellStyle name="Normal 4" xfId="9" xr:uid="{B67D6DD7-4FD9-4FF6-9D57-0C6D0BBB6381}"/>
    <cellStyle name="Normal 4 2" xfId="15" xr:uid="{D490B491-E4B0-4B90-9D96-8EC6734C6713}"/>
    <cellStyle name="Normal 5 2" xfId="14" xr:uid="{C7A056D0-9889-4FBD-B13B-986352791AEC}"/>
    <cellStyle name="Normal 7" xfId="4" xr:uid="{7B560ECC-2E85-4658-8565-42D18196966C}"/>
    <cellStyle name="Normal_2nd Floor Comp. 19.05.05 2" xfId="21" xr:uid="{73FE3790-C079-457F-B77F-5A6F39BA48F1}"/>
    <cellStyle name="Normal_HSBC1 1_Security BOQ 2" xfId="18" xr:uid="{BA155582-6D59-4DE2-A0C7-4C7518931E22}"/>
    <cellStyle name="Normal_Sheet1" xfId="16" xr:uid="{B028532F-4F84-4131-8B7E-0CA2730B5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184731" cy="264560"/>
    <xdr:sp macro="" textlink="">
      <xdr:nvSpPr>
        <xdr:cNvPr id="2" name="TextBox 1">
          <a:extLst>
            <a:ext uri="{FF2B5EF4-FFF2-40B4-BE49-F238E27FC236}">
              <a16:creationId xmlns:a16="http://schemas.microsoft.com/office/drawing/2014/main" id="{31236655-5095-4968-A644-0935C26D9BF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 name="TextBox 2">
          <a:extLst>
            <a:ext uri="{FF2B5EF4-FFF2-40B4-BE49-F238E27FC236}">
              <a16:creationId xmlns:a16="http://schemas.microsoft.com/office/drawing/2014/main" id="{5347F2E2-BE92-4146-98C3-04DEF90F7F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 name="TextBox 3">
          <a:extLst>
            <a:ext uri="{FF2B5EF4-FFF2-40B4-BE49-F238E27FC236}">
              <a16:creationId xmlns:a16="http://schemas.microsoft.com/office/drawing/2014/main" id="{9C912052-86B4-4772-9203-A7A906F51C3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 name="TextBox 4">
          <a:extLst>
            <a:ext uri="{FF2B5EF4-FFF2-40B4-BE49-F238E27FC236}">
              <a16:creationId xmlns:a16="http://schemas.microsoft.com/office/drawing/2014/main" id="{DD7B5C30-63AB-470E-906F-C40F1342E0D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 name="TextBox 5">
          <a:extLst>
            <a:ext uri="{FF2B5EF4-FFF2-40B4-BE49-F238E27FC236}">
              <a16:creationId xmlns:a16="http://schemas.microsoft.com/office/drawing/2014/main" id="{A15E3EF2-B08E-4B81-BAE0-DCD04CDEA2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 name="TextBox 6">
          <a:extLst>
            <a:ext uri="{FF2B5EF4-FFF2-40B4-BE49-F238E27FC236}">
              <a16:creationId xmlns:a16="http://schemas.microsoft.com/office/drawing/2014/main" id="{6A3D3B9C-590C-4FB8-8929-3DC7F74C0E7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 name="TextBox 7">
          <a:extLst>
            <a:ext uri="{FF2B5EF4-FFF2-40B4-BE49-F238E27FC236}">
              <a16:creationId xmlns:a16="http://schemas.microsoft.com/office/drawing/2014/main" id="{F65F0268-9004-4793-A352-1422F063B2B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 name="TextBox 8">
          <a:extLst>
            <a:ext uri="{FF2B5EF4-FFF2-40B4-BE49-F238E27FC236}">
              <a16:creationId xmlns:a16="http://schemas.microsoft.com/office/drawing/2014/main" id="{C33B9BAE-650A-42A9-83B8-C3ACCE593A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 name="TextBox 9">
          <a:extLst>
            <a:ext uri="{FF2B5EF4-FFF2-40B4-BE49-F238E27FC236}">
              <a16:creationId xmlns:a16="http://schemas.microsoft.com/office/drawing/2014/main" id="{E418047D-5DB9-42F1-A23C-80FAEB6897E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 name="TextBox 10">
          <a:extLst>
            <a:ext uri="{FF2B5EF4-FFF2-40B4-BE49-F238E27FC236}">
              <a16:creationId xmlns:a16="http://schemas.microsoft.com/office/drawing/2014/main" id="{8C9651ED-D641-4F67-9401-209F5196D9C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2" name="TextBox 11">
          <a:extLst>
            <a:ext uri="{FF2B5EF4-FFF2-40B4-BE49-F238E27FC236}">
              <a16:creationId xmlns:a16="http://schemas.microsoft.com/office/drawing/2014/main" id="{C8B3B511-4F74-430D-8FD8-6970D5670A0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3" name="TextBox 12">
          <a:extLst>
            <a:ext uri="{FF2B5EF4-FFF2-40B4-BE49-F238E27FC236}">
              <a16:creationId xmlns:a16="http://schemas.microsoft.com/office/drawing/2014/main" id="{7E5D6272-3904-400D-81DB-8065C5601CA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4" name="TextBox 13">
          <a:extLst>
            <a:ext uri="{FF2B5EF4-FFF2-40B4-BE49-F238E27FC236}">
              <a16:creationId xmlns:a16="http://schemas.microsoft.com/office/drawing/2014/main" id="{EA24C10A-BA5D-4962-9EE2-D3CCBDF958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5" name="TextBox 14">
          <a:extLst>
            <a:ext uri="{FF2B5EF4-FFF2-40B4-BE49-F238E27FC236}">
              <a16:creationId xmlns:a16="http://schemas.microsoft.com/office/drawing/2014/main" id="{2E866D12-022C-43C1-9567-3E27BAC9A01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6" name="TextBox 15">
          <a:extLst>
            <a:ext uri="{FF2B5EF4-FFF2-40B4-BE49-F238E27FC236}">
              <a16:creationId xmlns:a16="http://schemas.microsoft.com/office/drawing/2014/main" id="{238324DF-8CBB-4F11-BE4B-EF561ADBEEC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7" name="TextBox 16">
          <a:extLst>
            <a:ext uri="{FF2B5EF4-FFF2-40B4-BE49-F238E27FC236}">
              <a16:creationId xmlns:a16="http://schemas.microsoft.com/office/drawing/2014/main" id="{7BCC55B1-CD96-4589-A005-F0AFCE8C352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8" name="TextBox 17">
          <a:extLst>
            <a:ext uri="{FF2B5EF4-FFF2-40B4-BE49-F238E27FC236}">
              <a16:creationId xmlns:a16="http://schemas.microsoft.com/office/drawing/2014/main" id="{1B4B35AB-D0D3-44D7-8C95-D4529684660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9" name="TextBox 18">
          <a:extLst>
            <a:ext uri="{FF2B5EF4-FFF2-40B4-BE49-F238E27FC236}">
              <a16:creationId xmlns:a16="http://schemas.microsoft.com/office/drawing/2014/main" id="{86A0A13B-FE0F-4506-9EED-18102F629D1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0" name="TextBox 19">
          <a:extLst>
            <a:ext uri="{FF2B5EF4-FFF2-40B4-BE49-F238E27FC236}">
              <a16:creationId xmlns:a16="http://schemas.microsoft.com/office/drawing/2014/main" id="{E2A6FFBF-4A03-423D-BF5C-1E36F84CE1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1" name="TextBox 20">
          <a:extLst>
            <a:ext uri="{FF2B5EF4-FFF2-40B4-BE49-F238E27FC236}">
              <a16:creationId xmlns:a16="http://schemas.microsoft.com/office/drawing/2014/main" id="{AA17D70A-0D05-4F67-AABF-E05764378F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2" name="TextBox 21">
          <a:extLst>
            <a:ext uri="{FF2B5EF4-FFF2-40B4-BE49-F238E27FC236}">
              <a16:creationId xmlns:a16="http://schemas.microsoft.com/office/drawing/2014/main" id="{55C169E9-7AD3-4C12-A829-F305EE933BA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3" name="TextBox 22">
          <a:extLst>
            <a:ext uri="{FF2B5EF4-FFF2-40B4-BE49-F238E27FC236}">
              <a16:creationId xmlns:a16="http://schemas.microsoft.com/office/drawing/2014/main" id="{57580C90-4AC4-49C9-BF22-3D1D2EB6FD1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4" name="TextBox 23">
          <a:extLst>
            <a:ext uri="{FF2B5EF4-FFF2-40B4-BE49-F238E27FC236}">
              <a16:creationId xmlns:a16="http://schemas.microsoft.com/office/drawing/2014/main" id="{DC2AF0A5-0F9A-4503-85F5-C43C0A0FC71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5" name="TextBox 24">
          <a:extLst>
            <a:ext uri="{FF2B5EF4-FFF2-40B4-BE49-F238E27FC236}">
              <a16:creationId xmlns:a16="http://schemas.microsoft.com/office/drawing/2014/main" id="{000DA6DF-A8AD-43EC-BA79-437EE5FA81E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6" name="TextBox 25">
          <a:extLst>
            <a:ext uri="{FF2B5EF4-FFF2-40B4-BE49-F238E27FC236}">
              <a16:creationId xmlns:a16="http://schemas.microsoft.com/office/drawing/2014/main" id="{FF773AF6-7987-427E-8CCB-CAE1DC82A4F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7" name="TextBox 26">
          <a:extLst>
            <a:ext uri="{FF2B5EF4-FFF2-40B4-BE49-F238E27FC236}">
              <a16:creationId xmlns:a16="http://schemas.microsoft.com/office/drawing/2014/main" id="{E16C2D28-97A0-44FA-A9EB-9EDF14674A6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8" name="TextBox 27">
          <a:extLst>
            <a:ext uri="{FF2B5EF4-FFF2-40B4-BE49-F238E27FC236}">
              <a16:creationId xmlns:a16="http://schemas.microsoft.com/office/drawing/2014/main" id="{AF60B222-933E-43D7-8A70-D06933797D1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29" name="TextBox 28">
          <a:extLst>
            <a:ext uri="{FF2B5EF4-FFF2-40B4-BE49-F238E27FC236}">
              <a16:creationId xmlns:a16="http://schemas.microsoft.com/office/drawing/2014/main" id="{66B7D556-A188-46EB-AE42-01E1CEDE723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0" name="TextBox 29">
          <a:extLst>
            <a:ext uri="{FF2B5EF4-FFF2-40B4-BE49-F238E27FC236}">
              <a16:creationId xmlns:a16="http://schemas.microsoft.com/office/drawing/2014/main" id="{6C7C302A-E5F3-45B0-9163-A2B4B8DEE62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1" name="TextBox 30">
          <a:extLst>
            <a:ext uri="{FF2B5EF4-FFF2-40B4-BE49-F238E27FC236}">
              <a16:creationId xmlns:a16="http://schemas.microsoft.com/office/drawing/2014/main" id="{C794CC17-39A1-4A3B-9DFA-4AB946D5F3F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2" name="TextBox 31">
          <a:extLst>
            <a:ext uri="{FF2B5EF4-FFF2-40B4-BE49-F238E27FC236}">
              <a16:creationId xmlns:a16="http://schemas.microsoft.com/office/drawing/2014/main" id="{C61C773F-10BB-4F9A-B4DD-FB49253A12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3" name="TextBox 32">
          <a:extLst>
            <a:ext uri="{FF2B5EF4-FFF2-40B4-BE49-F238E27FC236}">
              <a16:creationId xmlns:a16="http://schemas.microsoft.com/office/drawing/2014/main" id="{A0273475-2E7B-460B-BE33-C77004DE720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4" name="TextBox 33">
          <a:extLst>
            <a:ext uri="{FF2B5EF4-FFF2-40B4-BE49-F238E27FC236}">
              <a16:creationId xmlns:a16="http://schemas.microsoft.com/office/drawing/2014/main" id="{DADB6740-FAE5-4F14-8732-E745C7DEC3C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5" name="TextBox 34">
          <a:extLst>
            <a:ext uri="{FF2B5EF4-FFF2-40B4-BE49-F238E27FC236}">
              <a16:creationId xmlns:a16="http://schemas.microsoft.com/office/drawing/2014/main" id="{69C77DFB-92E9-432D-9268-844129C9A13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6" name="TextBox 35">
          <a:extLst>
            <a:ext uri="{FF2B5EF4-FFF2-40B4-BE49-F238E27FC236}">
              <a16:creationId xmlns:a16="http://schemas.microsoft.com/office/drawing/2014/main" id="{C819719D-A32D-4862-83B3-C6FDB2FEC8D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37" name="TextBox 36">
          <a:extLst>
            <a:ext uri="{FF2B5EF4-FFF2-40B4-BE49-F238E27FC236}">
              <a16:creationId xmlns:a16="http://schemas.microsoft.com/office/drawing/2014/main" id="{F355F34C-A5F9-4C50-933B-27361539C60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8" name="TextBox 37">
          <a:extLst>
            <a:ext uri="{FF2B5EF4-FFF2-40B4-BE49-F238E27FC236}">
              <a16:creationId xmlns:a16="http://schemas.microsoft.com/office/drawing/2014/main" id="{FA641947-4E5C-40DD-9350-A3A260E60FC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39" name="TextBox 38">
          <a:extLst>
            <a:ext uri="{FF2B5EF4-FFF2-40B4-BE49-F238E27FC236}">
              <a16:creationId xmlns:a16="http://schemas.microsoft.com/office/drawing/2014/main" id="{F748F0BF-AA57-4D4A-BB82-F7268807DAE3}"/>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0" name="TextBox 39">
          <a:extLst>
            <a:ext uri="{FF2B5EF4-FFF2-40B4-BE49-F238E27FC236}">
              <a16:creationId xmlns:a16="http://schemas.microsoft.com/office/drawing/2014/main" id="{C12E94E4-AB33-4932-AD9A-C5350C94BEEF}"/>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693645</xdr:colOff>
      <xdr:row>0</xdr:row>
      <xdr:rowOff>0</xdr:rowOff>
    </xdr:from>
    <xdr:ext cx="184731" cy="264560"/>
    <xdr:sp macro="" textlink="">
      <xdr:nvSpPr>
        <xdr:cNvPr id="41" name="TextBox 40">
          <a:extLst>
            <a:ext uri="{FF2B5EF4-FFF2-40B4-BE49-F238E27FC236}">
              <a16:creationId xmlns:a16="http://schemas.microsoft.com/office/drawing/2014/main" id="{82EF83A8-97DF-4579-8984-EC401F9FC352}"/>
            </a:ext>
          </a:extLst>
        </xdr:cNvPr>
        <xdr:cNvSpPr txBox="1"/>
      </xdr:nvSpPr>
      <xdr:spPr>
        <a:xfrm>
          <a:off x="479257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2" name="TextBox 41">
          <a:extLst>
            <a:ext uri="{FF2B5EF4-FFF2-40B4-BE49-F238E27FC236}">
              <a16:creationId xmlns:a16="http://schemas.microsoft.com/office/drawing/2014/main" id="{F0697811-E893-434D-846B-4EF9DCED8D4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3" name="TextBox 42">
          <a:extLst>
            <a:ext uri="{FF2B5EF4-FFF2-40B4-BE49-F238E27FC236}">
              <a16:creationId xmlns:a16="http://schemas.microsoft.com/office/drawing/2014/main" id="{F132689F-94E8-4831-8EBF-C00D13A0EF0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4" name="TextBox 43">
          <a:extLst>
            <a:ext uri="{FF2B5EF4-FFF2-40B4-BE49-F238E27FC236}">
              <a16:creationId xmlns:a16="http://schemas.microsoft.com/office/drawing/2014/main" id="{99A19B95-6BA4-4D23-954E-E17E602191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5" name="TextBox 44">
          <a:extLst>
            <a:ext uri="{FF2B5EF4-FFF2-40B4-BE49-F238E27FC236}">
              <a16:creationId xmlns:a16="http://schemas.microsoft.com/office/drawing/2014/main" id="{8DFA6B2F-1178-415E-B056-A05933F99FB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6" name="TextBox 45">
          <a:extLst>
            <a:ext uri="{FF2B5EF4-FFF2-40B4-BE49-F238E27FC236}">
              <a16:creationId xmlns:a16="http://schemas.microsoft.com/office/drawing/2014/main" id="{8546E888-5EE8-4F6D-8231-DF15E1D6AB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7" name="TextBox 46">
          <a:extLst>
            <a:ext uri="{FF2B5EF4-FFF2-40B4-BE49-F238E27FC236}">
              <a16:creationId xmlns:a16="http://schemas.microsoft.com/office/drawing/2014/main" id="{D5D417D9-99B8-4A0B-B357-7472E8A9B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8" name="TextBox 47">
          <a:extLst>
            <a:ext uri="{FF2B5EF4-FFF2-40B4-BE49-F238E27FC236}">
              <a16:creationId xmlns:a16="http://schemas.microsoft.com/office/drawing/2014/main" id="{92120738-FF11-4151-A82D-9CAE350918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49" name="TextBox 48">
          <a:extLst>
            <a:ext uri="{FF2B5EF4-FFF2-40B4-BE49-F238E27FC236}">
              <a16:creationId xmlns:a16="http://schemas.microsoft.com/office/drawing/2014/main" id="{F8C4CFA2-E6B0-4287-8BFA-57D5CBA6CE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0" name="TextBox 49">
          <a:extLst>
            <a:ext uri="{FF2B5EF4-FFF2-40B4-BE49-F238E27FC236}">
              <a16:creationId xmlns:a16="http://schemas.microsoft.com/office/drawing/2014/main" id="{F3481A2F-A288-48A6-ABA7-B76CD2A7117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1" name="TextBox 50">
          <a:extLst>
            <a:ext uri="{FF2B5EF4-FFF2-40B4-BE49-F238E27FC236}">
              <a16:creationId xmlns:a16="http://schemas.microsoft.com/office/drawing/2014/main" id="{8A0C3CDE-FCCB-4CD8-A573-B4110281616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2" name="TextBox 51">
          <a:extLst>
            <a:ext uri="{FF2B5EF4-FFF2-40B4-BE49-F238E27FC236}">
              <a16:creationId xmlns:a16="http://schemas.microsoft.com/office/drawing/2014/main" id="{F4514560-5B82-409E-85F6-A07EAC17C4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3" name="TextBox 52">
          <a:extLst>
            <a:ext uri="{FF2B5EF4-FFF2-40B4-BE49-F238E27FC236}">
              <a16:creationId xmlns:a16="http://schemas.microsoft.com/office/drawing/2014/main" id="{E6E7A82B-2864-4534-8347-B395B065FA1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4" name="TextBox 53">
          <a:extLst>
            <a:ext uri="{FF2B5EF4-FFF2-40B4-BE49-F238E27FC236}">
              <a16:creationId xmlns:a16="http://schemas.microsoft.com/office/drawing/2014/main" id="{D6EA20EE-C04D-4EB5-9AED-63A8AFDCCA0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5" name="TextBox 54">
          <a:extLst>
            <a:ext uri="{FF2B5EF4-FFF2-40B4-BE49-F238E27FC236}">
              <a16:creationId xmlns:a16="http://schemas.microsoft.com/office/drawing/2014/main" id="{21CC93EC-1384-4FA9-A7A0-FE1DF4AF38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6" name="TextBox 55">
          <a:extLst>
            <a:ext uri="{FF2B5EF4-FFF2-40B4-BE49-F238E27FC236}">
              <a16:creationId xmlns:a16="http://schemas.microsoft.com/office/drawing/2014/main" id="{6F8288FF-0AF7-44BA-B09F-6E7F53B24ED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7" name="TextBox 56">
          <a:extLst>
            <a:ext uri="{FF2B5EF4-FFF2-40B4-BE49-F238E27FC236}">
              <a16:creationId xmlns:a16="http://schemas.microsoft.com/office/drawing/2014/main" id="{C3C31F52-19A5-4C9B-859C-9B99EDF09AC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8" name="TextBox 57">
          <a:extLst>
            <a:ext uri="{FF2B5EF4-FFF2-40B4-BE49-F238E27FC236}">
              <a16:creationId xmlns:a16="http://schemas.microsoft.com/office/drawing/2014/main" id="{C036C2F0-15EA-47DE-AC89-DB9EF598B0F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59" name="TextBox 58">
          <a:extLst>
            <a:ext uri="{FF2B5EF4-FFF2-40B4-BE49-F238E27FC236}">
              <a16:creationId xmlns:a16="http://schemas.microsoft.com/office/drawing/2014/main" id="{3A50F016-247B-4715-93DC-BD43E38FDED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0" name="TextBox 59">
          <a:extLst>
            <a:ext uri="{FF2B5EF4-FFF2-40B4-BE49-F238E27FC236}">
              <a16:creationId xmlns:a16="http://schemas.microsoft.com/office/drawing/2014/main" id="{7F1CF0A1-8668-4359-8380-1F2952341E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1" name="TextBox 60">
          <a:extLst>
            <a:ext uri="{FF2B5EF4-FFF2-40B4-BE49-F238E27FC236}">
              <a16:creationId xmlns:a16="http://schemas.microsoft.com/office/drawing/2014/main" id="{0F17DB78-57CA-4617-AB2A-17C8CCD4335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2" name="TextBox 61">
          <a:extLst>
            <a:ext uri="{FF2B5EF4-FFF2-40B4-BE49-F238E27FC236}">
              <a16:creationId xmlns:a16="http://schemas.microsoft.com/office/drawing/2014/main" id="{27148E64-0AFD-4266-9844-54B13FBE2DE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3" name="TextBox 62">
          <a:extLst>
            <a:ext uri="{FF2B5EF4-FFF2-40B4-BE49-F238E27FC236}">
              <a16:creationId xmlns:a16="http://schemas.microsoft.com/office/drawing/2014/main" id="{DBC6E503-09F3-46D8-AB91-3A5441250BC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4" name="TextBox 63">
          <a:extLst>
            <a:ext uri="{FF2B5EF4-FFF2-40B4-BE49-F238E27FC236}">
              <a16:creationId xmlns:a16="http://schemas.microsoft.com/office/drawing/2014/main" id="{DD012E34-E597-41FD-B119-9DC4B7CD9B2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5" name="TextBox 64">
          <a:extLst>
            <a:ext uri="{FF2B5EF4-FFF2-40B4-BE49-F238E27FC236}">
              <a16:creationId xmlns:a16="http://schemas.microsoft.com/office/drawing/2014/main" id="{E195A60B-4BA1-4B8E-92B3-E6EFEBA1D0E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6" name="TextBox 65">
          <a:extLst>
            <a:ext uri="{FF2B5EF4-FFF2-40B4-BE49-F238E27FC236}">
              <a16:creationId xmlns:a16="http://schemas.microsoft.com/office/drawing/2014/main" id="{8B39129C-2BF4-4AE1-AA7A-BC16DD64677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7" name="TextBox 66">
          <a:extLst>
            <a:ext uri="{FF2B5EF4-FFF2-40B4-BE49-F238E27FC236}">
              <a16:creationId xmlns:a16="http://schemas.microsoft.com/office/drawing/2014/main" id="{CE0B6131-A053-4038-862F-5727977D5EA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8" name="TextBox 67">
          <a:extLst>
            <a:ext uri="{FF2B5EF4-FFF2-40B4-BE49-F238E27FC236}">
              <a16:creationId xmlns:a16="http://schemas.microsoft.com/office/drawing/2014/main" id="{A9C547B4-A929-4863-909E-7ADC8143E0E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69" name="TextBox 68">
          <a:extLst>
            <a:ext uri="{FF2B5EF4-FFF2-40B4-BE49-F238E27FC236}">
              <a16:creationId xmlns:a16="http://schemas.microsoft.com/office/drawing/2014/main" id="{28AED732-44A4-4091-8270-ACEB7CA20F85}"/>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0" name="TextBox 69">
          <a:extLst>
            <a:ext uri="{FF2B5EF4-FFF2-40B4-BE49-F238E27FC236}">
              <a16:creationId xmlns:a16="http://schemas.microsoft.com/office/drawing/2014/main" id="{F3024656-918C-4464-A686-4F0640CA99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1" name="TextBox 70">
          <a:extLst>
            <a:ext uri="{FF2B5EF4-FFF2-40B4-BE49-F238E27FC236}">
              <a16:creationId xmlns:a16="http://schemas.microsoft.com/office/drawing/2014/main" id="{AF4090A7-C01A-4984-B40F-C3C99A4012C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2" name="TextBox 71">
          <a:extLst>
            <a:ext uri="{FF2B5EF4-FFF2-40B4-BE49-F238E27FC236}">
              <a16:creationId xmlns:a16="http://schemas.microsoft.com/office/drawing/2014/main" id="{7BECC8E3-D79B-4E01-A3B3-A50BCD4A07A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3" name="TextBox 72">
          <a:extLst>
            <a:ext uri="{FF2B5EF4-FFF2-40B4-BE49-F238E27FC236}">
              <a16:creationId xmlns:a16="http://schemas.microsoft.com/office/drawing/2014/main" id="{B795232C-BBA8-4309-A4CE-A9DDC820628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4" name="TextBox 73">
          <a:extLst>
            <a:ext uri="{FF2B5EF4-FFF2-40B4-BE49-F238E27FC236}">
              <a16:creationId xmlns:a16="http://schemas.microsoft.com/office/drawing/2014/main" id="{B50B8014-53C5-405C-824D-2BE7C6D78E8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5" name="TextBox 74">
          <a:extLst>
            <a:ext uri="{FF2B5EF4-FFF2-40B4-BE49-F238E27FC236}">
              <a16:creationId xmlns:a16="http://schemas.microsoft.com/office/drawing/2014/main" id="{96BC22E0-CDC7-4AEB-95CF-81B8990C3604}"/>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6" name="TextBox 75">
          <a:extLst>
            <a:ext uri="{FF2B5EF4-FFF2-40B4-BE49-F238E27FC236}">
              <a16:creationId xmlns:a16="http://schemas.microsoft.com/office/drawing/2014/main" id="{72BA4C22-EC72-4AF0-8BE9-D6753CB0CA4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7" name="TextBox 76">
          <a:extLst>
            <a:ext uri="{FF2B5EF4-FFF2-40B4-BE49-F238E27FC236}">
              <a16:creationId xmlns:a16="http://schemas.microsoft.com/office/drawing/2014/main" id="{F198EB4F-F477-4B1E-A44A-88DD210D112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8" name="TextBox 77">
          <a:extLst>
            <a:ext uri="{FF2B5EF4-FFF2-40B4-BE49-F238E27FC236}">
              <a16:creationId xmlns:a16="http://schemas.microsoft.com/office/drawing/2014/main" id="{F17219E3-DE1B-4A2E-8B2E-A3B1B8B3B1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79" name="TextBox 78">
          <a:extLst>
            <a:ext uri="{FF2B5EF4-FFF2-40B4-BE49-F238E27FC236}">
              <a16:creationId xmlns:a16="http://schemas.microsoft.com/office/drawing/2014/main" id="{78D2BFEB-4E7B-47B8-B006-3A80F4C713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0" name="TextBox 79">
          <a:extLst>
            <a:ext uri="{FF2B5EF4-FFF2-40B4-BE49-F238E27FC236}">
              <a16:creationId xmlns:a16="http://schemas.microsoft.com/office/drawing/2014/main" id="{500F5047-EB46-4A07-9AB7-EB2C33841B0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1" name="TextBox 80">
          <a:extLst>
            <a:ext uri="{FF2B5EF4-FFF2-40B4-BE49-F238E27FC236}">
              <a16:creationId xmlns:a16="http://schemas.microsoft.com/office/drawing/2014/main" id="{E63AF15B-270D-41EA-801D-9027CD31EBCE}"/>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2" name="TextBox 81">
          <a:extLst>
            <a:ext uri="{FF2B5EF4-FFF2-40B4-BE49-F238E27FC236}">
              <a16:creationId xmlns:a16="http://schemas.microsoft.com/office/drawing/2014/main" id="{EBFA1F52-C84E-4084-A0C0-02DB4483FB4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3" name="TextBox 82">
          <a:extLst>
            <a:ext uri="{FF2B5EF4-FFF2-40B4-BE49-F238E27FC236}">
              <a16:creationId xmlns:a16="http://schemas.microsoft.com/office/drawing/2014/main" id="{6A4D747D-154B-4153-8CC2-358018BE6B6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4" name="TextBox 83">
          <a:extLst>
            <a:ext uri="{FF2B5EF4-FFF2-40B4-BE49-F238E27FC236}">
              <a16:creationId xmlns:a16="http://schemas.microsoft.com/office/drawing/2014/main" id="{12AD418E-8AE2-4479-A85E-44B7627E48B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5" name="TextBox 84">
          <a:extLst>
            <a:ext uri="{FF2B5EF4-FFF2-40B4-BE49-F238E27FC236}">
              <a16:creationId xmlns:a16="http://schemas.microsoft.com/office/drawing/2014/main" id="{4AF0BA65-BD5B-4A38-AB6F-450FAC59DAE7}"/>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6" name="TextBox 85">
          <a:extLst>
            <a:ext uri="{FF2B5EF4-FFF2-40B4-BE49-F238E27FC236}">
              <a16:creationId xmlns:a16="http://schemas.microsoft.com/office/drawing/2014/main" id="{AE2EAD9D-71D7-4787-8BE4-D5C513A7572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7" name="TextBox 86">
          <a:extLst>
            <a:ext uri="{FF2B5EF4-FFF2-40B4-BE49-F238E27FC236}">
              <a16:creationId xmlns:a16="http://schemas.microsoft.com/office/drawing/2014/main" id="{4FEE077D-32D2-4ECB-9C03-6A30F6BB0A2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8" name="TextBox 87">
          <a:extLst>
            <a:ext uri="{FF2B5EF4-FFF2-40B4-BE49-F238E27FC236}">
              <a16:creationId xmlns:a16="http://schemas.microsoft.com/office/drawing/2014/main" id="{5B7F67C4-114D-46D8-A60F-F2D8EA14D2F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89" name="TextBox 88">
          <a:extLst>
            <a:ext uri="{FF2B5EF4-FFF2-40B4-BE49-F238E27FC236}">
              <a16:creationId xmlns:a16="http://schemas.microsoft.com/office/drawing/2014/main" id="{96CAD3AA-039C-4D52-9808-0D99B09E5A4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0" name="TextBox 89">
          <a:extLst>
            <a:ext uri="{FF2B5EF4-FFF2-40B4-BE49-F238E27FC236}">
              <a16:creationId xmlns:a16="http://schemas.microsoft.com/office/drawing/2014/main" id="{21495CFE-C6CE-4A46-B8F4-167F43104AC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1" name="TextBox 90">
          <a:extLst>
            <a:ext uri="{FF2B5EF4-FFF2-40B4-BE49-F238E27FC236}">
              <a16:creationId xmlns:a16="http://schemas.microsoft.com/office/drawing/2014/main" id="{1303E595-C41B-40D1-9F87-BA48F93D2C7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2" name="TextBox 91">
          <a:extLst>
            <a:ext uri="{FF2B5EF4-FFF2-40B4-BE49-F238E27FC236}">
              <a16:creationId xmlns:a16="http://schemas.microsoft.com/office/drawing/2014/main" id="{4E82266B-0EBA-43DA-9363-8F96537E104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3" name="TextBox 92">
          <a:extLst>
            <a:ext uri="{FF2B5EF4-FFF2-40B4-BE49-F238E27FC236}">
              <a16:creationId xmlns:a16="http://schemas.microsoft.com/office/drawing/2014/main" id="{B3EFC9D6-087D-4C8D-B171-D0EB5F82CA7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4" name="TextBox 93">
          <a:extLst>
            <a:ext uri="{FF2B5EF4-FFF2-40B4-BE49-F238E27FC236}">
              <a16:creationId xmlns:a16="http://schemas.microsoft.com/office/drawing/2014/main" id="{6A8F51F0-3589-438F-8F2F-A3A94790378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5" name="TextBox 94">
          <a:extLst>
            <a:ext uri="{FF2B5EF4-FFF2-40B4-BE49-F238E27FC236}">
              <a16:creationId xmlns:a16="http://schemas.microsoft.com/office/drawing/2014/main" id="{18361513-9E71-4B0D-A9CB-9A41B7BD1F5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6" name="TextBox 95">
          <a:extLst>
            <a:ext uri="{FF2B5EF4-FFF2-40B4-BE49-F238E27FC236}">
              <a16:creationId xmlns:a16="http://schemas.microsoft.com/office/drawing/2014/main" id="{AAE78749-F5E0-47B1-B477-67FD5076EEF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7" name="TextBox 96">
          <a:extLst>
            <a:ext uri="{FF2B5EF4-FFF2-40B4-BE49-F238E27FC236}">
              <a16:creationId xmlns:a16="http://schemas.microsoft.com/office/drawing/2014/main" id="{AA699E04-6853-4E32-85C9-E4BAD92CCDE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8" name="TextBox 97">
          <a:extLst>
            <a:ext uri="{FF2B5EF4-FFF2-40B4-BE49-F238E27FC236}">
              <a16:creationId xmlns:a16="http://schemas.microsoft.com/office/drawing/2014/main" id="{2A855A7E-FA7D-4FA7-9201-53DEC10591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99" name="TextBox 98">
          <a:extLst>
            <a:ext uri="{FF2B5EF4-FFF2-40B4-BE49-F238E27FC236}">
              <a16:creationId xmlns:a16="http://schemas.microsoft.com/office/drawing/2014/main" id="{09DB502B-B27A-4EA5-B269-78E8515E613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0" name="TextBox 99">
          <a:extLst>
            <a:ext uri="{FF2B5EF4-FFF2-40B4-BE49-F238E27FC236}">
              <a16:creationId xmlns:a16="http://schemas.microsoft.com/office/drawing/2014/main" id="{47764D5B-AF37-4FEF-9AC9-1E214F19057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1" name="TextBox 100">
          <a:extLst>
            <a:ext uri="{FF2B5EF4-FFF2-40B4-BE49-F238E27FC236}">
              <a16:creationId xmlns:a16="http://schemas.microsoft.com/office/drawing/2014/main" id="{4CAA0F0E-7A1D-4F57-BF6E-622CABE0E92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2" name="TextBox 101">
          <a:extLst>
            <a:ext uri="{FF2B5EF4-FFF2-40B4-BE49-F238E27FC236}">
              <a16:creationId xmlns:a16="http://schemas.microsoft.com/office/drawing/2014/main" id="{3FAF5074-8022-4CED-866D-9D387BD7322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3" name="TextBox 102">
          <a:extLst>
            <a:ext uri="{FF2B5EF4-FFF2-40B4-BE49-F238E27FC236}">
              <a16:creationId xmlns:a16="http://schemas.microsoft.com/office/drawing/2014/main" id="{F8A779C0-37A8-4F4D-B1A9-21747F2292F8}"/>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4" name="TextBox 103">
          <a:extLst>
            <a:ext uri="{FF2B5EF4-FFF2-40B4-BE49-F238E27FC236}">
              <a16:creationId xmlns:a16="http://schemas.microsoft.com/office/drawing/2014/main" id="{E9725C82-449D-496E-83DD-43F699DEF1BC}"/>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5" name="TextBox 104">
          <a:extLst>
            <a:ext uri="{FF2B5EF4-FFF2-40B4-BE49-F238E27FC236}">
              <a16:creationId xmlns:a16="http://schemas.microsoft.com/office/drawing/2014/main" id="{0A6CCD7F-89D5-400B-BCAF-A66A9136DF79}"/>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6" name="TextBox 105">
          <a:extLst>
            <a:ext uri="{FF2B5EF4-FFF2-40B4-BE49-F238E27FC236}">
              <a16:creationId xmlns:a16="http://schemas.microsoft.com/office/drawing/2014/main" id="{1274BAD6-AE44-4BC4-895B-F7D3E5ACCF8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7" name="TextBox 106">
          <a:extLst>
            <a:ext uri="{FF2B5EF4-FFF2-40B4-BE49-F238E27FC236}">
              <a16:creationId xmlns:a16="http://schemas.microsoft.com/office/drawing/2014/main" id="{086F8D5D-3F27-4A64-8543-DE05CB07E376}"/>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8" name="TextBox 107">
          <a:extLst>
            <a:ext uri="{FF2B5EF4-FFF2-40B4-BE49-F238E27FC236}">
              <a16:creationId xmlns:a16="http://schemas.microsoft.com/office/drawing/2014/main" id="{605C3687-8376-4822-AD80-CFD1D8A45D42}"/>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09" name="TextBox 108">
          <a:extLst>
            <a:ext uri="{FF2B5EF4-FFF2-40B4-BE49-F238E27FC236}">
              <a16:creationId xmlns:a16="http://schemas.microsoft.com/office/drawing/2014/main" id="{8FE0CE28-46D7-4603-AAD3-5524241ACB9A}"/>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0" name="TextBox 109">
          <a:extLst>
            <a:ext uri="{FF2B5EF4-FFF2-40B4-BE49-F238E27FC236}">
              <a16:creationId xmlns:a16="http://schemas.microsoft.com/office/drawing/2014/main" id="{128D198A-ACDE-4944-A02F-5A53A77E211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1" name="TextBox 110">
          <a:extLst>
            <a:ext uri="{FF2B5EF4-FFF2-40B4-BE49-F238E27FC236}">
              <a16:creationId xmlns:a16="http://schemas.microsoft.com/office/drawing/2014/main" id="{06505F5E-8001-49ED-9897-B75192D405F0}"/>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2" name="TextBox 111">
          <a:extLst>
            <a:ext uri="{FF2B5EF4-FFF2-40B4-BE49-F238E27FC236}">
              <a16:creationId xmlns:a16="http://schemas.microsoft.com/office/drawing/2014/main" id="{05E6463C-CD33-4B69-9C8F-EE5B8285969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3" name="TextBox 112">
          <a:extLst>
            <a:ext uri="{FF2B5EF4-FFF2-40B4-BE49-F238E27FC236}">
              <a16:creationId xmlns:a16="http://schemas.microsoft.com/office/drawing/2014/main" id="{6A76E2C1-4EF0-4630-9C30-6BD0E7D25DCF}"/>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4" name="TextBox 113">
          <a:extLst>
            <a:ext uri="{FF2B5EF4-FFF2-40B4-BE49-F238E27FC236}">
              <a16:creationId xmlns:a16="http://schemas.microsoft.com/office/drawing/2014/main" id="{B5306C92-9FC2-43F6-9181-F3F9D3D52F0D}"/>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5" name="TextBox 114">
          <a:extLst>
            <a:ext uri="{FF2B5EF4-FFF2-40B4-BE49-F238E27FC236}">
              <a16:creationId xmlns:a16="http://schemas.microsoft.com/office/drawing/2014/main" id="{0BEDA993-062B-4CEE-B69D-BA6DF22DF541}"/>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6" name="TextBox 115">
          <a:extLst>
            <a:ext uri="{FF2B5EF4-FFF2-40B4-BE49-F238E27FC236}">
              <a16:creationId xmlns:a16="http://schemas.microsoft.com/office/drawing/2014/main" id="{5B6F1B3B-771B-46C6-BE80-9B12C4B17403}"/>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0</xdr:colOff>
      <xdr:row>0</xdr:row>
      <xdr:rowOff>0</xdr:rowOff>
    </xdr:from>
    <xdr:ext cx="184731" cy="264560"/>
    <xdr:sp macro="" textlink="">
      <xdr:nvSpPr>
        <xdr:cNvPr id="117" name="TextBox 116">
          <a:extLst>
            <a:ext uri="{FF2B5EF4-FFF2-40B4-BE49-F238E27FC236}">
              <a16:creationId xmlns:a16="http://schemas.microsoft.com/office/drawing/2014/main" id="{2CCB8887-A116-465F-A78C-6A81B2B63DEB}"/>
            </a:ext>
          </a:extLst>
        </xdr:cNvPr>
        <xdr:cNvSpPr txBox="1"/>
      </xdr:nvSpPr>
      <xdr:spPr>
        <a:xfrm>
          <a:off x="4333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8" name="TextBox 117">
          <a:extLst>
            <a:ext uri="{FF2B5EF4-FFF2-40B4-BE49-F238E27FC236}">
              <a16:creationId xmlns:a16="http://schemas.microsoft.com/office/drawing/2014/main" id="{330F0895-6746-4E45-8482-66AD6FED1A1E}"/>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19" name="TextBox 118">
          <a:extLst>
            <a:ext uri="{FF2B5EF4-FFF2-40B4-BE49-F238E27FC236}">
              <a16:creationId xmlns:a16="http://schemas.microsoft.com/office/drawing/2014/main" id="{6585F864-B2D4-4506-8C9F-BE39F361200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0" name="TextBox 119">
          <a:extLst>
            <a:ext uri="{FF2B5EF4-FFF2-40B4-BE49-F238E27FC236}">
              <a16:creationId xmlns:a16="http://schemas.microsoft.com/office/drawing/2014/main" id="{0F93FC42-8CF3-43C8-BA9E-E3B158ECF576}"/>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1" name="TextBox 120">
          <a:extLst>
            <a:ext uri="{FF2B5EF4-FFF2-40B4-BE49-F238E27FC236}">
              <a16:creationId xmlns:a16="http://schemas.microsoft.com/office/drawing/2014/main" id="{08DFCB48-B4FB-4A89-8F4C-550360867F6C}"/>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2" name="TextBox 121">
          <a:extLst>
            <a:ext uri="{FF2B5EF4-FFF2-40B4-BE49-F238E27FC236}">
              <a16:creationId xmlns:a16="http://schemas.microsoft.com/office/drawing/2014/main" id="{8CA9CD76-E689-4C04-BB44-B4563EFA68F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3" name="TextBox 122">
          <a:extLst>
            <a:ext uri="{FF2B5EF4-FFF2-40B4-BE49-F238E27FC236}">
              <a16:creationId xmlns:a16="http://schemas.microsoft.com/office/drawing/2014/main" id="{F5147708-02AD-4701-B667-85955D871923}"/>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4" name="TextBox 123">
          <a:extLst>
            <a:ext uri="{FF2B5EF4-FFF2-40B4-BE49-F238E27FC236}">
              <a16:creationId xmlns:a16="http://schemas.microsoft.com/office/drawing/2014/main" id="{F845D311-9B00-424A-B1EF-B101C249C2F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5" name="TextBox 124">
          <a:extLst>
            <a:ext uri="{FF2B5EF4-FFF2-40B4-BE49-F238E27FC236}">
              <a16:creationId xmlns:a16="http://schemas.microsoft.com/office/drawing/2014/main" id="{E490DBF4-159B-476E-A7E0-FE7973F149B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6" name="TextBox 125">
          <a:extLst>
            <a:ext uri="{FF2B5EF4-FFF2-40B4-BE49-F238E27FC236}">
              <a16:creationId xmlns:a16="http://schemas.microsoft.com/office/drawing/2014/main" id="{1C8391F8-BE6A-4B6A-B26E-82BA3942FD34}"/>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7" name="TextBox 126">
          <a:extLst>
            <a:ext uri="{FF2B5EF4-FFF2-40B4-BE49-F238E27FC236}">
              <a16:creationId xmlns:a16="http://schemas.microsoft.com/office/drawing/2014/main" id="{CA6D93CE-67AF-4FBC-B27F-F054A5353E12}"/>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8" name="TextBox 127">
          <a:extLst>
            <a:ext uri="{FF2B5EF4-FFF2-40B4-BE49-F238E27FC236}">
              <a16:creationId xmlns:a16="http://schemas.microsoft.com/office/drawing/2014/main" id="{119769F4-7C68-411A-811D-5D7CBAA773AB}"/>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oneCellAnchor>
    <xdr:from>
      <xdr:col>2</xdr:col>
      <xdr:colOff>911038</xdr:colOff>
      <xdr:row>0</xdr:row>
      <xdr:rowOff>0</xdr:rowOff>
    </xdr:from>
    <xdr:ext cx="184731" cy="264560"/>
    <xdr:sp macro="" textlink="">
      <xdr:nvSpPr>
        <xdr:cNvPr id="129" name="TextBox 128">
          <a:extLst>
            <a:ext uri="{FF2B5EF4-FFF2-40B4-BE49-F238E27FC236}">
              <a16:creationId xmlns:a16="http://schemas.microsoft.com/office/drawing/2014/main" id="{2D9729EA-2529-4E42-9017-C814C1494BD5}"/>
            </a:ext>
          </a:extLst>
        </xdr:cNvPr>
        <xdr:cNvSpPr txBox="1"/>
      </xdr:nvSpPr>
      <xdr:spPr>
        <a:xfrm>
          <a:off x="4794063"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IN"/>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agarwal\AppData\Local\Temp\610100fb-3f56-4074-a76e-ec3491a090de_Tender%20Docs-26.03.2026.zip.0de\01_TENDER%20DOCUMENTS\02_C&amp;I\02.02_BOQ\C&amp;I_BOQ_K_Mall.xlsx" TargetMode="External"/><Relationship Id="rId1" Type="http://schemas.openxmlformats.org/officeDocument/2006/relationships/externalLinkPath" Target="file:///C:\Users\aagarwal\AppData\Local\Temp\610100fb-3f56-4074-a76e-ec3491a090de_Tender%20Docs-26.03.2026.zip.0de\01_TENDER%20DOCUMENTS\02_C&amp;I\02.02_BOQ\C&amp;I_BOQ_K_Mal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agarwal\AppData\Local\Temp\b58bce14-384d-40b1-b8e3-a98959e3f0d7_Tender%20Docs-26.03.2026.zip.0d7\01_TENDER%20DOCUMENTS\01_MEP\01.02_BOQ\01.01.01_MV\MV_BOQ_K_MALL.xls" TargetMode="External"/><Relationship Id="rId1" Type="http://schemas.openxmlformats.org/officeDocument/2006/relationships/externalLinkPath" Target="file:///C:\Users\aagarwal\AppData\Local\Temp\b58bce14-384d-40b1-b8e3-a98959e3f0d7_Tender%20Docs-26.03.2026.zip.0d7\01_TENDER%20DOCUMENTS\01_MEP\01.02_BOQ\01.01.01_MV\MV_BOQ_K_MALL.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agarwal\AppData\Local\Temp\251efe2c-1504-4d77-8004-9460855d0751_Tender%20Docs-26.03.2026.zip.751\01_TENDER%20DOCUMENTS\01_MEP\01.02_BOQ\01.01.02_LV\CCTV_BOQ_K_Mall.xlsx" TargetMode="External"/><Relationship Id="rId1" Type="http://schemas.openxmlformats.org/officeDocument/2006/relationships/externalLinkPath" Target="file:///C:\Users\aagarwal\AppData\Local\Temp\251efe2c-1504-4d77-8004-9460855d0751_Tender%20Docs-26.03.2026.zip.751\01_TENDER%20DOCUMENTS\01_MEP\01.02_BOQ\01.01.02_LV\CCTV_BOQ_K_M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I BOQ"/>
      <sheetName val="TOS"/>
    </sheetNames>
    <sheetDataSet>
      <sheetData sheetId="0"/>
      <sheetData sheetId="1">
        <row r="42">
          <cell r="R42">
            <v>306</v>
          </cell>
        </row>
        <row r="730">
          <cell r="R730">
            <v>112</v>
          </cell>
        </row>
        <row r="734">
          <cell r="R734">
            <v>4</v>
          </cell>
        </row>
        <row r="737">
          <cell r="R737">
            <v>89</v>
          </cell>
        </row>
        <row r="746">
          <cell r="R746">
            <v>10</v>
          </cell>
        </row>
        <row r="749">
          <cell r="R749">
            <v>254</v>
          </cell>
        </row>
        <row r="753">
          <cell r="R753">
            <v>10</v>
          </cell>
        </row>
        <row r="758">
          <cell r="R758">
            <v>6</v>
          </cell>
        </row>
        <row r="792">
          <cell r="R792">
            <v>94</v>
          </cell>
        </row>
        <row r="805">
          <cell r="R805">
            <v>45</v>
          </cell>
        </row>
        <row r="816">
          <cell r="R816">
            <v>117</v>
          </cell>
        </row>
        <row r="843">
          <cell r="R843">
            <v>8</v>
          </cell>
        </row>
        <row r="850">
          <cell r="R850">
            <v>18</v>
          </cell>
        </row>
        <row r="858">
          <cell r="R858">
            <v>28</v>
          </cell>
        </row>
        <row r="864">
          <cell r="R864">
            <v>37</v>
          </cell>
        </row>
        <row r="872">
          <cell r="R872">
            <v>233</v>
          </cell>
        </row>
        <row r="918">
          <cell r="R918">
            <v>226</v>
          </cell>
        </row>
        <row r="956">
          <cell r="R956">
            <v>627</v>
          </cell>
        </row>
        <row r="1079">
          <cell r="R1079">
            <v>842</v>
          </cell>
        </row>
        <row r="1623">
          <cell r="R1623">
            <v>65</v>
          </cell>
        </row>
        <row r="1649">
          <cell r="R1649">
            <v>17</v>
          </cell>
        </row>
        <row r="1659">
          <cell r="R1659">
            <v>135</v>
          </cell>
        </row>
        <row r="1707">
          <cell r="R1707">
            <v>23</v>
          </cell>
        </row>
        <row r="1714">
          <cell r="R1714">
            <v>191</v>
          </cell>
        </row>
        <row r="1730">
          <cell r="R1730">
            <v>13</v>
          </cell>
        </row>
        <row r="1735">
          <cell r="R1735">
            <v>29</v>
          </cell>
        </row>
        <row r="1762">
          <cell r="R1762">
            <v>2</v>
          </cell>
        </row>
        <row r="1767">
          <cell r="R1767">
            <v>27</v>
          </cell>
        </row>
        <row r="1773">
          <cell r="R1773">
            <v>251</v>
          </cell>
        </row>
        <row r="1808">
          <cell r="R1808">
            <v>101</v>
          </cell>
        </row>
        <row r="1825">
          <cell r="R1825">
            <v>94</v>
          </cell>
        </row>
        <row r="1862">
          <cell r="R1862">
            <v>1017</v>
          </cell>
        </row>
        <row r="1872">
          <cell r="R1872">
            <v>96</v>
          </cell>
        </row>
        <row r="1881">
          <cell r="R1881">
            <v>394</v>
          </cell>
        </row>
        <row r="1889">
          <cell r="R1889">
            <v>671</v>
          </cell>
        </row>
        <row r="1914">
          <cell r="R1914">
            <v>624</v>
          </cell>
        </row>
        <row r="1958">
          <cell r="R1958">
            <v>72</v>
          </cell>
        </row>
        <row r="2033">
          <cell r="R2033">
            <v>16</v>
          </cell>
        </row>
        <row r="2052">
          <cell r="R2052">
            <v>16</v>
          </cell>
        </row>
        <row r="2071">
          <cell r="R2071">
            <v>40</v>
          </cell>
        </row>
        <row r="2115">
          <cell r="R2115">
            <v>9</v>
          </cell>
        </row>
        <row r="2129">
          <cell r="R2129">
            <v>160</v>
          </cell>
        </row>
        <row r="2153">
          <cell r="R2153">
            <v>29</v>
          </cell>
        </row>
        <row r="2167">
          <cell r="R2167">
            <v>38</v>
          </cell>
        </row>
        <row r="2178">
          <cell r="R2178">
            <v>35</v>
          </cell>
        </row>
        <row r="2186">
          <cell r="R2186">
            <v>48</v>
          </cell>
        </row>
        <row r="2197">
          <cell r="R2197">
            <v>7</v>
          </cell>
        </row>
        <row r="2201">
          <cell r="R2201">
            <v>10</v>
          </cell>
        </row>
        <row r="2208">
          <cell r="R2208">
            <v>2</v>
          </cell>
        </row>
        <row r="2213">
          <cell r="R2213">
            <v>4</v>
          </cell>
        </row>
        <row r="2219">
          <cell r="R2219">
            <v>56</v>
          </cell>
        </row>
        <row r="2232">
          <cell r="R2232">
            <v>5</v>
          </cell>
        </row>
        <row r="2236">
          <cell r="R2236">
            <v>12</v>
          </cell>
        </row>
        <row r="2242">
          <cell r="R2242">
            <v>0</v>
          </cell>
        </row>
        <row r="2245">
          <cell r="R2245">
            <v>7</v>
          </cell>
        </row>
        <row r="2249">
          <cell r="R2249">
            <v>2</v>
          </cell>
        </row>
        <row r="2254">
          <cell r="R2254">
            <v>37</v>
          </cell>
        </row>
        <row r="2273">
          <cell r="R2273">
            <v>68</v>
          </cell>
        </row>
        <row r="2298">
          <cell r="R2298">
            <v>322</v>
          </cell>
        </row>
        <row r="2325">
          <cell r="R2325">
            <v>136</v>
          </cell>
        </row>
        <row r="2338">
          <cell r="R2338">
            <v>1576</v>
          </cell>
        </row>
        <row r="2349">
          <cell r="R2349">
            <v>638</v>
          </cell>
        </row>
        <row r="2393">
          <cell r="R2393">
            <v>221</v>
          </cell>
        </row>
        <row r="2414">
          <cell r="R2414">
            <v>22</v>
          </cell>
        </row>
        <row r="2421">
          <cell r="R2421">
            <v>303</v>
          </cell>
        </row>
        <row r="2470">
          <cell r="R2470">
            <v>197</v>
          </cell>
        </row>
        <row r="2487">
          <cell r="R2487">
            <v>125</v>
          </cell>
        </row>
        <row r="2504">
          <cell r="R2504">
            <v>81</v>
          </cell>
        </row>
        <row r="2535">
          <cell r="R2535">
            <v>26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BOQ-ELE WORK"/>
      <sheetName val="Quantity schedule"/>
      <sheetName val="Cable schedule"/>
      <sheetName val="Point wiring"/>
      <sheetName val="Cable tray"/>
    </sheetNames>
    <sheetDataSet>
      <sheetData sheetId="0" refreshError="1"/>
      <sheetData sheetId="1">
        <row r="381">
          <cell r="F381">
            <v>15000</v>
          </cell>
        </row>
      </sheetData>
      <sheetData sheetId="2" refreshError="1"/>
      <sheetData sheetId="3">
        <row r="94">
          <cell r="D94">
            <v>40</v>
          </cell>
        </row>
        <row r="95">
          <cell r="D95">
            <v>62</v>
          </cell>
        </row>
        <row r="96">
          <cell r="D96">
            <v>31</v>
          </cell>
        </row>
        <row r="98">
          <cell r="D98">
            <v>190</v>
          </cell>
        </row>
        <row r="99">
          <cell r="D99">
            <v>614</v>
          </cell>
        </row>
        <row r="101">
          <cell r="D101">
            <v>31</v>
          </cell>
        </row>
        <row r="102">
          <cell r="D102">
            <v>595</v>
          </cell>
        </row>
        <row r="103">
          <cell r="D103">
            <v>18</v>
          </cell>
        </row>
        <row r="104">
          <cell r="D104">
            <v>173</v>
          </cell>
        </row>
        <row r="105">
          <cell r="D105">
            <v>146</v>
          </cell>
        </row>
        <row r="106">
          <cell r="D106">
            <v>60</v>
          </cell>
          <cell r="E106">
            <v>16</v>
          </cell>
        </row>
        <row r="107">
          <cell r="D107">
            <v>160</v>
          </cell>
          <cell r="E107">
            <v>36</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
      <sheetName val="CC TV"/>
      <sheetName val="TOS"/>
    </sheetNames>
    <sheetDataSet>
      <sheetData sheetId="0">
        <row r="3">
          <cell r="C3" t="str">
            <v>R0 - 06.11.2025</v>
          </cell>
        </row>
      </sheetData>
      <sheetData sheetId="1"/>
      <sheetData sheetId="2">
        <row r="7">
          <cell r="D7">
            <v>33</v>
          </cell>
        </row>
        <row r="9">
          <cell r="D9">
            <v>4</v>
          </cell>
        </row>
        <row r="11">
          <cell r="D11">
            <v>6</v>
          </cell>
        </row>
        <row r="13">
          <cell r="D13">
            <v>0</v>
          </cell>
        </row>
        <row r="15">
          <cell r="D15">
            <v>1</v>
          </cell>
        </row>
        <row r="17">
          <cell r="D17">
            <v>1</v>
          </cell>
        </row>
        <row r="21">
          <cell r="D21">
            <v>1</v>
          </cell>
        </row>
        <row r="23">
          <cell r="D23">
            <v>2</v>
          </cell>
        </row>
        <row r="25">
          <cell r="D25">
            <v>2</v>
          </cell>
        </row>
        <row r="29">
          <cell r="D29">
            <v>3500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AC37-5717-4D9E-B688-1183D74C2B7C}">
  <sheetPr codeName="Sheet1"/>
  <dimension ref="A1:B9"/>
  <sheetViews>
    <sheetView showGridLines="0" workbookViewId="0">
      <selection activeCell="B22" sqref="B22"/>
    </sheetView>
  </sheetViews>
  <sheetFormatPr defaultRowHeight="14.5"/>
  <cols>
    <col min="1" max="1" width="22.26953125" style="94" customWidth="1"/>
    <col min="2" max="2" width="19.7265625" style="94" customWidth="1"/>
    <col min="3" max="16384" width="8.7265625" style="94"/>
  </cols>
  <sheetData>
    <row r="1" spans="1:2" ht="19" thickBot="1">
      <c r="A1" s="95" t="s">
        <v>285</v>
      </c>
      <c r="B1" s="95" t="s">
        <v>286</v>
      </c>
    </row>
    <row r="2" spans="1:2" ht="16">
      <c r="A2" s="488" t="s">
        <v>287</v>
      </c>
      <c r="B2" s="489">
        <f>'C&amp;I BOQ'!$F$346</f>
        <v>0</v>
      </c>
    </row>
    <row r="3" spans="1:2" ht="16">
      <c r="A3" s="490" t="s">
        <v>288</v>
      </c>
      <c r="B3" s="491">
        <f>'HVAC Summary'!$D$9</f>
        <v>0</v>
      </c>
    </row>
    <row r="4" spans="1:2" ht="16">
      <c r="A4" s="492" t="s">
        <v>289</v>
      </c>
      <c r="B4" s="493">
        <f>'MV Summary'!$C$11</f>
        <v>0</v>
      </c>
    </row>
    <row r="5" spans="1:2" ht="16">
      <c r="A5" s="494" t="s">
        <v>290</v>
      </c>
      <c r="B5" s="495">
        <f>'LV Summary'!$C$5</f>
        <v>0</v>
      </c>
    </row>
    <row r="6" spans="1:2" ht="16">
      <c r="A6" s="96" t="s">
        <v>765</v>
      </c>
      <c r="B6" s="486">
        <f>SUM(B2:B5)</f>
        <v>0</v>
      </c>
    </row>
    <row r="7" spans="1:2" ht="16">
      <c r="A7" s="96" t="s">
        <v>761</v>
      </c>
      <c r="B7" s="487">
        <f>B6*18%</f>
        <v>0</v>
      </c>
    </row>
    <row r="8" spans="1:2" ht="16.5" thickBot="1">
      <c r="A8" s="97" t="s">
        <v>764</v>
      </c>
      <c r="B8" s="496">
        <f>B6*1%</f>
        <v>0</v>
      </c>
    </row>
    <row r="9" spans="1:2" ht="16.5" thickBot="1">
      <c r="A9" s="497" t="s">
        <v>762</v>
      </c>
      <c r="B9" s="498">
        <f>B6+B7+B8</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EE16-AC0B-4ED5-991F-3F904504A87A}">
  <sheetPr codeName="Sheet2">
    <tabColor theme="7" tint="0.39997558519241921"/>
    <pageSetUpPr fitToPage="1"/>
  </sheetPr>
  <dimension ref="A1:F348"/>
  <sheetViews>
    <sheetView showGridLines="0" topLeftCell="A329" zoomScale="90" zoomScaleNormal="90" zoomScaleSheetLayoutView="100" workbookViewId="0">
      <selection activeCell="F65" sqref="F65"/>
    </sheetView>
  </sheetViews>
  <sheetFormatPr defaultColWidth="9.1796875" defaultRowHeight="13.5"/>
  <cols>
    <col min="1" max="1" width="10.54296875" style="90" customWidth="1"/>
    <col min="2" max="2" width="118.1796875" style="1" bestFit="1" customWidth="1"/>
    <col min="3" max="3" width="15.7265625" style="91" customWidth="1"/>
    <col min="4" max="4" width="15.7265625" style="92" customWidth="1"/>
    <col min="5" max="5" width="15.7265625" style="90" customWidth="1"/>
    <col min="6" max="6" width="15.7265625" style="93" customWidth="1"/>
    <col min="7" max="16384" width="9.1796875" style="1"/>
  </cols>
  <sheetData>
    <row r="1" spans="1:6" ht="30" customHeight="1">
      <c r="A1" s="499" t="s">
        <v>0</v>
      </c>
      <c r="B1" s="500"/>
      <c r="C1" s="500"/>
      <c r="D1" s="500"/>
      <c r="E1" s="500"/>
      <c r="F1" s="501"/>
    </row>
    <row r="2" spans="1:6" ht="23.25" customHeight="1">
      <c r="A2" s="502" t="s">
        <v>1</v>
      </c>
      <c r="B2" s="503"/>
      <c r="C2" s="504" t="s">
        <v>2</v>
      </c>
      <c r="D2" s="505"/>
      <c r="E2" s="506"/>
      <c r="F2" s="2"/>
    </row>
    <row r="3" spans="1:6">
      <c r="A3" s="3"/>
      <c r="B3" s="4"/>
      <c r="C3" s="5"/>
      <c r="D3" s="6"/>
      <c r="E3" s="7"/>
      <c r="F3" s="8"/>
    </row>
    <row r="4" spans="1:6" ht="369" customHeight="1">
      <c r="A4" s="507" t="s">
        <v>3</v>
      </c>
      <c r="B4" s="508"/>
      <c r="C4" s="508"/>
      <c r="D4" s="508"/>
      <c r="E4" s="508"/>
      <c r="F4" s="509"/>
    </row>
    <row r="5" spans="1:6">
      <c r="A5" s="3"/>
      <c r="B5" s="4"/>
      <c r="C5" s="5"/>
      <c r="D5" s="6"/>
      <c r="E5" s="7"/>
      <c r="F5" s="8"/>
    </row>
    <row r="6" spans="1:6" ht="21.75" customHeight="1">
      <c r="A6" s="9" t="s">
        <v>4</v>
      </c>
      <c r="B6" s="10" t="s">
        <v>5</v>
      </c>
      <c r="C6" s="11" t="s">
        <v>6</v>
      </c>
      <c r="D6" s="11" t="s">
        <v>7</v>
      </c>
      <c r="E6" s="10" t="s">
        <v>8</v>
      </c>
      <c r="F6" s="12" t="s">
        <v>9</v>
      </c>
    </row>
    <row r="7" spans="1:6">
      <c r="A7" s="13"/>
      <c r="B7" s="14"/>
      <c r="C7" s="15"/>
      <c r="D7" s="16"/>
      <c r="E7" s="17"/>
      <c r="F7" s="18"/>
    </row>
    <row r="8" spans="1:6" s="25" customFormat="1">
      <c r="A8" s="19">
        <v>1</v>
      </c>
      <c r="B8" s="20" t="s">
        <v>10</v>
      </c>
      <c r="C8" s="21"/>
      <c r="D8" s="22"/>
      <c r="E8" s="23"/>
      <c r="F8" s="24"/>
    </row>
    <row r="9" spans="1:6" s="25" customFormat="1" ht="81">
      <c r="A9" s="26">
        <v>1.01</v>
      </c>
      <c r="B9" s="27" t="s">
        <v>11</v>
      </c>
      <c r="C9" s="28" t="s">
        <v>12</v>
      </c>
      <c r="D9" s="29">
        <v>10</v>
      </c>
      <c r="E9" s="30"/>
      <c r="F9" s="31">
        <f>E9*D9</f>
        <v>0</v>
      </c>
    </row>
    <row r="10" spans="1:6" s="34" customFormat="1">
      <c r="A10" s="32"/>
      <c r="B10" s="33" t="s">
        <v>13</v>
      </c>
      <c r="C10" s="28"/>
      <c r="D10" s="29"/>
      <c r="E10" s="30"/>
      <c r="F10" s="31"/>
    </row>
    <row r="11" spans="1:6">
      <c r="A11" s="26"/>
      <c r="B11" s="33"/>
      <c r="C11" s="28"/>
      <c r="D11" s="29"/>
      <c r="E11" s="30"/>
      <c r="F11" s="31"/>
    </row>
    <row r="12" spans="1:6" s="25" customFormat="1" ht="67.5">
      <c r="A12" s="26">
        <f>A9+0.01</f>
        <v>1.02</v>
      </c>
      <c r="B12" s="27" t="s">
        <v>14</v>
      </c>
      <c r="C12" s="28" t="s">
        <v>12</v>
      </c>
      <c r="D12" s="29" t="s">
        <v>15</v>
      </c>
      <c r="E12" s="30">
        <v>0</v>
      </c>
      <c r="F12" s="31">
        <v>0</v>
      </c>
    </row>
    <row r="13" spans="1:6" s="34" customFormat="1">
      <c r="A13" s="32"/>
      <c r="B13" s="33" t="s">
        <v>16</v>
      </c>
      <c r="C13" s="28"/>
      <c r="D13" s="29"/>
      <c r="E13" s="30"/>
      <c r="F13" s="31"/>
    </row>
    <row r="14" spans="1:6" s="34" customFormat="1">
      <c r="A14" s="32"/>
      <c r="B14" s="33"/>
      <c r="C14" s="28"/>
      <c r="D14" s="29"/>
      <c r="E14" s="30"/>
      <c r="F14" s="31"/>
    </row>
    <row r="15" spans="1:6" s="41" customFormat="1">
      <c r="A15" s="35"/>
      <c r="B15" s="36"/>
      <c r="C15" s="37"/>
      <c r="D15" s="38"/>
      <c r="E15" s="39"/>
      <c r="F15" s="40"/>
    </row>
    <row r="16" spans="1:6" s="25" customFormat="1" ht="81">
      <c r="A16" s="26">
        <f>A12+0.01</f>
        <v>1.03</v>
      </c>
      <c r="B16" s="27" t="s">
        <v>17</v>
      </c>
      <c r="C16" s="28" t="s">
        <v>12</v>
      </c>
      <c r="D16" s="29" t="s">
        <v>15</v>
      </c>
      <c r="E16" s="30">
        <v>0</v>
      </c>
      <c r="F16" s="31">
        <v>0</v>
      </c>
    </row>
    <row r="17" spans="1:6" s="34" customFormat="1">
      <c r="A17" s="32"/>
      <c r="B17" s="33" t="s">
        <v>18</v>
      </c>
      <c r="C17" s="28"/>
      <c r="D17" s="29"/>
      <c r="E17" s="30"/>
      <c r="F17" s="31"/>
    </row>
    <row r="18" spans="1:6" s="41" customFormat="1">
      <c r="A18" s="35"/>
      <c r="B18" s="36"/>
      <c r="C18" s="37"/>
      <c r="D18" s="38"/>
      <c r="E18" s="39"/>
      <c r="F18" s="40"/>
    </row>
    <row r="19" spans="1:6" s="34" customFormat="1">
      <c r="A19" s="32"/>
      <c r="B19" s="33"/>
      <c r="C19" s="28"/>
      <c r="D19" s="29"/>
      <c r="E19" s="30"/>
      <c r="F19" s="31"/>
    </row>
    <row r="20" spans="1:6" s="25" customFormat="1" ht="67.5">
      <c r="A20" s="42">
        <f>A16+0.01</f>
        <v>1.04</v>
      </c>
      <c r="B20" s="27" t="s">
        <v>19</v>
      </c>
      <c r="C20" s="28" t="s">
        <v>12</v>
      </c>
      <c r="D20" s="29" t="s">
        <v>15</v>
      </c>
      <c r="E20" s="30">
        <v>0</v>
      </c>
      <c r="F20" s="31">
        <v>0</v>
      </c>
    </row>
    <row r="21" spans="1:6" s="34" customFormat="1">
      <c r="A21" s="32"/>
      <c r="B21" s="33" t="s">
        <v>20</v>
      </c>
      <c r="C21" s="28"/>
      <c r="D21" s="29"/>
      <c r="E21" s="30"/>
      <c r="F21" s="31"/>
    </row>
    <row r="22" spans="1:6" s="34" customFormat="1">
      <c r="A22" s="32"/>
      <c r="B22" s="33"/>
      <c r="C22" s="28"/>
      <c r="D22" s="29"/>
      <c r="E22" s="30"/>
      <c r="F22" s="31"/>
    </row>
    <row r="23" spans="1:6" s="34" customFormat="1">
      <c r="A23" s="32"/>
      <c r="B23" s="33"/>
      <c r="C23" s="28"/>
      <c r="D23" s="29"/>
      <c r="E23" s="30"/>
      <c r="F23" s="31"/>
    </row>
    <row r="24" spans="1:6" s="34" customFormat="1">
      <c r="A24" s="32">
        <v>2</v>
      </c>
      <c r="B24" s="33" t="s">
        <v>21</v>
      </c>
      <c r="C24" s="28"/>
      <c r="D24" s="29"/>
      <c r="E24" s="30"/>
      <c r="F24" s="31"/>
    </row>
    <row r="25" spans="1:6" s="25" customFormat="1" ht="94.5">
      <c r="A25" s="26">
        <v>2.0099999999999998</v>
      </c>
      <c r="B25" s="27" t="s">
        <v>22</v>
      </c>
      <c r="C25" s="28" t="s">
        <v>12</v>
      </c>
      <c r="D25" s="29" t="s">
        <v>15</v>
      </c>
      <c r="E25" s="30">
        <v>0</v>
      </c>
      <c r="F25" s="31">
        <v>0</v>
      </c>
    </row>
    <row r="26" spans="1:6" s="34" customFormat="1">
      <c r="A26" s="32"/>
      <c r="B26" s="33" t="s">
        <v>13</v>
      </c>
      <c r="C26" s="28"/>
      <c r="D26" s="29"/>
      <c r="E26" s="30"/>
      <c r="F26" s="31"/>
    </row>
    <row r="27" spans="1:6">
      <c r="A27" s="26"/>
      <c r="B27" s="33"/>
      <c r="C27" s="28"/>
      <c r="D27" s="29"/>
      <c r="E27" s="30"/>
      <c r="F27" s="31"/>
    </row>
    <row r="28" spans="1:6" s="25" customFormat="1" ht="81">
      <c r="A28" s="26">
        <f>A25+0.01</f>
        <v>2.0199999999999996</v>
      </c>
      <c r="B28" s="27" t="s">
        <v>23</v>
      </c>
      <c r="C28" s="28" t="s">
        <v>24</v>
      </c>
      <c r="D28" s="29">
        <v>5</v>
      </c>
      <c r="E28" s="30"/>
      <c r="F28" s="31">
        <f>E28*D28</f>
        <v>0</v>
      </c>
    </row>
    <row r="29" spans="1:6" s="34" customFormat="1">
      <c r="A29" s="32"/>
      <c r="B29" s="33" t="s">
        <v>25</v>
      </c>
      <c r="C29" s="28"/>
      <c r="D29" s="29"/>
      <c r="E29" s="30"/>
      <c r="F29" s="31"/>
    </row>
    <row r="30" spans="1:6">
      <c r="A30" s="26"/>
      <c r="B30" s="33"/>
      <c r="C30" s="28"/>
      <c r="D30" s="29"/>
      <c r="E30" s="30"/>
      <c r="F30" s="31"/>
    </row>
    <row r="31" spans="1:6" s="25" customFormat="1" ht="94.5">
      <c r="A31" s="26">
        <f>A28+0.01</f>
        <v>2.0299999999999994</v>
      </c>
      <c r="B31" s="27" t="s">
        <v>26</v>
      </c>
      <c r="C31" s="28" t="s">
        <v>24</v>
      </c>
      <c r="D31" s="29" t="s">
        <v>15</v>
      </c>
      <c r="E31" s="30">
        <v>0</v>
      </c>
      <c r="F31" s="31">
        <v>0</v>
      </c>
    </row>
    <row r="32" spans="1:6" s="34" customFormat="1">
      <c r="A32" s="32"/>
      <c r="B32" s="33" t="s">
        <v>25</v>
      </c>
      <c r="C32" s="28"/>
      <c r="D32" s="29"/>
      <c r="E32" s="30"/>
      <c r="F32" s="31"/>
    </row>
    <row r="33" spans="1:6">
      <c r="A33" s="26"/>
      <c r="B33" s="33"/>
      <c r="C33" s="28"/>
      <c r="D33" s="29"/>
      <c r="E33" s="30"/>
      <c r="F33" s="31"/>
    </row>
    <row r="34" spans="1:6" ht="67.5">
      <c r="A34" s="26">
        <f>A31+0.01</f>
        <v>2.0399999999999991</v>
      </c>
      <c r="B34" s="27" t="s">
        <v>27</v>
      </c>
      <c r="C34" s="28" t="s">
        <v>12</v>
      </c>
      <c r="D34" s="29">
        <v>20</v>
      </c>
      <c r="E34" s="30"/>
      <c r="F34" s="31">
        <f>E34*D34</f>
        <v>0</v>
      </c>
    </row>
    <row r="35" spans="1:6" s="34" customFormat="1">
      <c r="A35" s="32"/>
      <c r="B35" s="33" t="s">
        <v>16</v>
      </c>
      <c r="C35" s="28"/>
      <c r="D35" s="29"/>
      <c r="E35" s="30"/>
      <c r="F35" s="31"/>
    </row>
    <row r="36" spans="1:6" s="34" customFormat="1">
      <c r="A36" s="32"/>
      <c r="B36" s="33"/>
      <c r="C36" s="28"/>
      <c r="D36" s="29"/>
      <c r="E36" s="30"/>
      <c r="F36" s="31"/>
    </row>
    <row r="37" spans="1:6" ht="81">
      <c r="A37" s="26">
        <f>A34+0.01</f>
        <v>2.0499999999999989</v>
      </c>
      <c r="B37" s="27" t="s">
        <v>28</v>
      </c>
      <c r="C37" s="28" t="s">
        <v>24</v>
      </c>
      <c r="D37" s="43">
        <v>1</v>
      </c>
      <c r="E37" s="30"/>
      <c r="F37" s="31">
        <f>E37*D37</f>
        <v>0</v>
      </c>
    </row>
    <row r="38" spans="1:6" s="34" customFormat="1">
      <c r="A38" s="32"/>
      <c r="B38" s="33" t="s">
        <v>29</v>
      </c>
      <c r="C38" s="28"/>
      <c r="D38" s="29"/>
      <c r="E38" s="30"/>
      <c r="F38" s="31"/>
    </row>
    <row r="39" spans="1:6" s="34" customFormat="1">
      <c r="A39" s="32"/>
      <c r="B39" s="33"/>
      <c r="C39" s="28"/>
      <c r="D39" s="29"/>
      <c r="E39" s="30"/>
      <c r="F39" s="31"/>
    </row>
    <row r="40" spans="1:6" s="25" customFormat="1" ht="81">
      <c r="A40" s="26">
        <f>A37+0.01</f>
        <v>2.0599999999999987</v>
      </c>
      <c r="B40" s="27" t="s">
        <v>30</v>
      </c>
      <c r="C40" s="28" t="s">
        <v>12</v>
      </c>
      <c r="D40" s="29">
        <v>840</v>
      </c>
      <c r="E40" s="30"/>
      <c r="F40" s="31">
        <f>E40*D40</f>
        <v>0</v>
      </c>
    </row>
    <row r="41" spans="1:6" s="34" customFormat="1">
      <c r="A41" s="32"/>
      <c r="B41" s="33" t="s">
        <v>20</v>
      </c>
      <c r="C41" s="28"/>
      <c r="D41" s="29"/>
      <c r="E41" s="30"/>
      <c r="F41" s="31"/>
    </row>
    <row r="42" spans="1:6" s="34" customFormat="1">
      <c r="A42" s="32"/>
      <c r="B42" s="33"/>
      <c r="C42" s="28"/>
      <c r="D42" s="29"/>
      <c r="E42" s="30"/>
      <c r="F42" s="31"/>
    </row>
    <row r="43" spans="1:6" s="25" customFormat="1" ht="81">
      <c r="A43" s="26">
        <f>A40+0.01</f>
        <v>2.0699999999999985</v>
      </c>
      <c r="B43" s="27" t="s">
        <v>31</v>
      </c>
      <c r="C43" s="28" t="s">
        <v>12</v>
      </c>
      <c r="D43" s="43"/>
      <c r="E43" s="30"/>
      <c r="F43" s="31">
        <f>E43*D43</f>
        <v>0</v>
      </c>
    </row>
    <row r="44" spans="1:6" s="34" customFormat="1">
      <c r="A44" s="32"/>
      <c r="B44" s="33" t="s">
        <v>32</v>
      </c>
      <c r="C44" s="28"/>
      <c r="D44" s="29"/>
      <c r="E44" s="30"/>
      <c r="F44" s="31"/>
    </row>
    <row r="45" spans="1:6" s="34" customFormat="1">
      <c r="A45" s="32"/>
      <c r="B45" s="33"/>
      <c r="C45" s="28"/>
      <c r="D45" s="29"/>
      <c r="E45" s="30"/>
      <c r="F45" s="31"/>
    </row>
    <row r="46" spans="1:6" s="34" customFormat="1" ht="135">
      <c r="A46" s="42">
        <f>A43+0.01</f>
        <v>2.0799999999999983</v>
      </c>
      <c r="B46" s="44" t="s">
        <v>33</v>
      </c>
      <c r="C46" s="28" t="s">
        <v>12</v>
      </c>
      <c r="D46" s="29">
        <f>[1]TOS!R42*1.05</f>
        <v>321.3</v>
      </c>
      <c r="E46" s="30"/>
      <c r="F46" s="31">
        <f>E46*D46</f>
        <v>0</v>
      </c>
    </row>
    <row r="47" spans="1:6" s="34" customFormat="1">
      <c r="A47" s="32"/>
      <c r="B47" s="33" t="s">
        <v>16</v>
      </c>
      <c r="C47" s="28"/>
      <c r="D47" s="29"/>
      <c r="E47" s="30"/>
      <c r="F47" s="31"/>
    </row>
    <row r="48" spans="1:6" s="34" customFormat="1">
      <c r="A48" s="32"/>
      <c r="B48" s="33"/>
      <c r="C48" s="28"/>
      <c r="D48" s="29"/>
      <c r="E48" s="30"/>
      <c r="F48" s="31"/>
    </row>
    <row r="49" spans="1:6" s="34" customFormat="1" ht="54">
      <c r="A49" s="42">
        <f>A46+0.01</f>
        <v>2.0899999999999981</v>
      </c>
      <c r="B49" s="27" t="s">
        <v>34</v>
      </c>
      <c r="C49" s="28" t="s">
        <v>12</v>
      </c>
      <c r="D49" s="29">
        <v>20</v>
      </c>
      <c r="E49" s="30"/>
      <c r="F49" s="31">
        <f>E49*D49</f>
        <v>0</v>
      </c>
    </row>
    <row r="50" spans="1:6" s="34" customFormat="1" ht="27">
      <c r="A50" s="42"/>
      <c r="B50" s="27" t="s">
        <v>35</v>
      </c>
      <c r="C50" s="28"/>
      <c r="D50" s="29"/>
      <c r="E50" s="30"/>
      <c r="F50" s="45"/>
    </row>
    <row r="51" spans="1:6" s="34" customFormat="1">
      <c r="A51" s="32"/>
      <c r="B51" s="33" t="s">
        <v>18</v>
      </c>
      <c r="C51" s="28"/>
      <c r="D51" s="29"/>
      <c r="E51" s="30"/>
      <c r="F51" s="31"/>
    </row>
    <row r="52" spans="1:6" s="34" customFormat="1">
      <c r="A52" s="32"/>
      <c r="B52" s="33"/>
      <c r="C52" s="28"/>
      <c r="D52" s="29"/>
      <c r="E52" s="30"/>
      <c r="F52" s="31"/>
    </row>
    <row r="53" spans="1:6" s="34" customFormat="1">
      <c r="A53" s="32">
        <v>3</v>
      </c>
      <c r="B53" s="33" t="s">
        <v>36</v>
      </c>
      <c r="C53" s="28"/>
      <c r="D53" s="29"/>
      <c r="E53" s="30"/>
      <c r="F53" s="31"/>
    </row>
    <row r="54" spans="1:6" s="34" customFormat="1" ht="108">
      <c r="A54" s="32">
        <v>3.01</v>
      </c>
      <c r="B54" s="44" t="s">
        <v>37</v>
      </c>
      <c r="C54" s="46"/>
      <c r="D54" s="43"/>
      <c r="E54" s="47"/>
      <c r="F54" s="31"/>
    </row>
    <row r="55" spans="1:6" s="34" customFormat="1" ht="94.5">
      <c r="A55" s="32" t="s">
        <v>38</v>
      </c>
      <c r="B55" s="48" t="s">
        <v>444</v>
      </c>
      <c r="C55" s="28" t="s">
        <v>12</v>
      </c>
      <c r="D55" s="29">
        <v>99</v>
      </c>
      <c r="E55" s="30"/>
      <c r="F55" s="31">
        <f>E55*D55</f>
        <v>0</v>
      </c>
    </row>
    <row r="56" spans="1:6" s="34" customFormat="1" ht="94.5">
      <c r="A56" s="32" t="s">
        <v>39</v>
      </c>
      <c r="B56" s="48" t="s">
        <v>445</v>
      </c>
      <c r="C56" s="49" t="s">
        <v>12</v>
      </c>
      <c r="D56" s="29">
        <f>[1]TOS!R730*1.05</f>
        <v>117.60000000000001</v>
      </c>
      <c r="E56" s="30"/>
      <c r="F56" s="31">
        <f>E56*D56</f>
        <v>0</v>
      </c>
    </row>
    <row r="57" spans="1:6" s="34" customFormat="1" ht="108">
      <c r="A57" s="32" t="s">
        <v>40</v>
      </c>
      <c r="B57" s="48" t="s">
        <v>41</v>
      </c>
      <c r="C57" s="49" t="s">
        <v>12</v>
      </c>
      <c r="D57" s="29" t="s">
        <v>15</v>
      </c>
      <c r="E57" s="30">
        <v>0</v>
      </c>
      <c r="F57" s="31">
        <v>0</v>
      </c>
    </row>
    <row r="58" spans="1:6" s="34" customFormat="1" ht="81">
      <c r="A58" s="32" t="s">
        <v>42</v>
      </c>
      <c r="B58" s="48" t="s">
        <v>446</v>
      </c>
      <c r="C58" s="49" t="s">
        <v>12</v>
      </c>
      <c r="D58" s="29">
        <f>[1]TOS!$R$734</f>
        <v>4</v>
      </c>
      <c r="E58" s="30"/>
      <c r="F58" s="31">
        <f t="shared" ref="F58:F62" si="0">E58*D58</f>
        <v>0</v>
      </c>
    </row>
    <row r="59" spans="1:6" s="34" customFormat="1" ht="67.5">
      <c r="A59" s="32" t="s">
        <v>43</v>
      </c>
      <c r="B59" s="48" t="s">
        <v>447</v>
      </c>
      <c r="C59" s="49" t="s">
        <v>12</v>
      </c>
      <c r="D59" s="29">
        <f>[1]TOS!R737*1.05</f>
        <v>93.45</v>
      </c>
      <c r="E59" s="30"/>
      <c r="F59" s="31">
        <f t="shared" si="0"/>
        <v>0</v>
      </c>
    </row>
    <row r="60" spans="1:6" s="34" customFormat="1" ht="94.5">
      <c r="A60" s="32" t="s">
        <v>44</v>
      </c>
      <c r="B60" s="48" t="s">
        <v>448</v>
      </c>
      <c r="C60" s="49" t="s">
        <v>12</v>
      </c>
      <c r="D60" s="29">
        <f>[1]TOS!R746*1.05</f>
        <v>10.5</v>
      </c>
      <c r="E60" s="30"/>
      <c r="F60" s="31">
        <f t="shared" si="0"/>
        <v>0</v>
      </c>
    </row>
    <row r="61" spans="1:6" s="34" customFormat="1" ht="81">
      <c r="A61" s="32" t="s">
        <v>45</v>
      </c>
      <c r="B61" s="48" t="s">
        <v>449</v>
      </c>
      <c r="C61" s="49" t="s">
        <v>12</v>
      </c>
      <c r="D61" s="29">
        <f>(([1]TOS!R749*1.05)/2)+[1]TOS!R753+([1]TOS!R749*1.05)/2</f>
        <v>276.7</v>
      </c>
      <c r="E61" s="30"/>
      <c r="F61" s="31">
        <f t="shared" si="0"/>
        <v>0</v>
      </c>
    </row>
    <row r="62" spans="1:6" s="34" customFormat="1" ht="81">
      <c r="A62" s="32" t="s">
        <v>46</v>
      </c>
      <c r="B62" s="48" t="s">
        <v>47</v>
      </c>
      <c r="C62" s="49" t="s">
        <v>12</v>
      </c>
      <c r="D62" s="29">
        <v>0</v>
      </c>
      <c r="E62" s="30"/>
      <c r="F62" s="31">
        <f t="shared" si="0"/>
        <v>0</v>
      </c>
    </row>
    <row r="63" spans="1:6" s="34" customFormat="1">
      <c r="A63" s="32"/>
      <c r="B63" s="33"/>
      <c r="C63" s="28"/>
      <c r="D63" s="29"/>
      <c r="E63" s="30"/>
      <c r="F63" s="31"/>
    </row>
    <row r="64" spans="1:6" s="34" customFormat="1" ht="175.5">
      <c r="A64" s="32" t="s">
        <v>48</v>
      </c>
      <c r="B64" s="27" t="s">
        <v>450</v>
      </c>
      <c r="C64" s="28" t="s">
        <v>49</v>
      </c>
      <c r="D64" s="30">
        <f>[1]TOS!R758*1.05</f>
        <v>6.3000000000000007</v>
      </c>
      <c r="E64" s="30"/>
      <c r="F64" s="31">
        <f>E64*D64</f>
        <v>0</v>
      </c>
    </row>
    <row r="65" spans="1:6" s="34" customFormat="1">
      <c r="A65" s="32"/>
      <c r="B65" s="33"/>
      <c r="C65" s="28"/>
      <c r="D65" s="29"/>
      <c r="E65" s="30"/>
      <c r="F65" s="31"/>
    </row>
    <row r="66" spans="1:6" s="34" customFormat="1">
      <c r="A66" s="32"/>
      <c r="B66" s="33" t="s">
        <v>50</v>
      </c>
      <c r="C66" s="28"/>
      <c r="D66" s="29"/>
      <c r="E66" s="30"/>
      <c r="F66" s="31"/>
    </row>
    <row r="67" spans="1:6" s="34" customFormat="1" ht="67.5">
      <c r="A67" s="32"/>
      <c r="B67" s="27" t="s">
        <v>51</v>
      </c>
      <c r="C67" s="28"/>
      <c r="D67" s="29"/>
      <c r="E67" s="30"/>
      <c r="F67" s="31"/>
    </row>
    <row r="68" spans="1:6" s="34" customFormat="1" ht="81">
      <c r="A68" s="32" t="s">
        <v>52</v>
      </c>
      <c r="B68" s="48" t="s">
        <v>451</v>
      </c>
      <c r="C68" s="28" t="s">
        <v>49</v>
      </c>
      <c r="D68" s="29">
        <f>[1]TOS!R792*1.05</f>
        <v>98.7</v>
      </c>
      <c r="E68" s="30"/>
      <c r="F68" s="31">
        <f t="shared" ref="F68:F69" si="1">E68*D68</f>
        <v>0</v>
      </c>
    </row>
    <row r="69" spans="1:6" s="34" customFormat="1" ht="108">
      <c r="A69" s="32" t="s">
        <v>53</v>
      </c>
      <c r="B69" s="48" t="s">
        <v>452</v>
      </c>
      <c r="C69" s="28" t="s">
        <v>49</v>
      </c>
      <c r="D69" s="29">
        <f>[1]TOS!R805*1.05</f>
        <v>47.25</v>
      </c>
      <c r="E69" s="30"/>
      <c r="F69" s="31">
        <f t="shared" si="1"/>
        <v>0</v>
      </c>
    </row>
    <row r="70" spans="1:6" s="34" customFormat="1" ht="94.5">
      <c r="A70" s="32" t="s">
        <v>54</v>
      </c>
      <c r="B70" s="33" t="s">
        <v>55</v>
      </c>
      <c r="C70" s="49" t="s">
        <v>12</v>
      </c>
      <c r="D70" s="29" t="s">
        <v>15</v>
      </c>
      <c r="E70" s="30">
        <v>0</v>
      </c>
      <c r="F70" s="31">
        <v>0</v>
      </c>
    </row>
    <row r="71" spans="1:6" s="34" customFormat="1" ht="81">
      <c r="A71" s="50" t="s">
        <v>56</v>
      </c>
      <c r="B71" s="48" t="s">
        <v>57</v>
      </c>
      <c r="C71" s="28" t="s">
        <v>49</v>
      </c>
      <c r="D71" s="29">
        <v>0</v>
      </c>
      <c r="E71" s="30"/>
      <c r="F71" s="31">
        <f t="shared" ref="F71:F73" si="2">E71*D71</f>
        <v>0</v>
      </c>
    </row>
    <row r="72" spans="1:6" s="34" customFormat="1" ht="94.5">
      <c r="A72" s="32" t="s">
        <v>58</v>
      </c>
      <c r="B72" s="48" t="s">
        <v>453</v>
      </c>
      <c r="C72" s="28" t="s">
        <v>49</v>
      </c>
      <c r="D72" s="29">
        <f>([1]TOS!R816*1.05/2)+[1]TOS!R843+[1]TOS!R816*1.05/2</f>
        <v>130.85000000000002</v>
      </c>
      <c r="E72" s="30"/>
      <c r="F72" s="31">
        <f t="shared" si="2"/>
        <v>0</v>
      </c>
    </row>
    <row r="73" spans="1:6" s="34" customFormat="1" ht="81">
      <c r="A73" s="32" t="s">
        <v>59</v>
      </c>
      <c r="B73" s="48" t="s">
        <v>60</v>
      </c>
      <c r="C73" s="28" t="s">
        <v>49</v>
      </c>
      <c r="D73" s="29">
        <v>0</v>
      </c>
      <c r="E73" s="30"/>
      <c r="F73" s="31">
        <f t="shared" si="2"/>
        <v>0</v>
      </c>
    </row>
    <row r="74" spans="1:6" s="34" customFormat="1">
      <c r="A74" s="32"/>
      <c r="B74" s="33"/>
      <c r="C74" s="28"/>
      <c r="D74" s="29"/>
      <c r="E74" s="30"/>
      <c r="F74" s="31"/>
    </row>
    <row r="75" spans="1:6" s="34" customFormat="1">
      <c r="A75" s="32"/>
      <c r="B75" s="33"/>
      <c r="C75" s="28"/>
      <c r="D75" s="29"/>
      <c r="E75" s="30"/>
      <c r="F75" s="31"/>
    </row>
    <row r="76" spans="1:6" s="34" customFormat="1">
      <c r="A76" s="32"/>
      <c r="B76" s="33" t="s">
        <v>61</v>
      </c>
      <c r="C76" s="28"/>
      <c r="D76" s="29"/>
      <c r="E76" s="30"/>
      <c r="F76" s="31"/>
    </row>
    <row r="77" spans="1:6" s="34" customFormat="1">
      <c r="A77" s="32"/>
      <c r="B77" s="33"/>
      <c r="C77" s="28"/>
      <c r="D77" s="29"/>
      <c r="E77" s="30"/>
      <c r="F77" s="31"/>
    </row>
    <row r="78" spans="1:6" s="55" customFormat="1">
      <c r="A78" s="51"/>
      <c r="B78" s="48" t="s">
        <v>62</v>
      </c>
      <c r="C78" s="52"/>
      <c r="D78" s="53"/>
      <c r="E78" s="47"/>
      <c r="F78" s="54"/>
    </row>
    <row r="79" spans="1:6" s="55" customFormat="1" ht="67.5">
      <c r="A79" s="51"/>
      <c r="B79" s="56" t="s">
        <v>63</v>
      </c>
      <c r="C79" s="52"/>
      <c r="D79" s="53"/>
      <c r="E79" s="47"/>
      <c r="F79" s="54"/>
    </row>
    <row r="80" spans="1:6" s="58" customFormat="1" ht="81">
      <c r="A80" s="50" t="s">
        <v>58</v>
      </c>
      <c r="B80" s="48" t="s">
        <v>64</v>
      </c>
      <c r="C80" s="49" t="s">
        <v>12</v>
      </c>
      <c r="D80" s="53">
        <f>[1]TOS!R858*1.05</f>
        <v>29.400000000000002</v>
      </c>
      <c r="E80" s="30"/>
      <c r="F80" s="31">
        <f t="shared" ref="F80" si="3">E80*D80</f>
        <v>0</v>
      </c>
    </row>
    <row r="81" spans="1:6" s="58" customFormat="1">
      <c r="A81" s="50"/>
      <c r="B81" s="48"/>
      <c r="C81" s="49"/>
      <c r="D81" s="53"/>
      <c r="E81" s="30"/>
      <c r="F81" s="57"/>
    </row>
    <row r="82" spans="1:6" s="58" customFormat="1">
      <c r="A82" s="50"/>
      <c r="B82" s="48" t="s">
        <v>65</v>
      </c>
      <c r="C82" s="52"/>
      <c r="D82" s="53"/>
      <c r="E82" s="30"/>
      <c r="F82" s="59"/>
    </row>
    <row r="83" spans="1:6" s="58" customFormat="1" ht="40.5">
      <c r="A83" s="50"/>
      <c r="B83" s="60" t="s">
        <v>66</v>
      </c>
      <c r="C83" s="52"/>
      <c r="D83" s="53"/>
      <c r="E83" s="30"/>
      <c r="F83" s="59"/>
    </row>
    <row r="84" spans="1:6" s="58" customFormat="1" ht="81">
      <c r="A84" s="50" t="s">
        <v>59</v>
      </c>
      <c r="B84" s="48" t="s">
        <v>67</v>
      </c>
      <c r="C84" s="52" t="s">
        <v>49</v>
      </c>
      <c r="D84" s="53">
        <f>[1]TOS!R864*1.05</f>
        <v>38.85</v>
      </c>
      <c r="E84" s="30"/>
      <c r="F84" s="31">
        <f t="shared" ref="F84" si="4">E84*D84</f>
        <v>0</v>
      </c>
    </row>
    <row r="85" spans="1:6">
      <c r="A85" s="26"/>
      <c r="B85" s="44"/>
      <c r="C85" s="28"/>
      <c r="D85" s="29"/>
      <c r="E85" s="47"/>
      <c r="F85" s="61"/>
    </row>
    <row r="86" spans="1:6" s="34" customFormat="1" ht="148.5">
      <c r="A86" s="26">
        <f>A54+0.01</f>
        <v>3.0199999999999996</v>
      </c>
      <c r="B86" s="44" t="s">
        <v>68</v>
      </c>
      <c r="C86" s="28"/>
      <c r="D86" s="29"/>
      <c r="E86" s="30"/>
      <c r="F86" s="31"/>
    </row>
    <row r="87" spans="1:6" ht="54">
      <c r="A87" s="26"/>
      <c r="B87" s="33" t="s">
        <v>69</v>
      </c>
      <c r="C87" s="28" t="s">
        <v>12</v>
      </c>
      <c r="D87" s="29">
        <f>[1]TOS!R872*1.05</f>
        <v>244.65</v>
      </c>
      <c r="E87" s="30"/>
      <c r="F87" s="31">
        <f t="shared" ref="F87" si="5">E87*D87</f>
        <v>0</v>
      </c>
    </row>
    <row r="88" spans="1:6" s="34" customFormat="1">
      <c r="A88" s="32"/>
      <c r="B88" s="33"/>
      <c r="C88" s="28"/>
      <c r="D88" s="29"/>
      <c r="E88" s="30"/>
      <c r="F88" s="31"/>
    </row>
    <row r="89" spans="1:6">
      <c r="A89" s="32"/>
      <c r="B89" s="33" t="s">
        <v>70</v>
      </c>
      <c r="C89" s="28"/>
      <c r="D89" s="29"/>
      <c r="E89" s="30"/>
      <c r="F89" s="31"/>
    </row>
    <row r="90" spans="1:6" s="34" customFormat="1">
      <c r="A90" s="32"/>
      <c r="B90" s="33"/>
      <c r="C90" s="28"/>
      <c r="D90" s="29"/>
      <c r="E90" s="30"/>
      <c r="F90" s="31"/>
    </row>
    <row r="91" spans="1:6" s="34" customFormat="1" ht="81">
      <c r="A91" s="26">
        <f>A86+0.01</f>
        <v>3.0299999999999994</v>
      </c>
      <c r="B91" s="27" t="s">
        <v>454</v>
      </c>
      <c r="C91" s="28"/>
      <c r="D91" s="29"/>
      <c r="E91" s="30"/>
      <c r="F91" s="31"/>
    </row>
    <row r="92" spans="1:6" s="34" customFormat="1" ht="81">
      <c r="A92" s="32"/>
      <c r="B92" s="33" t="s">
        <v>71</v>
      </c>
      <c r="C92" s="28" t="s">
        <v>49</v>
      </c>
      <c r="D92" s="29">
        <f>[1]TOS!R918*1.05</f>
        <v>237.3</v>
      </c>
      <c r="E92" s="30"/>
      <c r="F92" s="31">
        <f t="shared" ref="F92" si="6">E92*D92</f>
        <v>0</v>
      </c>
    </row>
    <row r="93" spans="1:6" s="34" customFormat="1">
      <c r="A93" s="32"/>
      <c r="B93" s="33" t="s">
        <v>61</v>
      </c>
      <c r="C93" s="28"/>
      <c r="D93" s="29"/>
      <c r="E93" s="30"/>
      <c r="F93" s="31"/>
    </row>
    <row r="94" spans="1:6" s="34" customFormat="1">
      <c r="A94" s="32"/>
      <c r="B94" s="33"/>
      <c r="C94" s="28"/>
      <c r="D94" s="29"/>
      <c r="E94" s="30"/>
      <c r="F94" s="31"/>
    </row>
    <row r="95" spans="1:6">
      <c r="A95" s="32"/>
      <c r="B95" s="33" t="s">
        <v>70</v>
      </c>
      <c r="C95" s="28"/>
      <c r="D95" s="29"/>
      <c r="E95" s="30"/>
      <c r="F95" s="31"/>
    </row>
    <row r="96" spans="1:6" s="34" customFormat="1">
      <c r="A96" s="32"/>
      <c r="B96" s="33"/>
      <c r="C96" s="28"/>
      <c r="D96" s="29"/>
      <c r="E96" s="30"/>
      <c r="F96" s="31"/>
    </row>
    <row r="97" spans="1:6" s="34" customFormat="1" ht="121.5">
      <c r="A97" s="42">
        <f>A91+0.01</f>
        <v>3.0399999999999991</v>
      </c>
      <c r="B97" s="27" t="s">
        <v>72</v>
      </c>
      <c r="C97" s="28" t="s">
        <v>12</v>
      </c>
      <c r="D97" s="29">
        <f>[1]TOS!R956*1.05</f>
        <v>658.35</v>
      </c>
      <c r="E97" s="30"/>
      <c r="F97" s="31">
        <f t="shared" ref="F97" si="7">E97*D97</f>
        <v>0</v>
      </c>
    </row>
    <row r="98" spans="1:6" s="34" customFormat="1" ht="27">
      <c r="A98" s="32"/>
      <c r="B98" s="33" t="s">
        <v>73</v>
      </c>
      <c r="C98" s="28"/>
      <c r="D98" s="29"/>
      <c r="E98" s="30"/>
      <c r="F98" s="31"/>
    </row>
    <row r="99" spans="1:6" s="34" customFormat="1">
      <c r="A99" s="26"/>
      <c r="B99" s="33"/>
      <c r="C99" s="28"/>
      <c r="D99" s="29"/>
      <c r="E99" s="30"/>
      <c r="F99" s="31"/>
    </row>
    <row r="100" spans="1:6" s="34" customFormat="1" ht="135">
      <c r="A100" s="42">
        <f>A97+0.01</f>
        <v>3.0499999999999989</v>
      </c>
      <c r="B100" s="27" t="s">
        <v>74</v>
      </c>
      <c r="C100" s="28" t="s">
        <v>12</v>
      </c>
      <c r="D100" s="29">
        <f>[1]TOS!R1079*1.05</f>
        <v>884.1</v>
      </c>
      <c r="E100" s="30"/>
      <c r="F100" s="31">
        <f t="shared" ref="F100" si="8">E100*D100</f>
        <v>0</v>
      </c>
    </row>
    <row r="101" spans="1:6" s="34" customFormat="1">
      <c r="A101" s="32"/>
      <c r="B101" s="33" t="s">
        <v>75</v>
      </c>
      <c r="C101" s="28"/>
      <c r="D101" s="29"/>
      <c r="E101" s="30"/>
      <c r="F101" s="31"/>
    </row>
    <row r="102" spans="1:6" s="34" customFormat="1">
      <c r="A102" s="32"/>
      <c r="B102" s="62"/>
      <c r="C102" s="28"/>
      <c r="D102" s="29"/>
      <c r="E102" s="47"/>
      <c r="F102" s="45"/>
    </row>
    <row r="103" spans="1:6" s="34" customFormat="1" ht="94.5">
      <c r="A103" s="42">
        <f>A100+0.01</f>
        <v>3.0599999999999987</v>
      </c>
      <c r="B103" s="44" t="s">
        <v>76</v>
      </c>
      <c r="C103" s="28"/>
      <c r="D103" s="29"/>
      <c r="E103" s="47"/>
      <c r="F103" s="61"/>
    </row>
    <row r="104" spans="1:6" s="34" customFormat="1" ht="67.5">
      <c r="A104" s="32"/>
      <c r="B104" s="63" t="s">
        <v>77</v>
      </c>
      <c r="C104" s="28" t="s">
        <v>49</v>
      </c>
      <c r="D104" s="29">
        <f>[1]TOS!R1623*1.05</f>
        <v>68.25</v>
      </c>
      <c r="E104" s="47"/>
      <c r="F104" s="31">
        <f t="shared" ref="F104" si="9">E104*D104</f>
        <v>0</v>
      </c>
    </row>
    <row r="105" spans="1:6" s="34" customFormat="1">
      <c r="A105" s="32"/>
      <c r="B105" s="33" t="s">
        <v>61</v>
      </c>
      <c r="C105" s="28"/>
      <c r="D105" s="29"/>
      <c r="E105" s="30"/>
      <c r="F105" s="31"/>
    </row>
    <row r="106" spans="1:6" s="34" customFormat="1">
      <c r="A106" s="32"/>
      <c r="B106" s="33"/>
      <c r="C106" s="28"/>
      <c r="D106" s="29"/>
      <c r="E106" s="30"/>
      <c r="F106" s="31"/>
    </row>
    <row r="107" spans="1:6" s="34" customFormat="1" ht="81">
      <c r="A107" s="64">
        <f>A103+0.01</f>
        <v>3.0699999999999985</v>
      </c>
      <c r="B107" s="65" t="s">
        <v>78</v>
      </c>
      <c r="C107" s="28"/>
      <c r="D107" s="29"/>
      <c r="E107" s="47"/>
      <c r="F107" s="61"/>
    </row>
    <row r="108" spans="1:6" s="34" customFormat="1" ht="54">
      <c r="A108" s="32"/>
      <c r="B108" s="63" t="s">
        <v>79</v>
      </c>
      <c r="C108" s="28" t="s">
        <v>49</v>
      </c>
      <c r="D108" s="29">
        <f>[1]TOS!R1649*1.05</f>
        <v>17.850000000000001</v>
      </c>
      <c r="E108" s="47"/>
      <c r="F108" s="31">
        <f t="shared" ref="F108" si="10">E108*D108</f>
        <v>0</v>
      </c>
    </row>
    <row r="109" spans="1:6" s="34" customFormat="1">
      <c r="A109" s="32"/>
      <c r="B109" s="33" t="s">
        <v>61</v>
      </c>
      <c r="C109" s="28"/>
      <c r="D109" s="29"/>
      <c r="E109" s="30"/>
      <c r="F109" s="31"/>
    </row>
    <row r="110" spans="1:6" s="34" customFormat="1">
      <c r="A110" s="32"/>
      <c r="B110" s="33"/>
      <c r="C110" s="28"/>
      <c r="D110" s="29"/>
      <c r="E110" s="30"/>
      <c r="F110" s="31"/>
    </row>
    <row r="111" spans="1:6" s="34" customFormat="1" ht="148.5">
      <c r="A111" s="64">
        <v>3.08</v>
      </c>
      <c r="B111" s="44" t="s">
        <v>80</v>
      </c>
      <c r="C111" s="28" t="s">
        <v>49</v>
      </c>
      <c r="D111" s="29">
        <f>ROUND(([1]TOS!R1659*1.05),0)</f>
        <v>142</v>
      </c>
      <c r="E111" s="47"/>
      <c r="F111" s="31">
        <f t="shared" ref="F111" si="11">E111*D111</f>
        <v>0</v>
      </c>
    </row>
    <row r="112" spans="1:6" s="34" customFormat="1">
      <c r="A112" s="32"/>
      <c r="B112" s="33"/>
      <c r="C112" s="28"/>
      <c r="D112" s="29"/>
      <c r="E112" s="30"/>
      <c r="F112" s="31"/>
    </row>
    <row r="113" spans="1:6" s="34" customFormat="1">
      <c r="A113" s="64">
        <v>3.09</v>
      </c>
      <c r="B113" s="33" t="s">
        <v>81</v>
      </c>
      <c r="C113" s="28"/>
      <c r="D113" s="29"/>
      <c r="E113" s="30"/>
      <c r="F113" s="31"/>
    </row>
    <row r="114" spans="1:6" s="34" customFormat="1" ht="148.5">
      <c r="A114" s="66" t="s">
        <v>82</v>
      </c>
      <c r="B114" s="33" t="s">
        <v>83</v>
      </c>
      <c r="C114" s="28"/>
      <c r="D114" s="29"/>
      <c r="E114" s="30"/>
      <c r="F114" s="31">
        <f t="shared" ref="F114" si="12">E114*D114</f>
        <v>0</v>
      </c>
    </row>
    <row r="115" spans="1:6" s="34" customFormat="1">
      <c r="A115" s="64" t="s">
        <v>84</v>
      </c>
      <c r="B115" s="33" t="s">
        <v>85</v>
      </c>
      <c r="C115" s="28" t="s">
        <v>49</v>
      </c>
      <c r="D115" s="29" t="s">
        <v>15</v>
      </c>
      <c r="E115" s="30">
        <v>0</v>
      </c>
      <c r="F115" s="31">
        <v>0</v>
      </c>
    </row>
    <row r="116" spans="1:6" s="34" customFormat="1">
      <c r="A116" s="64"/>
      <c r="B116" s="33"/>
      <c r="C116" s="28"/>
      <c r="D116" s="29"/>
      <c r="E116" s="30"/>
      <c r="F116" s="31"/>
    </row>
    <row r="117" spans="1:6" s="34" customFormat="1">
      <c r="A117" s="64"/>
      <c r="B117" s="33"/>
      <c r="C117" s="28"/>
      <c r="D117" s="29"/>
      <c r="E117" s="30"/>
      <c r="F117" s="31"/>
    </row>
    <row r="118" spans="1:6" s="34" customFormat="1">
      <c r="A118" s="32">
        <v>4</v>
      </c>
      <c r="B118" s="33" t="s">
        <v>86</v>
      </c>
      <c r="C118" s="28"/>
      <c r="D118" s="29"/>
      <c r="E118" s="30"/>
      <c r="F118" s="31"/>
    </row>
    <row r="119" spans="1:6" s="34" customFormat="1" ht="94.5">
      <c r="A119" s="32">
        <v>4.01</v>
      </c>
      <c r="B119" s="44" t="s">
        <v>87</v>
      </c>
      <c r="C119" s="46"/>
      <c r="D119" s="29"/>
      <c r="E119" s="30"/>
      <c r="F119" s="61"/>
    </row>
    <row r="120" spans="1:6" s="34" customFormat="1" ht="94.5">
      <c r="A120" s="32" t="s">
        <v>88</v>
      </c>
      <c r="B120" s="48" t="s">
        <v>455</v>
      </c>
      <c r="C120" s="49" t="s">
        <v>12</v>
      </c>
      <c r="D120" s="29">
        <f>[1]TOS!R1707*1.05</f>
        <v>24.150000000000002</v>
      </c>
      <c r="E120" s="30"/>
      <c r="F120" s="31">
        <f t="shared" ref="F120" si="13">E120*D120</f>
        <v>0</v>
      </c>
    </row>
    <row r="121" spans="1:6" s="34" customFormat="1" ht="94.5">
      <c r="A121" s="32" t="s">
        <v>89</v>
      </c>
      <c r="B121" s="48" t="s">
        <v>90</v>
      </c>
      <c r="C121" s="49" t="s">
        <v>12</v>
      </c>
      <c r="D121" s="29" t="s">
        <v>15</v>
      </c>
      <c r="E121" s="30">
        <v>0</v>
      </c>
      <c r="F121" s="31">
        <v>0</v>
      </c>
    </row>
    <row r="122" spans="1:6" s="34" customFormat="1" ht="94.5">
      <c r="A122" s="67" t="s">
        <v>91</v>
      </c>
      <c r="B122" s="48" t="s">
        <v>456</v>
      </c>
      <c r="C122" s="49" t="s">
        <v>12</v>
      </c>
      <c r="D122" s="68">
        <f>[1]TOS!R1714*1.05</f>
        <v>200.55</v>
      </c>
      <c r="E122" s="30"/>
      <c r="F122" s="31">
        <f t="shared" ref="F122:F123" si="14">E122*D122</f>
        <v>0</v>
      </c>
    </row>
    <row r="123" spans="1:6" s="34" customFormat="1" ht="94.5">
      <c r="A123" s="32" t="s">
        <v>92</v>
      </c>
      <c r="B123" s="48" t="s">
        <v>457</v>
      </c>
      <c r="C123" s="49" t="s">
        <v>12</v>
      </c>
      <c r="D123" s="30">
        <f>[1]TOS!R1730*1.05</f>
        <v>13.65</v>
      </c>
      <c r="E123" s="30"/>
      <c r="F123" s="31">
        <f t="shared" si="14"/>
        <v>0</v>
      </c>
    </row>
    <row r="124" spans="1:6" s="34" customFormat="1">
      <c r="A124" s="32"/>
      <c r="B124" s="33" t="s">
        <v>93</v>
      </c>
      <c r="C124" s="28"/>
      <c r="D124" s="29"/>
      <c r="E124" s="30"/>
      <c r="F124" s="31"/>
    </row>
    <row r="125" spans="1:6" s="34" customFormat="1" ht="135">
      <c r="A125" s="32" t="s">
        <v>94</v>
      </c>
      <c r="B125" s="33" t="s">
        <v>458</v>
      </c>
      <c r="C125" s="49" t="s">
        <v>12</v>
      </c>
      <c r="D125" s="29">
        <f>[1]TOS!R2298*1.05</f>
        <v>338.1</v>
      </c>
      <c r="E125" s="30"/>
      <c r="F125" s="31">
        <f t="shared" ref="F125" si="15">E125*D125</f>
        <v>0</v>
      </c>
    </row>
    <row r="126" spans="1:6" s="34" customFormat="1">
      <c r="A126" s="32">
        <v>4.03</v>
      </c>
      <c r="B126" s="33" t="s">
        <v>95</v>
      </c>
      <c r="C126" s="46"/>
      <c r="D126" s="43"/>
      <c r="E126" s="47"/>
      <c r="F126" s="45"/>
    </row>
    <row r="127" spans="1:6" s="34" customFormat="1" ht="94.5">
      <c r="A127" s="32" t="s">
        <v>96</v>
      </c>
      <c r="B127" s="44" t="s">
        <v>97</v>
      </c>
      <c r="C127" s="46" t="s">
        <v>49</v>
      </c>
      <c r="D127" s="43" t="s">
        <v>15</v>
      </c>
      <c r="E127" s="30">
        <v>0</v>
      </c>
      <c r="F127" s="31">
        <v>0</v>
      </c>
    </row>
    <row r="128" spans="1:6" s="34" customFormat="1">
      <c r="A128" s="32"/>
      <c r="B128" s="44"/>
      <c r="C128" s="46"/>
      <c r="D128" s="43"/>
      <c r="E128" s="47"/>
      <c r="F128" s="45"/>
    </row>
    <row r="129" spans="1:6" s="34" customFormat="1" ht="81">
      <c r="A129" s="32" t="s">
        <v>98</v>
      </c>
      <c r="B129" s="44" t="s">
        <v>99</v>
      </c>
      <c r="C129" s="46" t="s">
        <v>49</v>
      </c>
      <c r="D129" s="43">
        <f>[1]TOS!R1762*1.05</f>
        <v>2.1</v>
      </c>
      <c r="E129" s="47"/>
      <c r="F129" s="31">
        <f t="shared" ref="F129" si="16">E129*D129</f>
        <v>0</v>
      </c>
    </row>
    <row r="130" spans="1:6" s="34" customFormat="1">
      <c r="A130" s="32"/>
      <c r="B130" s="44"/>
      <c r="C130" s="46"/>
      <c r="D130" s="43"/>
      <c r="E130" s="47"/>
      <c r="F130" s="45"/>
    </row>
    <row r="131" spans="1:6" s="34" customFormat="1" ht="81">
      <c r="A131" s="32" t="s">
        <v>100</v>
      </c>
      <c r="B131" s="44" t="s">
        <v>101</v>
      </c>
      <c r="C131" s="46" t="s">
        <v>49</v>
      </c>
      <c r="D131" s="43">
        <f>[1]TOS!R1735*1.05</f>
        <v>30.450000000000003</v>
      </c>
      <c r="E131" s="47"/>
      <c r="F131" s="31">
        <f t="shared" ref="F131" si="17">E131*D131</f>
        <v>0</v>
      </c>
    </row>
    <row r="132" spans="1:6" s="34" customFormat="1">
      <c r="A132" s="32"/>
      <c r="B132" s="44"/>
      <c r="C132" s="46"/>
      <c r="D132" s="29"/>
      <c r="E132" s="47"/>
      <c r="F132" s="31"/>
    </row>
    <row r="133" spans="1:6" s="34" customFormat="1" ht="67.5">
      <c r="A133" s="67" t="s">
        <v>102</v>
      </c>
      <c r="B133" s="27" t="s">
        <v>103</v>
      </c>
      <c r="C133" s="28" t="s">
        <v>49</v>
      </c>
      <c r="D133" s="43">
        <f>[1]TOS!R1767*1.05</f>
        <v>28.35</v>
      </c>
      <c r="E133" s="47"/>
      <c r="F133" s="31">
        <f t="shared" ref="F133" si="18">E133*D133</f>
        <v>0</v>
      </c>
    </row>
    <row r="134" spans="1:6" s="34" customFormat="1">
      <c r="A134" s="32"/>
      <c r="B134" s="33" t="s">
        <v>61</v>
      </c>
      <c r="C134" s="28"/>
      <c r="D134" s="43"/>
      <c r="E134" s="47"/>
      <c r="F134" s="45"/>
    </row>
    <row r="135" spans="1:6" s="34" customFormat="1">
      <c r="A135" s="32"/>
      <c r="B135" s="33"/>
      <c r="C135" s="28"/>
      <c r="D135" s="43"/>
      <c r="E135" s="47"/>
      <c r="F135" s="45"/>
    </row>
    <row r="136" spans="1:6" s="34" customFormat="1">
      <c r="A136" s="26"/>
      <c r="B136" s="44"/>
      <c r="C136" s="28"/>
      <c r="D136" s="29"/>
      <c r="E136" s="30"/>
      <c r="F136" s="31"/>
    </row>
    <row r="137" spans="1:6" s="34" customFormat="1">
      <c r="A137" s="32"/>
      <c r="B137" s="33"/>
      <c r="C137" s="46"/>
      <c r="D137" s="43"/>
      <c r="E137" s="47"/>
      <c r="F137" s="45"/>
    </row>
    <row r="138" spans="1:6" s="34" customFormat="1">
      <c r="A138" s="26">
        <v>5</v>
      </c>
      <c r="B138" s="33" t="s">
        <v>104</v>
      </c>
      <c r="C138" s="28"/>
      <c r="D138" s="29"/>
      <c r="E138" s="30"/>
      <c r="F138" s="31"/>
    </row>
    <row r="139" spans="1:6" s="34" customFormat="1" ht="121.5">
      <c r="A139" s="32">
        <v>5.01</v>
      </c>
      <c r="B139" s="44" t="s">
        <v>105</v>
      </c>
      <c r="C139" s="46"/>
      <c r="D139" s="43"/>
      <c r="E139" s="47"/>
      <c r="F139" s="31"/>
    </row>
    <row r="140" spans="1:6" ht="40.5">
      <c r="A140" s="26"/>
      <c r="B140" s="33" t="s">
        <v>106</v>
      </c>
      <c r="C140" s="46" t="s">
        <v>12</v>
      </c>
      <c r="D140" s="29">
        <f>[1]TOS!R1773*1.05</f>
        <v>263.55</v>
      </c>
      <c r="E140" s="30"/>
      <c r="F140" s="31">
        <f t="shared" ref="F140" si="19">E140*D140</f>
        <v>0</v>
      </c>
    </row>
    <row r="141" spans="1:6" s="34" customFormat="1" ht="27">
      <c r="A141" s="32"/>
      <c r="B141" s="33" t="s">
        <v>107</v>
      </c>
      <c r="C141" s="28"/>
      <c r="D141" s="29"/>
      <c r="E141" s="30"/>
      <c r="F141" s="31"/>
    </row>
    <row r="142" spans="1:6" s="34" customFormat="1">
      <c r="A142" s="32"/>
      <c r="B142" s="33"/>
      <c r="C142" s="28"/>
      <c r="D142" s="29"/>
      <c r="E142" s="30"/>
      <c r="F142" s="31"/>
    </row>
    <row r="143" spans="1:6" s="34" customFormat="1" ht="121.5">
      <c r="A143" s="32" t="s">
        <v>108</v>
      </c>
      <c r="B143" s="44" t="s">
        <v>109</v>
      </c>
      <c r="C143" s="46"/>
      <c r="D143" s="43"/>
      <c r="E143" s="47"/>
      <c r="F143" s="31"/>
    </row>
    <row r="144" spans="1:6" ht="40.5">
      <c r="A144" s="26"/>
      <c r="B144" s="33" t="s">
        <v>110</v>
      </c>
      <c r="C144" s="46" t="s">
        <v>12</v>
      </c>
      <c r="D144" s="29">
        <f>[1]TOS!R1808*1.05</f>
        <v>106.05000000000001</v>
      </c>
      <c r="E144" s="30"/>
      <c r="F144" s="31">
        <f t="shared" ref="F144" si="20">E144*D144</f>
        <v>0</v>
      </c>
    </row>
    <row r="145" spans="1:6" s="34" customFormat="1" ht="27">
      <c r="A145" s="32"/>
      <c r="B145" s="33" t="s">
        <v>107</v>
      </c>
      <c r="C145" s="28"/>
      <c r="D145" s="29"/>
      <c r="E145" s="30"/>
      <c r="F145" s="31"/>
    </row>
    <row r="146" spans="1:6" s="34" customFormat="1">
      <c r="A146" s="32"/>
      <c r="B146" s="33"/>
      <c r="C146" s="46"/>
      <c r="D146" s="43"/>
      <c r="E146" s="47"/>
      <c r="F146" s="45"/>
    </row>
    <row r="147" spans="1:6" ht="135">
      <c r="A147" s="32">
        <f>A139+0.01</f>
        <v>5.0199999999999996</v>
      </c>
      <c r="B147" s="44" t="s">
        <v>111</v>
      </c>
      <c r="C147" s="46"/>
      <c r="D147" s="29"/>
      <c r="E147" s="30"/>
      <c r="F147" s="31"/>
    </row>
    <row r="148" spans="1:6" s="34" customFormat="1" ht="40.5">
      <c r="A148" s="32"/>
      <c r="B148" s="33" t="s">
        <v>112</v>
      </c>
      <c r="C148" s="46" t="s">
        <v>12</v>
      </c>
      <c r="D148" s="29">
        <f>[1]TOS!R1825*1.05</f>
        <v>98.7</v>
      </c>
      <c r="E148" s="47"/>
      <c r="F148" s="31">
        <f t="shared" ref="F148" si="21">E148*D148</f>
        <v>0</v>
      </c>
    </row>
    <row r="149" spans="1:6" s="34" customFormat="1" ht="27">
      <c r="A149" s="32"/>
      <c r="B149" s="33" t="s">
        <v>113</v>
      </c>
      <c r="C149" s="28"/>
      <c r="D149" s="29"/>
      <c r="E149" s="30"/>
      <c r="F149" s="31"/>
    </row>
    <row r="150" spans="1:6">
      <c r="A150" s="32"/>
      <c r="B150" s="33"/>
      <c r="C150" s="28"/>
      <c r="D150" s="29"/>
      <c r="E150" s="30"/>
      <c r="F150" s="31"/>
    </row>
    <row r="151" spans="1:6" s="34" customFormat="1" ht="54">
      <c r="A151" s="26">
        <f>A147+0.01</f>
        <v>5.0299999999999994</v>
      </c>
      <c r="B151" s="27" t="s">
        <v>114</v>
      </c>
      <c r="C151" s="28"/>
      <c r="D151" s="29"/>
      <c r="E151" s="30"/>
      <c r="F151" s="45"/>
    </row>
    <row r="152" spans="1:6" s="34" customFormat="1" ht="40.5">
      <c r="A152" s="32"/>
      <c r="B152" s="33" t="s">
        <v>115</v>
      </c>
      <c r="C152" s="28" t="s">
        <v>12</v>
      </c>
      <c r="D152" s="29">
        <f>[1]TOS!R1862*1.05</f>
        <v>1067.8500000000001</v>
      </c>
      <c r="E152" s="47"/>
      <c r="F152" s="31">
        <f t="shared" ref="F152" si="22">E152*D152</f>
        <v>0</v>
      </c>
    </row>
    <row r="153" spans="1:6" ht="27">
      <c r="A153" s="32"/>
      <c r="B153" s="33" t="s">
        <v>116</v>
      </c>
      <c r="C153" s="28"/>
      <c r="D153" s="29"/>
      <c r="E153" s="30"/>
      <c r="F153" s="31"/>
    </row>
    <row r="154" spans="1:6">
      <c r="A154" s="32"/>
      <c r="B154" s="33"/>
      <c r="C154" s="28"/>
      <c r="D154" s="29"/>
      <c r="E154" s="30"/>
      <c r="F154" s="31"/>
    </row>
    <row r="155" spans="1:6" ht="202.5">
      <c r="A155" s="26">
        <f>A151+0.01</f>
        <v>5.0399999999999991</v>
      </c>
      <c r="B155" s="44" t="s">
        <v>117</v>
      </c>
      <c r="C155" s="28" t="s">
        <v>12</v>
      </c>
      <c r="D155" s="29">
        <f>[1]TOS!R1872*1.05</f>
        <v>100.80000000000001</v>
      </c>
      <c r="E155" s="30"/>
      <c r="F155" s="31">
        <f t="shared" ref="F155" si="23">E155*D155</f>
        <v>0</v>
      </c>
    </row>
    <row r="156" spans="1:6" ht="40.5">
      <c r="A156" s="32"/>
      <c r="B156" s="33" t="s">
        <v>118</v>
      </c>
      <c r="C156" s="28"/>
      <c r="D156" s="29"/>
      <c r="E156" s="30"/>
      <c r="F156" s="31"/>
    </row>
    <row r="157" spans="1:6" ht="27">
      <c r="A157" s="32"/>
      <c r="B157" s="33" t="s">
        <v>116</v>
      </c>
      <c r="C157" s="28"/>
      <c r="D157" s="29"/>
      <c r="E157" s="30"/>
      <c r="F157" s="31"/>
    </row>
    <row r="158" spans="1:6">
      <c r="A158" s="32"/>
      <c r="B158" s="33"/>
      <c r="C158" s="28"/>
      <c r="D158" s="29"/>
      <c r="E158" s="30"/>
      <c r="F158" s="31"/>
    </row>
    <row r="159" spans="1:6" s="34" customFormat="1">
      <c r="A159" s="32"/>
      <c r="B159" s="33"/>
      <c r="C159" s="28"/>
      <c r="D159" s="29"/>
      <c r="E159" s="30"/>
      <c r="F159" s="31"/>
    </row>
    <row r="160" spans="1:6" s="34" customFormat="1">
      <c r="A160" s="32">
        <v>6</v>
      </c>
      <c r="B160" s="69" t="s">
        <v>119</v>
      </c>
      <c r="C160" s="70"/>
      <c r="D160" s="43"/>
      <c r="E160" s="47"/>
      <c r="F160" s="71"/>
    </row>
    <row r="161" spans="1:6" ht="81">
      <c r="A161" s="26">
        <v>6.01</v>
      </c>
      <c r="B161" s="27" t="s">
        <v>120</v>
      </c>
      <c r="C161" s="28" t="s">
        <v>12</v>
      </c>
      <c r="D161" s="29">
        <f>[1]TOS!R1881*1.05</f>
        <v>413.70000000000005</v>
      </c>
      <c r="E161" s="30"/>
      <c r="F161" s="31">
        <f t="shared" ref="F161" si="24">E161*D161</f>
        <v>0</v>
      </c>
    </row>
    <row r="162" spans="1:6" s="34" customFormat="1" ht="67.5">
      <c r="A162" s="26"/>
      <c r="B162" s="33" t="s">
        <v>121</v>
      </c>
      <c r="C162" s="28"/>
      <c r="D162" s="29"/>
      <c r="E162" s="30"/>
      <c r="F162" s="31"/>
    </row>
    <row r="163" spans="1:6" s="34" customFormat="1">
      <c r="A163" s="32"/>
      <c r="B163" s="33" t="s">
        <v>122</v>
      </c>
      <c r="C163" s="28"/>
      <c r="D163" s="29"/>
      <c r="E163" s="30"/>
      <c r="F163" s="31"/>
    </row>
    <row r="164" spans="1:6" s="34" customFormat="1">
      <c r="A164" s="32"/>
      <c r="B164" s="33"/>
      <c r="C164" s="28"/>
      <c r="D164" s="29"/>
      <c r="E164" s="30"/>
      <c r="F164" s="31"/>
    </row>
    <row r="165" spans="1:6" ht="67.5">
      <c r="A165" s="26">
        <f>A161+0.01</f>
        <v>6.02</v>
      </c>
      <c r="B165" s="27" t="s">
        <v>123</v>
      </c>
      <c r="C165" s="28"/>
      <c r="D165" s="29"/>
      <c r="E165" s="30"/>
      <c r="F165" s="31"/>
    </row>
    <row r="166" spans="1:6" s="34" customFormat="1" ht="67.5">
      <c r="A166" s="26"/>
      <c r="B166" s="33" t="s">
        <v>121</v>
      </c>
      <c r="C166" s="28" t="s">
        <v>12</v>
      </c>
      <c r="D166" s="29">
        <v>100</v>
      </c>
      <c r="E166" s="30"/>
      <c r="F166" s="31">
        <f t="shared" ref="F166" si="25">E166*D166</f>
        <v>0</v>
      </c>
    </row>
    <row r="167" spans="1:6" s="34" customFormat="1">
      <c r="A167" s="32"/>
      <c r="B167" s="33" t="s">
        <v>122</v>
      </c>
      <c r="C167" s="28"/>
      <c r="D167" s="29"/>
      <c r="E167" s="30"/>
      <c r="F167" s="31"/>
    </row>
    <row r="168" spans="1:6" s="34" customFormat="1">
      <c r="A168" s="32"/>
      <c r="B168" s="33"/>
      <c r="C168" s="28"/>
      <c r="D168" s="29"/>
      <c r="E168" s="30"/>
      <c r="F168" s="31"/>
    </row>
    <row r="169" spans="1:6" s="34" customFormat="1" ht="297">
      <c r="A169" s="26">
        <f>A165+0.01</f>
        <v>6.0299999999999994</v>
      </c>
      <c r="B169" s="27" t="s">
        <v>124</v>
      </c>
      <c r="C169" s="28" t="s">
        <v>12</v>
      </c>
      <c r="D169" s="29">
        <f>[1]TOS!R1889*1.05/2</f>
        <v>352.27500000000003</v>
      </c>
      <c r="E169" s="30"/>
      <c r="F169" s="31">
        <f t="shared" ref="F169" si="26">E169*D169</f>
        <v>0</v>
      </c>
    </row>
    <row r="170" spans="1:6">
      <c r="A170" s="32"/>
      <c r="B170" s="33" t="s">
        <v>125</v>
      </c>
      <c r="C170" s="28"/>
      <c r="D170" s="29"/>
      <c r="E170" s="30"/>
      <c r="F170" s="31"/>
    </row>
    <row r="171" spans="1:6">
      <c r="A171" s="32"/>
      <c r="B171" s="33"/>
      <c r="C171" s="28"/>
      <c r="D171" s="29"/>
      <c r="E171" s="30"/>
      <c r="F171" s="31"/>
    </row>
    <row r="172" spans="1:6" ht="337.5">
      <c r="A172" s="32"/>
      <c r="B172" s="60" t="s">
        <v>126</v>
      </c>
      <c r="C172" s="28" t="s">
        <v>12</v>
      </c>
      <c r="D172" s="29">
        <f>[1]TOS!R1889*1.05/2</f>
        <v>352.27500000000003</v>
      </c>
      <c r="E172" s="30"/>
      <c r="F172" s="31">
        <f t="shared" ref="F172" si="27">E172*D172</f>
        <v>0</v>
      </c>
    </row>
    <row r="173" spans="1:6">
      <c r="A173" s="32"/>
      <c r="B173" s="33" t="s">
        <v>125</v>
      </c>
      <c r="C173" s="28"/>
      <c r="D173" s="29"/>
      <c r="E173" s="30"/>
      <c r="F173" s="31"/>
    </row>
    <row r="174" spans="1:6" s="34" customFormat="1">
      <c r="A174" s="32"/>
      <c r="B174" s="33"/>
      <c r="C174" s="28"/>
      <c r="D174" s="29"/>
      <c r="E174" s="30"/>
      <c r="F174" s="31"/>
    </row>
    <row r="175" spans="1:6" s="34" customFormat="1" ht="94.5">
      <c r="A175" s="26">
        <f>A169+0.01</f>
        <v>6.0399999999999991</v>
      </c>
      <c r="B175" s="27" t="s">
        <v>127</v>
      </c>
      <c r="C175" s="28" t="s">
        <v>12</v>
      </c>
      <c r="D175" s="29">
        <f>[1]TOS!R1914*1.05</f>
        <v>655.20000000000005</v>
      </c>
      <c r="E175" s="30"/>
      <c r="F175" s="31">
        <f t="shared" ref="F175" si="28">E175*D175</f>
        <v>0</v>
      </c>
    </row>
    <row r="176" spans="1:6" s="34" customFormat="1">
      <c r="A176" s="32"/>
      <c r="B176" s="33" t="s">
        <v>128</v>
      </c>
      <c r="C176" s="28"/>
      <c r="D176" s="29"/>
      <c r="E176" s="30"/>
      <c r="F176" s="31"/>
    </row>
    <row r="177" spans="1:6" s="34" customFormat="1">
      <c r="A177" s="26"/>
      <c r="B177" s="33"/>
      <c r="C177" s="28"/>
      <c r="D177" s="29"/>
      <c r="E177" s="30"/>
      <c r="F177" s="31"/>
    </row>
    <row r="178" spans="1:6" ht="81">
      <c r="A178" s="26">
        <f>A175+0.01</f>
        <v>6.0499999999999989</v>
      </c>
      <c r="B178" s="27" t="s">
        <v>129</v>
      </c>
      <c r="C178" s="28" t="s">
        <v>49</v>
      </c>
      <c r="D178" s="29" t="s">
        <v>15</v>
      </c>
      <c r="E178" s="30">
        <v>0</v>
      </c>
      <c r="F178" s="31">
        <v>0</v>
      </c>
    </row>
    <row r="179" spans="1:6" s="34" customFormat="1" ht="40.5">
      <c r="A179" s="26"/>
      <c r="B179" s="33" t="s">
        <v>130</v>
      </c>
      <c r="C179" s="28"/>
      <c r="D179" s="29"/>
      <c r="E179" s="30"/>
      <c r="F179" s="45"/>
    </row>
    <row r="180" spans="1:6" s="34" customFormat="1">
      <c r="A180" s="32"/>
      <c r="B180" s="33" t="s">
        <v>61</v>
      </c>
      <c r="C180" s="28"/>
      <c r="D180" s="29"/>
      <c r="E180" s="30"/>
      <c r="F180" s="31"/>
    </row>
    <row r="181" spans="1:6">
      <c r="A181" s="26"/>
      <c r="B181" s="44"/>
      <c r="C181" s="28"/>
      <c r="D181" s="29"/>
      <c r="E181" s="30"/>
      <c r="F181" s="45"/>
    </row>
    <row r="182" spans="1:6" s="34" customFormat="1" ht="67.5">
      <c r="A182" s="26">
        <f>A178+0.01</f>
        <v>6.0599999999999987</v>
      </c>
      <c r="B182" s="27" t="s">
        <v>131</v>
      </c>
      <c r="C182" s="28"/>
      <c r="D182" s="29"/>
      <c r="E182" s="47"/>
      <c r="F182" s="45"/>
    </row>
    <row r="183" spans="1:6" s="34" customFormat="1">
      <c r="A183" s="26" t="s">
        <v>132</v>
      </c>
      <c r="B183" s="62" t="s">
        <v>133</v>
      </c>
      <c r="C183" s="28" t="s">
        <v>134</v>
      </c>
      <c r="D183" s="29">
        <f>([1]TOS!R2033+[1]TOS!R2052+24)</f>
        <v>56</v>
      </c>
      <c r="E183" s="47"/>
      <c r="F183" s="31">
        <f t="shared" ref="F183:F186" si="29">E183*D183</f>
        <v>0</v>
      </c>
    </row>
    <row r="184" spans="1:6" s="34" customFormat="1">
      <c r="A184" s="26" t="s">
        <v>135</v>
      </c>
      <c r="B184" s="62" t="s">
        <v>136</v>
      </c>
      <c r="C184" s="28" t="s">
        <v>134</v>
      </c>
      <c r="D184" s="29">
        <f>4*4</f>
        <v>16</v>
      </c>
      <c r="E184" s="47"/>
      <c r="F184" s="31">
        <f t="shared" si="29"/>
        <v>0</v>
      </c>
    </row>
    <row r="185" spans="1:6" s="34" customFormat="1">
      <c r="A185" s="26" t="s">
        <v>137</v>
      </c>
      <c r="B185" s="62" t="s">
        <v>138</v>
      </c>
      <c r="C185" s="28" t="s">
        <v>134</v>
      </c>
      <c r="D185" s="29">
        <f>[1]TOS!R1958</f>
        <v>72</v>
      </c>
      <c r="E185" s="47"/>
      <c r="F185" s="31">
        <f t="shared" si="29"/>
        <v>0</v>
      </c>
    </row>
    <row r="186" spans="1:6" s="34" customFormat="1">
      <c r="A186" s="26" t="s">
        <v>139</v>
      </c>
      <c r="B186" s="62" t="s">
        <v>140</v>
      </c>
      <c r="C186" s="28" t="s">
        <v>134</v>
      </c>
      <c r="D186" s="29">
        <f>[1]TOS!R2071</f>
        <v>40</v>
      </c>
      <c r="E186" s="47"/>
      <c r="F186" s="31">
        <f t="shared" si="29"/>
        <v>0</v>
      </c>
    </row>
    <row r="187" spans="1:6" s="34" customFormat="1">
      <c r="A187" s="32"/>
      <c r="B187" s="33" t="s">
        <v>141</v>
      </c>
      <c r="C187" s="28"/>
      <c r="D187" s="29"/>
      <c r="E187" s="30"/>
      <c r="F187" s="31"/>
    </row>
    <row r="188" spans="1:6">
      <c r="A188" s="26"/>
      <c r="B188" s="44"/>
      <c r="C188" s="28"/>
      <c r="D188" s="29"/>
      <c r="E188" s="30"/>
      <c r="F188" s="45"/>
    </row>
    <row r="189" spans="1:6" s="34" customFormat="1" ht="81">
      <c r="A189" s="26">
        <f>A182+0.01</f>
        <v>6.0699999999999985</v>
      </c>
      <c r="B189" s="33" t="s">
        <v>142</v>
      </c>
      <c r="C189" s="28" t="s">
        <v>49</v>
      </c>
      <c r="D189" s="29">
        <f>[1]TOS!R2115*1.05</f>
        <v>9.4500000000000011</v>
      </c>
      <c r="E189" s="30"/>
      <c r="F189" s="31">
        <f t="shared" ref="F189" si="30">E189*D189</f>
        <v>0</v>
      </c>
    </row>
    <row r="190" spans="1:6" s="34" customFormat="1">
      <c r="A190" s="32"/>
      <c r="B190" s="33" t="s">
        <v>61</v>
      </c>
      <c r="C190" s="28"/>
      <c r="D190" s="29"/>
      <c r="E190" s="30"/>
      <c r="F190" s="31"/>
    </row>
    <row r="191" spans="1:6">
      <c r="A191" s="26"/>
      <c r="B191" s="44"/>
      <c r="C191" s="28"/>
      <c r="D191" s="29"/>
      <c r="E191" s="30"/>
      <c r="F191" s="31"/>
    </row>
    <row r="192" spans="1:6" ht="81">
      <c r="A192" s="26">
        <f>A189+0.01</f>
        <v>6.0799999999999983</v>
      </c>
      <c r="B192" s="33" t="s">
        <v>143</v>
      </c>
      <c r="C192" s="28" t="s">
        <v>49</v>
      </c>
      <c r="D192" s="29" t="s">
        <v>15</v>
      </c>
      <c r="E192" s="30">
        <v>0</v>
      </c>
      <c r="F192" s="31">
        <v>0</v>
      </c>
    </row>
    <row r="193" spans="1:6" s="34" customFormat="1" ht="27">
      <c r="A193" s="26"/>
      <c r="B193" s="33" t="s">
        <v>144</v>
      </c>
      <c r="C193" s="28"/>
      <c r="D193" s="29"/>
      <c r="E193" s="30"/>
      <c r="F193" s="31"/>
    </row>
    <row r="194" spans="1:6" s="34" customFormat="1">
      <c r="A194" s="32"/>
      <c r="B194" s="33" t="s">
        <v>61</v>
      </c>
      <c r="C194" s="28"/>
      <c r="D194" s="29"/>
      <c r="E194" s="30"/>
      <c r="F194" s="31"/>
    </row>
    <row r="195" spans="1:6">
      <c r="A195" s="26"/>
      <c r="B195" s="44"/>
      <c r="C195" s="28"/>
      <c r="D195" s="29"/>
      <c r="E195" s="30"/>
      <c r="F195" s="45"/>
    </row>
    <row r="196" spans="1:6" s="34" customFormat="1" ht="67.5">
      <c r="A196" s="26">
        <f>A192+0.01</f>
        <v>6.0899999999999981</v>
      </c>
      <c r="B196" s="33" t="s">
        <v>145</v>
      </c>
      <c r="C196" s="28" t="s">
        <v>49</v>
      </c>
      <c r="D196" s="29">
        <f>[1]TOS!R2129*1.05</f>
        <v>168</v>
      </c>
      <c r="E196" s="30"/>
      <c r="F196" s="31">
        <f t="shared" ref="F196" si="31">E196*D196</f>
        <v>0</v>
      </c>
    </row>
    <row r="197" spans="1:6" s="34" customFormat="1">
      <c r="A197" s="32"/>
      <c r="B197" s="33" t="s">
        <v>61</v>
      </c>
      <c r="C197" s="28"/>
      <c r="D197" s="29"/>
      <c r="E197" s="30"/>
      <c r="F197" s="31"/>
    </row>
    <row r="198" spans="1:6" s="34" customFormat="1">
      <c r="A198" s="26"/>
      <c r="B198" s="33"/>
      <c r="C198" s="28"/>
      <c r="D198" s="29"/>
      <c r="E198" s="30"/>
      <c r="F198" s="31"/>
    </row>
    <row r="199" spans="1:6" s="34" customFormat="1" ht="162">
      <c r="A199" s="42">
        <v>6.1</v>
      </c>
      <c r="B199" s="33" t="s">
        <v>146</v>
      </c>
      <c r="C199" s="28"/>
      <c r="D199" s="29"/>
      <c r="E199" s="72"/>
      <c r="F199" s="71"/>
    </row>
    <row r="200" spans="1:6" s="34" customFormat="1" ht="40.5">
      <c r="A200" s="32"/>
      <c r="B200" s="33" t="s">
        <v>112</v>
      </c>
      <c r="C200" s="46"/>
      <c r="D200" s="43"/>
      <c r="E200" s="47"/>
      <c r="F200" s="31"/>
    </row>
    <row r="201" spans="1:6" s="34" customFormat="1">
      <c r="A201" s="32"/>
      <c r="B201" s="44" t="s">
        <v>93</v>
      </c>
      <c r="C201" s="28"/>
      <c r="D201" s="29"/>
      <c r="E201" s="30"/>
      <c r="F201" s="31"/>
    </row>
    <row r="202" spans="1:6" s="34" customFormat="1">
      <c r="A202" s="32" t="s">
        <v>147</v>
      </c>
      <c r="B202" s="44" t="s">
        <v>148</v>
      </c>
      <c r="C202" s="46" t="s">
        <v>12</v>
      </c>
      <c r="D202" s="29">
        <f>[1]TOS!R2153*1.05</f>
        <v>30.450000000000003</v>
      </c>
      <c r="E202" s="30"/>
      <c r="F202" s="31">
        <f t="shared" ref="F202:F204" si="32">E202*D202</f>
        <v>0</v>
      </c>
    </row>
    <row r="203" spans="1:6" s="34" customFormat="1">
      <c r="A203" s="32" t="s">
        <v>149</v>
      </c>
      <c r="B203" s="44" t="s">
        <v>150</v>
      </c>
      <c r="C203" s="46" t="s">
        <v>12</v>
      </c>
      <c r="D203" s="29">
        <f>[1]TOS!R2167*1.05</f>
        <v>39.9</v>
      </c>
      <c r="E203" s="30"/>
      <c r="F203" s="31">
        <f t="shared" si="32"/>
        <v>0</v>
      </c>
    </row>
    <row r="204" spans="1:6" s="34" customFormat="1" ht="27">
      <c r="A204" s="32" t="s">
        <v>151</v>
      </c>
      <c r="B204" s="44" t="s">
        <v>152</v>
      </c>
      <c r="C204" s="46" t="s">
        <v>12</v>
      </c>
      <c r="D204" s="29">
        <f>[1]TOS!R2178*1.05</f>
        <v>36.75</v>
      </c>
      <c r="E204" s="30"/>
      <c r="F204" s="31">
        <f t="shared" si="32"/>
        <v>0</v>
      </c>
    </row>
    <row r="205" spans="1:6" s="34" customFormat="1">
      <c r="A205" s="32"/>
      <c r="B205" s="33"/>
      <c r="C205" s="28"/>
      <c r="D205" s="29"/>
      <c r="E205" s="30"/>
      <c r="F205" s="31"/>
    </row>
    <row r="206" spans="1:6" s="34" customFormat="1" ht="121.5">
      <c r="A206" s="42">
        <f>A199+0.01</f>
        <v>6.1099999999999994</v>
      </c>
      <c r="B206" s="33" t="s">
        <v>153</v>
      </c>
      <c r="C206" s="28"/>
      <c r="D206" s="29"/>
      <c r="E206" s="47"/>
      <c r="F206" s="61"/>
    </row>
    <row r="207" spans="1:6" s="34" customFormat="1" ht="54">
      <c r="A207" s="32"/>
      <c r="B207" s="33" t="s">
        <v>154</v>
      </c>
      <c r="C207" s="28" t="s">
        <v>12</v>
      </c>
      <c r="D207" s="29">
        <f>[1]TOS!R2186*1.1</f>
        <v>52.800000000000004</v>
      </c>
      <c r="E207" s="47"/>
      <c r="F207" s="31">
        <f t="shared" ref="F207" si="33">E207*D207</f>
        <v>0</v>
      </c>
    </row>
    <row r="208" spans="1:6" s="34" customFormat="1">
      <c r="A208" s="32"/>
      <c r="B208" s="33" t="s">
        <v>93</v>
      </c>
      <c r="C208" s="28"/>
      <c r="D208" s="29"/>
      <c r="E208" s="30"/>
      <c r="F208" s="31"/>
    </row>
    <row r="209" spans="1:6" s="34" customFormat="1">
      <c r="A209" s="32"/>
      <c r="B209" s="33"/>
      <c r="C209" s="28"/>
      <c r="D209" s="29"/>
      <c r="E209" s="30"/>
      <c r="F209" s="31"/>
    </row>
    <row r="210" spans="1:6" s="34" customFormat="1" ht="54">
      <c r="A210" s="32" t="s">
        <v>155</v>
      </c>
      <c r="B210" s="33" t="s">
        <v>156</v>
      </c>
      <c r="C210" s="28" t="s">
        <v>12</v>
      </c>
      <c r="D210" s="29">
        <f>[1]TOS!R2197*1.05</f>
        <v>7.3500000000000005</v>
      </c>
      <c r="E210" s="30"/>
      <c r="F210" s="31">
        <f t="shared" ref="F210" si="34">E210*D210</f>
        <v>0</v>
      </c>
    </row>
    <row r="211" spans="1:6" s="34" customFormat="1" ht="27">
      <c r="A211" s="32"/>
      <c r="B211" s="33" t="s">
        <v>157</v>
      </c>
      <c r="C211" s="28"/>
      <c r="D211" s="29"/>
      <c r="E211" s="30"/>
      <c r="F211" s="31"/>
    </row>
    <row r="212" spans="1:6" s="34" customFormat="1">
      <c r="A212" s="26"/>
      <c r="B212" s="33"/>
      <c r="C212" s="28"/>
      <c r="D212" s="29"/>
      <c r="E212" s="30"/>
      <c r="F212" s="31"/>
    </row>
    <row r="213" spans="1:6" s="34" customFormat="1" ht="135">
      <c r="A213" s="42">
        <f>A206+0.01</f>
        <v>6.1199999999999992</v>
      </c>
      <c r="B213" s="44" t="s">
        <v>158</v>
      </c>
      <c r="C213" s="28"/>
      <c r="D213" s="29"/>
      <c r="E213" s="30"/>
      <c r="F213" s="31"/>
    </row>
    <row r="214" spans="1:6" s="34" customFormat="1" ht="40.5">
      <c r="A214" s="26"/>
      <c r="B214" s="33" t="s">
        <v>159</v>
      </c>
      <c r="C214" s="28" t="s">
        <v>12</v>
      </c>
      <c r="D214" s="29">
        <f>[1]TOS!R2201*1.05</f>
        <v>10.5</v>
      </c>
      <c r="E214" s="30"/>
      <c r="F214" s="31">
        <f t="shared" ref="F214" si="35">E214*D214</f>
        <v>0</v>
      </c>
    </row>
    <row r="215" spans="1:6" s="34" customFormat="1">
      <c r="A215" s="32"/>
      <c r="B215" s="33" t="s">
        <v>93</v>
      </c>
      <c r="C215" s="28"/>
      <c r="D215" s="29"/>
      <c r="E215" s="30"/>
      <c r="F215" s="31"/>
    </row>
    <row r="216" spans="1:6" s="34" customFormat="1">
      <c r="A216" s="26"/>
      <c r="B216" s="33"/>
      <c r="C216" s="28"/>
      <c r="D216" s="29"/>
      <c r="E216" s="30"/>
      <c r="F216" s="31"/>
    </row>
    <row r="217" spans="1:6" ht="81">
      <c r="A217" s="42">
        <f>A213+0.01</f>
        <v>6.129999999999999</v>
      </c>
      <c r="B217" s="33" t="s">
        <v>160</v>
      </c>
      <c r="C217" s="28"/>
      <c r="D217" s="29"/>
      <c r="E217" s="30"/>
      <c r="F217" s="31"/>
    </row>
    <row r="218" spans="1:6" ht="81">
      <c r="A218" s="32"/>
      <c r="B218" s="33" t="s">
        <v>161</v>
      </c>
      <c r="C218" s="28" t="s">
        <v>12</v>
      </c>
      <c r="D218" s="29">
        <f>[1]TOS!R2208*1.05</f>
        <v>2.1</v>
      </c>
      <c r="E218" s="47"/>
      <c r="F218" s="31">
        <f t="shared" ref="F218" si="36">E218*D218</f>
        <v>0</v>
      </c>
    </row>
    <row r="219" spans="1:6" s="34" customFormat="1">
      <c r="A219" s="32"/>
      <c r="B219" s="33" t="s">
        <v>93</v>
      </c>
      <c r="C219" s="28"/>
      <c r="D219" s="29"/>
      <c r="E219" s="30"/>
      <c r="F219" s="31"/>
    </row>
    <row r="220" spans="1:6" s="34" customFormat="1">
      <c r="A220" s="26"/>
      <c r="B220" s="33"/>
      <c r="C220" s="28"/>
      <c r="D220" s="29"/>
      <c r="E220" s="30"/>
      <c r="F220" s="31"/>
    </row>
    <row r="221" spans="1:6" s="34" customFormat="1" ht="67.5">
      <c r="A221" s="42">
        <f>A217+0.01</f>
        <v>6.1399999999999988</v>
      </c>
      <c r="B221" s="33" t="s">
        <v>162</v>
      </c>
      <c r="C221" s="28"/>
      <c r="D221" s="29"/>
      <c r="E221" s="30"/>
      <c r="F221" s="31"/>
    </row>
    <row r="222" spans="1:6" s="34" customFormat="1" ht="54">
      <c r="A222" s="26" t="s">
        <v>163</v>
      </c>
      <c r="B222" s="48" t="s">
        <v>164</v>
      </c>
      <c r="C222" s="28" t="s">
        <v>12</v>
      </c>
      <c r="D222" s="29" t="s">
        <v>15</v>
      </c>
      <c r="E222" s="30">
        <v>0</v>
      </c>
      <c r="F222" s="31">
        <v>0</v>
      </c>
    </row>
    <row r="223" spans="1:6" s="34" customFormat="1" ht="67.5">
      <c r="A223" s="26" t="s">
        <v>165</v>
      </c>
      <c r="B223" s="73" t="s">
        <v>166</v>
      </c>
      <c r="C223" s="28" t="s">
        <v>12</v>
      </c>
      <c r="D223" s="29">
        <f>[1]TOS!R2213*1.05</f>
        <v>4.2</v>
      </c>
      <c r="E223" s="30"/>
      <c r="F223" s="31">
        <f t="shared" ref="F223" si="37">E223*D223</f>
        <v>0</v>
      </c>
    </row>
    <row r="224" spans="1:6" s="34" customFormat="1">
      <c r="A224" s="32"/>
      <c r="B224" s="33" t="s">
        <v>20</v>
      </c>
      <c r="C224" s="28"/>
      <c r="D224" s="29"/>
      <c r="E224" s="30"/>
      <c r="F224" s="31"/>
    </row>
    <row r="225" spans="1:6" s="34" customFormat="1">
      <c r="A225" s="32"/>
      <c r="B225" s="33"/>
      <c r="C225" s="28"/>
      <c r="D225" s="29"/>
      <c r="E225" s="30"/>
      <c r="F225" s="31"/>
    </row>
    <row r="226" spans="1:6" s="34" customFormat="1" ht="54">
      <c r="A226" s="42">
        <f>A221+0.01</f>
        <v>6.1499999999999986</v>
      </c>
      <c r="B226" s="48" t="s">
        <v>167</v>
      </c>
      <c r="C226" s="28"/>
      <c r="D226" s="29"/>
      <c r="E226" s="30"/>
      <c r="F226" s="31"/>
    </row>
    <row r="227" spans="1:6" s="34" customFormat="1" ht="54">
      <c r="A227" s="32"/>
      <c r="B227" s="48" t="s">
        <v>168</v>
      </c>
      <c r="C227" s="46" t="s">
        <v>49</v>
      </c>
      <c r="D227" s="43">
        <f>[1]TOS!R850*1.05</f>
        <v>18.900000000000002</v>
      </c>
      <c r="E227" s="47"/>
      <c r="F227" s="31">
        <f t="shared" ref="F227" si="38">E227*D227</f>
        <v>0</v>
      </c>
    </row>
    <row r="228" spans="1:6" s="34" customFormat="1">
      <c r="A228" s="32"/>
      <c r="B228" s="48" t="s">
        <v>61</v>
      </c>
      <c r="C228" s="28"/>
      <c r="D228" s="29"/>
      <c r="E228" s="30"/>
      <c r="F228" s="31"/>
    </row>
    <row r="229" spans="1:6" s="34" customFormat="1">
      <c r="A229" s="32"/>
      <c r="B229" s="33"/>
      <c r="C229" s="28"/>
      <c r="D229" s="29"/>
      <c r="E229" s="30"/>
      <c r="F229" s="31"/>
    </row>
    <row r="230" spans="1:6" s="34" customFormat="1" ht="54">
      <c r="A230" s="42">
        <f>A226+0.01</f>
        <v>6.1599999999999984</v>
      </c>
      <c r="B230" s="33" t="s">
        <v>169</v>
      </c>
      <c r="C230" s="28"/>
      <c r="D230" s="29"/>
      <c r="E230" s="30"/>
      <c r="F230" s="31"/>
    </row>
    <row r="231" spans="1:6" s="34" customFormat="1">
      <c r="A231" s="32"/>
      <c r="B231" s="74" t="s">
        <v>170</v>
      </c>
      <c r="C231" s="46" t="s">
        <v>49</v>
      </c>
      <c r="D231" s="43" t="s">
        <v>15</v>
      </c>
      <c r="E231" s="30">
        <v>0</v>
      </c>
      <c r="F231" s="31">
        <v>0</v>
      </c>
    </row>
    <row r="232" spans="1:6" s="34" customFormat="1">
      <c r="A232" s="32"/>
      <c r="B232" s="74" t="s">
        <v>61</v>
      </c>
      <c r="C232" s="46"/>
      <c r="D232" s="43"/>
      <c r="E232" s="47"/>
      <c r="F232" s="45"/>
    </row>
    <row r="233" spans="1:6" s="34" customFormat="1">
      <c r="A233" s="32"/>
      <c r="B233" s="33"/>
      <c r="C233" s="28"/>
      <c r="D233" s="29"/>
      <c r="E233" s="30"/>
      <c r="F233" s="31"/>
    </row>
    <row r="234" spans="1:6" s="34" customFormat="1">
      <c r="A234" s="26">
        <v>7</v>
      </c>
      <c r="B234" s="33" t="s">
        <v>171</v>
      </c>
      <c r="C234" s="28"/>
      <c r="D234" s="29"/>
      <c r="E234" s="30"/>
      <c r="F234" s="31"/>
    </row>
    <row r="235" spans="1:6" s="34" customFormat="1">
      <c r="A235" s="32"/>
      <c r="B235" s="33"/>
      <c r="C235" s="28"/>
      <c r="D235" s="29"/>
      <c r="E235" s="30"/>
      <c r="F235" s="31"/>
    </row>
    <row r="236" spans="1:6" ht="162">
      <c r="A236" s="26">
        <f>7+0.01</f>
        <v>7.01</v>
      </c>
      <c r="B236" s="27" t="s">
        <v>172</v>
      </c>
      <c r="C236" s="28"/>
      <c r="D236" s="29"/>
      <c r="E236" s="47"/>
      <c r="F236" s="45"/>
    </row>
    <row r="237" spans="1:6" ht="40.5">
      <c r="A237" s="32"/>
      <c r="B237" s="33" t="s">
        <v>173</v>
      </c>
      <c r="C237" s="28"/>
      <c r="D237" s="29"/>
      <c r="E237" s="47"/>
      <c r="F237" s="31"/>
    </row>
    <row r="238" spans="1:6" s="34" customFormat="1">
      <c r="A238" s="32"/>
      <c r="B238" s="33" t="s">
        <v>13</v>
      </c>
      <c r="C238" s="28"/>
      <c r="D238" s="29"/>
      <c r="E238" s="30"/>
      <c r="F238" s="31"/>
    </row>
    <row r="239" spans="1:6" s="34" customFormat="1">
      <c r="A239" s="32" t="s">
        <v>174</v>
      </c>
      <c r="B239" s="44" t="s">
        <v>175</v>
      </c>
      <c r="C239" s="28" t="s">
        <v>12</v>
      </c>
      <c r="D239" s="29">
        <f>[1]TOS!R2219*1.05</f>
        <v>58.800000000000004</v>
      </c>
      <c r="E239" s="30"/>
      <c r="F239" s="31">
        <f t="shared" ref="F239:F240" si="39">E239*D239</f>
        <v>0</v>
      </c>
    </row>
    <row r="240" spans="1:6" s="34" customFormat="1" ht="27">
      <c r="A240" s="32" t="s">
        <v>176</v>
      </c>
      <c r="B240" s="44" t="s">
        <v>177</v>
      </c>
      <c r="C240" s="28" t="s">
        <v>12</v>
      </c>
      <c r="D240" s="29">
        <f>[1]TOS!R2232*1.05</f>
        <v>5.25</v>
      </c>
      <c r="E240" s="30"/>
      <c r="F240" s="31">
        <f t="shared" si="39"/>
        <v>0</v>
      </c>
    </row>
    <row r="241" spans="1:6" s="34" customFormat="1">
      <c r="A241" s="32"/>
      <c r="B241" s="33"/>
      <c r="C241" s="28"/>
      <c r="D241" s="29"/>
      <c r="E241" s="30"/>
      <c r="F241" s="31"/>
    </row>
    <row r="242" spans="1:6" ht="135">
      <c r="A242" s="26" t="s">
        <v>178</v>
      </c>
      <c r="B242" s="27" t="s">
        <v>179</v>
      </c>
      <c r="C242" s="28"/>
      <c r="D242" s="29"/>
      <c r="E242" s="47"/>
      <c r="F242" s="45"/>
    </row>
    <row r="243" spans="1:6">
      <c r="A243" s="32"/>
      <c r="B243" s="33"/>
      <c r="C243" s="28"/>
      <c r="D243" s="29"/>
      <c r="E243" s="47"/>
      <c r="F243" s="31"/>
    </row>
    <row r="244" spans="1:6" s="34" customFormat="1">
      <c r="A244" s="75"/>
      <c r="B244" s="33" t="s">
        <v>13</v>
      </c>
      <c r="C244" s="28"/>
      <c r="D244" s="29"/>
      <c r="E244" s="30"/>
      <c r="F244" s="31"/>
    </row>
    <row r="245" spans="1:6" s="34" customFormat="1">
      <c r="A245" s="75" t="s">
        <v>180</v>
      </c>
      <c r="B245" s="44" t="s">
        <v>181</v>
      </c>
      <c r="C245" s="28" t="s">
        <v>12</v>
      </c>
      <c r="D245" s="29">
        <f>[1]TOS!R2236*1.05</f>
        <v>12.600000000000001</v>
      </c>
      <c r="E245" s="30"/>
      <c r="F245" s="31">
        <f t="shared" ref="F245:F246" si="40">E245*D245</f>
        <v>0</v>
      </c>
    </row>
    <row r="246" spans="1:6" s="34" customFormat="1">
      <c r="A246" s="75" t="s">
        <v>182</v>
      </c>
      <c r="B246" s="44" t="s">
        <v>183</v>
      </c>
      <c r="C246" s="28" t="s">
        <v>12</v>
      </c>
      <c r="D246" s="29">
        <f>[1]TOS!R2242*1.05</f>
        <v>0</v>
      </c>
      <c r="E246" s="30"/>
      <c r="F246" s="31">
        <f t="shared" si="40"/>
        <v>0</v>
      </c>
    </row>
    <row r="247" spans="1:6" s="34" customFormat="1">
      <c r="A247" s="32"/>
      <c r="B247" s="33"/>
      <c r="C247" s="28"/>
      <c r="D247" s="29"/>
      <c r="E247" s="30"/>
      <c r="F247" s="31"/>
    </row>
    <row r="248" spans="1:6" ht="135">
      <c r="A248" s="26" t="s">
        <v>184</v>
      </c>
      <c r="B248" s="27" t="s">
        <v>185</v>
      </c>
      <c r="C248" s="28"/>
      <c r="D248" s="29"/>
      <c r="E248" s="47"/>
      <c r="F248" s="45"/>
    </row>
    <row r="249" spans="1:6">
      <c r="A249" s="32"/>
      <c r="B249" s="33"/>
      <c r="C249" s="28"/>
      <c r="D249" s="29"/>
      <c r="E249" s="47"/>
      <c r="F249" s="31"/>
    </row>
    <row r="250" spans="1:6" s="34" customFormat="1">
      <c r="A250" s="75"/>
      <c r="B250" s="33" t="s">
        <v>186</v>
      </c>
      <c r="C250" s="28"/>
      <c r="D250" s="29"/>
      <c r="E250" s="30"/>
      <c r="F250" s="31"/>
    </row>
    <row r="251" spans="1:6" s="34" customFormat="1" ht="27">
      <c r="A251" s="75" t="s">
        <v>187</v>
      </c>
      <c r="B251" s="44" t="s">
        <v>188</v>
      </c>
      <c r="C251" s="28" t="s">
        <v>12</v>
      </c>
      <c r="D251" s="29">
        <f>[1]TOS!R2245*1.05</f>
        <v>7.3500000000000005</v>
      </c>
      <c r="E251" s="30"/>
      <c r="F251" s="31">
        <f t="shared" ref="F251:F252" si="41">E251*D251</f>
        <v>0</v>
      </c>
    </row>
    <row r="252" spans="1:6" s="34" customFormat="1">
      <c r="A252" s="75" t="s">
        <v>189</v>
      </c>
      <c r="B252" s="44" t="s">
        <v>190</v>
      </c>
      <c r="C252" s="28" t="s">
        <v>134</v>
      </c>
      <c r="D252" s="29">
        <f>[1]TOS!R2249</f>
        <v>2</v>
      </c>
      <c r="E252" s="30"/>
      <c r="F252" s="31">
        <f t="shared" si="41"/>
        <v>0</v>
      </c>
    </row>
    <row r="253" spans="1:6" s="34" customFormat="1">
      <c r="A253" s="32"/>
      <c r="B253" s="33"/>
      <c r="C253" s="28"/>
      <c r="D253" s="29"/>
      <c r="E253" s="30"/>
      <c r="F253" s="31"/>
    </row>
    <row r="254" spans="1:6" ht="67.5">
      <c r="A254" s="75" t="s">
        <v>191</v>
      </c>
      <c r="B254" s="27" t="s">
        <v>459</v>
      </c>
      <c r="C254" s="28" t="s">
        <v>192</v>
      </c>
      <c r="D254" s="29">
        <v>750</v>
      </c>
      <c r="E254" s="47"/>
      <c r="F254" s="31">
        <f t="shared" ref="F254" si="42">E254*D254</f>
        <v>0</v>
      </c>
    </row>
    <row r="255" spans="1:6" s="34" customFormat="1">
      <c r="A255" s="32"/>
      <c r="B255" s="33"/>
      <c r="C255" s="28"/>
      <c r="D255" s="29"/>
      <c r="E255" s="30"/>
      <c r="F255" s="31"/>
    </row>
    <row r="256" spans="1:6" ht="94.5">
      <c r="A256" s="26">
        <f>A236+0.01</f>
        <v>7.02</v>
      </c>
      <c r="B256" s="27" t="s">
        <v>193</v>
      </c>
      <c r="C256" s="28" t="s">
        <v>12</v>
      </c>
      <c r="D256" s="29">
        <v>50</v>
      </c>
      <c r="E256" s="47"/>
      <c r="F256" s="31">
        <f t="shared" ref="F256" si="43">E256*D256</f>
        <v>0</v>
      </c>
    </row>
    <row r="257" spans="1:6" s="34" customFormat="1">
      <c r="A257" s="32"/>
      <c r="B257" s="33" t="s">
        <v>13</v>
      </c>
      <c r="C257" s="28"/>
      <c r="D257" s="29"/>
      <c r="E257" s="30"/>
      <c r="F257" s="31"/>
    </row>
    <row r="258" spans="1:6" s="34" customFormat="1">
      <c r="A258" s="32"/>
      <c r="B258" s="33"/>
      <c r="C258" s="28"/>
      <c r="D258" s="29"/>
      <c r="E258" s="30"/>
      <c r="F258" s="31"/>
    </row>
    <row r="259" spans="1:6" s="34" customFormat="1">
      <c r="A259" s="26">
        <v>8</v>
      </c>
      <c r="B259" s="33" t="s">
        <v>194</v>
      </c>
      <c r="C259" s="28"/>
      <c r="D259" s="29"/>
      <c r="E259" s="30"/>
      <c r="F259" s="31"/>
    </row>
    <row r="260" spans="1:6" ht="94.5">
      <c r="A260" s="26">
        <v>8.01</v>
      </c>
      <c r="B260" s="27" t="s">
        <v>195</v>
      </c>
      <c r="C260" s="28"/>
      <c r="D260" s="29"/>
      <c r="E260" s="47"/>
      <c r="F260" s="45"/>
    </row>
    <row r="261" spans="1:6" ht="67.5">
      <c r="A261" s="26"/>
      <c r="B261" s="33" t="s">
        <v>196</v>
      </c>
      <c r="C261" s="28" t="s">
        <v>49</v>
      </c>
      <c r="D261" s="29">
        <f>(7*8+1.8*4)*1.1</f>
        <v>69.52000000000001</v>
      </c>
      <c r="E261" s="47"/>
      <c r="F261" s="31">
        <f t="shared" ref="F261" si="44">E261*D261</f>
        <v>0</v>
      </c>
    </row>
    <row r="262" spans="1:6" s="34" customFormat="1">
      <c r="A262" s="32"/>
      <c r="B262" s="33" t="s">
        <v>61</v>
      </c>
      <c r="C262" s="28"/>
      <c r="D262" s="29"/>
      <c r="E262" s="30"/>
      <c r="F262" s="31"/>
    </row>
    <row r="263" spans="1:6">
      <c r="A263" s="26"/>
      <c r="B263" s="44"/>
      <c r="C263" s="28"/>
      <c r="D263" s="29"/>
      <c r="E263" s="30"/>
      <c r="F263" s="31"/>
    </row>
    <row r="264" spans="1:6" s="34" customFormat="1">
      <c r="A264" s="26"/>
      <c r="B264" s="33"/>
      <c r="C264" s="28"/>
      <c r="D264" s="29"/>
      <c r="E264" s="30"/>
      <c r="F264" s="31"/>
    </row>
    <row r="265" spans="1:6" s="34" customFormat="1" ht="81">
      <c r="A265" s="26">
        <f>A260+0.01</f>
        <v>8.02</v>
      </c>
      <c r="B265" s="27" t="s">
        <v>197</v>
      </c>
      <c r="C265" s="28" t="s">
        <v>49</v>
      </c>
      <c r="D265" s="29">
        <f>[1]TOS!R2254*1.05</f>
        <v>38.85</v>
      </c>
      <c r="E265" s="47"/>
      <c r="F265" s="31">
        <f t="shared" ref="F265" si="45">E265*D265</f>
        <v>0</v>
      </c>
    </row>
    <row r="266" spans="1:6" s="34" customFormat="1">
      <c r="A266" s="32"/>
      <c r="B266" s="33" t="s">
        <v>61</v>
      </c>
      <c r="C266" s="28"/>
      <c r="D266" s="29"/>
      <c r="E266" s="30"/>
      <c r="F266" s="31"/>
    </row>
    <row r="267" spans="1:6" s="34" customFormat="1" ht="81">
      <c r="A267" s="26">
        <f>A265+0.01</f>
        <v>8.0299999999999994</v>
      </c>
      <c r="B267" s="27" t="s">
        <v>198</v>
      </c>
      <c r="C267" s="28" t="s">
        <v>49</v>
      </c>
      <c r="D267" s="29">
        <f>[1]TOS!R2273*1.05</f>
        <v>71.400000000000006</v>
      </c>
      <c r="E267" s="47"/>
      <c r="F267" s="31">
        <f t="shared" ref="F267" si="46">E267*D267</f>
        <v>0</v>
      </c>
    </row>
    <row r="268" spans="1:6" s="34" customFormat="1">
      <c r="A268" s="32"/>
      <c r="B268" s="33" t="s">
        <v>61</v>
      </c>
      <c r="C268" s="28"/>
      <c r="D268" s="29"/>
      <c r="E268" s="30"/>
      <c r="F268" s="31"/>
    </row>
    <row r="269" spans="1:6" s="34" customFormat="1">
      <c r="A269" s="32"/>
      <c r="B269" s="33"/>
      <c r="C269" s="28"/>
      <c r="D269" s="29"/>
      <c r="E269" s="30"/>
      <c r="F269" s="31"/>
    </row>
    <row r="270" spans="1:6" s="34" customFormat="1" ht="121.5">
      <c r="A270" s="26">
        <f>A267+0.01</f>
        <v>8.0399999999999991</v>
      </c>
      <c r="B270" s="27" t="s">
        <v>199</v>
      </c>
      <c r="C270" s="28" t="s">
        <v>49</v>
      </c>
      <c r="D270" s="29" t="s">
        <v>15</v>
      </c>
      <c r="E270" s="30">
        <v>0</v>
      </c>
      <c r="F270" s="31">
        <v>0</v>
      </c>
    </row>
    <row r="271" spans="1:6" s="34" customFormat="1" ht="54">
      <c r="A271" s="26"/>
      <c r="B271" s="27" t="s">
        <v>200</v>
      </c>
      <c r="C271" s="28"/>
      <c r="D271" s="29"/>
      <c r="E271" s="47"/>
      <c r="F271" s="45"/>
    </row>
    <row r="272" spans="1:6" s="34" customFormat="1">
      <c r="A272" s="32"/>
      <c r="B272" s="33" t="s">
        <v>61</v>
      </c>
      <c r="C272" s="28"/>
      <c r="D272" s="29"/>
      <c r="E272" s="30"/>
      <c r="F272" s="31"/>
    </row>
    <row r="273" spans="1:6" s="34" customFormat="1">
      <c r="A273" s="26"/>
      <c r="B273" s="33"/>
      <c r="C273" s="28"/>
      <c r="D273" s="29"/>
      <c r="E273" s="30"/>
      <c r="F273" s="31"/>
    </row>
    <row r="274" spans="1:6" s="34" customFormat="1">
      <c r="A274" s="32">
        <v>9</v>
      </c>
      <c r="B274" s="33" t="s">
        <v>201</v>
      </c>
      <c r="C274" s="46"/>
      <c r="D274" s="43"/>
      <c r="E274" s="47"/>
      <c r="F274" s="45"/>
    </row>
    <row r="275" spans="1:6" s="34" customFormat="1" ht="108">
      <c r="A275" s="32">
        <v>9.01</v>
      </c>
      <c r="B275" s="33" t="s">
        <v>202</v>
      </c>
      <c r="C275" s="28"/>
      <c r="D275" s="29"/>
      <c r="E275" s="47"/>
      <c r="F275" s="45"/>
    </row>
    <row r="276" spans="1:6" s="34" customFormat="1" ht="67.5">
      <c r="A276" s="32" t="s">
        <v>203</v>
      </c>
      <c r="B276" s="48" t="s">
        <v>204</v>
      </c>
      <c r="C276" s="28" t="s">
        <v>12</v>
      </c>
      <c r="D276" s="29">
        <v>0</v>
      </c>
      <c r="E276" s="30"/>
      <c r="F276" s="31">
        <f t="shared" ref="F276:F277" si="47">E276*D276</f>
        <v>0</v>
      </c>
    </row>
    <row r="277" spans="1:6" s="34" customFormat="1" ht="67.5">
      <c r="A277" s="32" t="s">
        <v>205</v>
      </c>
      <c r="B277" s="48" t="s">
        <v>206</v>
      </c>
      <c r="C277" s="28" t="s">
        <v>12</v>
      </c>
      <c r="D277" s="29">
        <f>[1]TOS!R2325*1.05</f>
        <v>142.80000000000001</v>
      </c>
      <c r="E277" s="30"/>
      <c r="F277" s="31">
        <f t="shared" si="47"/>
        <v>0</v>
      </c>
    </row>
    <row r="278" spans="1:6" s="34" customFormat="1" ht="67.5">
      <c r="A278" s="32" t="s">
        <v>207</v>
      </c>
      <c r="B278" s="33" t="s">
        <v>208</v>
      </c>
      <c r="C278" s="28" t="s">
        <v>12</v>
      </c>
      <c r="D278" s="29" t="s">
        <v>15</v>
      </c>
      <c r="E278" s="30">
        <v>0</v>
      </c>
      <c r="F278" s="31">
        <v>0</v>
      </c>
    </row>
    <row r="279" spans="1:6" s="34" customFormat="1" ht="67.5">
      <c r="A279" s="32" t="s">
        <v>209</v>
      </c>
      <c r="B279" s="33" t="s">
        <v>210</v>
      </c>
      <c r="C279" s="28" t="s">
        <v>12</v>
      </c>
      <c r="D279" s="29" t="s">
        <v>15</v>
      </c>
      <c r="E279" s="30">
        <v>0</v>
      </c>
      <c r="F279" s="31">
        <v>0</v>
      </c>
    </row>
    <row r="280" spans="1:6" s="34" customFormat="1" ht="67.5">
      <c r="A280" s="32" t="s">
        <v>211</v>
      </c>
      <c r="B280" s="48" t="s">
        <v>212</v>
      </c>
      <c r="C280" s="28" t="s">
        <v>12</v>
      </c>
      <c r="D280" s="29">
        <f>[1]TOS!R2338*1.05</f>
        <v>1654.8000000000002</v>
      </c>
      <c r="E280" s="30"/>
      <c r="F280" s="31">
        <f t="shared" ref="F280" si="48">E280*D280</f>
        <v>0</v>
      </c>
    </row>
    <row r="281" spans="1:6" s="34" customFormat="1" ht="27">
      <c r="A281" s="32"/>
      <c r="B281" s="33" t="s">
        <v>213</v>
      </c>
      <c r="C281" s="28"/>
      <c r="D281" s="43"/>
      <c r="E281" s="47"/>
      <c r="F281" s="45"/>
    </row>
    <row r="282" spans="1:6" s="34" customFormat="1">
      <c r="A282" s="32"/>
      <c r="B282" s="33"/>
      <c r="C282" s="46"/>
      <c r="D282" s="43"/>
      <c r="E282" s="47"/>
      <c r="F282" s="45"/>
    </row>
    <row r="283" spans="1:6" s="34" customFormat="1" ht="108">
      <c r="A283" s="32">
        <f>A275+0.01</f>
        <v>9.02</v>
      </c>
      <c r="B283" s="33" t="s">
        <v>214</v>
      </c>
      <c r="C283" s="46"/>
      <c r="D283" s="43"/>
      <c r="E283" s="47"/>
      <c r="F283" s="45"/>
    </row>
    <row r="284" spans="1:6" s="34" customFormat="1" ht="67.5">
      <c r="A284" s="32" t="s">
        <v>215</v>
      </c>
      <c r="B284" s="48" t="s">
        <v>216</v>
      </c>
      <c r="C284" s="28" t="s">
        <v>12</v>
      </c>
      <c r="D284" s="43">
        <f>[1]TOS!R2349*1.05</f>
        <v>669.9</v>
      </c>
      <c r="E284" s="30"/>
      <c r="F284" s="31">
        <f t="shared" ref="F284:F287" si="49">E284*D284</f>
        <v>0</v>
      </c>
    </row>
    <row r="285" spans="1:6" s="34" customFormat="1" ht="67.5">
      <c r="A285" s="32" t="s">
        <v>217</v>
      </c>
      <c r="B285" s="48" t="s">
        <v>218</v>
      </c>
      <c r="C285" s="28" t="s">
        <v>12</v>
      </c>
      <c r="D285" s="43">
        <f>[1]TOS!R2393*1.05</f>
        <v>232.05</v>
      </c>
      <c r="E285" s="30"/>
      <c r="F285" s="31">
        <f t="shared" si="49"/>
        <v>0</v>
      </c>
    </row>
    <row r="286" spans="1:6" s="34" customFormat="1" ht="67.5">
      <c r="A286" s="32" t="s">
        <v>219</v>
      </c>
      <c r="B286" s="33" t="s">
        <v>220</v>
      </c>
      <c r="C286" s="28" t="s">
        <v>12</v>
      </c>
      <c r="D286" s="43">
        <f>[1]TOS!R2414*1.05</f>
        <v>23.1</v>
      </c>
      <c r="E286" s="30"/>
      <c r="F286" s="31">
        <f t="shared" si="49"/>
        <v>0</v>
      </c>
    </row>
    <row r="287" spans="1:6" s="34" customFormat="1" ht="67.5">
      <c r="A287" s="32" t="s">
        <v>221</v>
      </c>
      <c r="B287" s="48" t="s">
        <v>212</v>
      </c>
      <c r="C287" s="28" t="s">
        <v>12</v>
      </c>
      <c r="D287" s="29">
        <f>[1]TOS!R2421*1.05</f>
        <v>318.15000000000003</v>
      </c>
      <c r="E287" s="30"/>
      <c r="F287" s="31">
        <f t="shared" si="49"/>
        <v>0</v>
      </c>
    </row>
    <row r="288" spans="1:6" s="34" customFormat="1">
      <c r="A288" s="32"/>
      <c r="B288" s="33" t="s">
        <v>93</v>
      </c>
      <c r="C288" s="28"/>
      <c r="D288" s="43"/>
      <c r="E288" s="47"/>
      <c r="F288" s="45"/>
    </row>
    <row r="289" spans="1:6" s="34" customFormat="1">
      <c r="A289" s="32"/>
      <c r="B289" s="33"/>
      <c r="C289" s="28"/>
      <c r="D289" s="29"/>
      <c r="E289" s="30"/>
      <c r="F289" s="31"/>
    </row>
    <row r="290" spans="1:6" s="34" customFormat="1" ht="108">
      <c r="A290" s="32">
        <v>9.0299999999999994</v>
      </c>
      <c r="B290" s="33" t="s">
        <v>222</v>
      </c>
      <c r="C290" s="28"/>
      <c r="D290" s="29"/>
      <c r="E290" s="30"/>
      <c r="F290" s="31"/>
    </row>
    <row r="291" spans="1:6" s="34" customFormat="1" ht="40.5">
      <c r="A291" s="32"/>
      <c r="B291" s="33" t="s">
        <v>223</v>
      </c>
      <c r="C291" s="28" t="s">
        <v>12</v>
      </c>
      <c r="D291" s="29">
        <f>[1]TOS!R2470*1.05</f>
        <v>206.85000000000002</v>
      </c>
      <c r="E291" s="30"/>
      <c r="F291" s="31">
        <f t="shared" ref="F291" si="50">E291*D291</f>
        <v>0</v>
      </c>
    </row>
    <row r="292" spans="1:6" s="34" customFormat="1">
      <c r="A292" s="32"/>
      <c r="B292" s="33" t="s">
        <v>93</v>
      </c>
      <c r="C292" s="28"/>
      <c r="D292" s="43"/>
      <c r="E292" s="47"/>
      <c r="F292" s="45"/>
    </row>
    <row r="293" spans="1:6" s="34" customFormat="1">
      <c r="A293" s="32"/>
      <c r="B293" s="33"/>
      <c r="C293" s="28"/>
      <c r="D293" s="29"/>
      <c r="E293" s="30"/>
      <c r="F293" s="31"/>
    </row>
    <row r="294" spans="1:6" s="34" customFormat="1" ht="108">
      <c r="A294" s="32">
        <f>A290+0.01</f>
        <v>9.0399999999999991</v>
      </c>
      <c r="B294" s="33" t="s">
        <v>224</v>
      </c>
      <c r="C294" s="28"/>
      <c r="D294" s="29"/>
      <c r="E294" s="30"/>
      <c r="F294" s="31"/>
    </row>
    <row r="295" spans="1:6" s="34" customFormat="1" ht="40.5">
      <c r="A295" s="32"/>
      <c r="B295" s="33" t="s">
        <v>225</v>
      </c>
      <c r="C295" s="28" t="s">
        <v>12</v>
      </c>
      <c r="D295" s="43">
        <f>[1]TOS!R2487*1.05</f>
        <v>131.25</v>
      </c>
      <c r="E295" s="47"/>
      <c r="F295" s="31">
        <f t="shared" ref="F295" si="51">E295*D295</f>
        <v>0</v>
      </c>
    </row>
    <row r="296" spans="1:6" s="34" customFormat="1">
      <c r="A296" s="32"/>
      <c r="B296" s="33" t="s">
        <v>93</v>
      </c>
      <c r="C296" s="28"/>
      <c r="D296" s="43"/>
      <c r="E296" s="47"/>
      <c r="F296" s="45"/>
    </row>
    <row r="297" spans="1:6" s="34" customFormat="1">
      <c r="A297" s="26"/>
      <c r="B297" s="44"/>
      <c r="C297" s="28"/>
      <c r="D297" s="29"/>
      <c r="E297" s="30"/>
      <c r="F297" s="31"/>
    </row>
    <row r="298" spans="1:6" s="34" customFormat="1" ht="94.5">
      <c r="A298" s="32">
        <f>A294+0.01</f>
        <v>9.0499999999999989</v>
      </c>
      <c r="B298" s="33" t="s">
        <v>226</v>
      </c>
      <c r="C298" s="28" t="s">
        <v>49</v>
      </c>
      <c r="D298" s="29">
        <f>[1]TOS!R2504*1.05</f>
        <v>85.05</v>
      </c>
      <c r="E298" s="30"/>
      <c r="F298" s="31">
        <f t="shared" ref="F298" si="52">E298*D298</f>
        <v>0</v>
      </c>
    </row>
    <row r="299" spans="1:6" s="34" customFormat="1">
      <c r="A299" s="32"/>
      <c r="B299" s="33" t="s">
        <v>227</v>
      </c>
      <c r="C299" s="28"/>
      <c r="D299" s="43"/>
      <c r="E299" s="47"/>
      <c r="F299" s="45"/>
    </row>
    <row r="300" spans="1:6" s="34" customFormat="1">
      <c r="A300" s="26"/>
      <c r="B300" s="44"/>
      <c r="C300" s="28"/>
      <c r="D300" s="29"/>
      <c r="E300" s="30"/>
      <c r="F300" s="31"/>
    </row>
    <row r="301" spans="1:6" s="34" customFormat="1" ht="67.5">
      <c r="A301" s="32">
        <f>A298+0.01</f>
        <v>9.0599999999999987</v>
      </c>
      <c r="B301" s="44" t="s">
        <v>228</v>
      </c>
      <c r="C301" s="28" t="s">
        <v>12</v>
      </c>
      <c r="D301" s="43">
        <v>50</v>
      </c>
      <c r="E301" s="30"/>
      <c r="F301" s="31">
        <f t="shared" ref="F301" si="53">E301*D301</f>
        <v>0</v>
      </c>
    </row>
    <row r="302" spans="1:6" s="34" customFormat="1">
      <c r="A302" s="32"/>
      <c r="B302" s="33" t="s">
        <v>93</v>
      </c>
      <c r="C302" s="28"/>
      <c r="D302" s="43"/>
      <c r="E302" s="47"/>
      <c r="F302" s="45"/>
    </row>
    <row r="303" spans="1:6" s="34" customFormat="1">
      <c r="A303" s="32"/>
      <c r="B303" s="33"/>
      <c r="C303" s="28"/>
      <c r="D303" s="29"/>
      <c r="E303" s="30"/>
      <c r="F303" s="31"/>
    </row>
    <row r="304" spans="1:6" s="34" customFormat="1">
      <c r="A304" s="32">
        <v>10</v>
      </c>
      <c r="B304" s="33" t="s">
        <v>229</v>
      </c>
      <c r="C304" s="46"/>
      <c r="D304" s="43"/>
      <c r="E304" s="47"/>
      <c r="F304" s="45"/>
    </row>
    <row r="305" spans="1:6" s="34" customFormat="1" ht="67.5">
      <c r="A305" s="32">
        <v>10.01</v>
      </c>
      <c r="B305" s="33" t="s">
        <v>230</v>
      </c>
      <c r="C305" s="28"/>
      <c r="D305" s="29"/>
      <c r="E305" s="47"/>
      <c r="F305" s="45"/>
    </row>
    <row r="306" spans="1:6" s="34" customFormat="1" ht="27">
      <c r="A306" s="32"/>
      <c r="B306" s="33" t="s">
        <v>231</v>
      </c>
      <c r="C306" s="28"/>
      <c r="D306" s="29"/>
      <c r="E306" s="30"/>
      <c r="F306" s="31"/>
    </row>
    <row r="307" spans="1:6" s="34" customFormat="1">
      <c r="A307" s="32" t="s">
        <v>232</v>
      </c>
      <c r="B307" s="44" t="s">
        <v>233</v>
      </c>
      <c r="C307" s="28" t="s">
        <v>134</v>
      </c>
      <c r="D307" s="29">
        <v>2</v>
      </c>
      <c r="E307" s="30"/>
      <c r="F307" s="31">
        <f t="shared" ref="F307:F311" si="54">E307*D307</f>
        <v>0</v>
      </c>
    </row>
    <row r="308" spans="1:6" s="34" customFormat="1">
      <c r="A308" s="32" t="s">
        <v>234</v>
      </c>
      <c r="B308" s="44" t="s">
        <v>235</v>
      </c>
      <c r="C308" s="28" t="s">
        <v>134</v>
      </c>
      <c r="D308" s="29">
        <v>2</v>
      </c>
      <c r="E308" s="30"/>
      <c r="F308" s="31">
        <f t="shared" si="54"/>
        <v>0</v>
      </c>
    </row>
    <row r="309" spans="1:6" s="34" customFormat="1">
      <c r="A309" s="32" t="s">
        <v>236</v>
      </c>
      <c r="B309" s="44" t="s">
        <v>237</v>
      </c>
      <c r="C309" s="28" t="s">
        <v>134</v>
      </c>
      <c r="D309" s="29">
        <v>2</v>
      </c>
      <c r="E309" s="30"/>
      <c r="F309" s="31">
        <f t="shared" si="54"/>
        <v>0</v>
      </c>
    </row>
    <row r="310" spans="1:6" s="34" customFormat="1">
      <c r="A310" s="32" t="s">
        <v>238</v>
      </c>
      <c r="B310" s="44" t="s">
        <v>239</v>
      </c>
      <c r="C310" s="28" t="s">
        <v>134</v>
      </c>
      <c r="D310" s="29">
        <v>2</v>
      </c>
      <c r="E310" s="47"/>
      <c r="F310" s="31">
        <f t="shared" si="54"/>
        <v>0</v>
      </c>
    </row>
    <row r="311" spans="1:6" s="34" customFormat="1">
      <c r="A311" s="32" t="s">
        <v>240</v>
      </c>
      <c r="B311" s="44" t="s">
        <v>241</v>
      </c>
      <c r="C311" s="28" t="s">
        <v>134</v>
      </c>
      <c r="D311" s="29">
        <v>2</v>
      </c>
      <c r="E311" s="47"/>
      <c r="F311" s="31">
        <f t="shared" si="54"/>
        <v>0</v>
      </c>
    </row>
    <row r="312" spans="1:6" s="34" customFormat="1">
      <c r="A312" s="32"/>
      <c r="B312" s="44"/>
      <c r="C312" s="28"/>
      <c r="D312" s="29"/>
      <c r="E312" s="47"/>
      <c r="F312" s="45"/>
    </row>
    <row r="313" spans="1:6" s="34" customFormat="1">
      <c r="A313" s="32"/>
      <c r="B313" s="33" t="s">
        <v>242</v>
      </c>
      <c r="C313" s="28"/>
      <c r="D313" s="43"/>
      <c r="E313" s="47"/>
      <c r="F313" s="45"/>
    </row>
    <row r="314" spans="1:6" s="34" customFormat="1">
      <c r="A314" s="26"/>
      <c r="B314" s="44"/>
      <c r="C314" s="28"/>
      <c r="D314" s="29"/>
      <c r="E314" s="30"/>
      <c r="F314" s="31"/>
    </row>
    <row r="315" spans="1:6" ht="67.5">
      <c r="A315" s="32">
        <v>10.02</v>
      </c>
      <c r="B315" s="27" t="s">
        <v>243</v>
      </c>
      <c r="C315" s="28" t="s">
        <v>12</v>
      </c>
      <c r="D315" s="29">
        <v>5</v>
      </c>
      <c r="E315" s="30"/>
      <c r="F315" s="31">
        <f t="shared" ref="F315" si="55">E315*D315</f>
        <v>0</v>
      </c>
    </row>
    <row r="316" spans="1:6" s="34" customFormat="1">
      <c r="A316" s="32"/>
      <c r="B316" s="33" t="s">
        <v>93</v>
      </c>
      <c r="C316" s="28"/>
      <c r="D316" s="43"/>
      <c r="E316" s="47"/>
      <c r="F316" s="45"/>
    </row>
    <row r="317" spans="1:6" s="34" customFormat="1">
      <c r="A317" s="32"/>
      <c r="B317" s="33"/>
      <c r="C317" s="28"/>
      <c r="D317" s="29"/>
      <c r="E317" s="30"/>
      <c r="F317" s="31"/>
    </row>
    <row r="318" spans="1:6" s="34" customFormat="1">
      <c r="A318" s="32">
        <v>10.029999999999999</v>
      </c>
      <c r="B318" s="44" t="s">
        <v>244</v>
      </c>
      <c r="C318" s="28" t="s">
        <v>12</v>
      </c>
      <c r="D318" s="30" t="s">
        <v>15</v>
      </c>
      <c r="E318" s="30">
        <v>0</v>
      </c>
      <c r="F318" s="31">
        <v>0</v>
      </c>
    </row>
    <row r="319" spans="1:6" s="34" customFormat="1">
      <c r="A319" s="32"/>
      <c r="B319" s="33"/>
      <c r="C319" s="28"/>
      <c r="D319" s="29"/>
      <c r="E319" s="30"/>
      <c r="F319" s="31"/>
    </row>
    <row r="320" spans="1:6" s="34" customFormat="1">
      <c r="A320" s="32" t="s">
        <v>245</v>
      </c>
      <c r="B320" s="44" t="s">
        <v>246</v>
      </c>
      <c r="C320" s="28" t="s">
        <v>12</v>
      </c>
      <c r="D320" s="29">
        <f>[1]TOS!R2535*1.05</f>
        <v>27.3</v>
      </c>
      <c r="E320" s="30"/>
      <c r="F320" s="31">
        <f t="shared" ref="F320" si="56">E320*D320</f>
        <v>0</v>
      </c>
    </row>
    <row r="321" spans="1:6" s="34" customFormat="1">
      <c r="A321" s="32"/>
      <c r="B321" s="33"/>
      <c r="C321" s="28"/>
      <c r="D321" s="29"/>
      <c r="E321" s="30"/>
      <c r="F321" s="31"/>
    </row>
    <row r="322" spans="1:6" s="34" customFormat="1" ht="94.5">
      <c r="A322" s="32">
        <v>10.039999999999999</v>
      </c>
      <c r="B322" s="33" t="s">
        <v>247</v>
      </c>
      <c r="C322" s="28" t="s">
        <v>134</v>
      </c>
      <c r="D322" s="29">
        <v>5</v>
      </c>
      <c r="E322" s="30"/>
      <c r="F322" s="31">
        <f t="shared" ref="F322" si="57">E322*D322</f>
        <v>0</v>
      </c>
    </row>
    <row r="323" spans="1:6" s="34" customFormat="1">
      <c r="A323" s="32"/>
      <c r="B323" s="33"/>
      <c r="C323" s="28"/>
      <c r="D323" s="29"/>
      <c r="E323" s="30"/>
      <c r="F323" s="31"/>
    </row>
    <row r="324" spans="1:6" s="34" customFormat="1" ht="40.5">
      <c r="A324" s="26">
        <f>A322+0.01</f>
        <v>10.049999999999999</v>
      </c>
      <c r="B324" s="33" t="s">
        <v>248</v>
      </c>
      <c r="C324" s="76"/>
      <c r="D324" s="29"/>
      <c r="E324" s="30"/>
      <c r="F324" s="31"/>
    </row>
    <row r="325" spans="1:6">
      <c r="A325" s="26" t="s">
        <v>249</v>
      </c>
      <c r="B325" s="44" t="s">
        <v>250</v>
      </c>
      <c r="C325" s="28" t="s">
        <v>134</v>
      </c>
      <c r="D325" s="29">
        <v>1</v>
      </c>
      <c r="E325" s="30"/>
      <c r="F325" s="31">
        <f t="shared" ref="F325:F332" si="58">E325*D325</f>
        <v>0</v>
      </c>
    </row>
    <row r="326" spans="1:6">
      <c r="A326" s="26" t="s">
        <v>251</v>
      </c>
      <c r="B326" s="44" t="s">
        <v>252</v>
      </c>
      <c r="C326" s="28" t="s">
        <v>134</v>
      </c>
      <c r="D326" s="29">
        <v>25</v>
      </c>
      <c r="E326" s="30"/>
      <c r="F326" s="31">
        <f t="shared" si="58"/>
        <v>0</v>
      </c>
    </row>
    <row r="327" spans="1:6">
      <c r="A327" s="26" t="s">
        <v>253</v>
      </c>
      <c r="B327" s="44" t="s">
        <v>254</v>
      </c>
      <c r="C327" s="28" t="s">
        <v>134</v>
      </c>
      <c r="D327" s="29">
        <v>2</v>
      </c>
      <c r="E327" s="30"/>
      <c r="F327" s="31">
        <f>E327*D327</f>
        <v>0</v>
      </c>
    </row>
    <row r="328" spans="1:6">
      <c r="A328" s="26" t="s">
        <v>255</v>
      </c>
      <c r="B328" s="44" t="s">
        <v>256</v>
      </c>
      <c r="C328" s="28" t="s">
        <v>134</v>
      </c>
      <c r="D328" s="29">
        <v>4</v>
      </c>
      <c r="E328" s="30"/>
      <c r="F328" s="31">
        <f t="shared" si="58"/>
        <v>0</v>
      </c>
    </row>
    <row r="329" spans="1:6">
      <c r="A329" s="26" t="s">
        <v>257</v>
      </c>
      <c r="B329" s="44" t="s">
        <v>258</v>
      </c>
      <c r="C329" s="28" t="s">
        <v>134</v>
      </c>
      <c r="D329" s="29">
        <v>6</v>
      </c>
      <c r="E329" s="30"/>
      <c r="F329" s="31">
        <f t="shared" si="58"/>
        <v>0</v>
      </c>
    </row>
    <row r="330" spans="1:6">
      <c r="A330" s="26" t="s">
        <v>259</v>
      </c>
      <c r="B330" s="44" t="s">
        <v>260</v>
      </c>
      <c r="C330" s="28" t="s">
        <v>134</v>
      </c>
      <c r="D330" s="29">
        <v>9</v>
      </c>
      <c r="E330" s="30"/>
      <c r="F330" s="31">
        <f t="shared" si="58"/>
        <v>0</v>
      </c>
    </row>
    <row r="331" spans="1:6">
      <c r="A331" s="26" t="s">
        <v>261</v>
      </c>
      <c r="B331" s="44" t="s">
        <v>262</v>
      </c>
      <c r="C331" s="28" t="s">
        <v>134</v>
      </c>
      <c r="D331" s="29">
        <v>0</v>
      </c>
      <c r="E331" s="30"/>
      <c r="F331" s="31">
        <f t="shared" si="58"/>
        <v>0</v>
      </c>
    </row>
    <row r="332" spans="1:6">
      <c r="A332" s="26" t="s">
        <v>263</v>
      </c>
      <c r="B332" s="44" t="s">
        <v>264</v>
      </c>
      <c r="C332" s="28" t="s">
        <v>134</v>
      </c>
      <c r="D332" s="29">
        <v>0</v>
      </c>
      <c r="E332" s="30"/>
      <c r="F332" s="31">
        <f t="shared" si="58"/>
        <v>0</v>
      </c>
    </row>
    <row r="333" spans="1:6">
      <c r="A333" s="26" t="s">
        <v>265</v>
      </c>
      <c r="B333" s="44" t="s">
        <v>266</v>
      </c>
      <c r="C333" s="76" t="s">
        <v>134</v>
      </c>
      <c r="D333" s="29" t="s">
        <v>15</v>
      </c>
      <c r="E333" s="30">
        <v>0</v>
      </c>
      <c r="F333" s="31">
        <v>0</v>
      </c>
    </row>
    <row r="334" spans="1:6" ht="40.5">
      <c r="A334" s="26" t="s">
        <v>267</v>
      </c>
      <c r="B334" s="44" t="s">
        <v>268</v>
      </c>
      <c r="C334" s="76" t="s">
        <v>134</v>
      </c>
      <c r="D334" s="29" t="s">
        <v>15</v>
      </c>
      <c r="E334" s="30">
        <v>0</v>
      </c>
      <c r="F334" s="31">
        <v>0</v>
      </c>
    </row>
    <row r="335" spans="1:6">
      <c r="A335" s="26" t="s">
        <v>269</v>
      </c>
      <c r="B335" s="44" t="s">
        <v>270</v>
      </c>
      <c r="C335" s="76" t="s">
        <v>134</v>
      </c>
      <c r="D335" s="29" t="s">
        <v>15</v>
      </c>
      <c r="E335" s="30">
        <v>0</v>
      </c>
      <c r="F335" s="31">
        <v>0</v>
      </c>
    </row>
    <row r="336" spans="1:6">
      <c r="A336" s="26" t="s">
        <v>271</v>
      </c>
      <c r="B336" s="44" t="s">
        <v>272</v>
      </c>
      <c r="C336" s="76" t="s">
        <v>134</v>
      </c>
      <c r="D336" s="29" t="s">
        <v>15</v>
      </c>
      <c r="E336" s="30">
        <v>0</v>
      </c>
      <c r="F336" s="31">
        <v>0</v>
      </c>
    </row>
    <row r="337" spans="1:6">
      <c r="A337" s="26" t="s">
        <v>273</v>
      </c>
      <c r="B337" s="44" t="s">
        <v>274</v>
      </c>
      <c r="C337" s="76" t="s">
        <v>134</v>
      </c>
      <c r="D337" s="29" t="s">
        <v>15</v>
      </c>
      <c r="E337" s="30">
        <v>0</v>
      </c>
      <c r="F337" s="31">
        <v>0</v>
      </c>
    </row>
    <row r="338" spans="1:6">
      <c r="A338" s="26" t="s">
        <v>275</v>
      </c>
      <c r="B338" s="44" t="s">
        <v>276</v>
      </c>
      <c r="C338" s="76" t="s">
        <v>134</v>
      </c>
      <c r="D338" s="29" t="s">
        <v>15</v>
      </c>
      <c r="E338" s="30">
        <v>0</v>
      </c>
      <c r="F338" s="31">
        <v>0</v>
      </c>
    </row>
    <row r="339" spans="1:6">
      <c r="A339" s="26" t="s">
        <v>277</v>
      </c>
      <c r="B339" s="44" t="s">
        <v>278</v>
      </c>
      <c r="C339" s="76" t="s">
        <v>134</v>
      </c>
      <c r="D339" s="29" t="s">
        <v>15</v>
      </c>
      <c r="E339" s="30">
        <v>0</v>
      </c>
      <c r="F339" s="31">
        <v>0</v>
      </c>
    </row>
    <row r="340" spans="1:6">
      <c r="A340" s="26" t="s">
        <v>279</v>
      </c>
      <c r="B340" s="44" t="s">
        <v>280</v>
      </c>
      <c r="C340" s="76" t="s">
        <v>134</v>
      </c>
      <c r="D340" s="29" t="s">
        <v>15</v>
      </c>
      <c r="E340" s="30">
        <v>0</v>
      </c>
      <c r="F340" s="31">
        <v>0</v>
      </c>
    </row>
    <row r="341" spans="1:6">
      <c r="A341" s="26" t="s">
        <v>281</v>
      </c>
      <c r="B341" s="44" t="s">
        <v>282</v>
      </c>
      <c r="C341" s="76" t="s">
        <v>134</v>
      </c>
      <c r="D341" s="29" t="s">
        <v>15</v>
      </c>
      <c r="E341" s="30">
        <v>0</v>
      </c>
      <c r="F341" s="31">
        <v>0</v>
      </c>
    </row>
    <row r="342" spans="1:6">
      <c r="A342" s="26" t="s">
        <v>283</v>
      </c>
      <c r="B342" s="44"/>
      <c r="C342" s="28" t="s">
        <v>134</v>
      </c>
      <c r="D342" s="29">
        <v>0</v>
      </c>
      <c r="E342" s="30"/>
      <c r="F342" s="31">
        <f t="shared" ref="F342" si="59">E342*D342</f>
        <v>0</v>
      </c>
    </row>
    <row r="343" spans="1:6" s="34" customFormat="1">
      <c r="A343" s="32"/>
      <c r="B343" s="33" t="s">
        <v>242</v>
      </c>
      <c r="C343" s="28"/>
      <c r="D343" s="43"/>
      <c r="E343" s="77"/>
      <c r="F343" s="45"/>
    </row>
    <row r="344" spans="1:6" s="34" customFormat="1">
      <c r="A344" s="32"/>
      <c r="B344" s="33"/>
      <c r="C344" s="28"/>
      <c r="D344" s="43"/>
      <c r="E344" s="77"/>
      <c r="F344" s="45"/>
    </row>
    <row r="345" spans="1:6" s="34" customFormat="1" ht="14" thickBot="1">
      <c r="A345" s="78"/>
      <c r="B345" s="79"/>
      <c r="C345" s="80"/>
      <c r="D345" s="81"/>
      <c r="E345" s="82"/>
      <c r="F345" s="83"/>
    </row>
    <row r="346" spans="1:6" ht="14" thickBot="1">
      <c r="A346" s="84"/>
      <c r="B346" s="85" t="s">
        <v>284</v>
      </c>
      <c r="C346" s="86"/>
      <c r="D346" s="87"/>
      <c r="E346" s="88"/>
      <c r="F346" s="89">
        <f>SUM(F9:F342)</f>
        <v>0</v>
      </c>
    </row>
    <row r="347" spans="1:6">
      <c r="E347" s="92"/>
      <c r="F347" s="92"/>
    </row>
    <row r="348" spans="1:6">
      <c r="E348" s="92"/>
      <c r="F348" s="92"/>
    </row>
  </sheetData>
  <autoFilter ref="A6:F343" xr:uid="{038AEE16-AC0B-4ED5-991F-3F904504A87A}"/>
  <mergeCells count="4">
    <mergeCell ref="A1:F1"/>
    <mergeCell ref="A2:B2"/>
    <mergeCell ref="C2:E2"/>
    <mergeCell ref="A4:F4"/>
  </mergeCells>
  <pageMargins left="0.70866141732283472" right="0.70866141732283472" top="0.74803149606299213" bottom="0.74803149606299213" header="0.31496062992125984" footer="0.31496062992125984"/>
  <pageSetup paperSize="9" scale="68" fitToHeight="0" orientation="landscape" r:id="rId1"/>
  <headerFooter>
    <oddHeader>&amp;L&amp;"Calibri,Bold"&amp;20Cinépolis &amp;R&amp;"Aptos"&amp;10&amp;K000000 Internal&amp;1#_x000D_&amp;"Calibri"&amp;11&amp;K000000&amp;"Calibri"&amp;11&amp;K000000&amp;"Calibri,Bold"&amp;18C&amp;"Calibri,Bold Italic"  I  Cost Estimate</oddHeader>
    <oddFooter>&amp;L_x000D_&amp;1#&amp;"Aptos"&amp;10&amp;K000000 Internal&amp;C&amp;P of &amp;N</oddFooter>
  </headerFooter>
  <rowBreaks count="5" manualBreakCount="5">
    <brk id="5" max="16383" man="1"/>
    <brk id="158" max="5" man="1"/>
    <brk id="168" max="5" man="1"/>
    <brk id="173" max="5" man="1"/>
    <brk id="19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F67D-126C-4EF8-B091-52D8C31ADDB7}">
  <sheetPr codeName="Sheet3">
    <tabColor theme="4" tint="0.39997558519241921"/>
  </sheetPr>
  <dimension ref="A1:D9"/>
  <sheetViews>
    <sheetView showGridLines="0" workbookViewId="0">
      <selection activeCell="E28" sqref="E28"/>
    </sheetView>
  </sheetViews>
  <sheetFormatPr defaultColWidth="45.6328125" defaultRowHeight="14.5"/>
  <cols>
    <col min="1" max="1" width="7.90625" bestFit="1" customWidth="1"/>
    <col min="2" max="2" width="48.36328125" bestFit="1" customWidth="1"/>
    <col min="3" max="3" width="5.81640625" bestFit="1" customWidth="1"/>
    <col min="4" max="4" width="13.90625" bestFit="1" customWidth="1"/>
  </cols>
  <sheetData>
    <row r="1" spans="1:4" ht="18.5">
      <c r="A1" s="510" t="s">
        <v>292</v>
      </c>
      <c r="B1" s="510"/>
      <c r="C1" s="510"/>
      <c r="D1" s="510"/>
    </row>
    <row r="2" spans="1:4" ht="18.5">
      <c r="A2" s="98"/>
      <c r="B2" s="98"/>
      <c r="C2" s="98"/>
      <c r="D2" s="99" t="s">
        <v>293</v>
      </c>
    </row>
    <row r="3" spans="1:4" ht="18.5">
      <c r="A3" s="100" t="s">
        <v>294</v>
      </c>
      <c r="B3" s="100" t="s">
        <v>295</v>
      </c>
      <c r="C3" s="100" t="s">
        <v>296</v>
      </c>
      <c r="D3" s="101" t="s">
        <v>297</v>
      </c>
    </row>
    <row r="4" spans="1:4" ht="18.5">
      <c r="A4" s="102"/>
      <c r="B4" s="102"/>
      <c r="C4" s="102"/>
      <c r="D4" s="103"/>
    </row>
    <row r="5" spans="1:4" ht="18.5">
      <c r="A5" s="104">
        <v>1</v>
      </c>
      <c r="B5" s="105" t="s">
        <v>304</v>
      </c>
      <c r="C5" s="104" t="s">
        <v>300</v>
      </c>
      <c r="D5" s="107">
        <f>'HVAC BOQ'!$K$127</f>
        <v>0</v>
      </c>
    </row>
    <row r="6" spans="1:4" ht="18.5">
      <c r="A6" s="104"/>
      <c r="B6" s="105"/>
      <c r="C6" s="104"/>
      <c r="D6" s="106"/>
    </row>
    <row r="7" spans="1:4" ht="18.5">
      <c r="A7" s="104">
        <v>2</v>
      </c>
      <c r="B7" s="105" t="s">
        <v>305</v>
      </c>
      <c r="C7" s="104" t="s">
        <v>300</v>
      </c>
      <c r="D7" s="107">
        <f>'HVAC BOQ'!$K$146</f>
        <v>0</v>
      </c>
    </row>
    <row r="8" spans="1:4" ht="18.5">
      <c r="A8" s="104"/>
      <c r="B8" s="105"/>
      <c r="C8" s="104"/>
      <c r="D8" s="106"/>
    </row>
    <row r="9" spans="1:4" ht="18.5">
      <c r="A9" s="100"/>
      <c r="B9" s="108" t="s">
        <v>303</v>
      </c>
      <c r="C9" s="100" t="s">
        <v>300</v>
      </c>
      <c r="D9" s="109">
        <f>SUM(D5:D8)</f>
        <v>0</v>
      </c>
    </row>
  </sheetData>
  <mergeCells count="1">
    <mergeCell ref="A1:D1"/>
  </mergeCells>
  <pageMargins left="0.7" right="0.7" top="0.75" bottom="0.75" header="0.3" footer="0.3"/>
  <headerFooter>
    <oddHeader>&amp;R&amp;"Aptos"&amp;10&amp;K000000 Internal&amp;1#_x000D_</oddHeader>
    <oddFooter>&amp;L_x000D_&amp;1#&amp;"Aptos"&amp;10&amp;K000000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8D13-20E4-4078-8D70-00351EE86E97}">
  <sheetPr codeName="Sheet4">
    <tabColor theme="4" tint="0.39997558519241921"/>
  </sheetPr>
  <dimension ref="A1:K146"/>
  <sheetViews>
    <sheetView tabSelected="1" view="pageBreakPreview" zoomScale="115" zoomScaleNormal="115" zoomScaleSheetLayoutView="115" workbookViewId="0">
      <selection activeCell="A2" sqref="A2"/>
    </sheetView>
  </sheetViews>
  <sheetFormatPr defaultColWidth="9.1796875" defaultRowHeight="14.5"/>
  <cols>
    <col min="1" max="1" width="5.54296875" style="110" customWidth="1"/>
    <col min="2" max="2" width="61.1796875" style="163" customWidth="1"/>
    <col min="3" max="3" width="13.36328125" style="163" customWidth="1"/>
    <col min="4" max="6" width="13.81640625" style="164" customWidth="1"/>
    <col min="7" max="9" width="15" style="164" customWidth="1"/>
    <col min="10" max="10" width="9.54296875" style="165" customWidth="1"/>
    <col min="11" max="11" width="10.54296875" style="166" customWidth="1"/>
    <col min="12" max="16384" width="9.1796875" style="132"/>
  </cols>
  <sheetData>
    <row r="1" spans="1:11" s="110" customFormat="1" ht="45" customHeight="1">
      <c r="A1" s="511" t="s">
        <v>306</v>
      </c>
      <c r="B1" s="512"/>
      <c r="C1" s="512"/>
      <c r="D1" s="512"/>
      <c r="E1" s="512"/>
      <c r="F1" s="512"/>
      <c r="G1" s="512"/>
      <c r="H1" s="512"/>
      <c r="I1" s="512"/>
      <c r="J1" s="512"/>
      <c r="K1" s="513"/>
    </row>
    <row r="2" spans="1:11" s="110" customFormat="1" ht="29">
      <c r="A2" s="111" t="s">
        <v>307</v>
      </c>
      <c r="B2" s="112" t="s">
        <v>308</v>
      </c>
      <c r="C2" s="112" t="s">
        <v>862</v>
      </c>
      <c r="D2" s="113" t="s">
        <v>863</v>
      </c>
      <c r="E2" s="113" t="s">
        <v>864</v>
      </c>
      <c r="F2" s="113" t="s">
        <v>865</v>
      </c>
      <c r="G2" s="114" t="s">
        <v>6</v>
      </c>
      <c r="H2" s="114" t="s">
        <v>866</v>
      </c>
      <c r="I2" s="114" t="s">
        <v>868</v>
      </c>
      <c r="J2" s="115" t="s">
        <v>867</v>
      </c>
      <c r="K2" s="116" t="s">
        <v>310</v>
      </c>
    </row>
    <row r="3" spans="1:11" s="110" customFormat="1">
      <c r="A3" s="117" t="s">
        <v>311</v>
      </c>
      <c r="B3" s="118" t="s">
        <v>312</v>
      </c>
      <c r="C3" s="118"/>
      <c r="D3" s="119"/>
      <c r="E3" s="119"/>
      <c r="F3" s="119"/>
      <c r="G3" s="119"/>
      <c r="H3" s="119"/>
      <c r="I3" s="119"/>
      <c r="J3" s="119"/>
      <c r="K3" s="120"/>
    </row>
    <row r="4" spans="1:11" s="110" customFormat="1">
      <c r="A4" s="121">
        <v>1</v>
      </c>
      <c r="B4" s="118" t="s">
        <v>313</v>
      </c>
      <c r="C4" s="118"/>
      <c r="D4" s="119"/>
      <c r="E4" s="119"/>
      <c r="F4" s="119"/>
      <c r="G4" s="119"/>
      <c r="H4" s="119"/>
      <c r="I4" s="119"/>
      <c r="J4" s="122"/>
      <c r="K4" s="123"/>
    </row>
    <row r="5" spans="1:11" s="110" customFormat="1" ht="116">
      <c r="A5" s="124"/>
      <c r="B5" s="125" t="s">
        <v>314</v>
      </c>
      <c r="C5" s="125"/>
      <c r="D5" s="119"/>
      <c r="E5" s="119"/>
      <c r="F5" s="119"/>
      <c r="G5" s="119"/>
      <c r="H5" s="119"/>
      <c r="I5" s="119"/>
      <c r="J5" s="122"/>
      <c r="K5" s="123"/>
    </row>
    <row r="6" spans="1:11" s="110" customFormat="1" ht="43.5">
      <c r="A6" s="124"/>
      <c r="B6" s="125" t="s">
        <v>315</v>
      </c>
      <c r="C6" s="125"/>
      <c r="D6" s="119"/>
      <c r="E6" s="119"/>
      <c r="F6" s="119"/>
      <c r="G6" s="119"/>
      <c r="H6" s="119"/>
      <c r="I6" s="119"/>
      <c r="J6" s="122"/>
      <c r="K6" s="123"/>
    </row>
    <row r="7" spans="1:11" s="110" customFormat="1">
      <c r="A7" s="124"/>
      <c r="B7" s="125" t="s">
        <v>316</v>
      </c>
      <c r="C7" s="125"/>
      <c r="D7" s="119"/>
      <c r="E7" s="119"/>
      <c r="F7" s="119"/>
      <c r="G7" s="119"/>
      <c r="H7" s="119"/>
      <c r="I7" s="119"/>
      <c r="J7" s="122"/>
      <c r="K7" s="123"/>
    </row>
    <row r="8" spans="1:11" s="110" customFormat="1">
      <c r="A8" s="124"/>
      <c r="B8" s="125" t="s">
        <v>317</v>
      </c>
      <c r="C8" s="125"/>
      <c r="D8" s="119"/>
      <c r="E8" s="119"/>
      <c r="F8" s="119"/>
      <c r="G8" s="119"/>
      <c r="H8" s="119"/>
      <c r="I8" s="119"/>
      <c r="J8" s="122"/>
      <c r="K8" s="123"/>
    </row>
    <row r="9" spans="1:11" s="110" customFormat="1">
      <c r="A9" s="124"/>
      <c r="B9" s="125" t="s">
        <v>318</v>
      </c>
      <c r="C9" s="125"/>
      <c r="D9" s="119"/>
      <c r="E9" s="119"/>
      <c r="F9" s="119"/>
      <c r="G9" s="119"/>
      <c r="H9" s="119"/>
      <c r="I9" s="119"/>
      <c r="J9" s="122"/>
      <c r="K9" s="123"/>
    </row>
    <row r="10" spans="1:11" s="110" customFormat="1">
      <c r="A10" s="124"/>
      <c r="B10" s="125" t="s">
        <v>319</v>
      </c>
      <c r="C10" s="125"/>
      <c r="D10" s="119"/>
      <c r="E10" s="119"/>
      <c r="F10" s="119"/>
      <c r="G10" s="119"/>
      <c r="H10" s="119"/>
      <c r="I10" s="119"/>
      <c r="J10" s="122"/>
      <c r="K10" s="123"/>
    </row>
    <row r="11" spans="1:11" s="110" customFormat="1">
      <c r="A11" s="124"/>
      <c r="B11" s="125" t="s">
        <v>320</v>
      </c>
      <c r="C11" s="125"/>
      <c r="D11" s="119"/>
      <c r="E11" s="119"/>
      <c r="F11" s="119"/>
      <c r="G11" s="119"/>
      <c r="H11" s="119"/>
      <c r="I11" s="119"/>
      <c r="J11" s="122"/>
      <c r="K11" s="123"/>
    </row>
    <row r="12" spans="1:11" s="110" customFormat="1">
      <c r="A12" s="124" t="s">
        <v>321</v>
      </c>
      <c r="B12" s="125" t="s">
        <v>322</v>
      </c>
      <c r="C12" s="125"/>
      <c r="D12" s="122">
        <v>510</v>
      </c>
      <c r="E12" s="122"/>
      <c r="F12" s="122"/>
      <c r="G12" s="119" t="s">
        <v>323</v>
      </c>
      <c r="H12" s="119"/>
      <c r="I12" s="119"/>
      <c r="J12" s="122">
        <v>0</v>
      </c>
      <c r="K12" s="123">
        <f>J12*D12</f>
        <v>0</v>
      </c>
    </row>
    <row r="13" spans="1:11" s="110" customFormat="1">
      <c r="A13" s="124" t="s">
        <v>324</v>
      </c>
      <c r="B13" s="125" t="s">
        <v>325</v>
      </c>
      <c r="C13" s="125"/>
      <c r="D13" s="122">
        <v>1950</v>
      </c>
      <c r="E13" s="122"/>
      <c r="F13" s="122"/>
      <c r="G13" s="119" t="s">
        <v>323</v>
      </c>
      <c r="H13" s="119"/>
      <c r="I13" s="119"/>
      <c r="J13" s="122">
        <v>0</v>
      </c>
      <c r="K13" s="123">
        <f>J13*D13</f>
        <v>0</v>
      </c>
    </row>
    <row r="14" spans="1:11" s="110" customFormat="1">
      <c r="A14" s="124" t="s">
        <v>326</v>
      </c>
      <c r="B14" s="125" t="s">
        <v>327</v>
      </c>
      <c r="C14" s="125"/>
      <c r="D14" s="122">
        <v>110</v>
      </c>
      <c r="E14" s="122"/>
      <c r="F14" s="122"/>
      <c r="G14" s="119" t="s">
        <v>323</v>
      </c>
      <c r="H14" s="119"/>
      <c r="I14" s="119"/>
      <c r="J14" s="122">
        <v>0</v>
      </c>
      <c r="K14" s="123">
        <f>J14*D14</f>
        <v>0</v>
      </c>
    </row>
    <row r="15" spans="1:11" s="131" customFormat="1" ht="43.5">
      <c r="A15" s="126">
        <v>1.2</v>
      </c>
      <c r="B15" s="127" t="s">
        <v>328</v>
      </c>
      <c r="C15" s="127"/>
      <c r="D15" s="128" t="s">
        <v>15</v>
      </c>
      <c r="E15" s="128"/>
      <c r="F15" s="128"/>
      <c r="G15" s="128" t="s">
        <v>192</v>
      </c>
      <c r="H15" s="128"/>
      <c r="I15" s="128"/>
      <c r="J15" s="129">
        <v>0</v>
      </c>
      <c r="K15" s="130"/>
    </row>
    <row r="16" spans="1:11">
      <c r="A16" s="117"/>
      <c r="B16" s="125"/>
      <c r="C16" s="125"/>
      <c r="D16" s="119"/>
      <c r="E16" s="119"/>
      <c r="F16" s="119"/>
      <c r="G16" s="119"/>
      <c r="H16" s="119"/>
      <c r="I16" s="119"/>
      <c r="J16" s="122"/>
      <c r="K16" s="123"/>
    </row>
    <row r="17" spans="1:11">
      <c r="A17" s="121">
        <f>A4+1</f>
        <v>2</v>
      </c>
      <c r="B17" s="133" t="s">
        <v>329</v>
      </c>
      <c r="C17" s="133"/>
      <c r="D17" s="133"/>
      <c r="E17" s="133"/>
      <c r="F17" s="133"/>
      <c r="G17" s="133"/>
      <c r="H17" s="133"/>
      <c r="I17" s="133"/>
      <c r="J17" s="134"/>
      <c r="K17" s="134"/>
    </row>
    <row r="18" spans="1:11" ht="141.75" customHeight="1">
      <c r="A18" s="124"/>
      <c r="B18" s="135" t="s">
        <v>330</v>
      </c>
      <c r="C18" s="135"/>
      <c r="D18" s="122"/>
      <c r="E18" s="122"/>
      <c r="F18" s="122"/>
      <c r="G18" s="119"/>
      <c r="H18" s="119"/>
      <c r="I18" s="119"/>
      <c r="J18" s="134"/>
      <c r="K18" s="134"/>
    </row>
    <row r="19" spans="1:11" ht="30.75" customHeight="1">
      <c r="A19" s="124"/>
      <c r="B19" s="135" t="s">
        <v>331</v>
      </c>
      <c r="C19" s="135"/>
      <c r="D19" s="122"/>
      <c r="E19" s="122"/>
      <c r="F19" s="122"/>
      <c r="G19" s="119"/>
      <c r="H19" s="119"/>
      <c r="I19" s="119"/>
      <c r="J19" s="134"/>
      <c r="K19" s="134"/>
    </row>
    <row r="20" spans="1:11">
      <c r="A20" s="124" t="s">
        <v>321</v>
      </c>
      <c r="B20" s="125" t="s">
        <v>332</v>
      </c>
      <c r="C20" s="125"/>
      <c r="D20" s="122">
        <v>0</v>
      </c>
      <c r="E20" s="122"/>
      <c r="F20" s="122"/>
      <c r="G20" s="119" t="s">
        <v>333</v>
      </c>
      <c r="H20" s="119"/>
      <c r="I20" s="119"/>
      <c r="J20" s="122">
        <v>0</v>
      </c>
      <c r="K20" s="134">
        <f>D20*J20</f>
        <v>0</v>
      </c>
    </row>
    <row r="21" spans="1:11">
      <c r="A21" s="124" t="s">
        <v>324</v>
      </c>
      <c r="B21" s="125" t="s">
        <v>334</v>
      </c>
      <c r="C21" s="125"/>
      <c r="D21" s="122">
        <v>0</v>
      </c>
      <c r="E21" s="122"/>
      <c r="F21" s="122"/>
      <c r="G21" s="119" t="s">
        <v>333</v>
      </c>
      <c r="H21" s="119"/>
      <c r="I21" s="119"/>
      <c r="J21" s="122">
        <v>0</v>
      </c>
      <c r="K21" s="134">
        <f>D21*J21</f>
        <v>0</v>
      </c>
    </row>
    <row r="22" spans="1:11">
      <c r="A22" s="124"/>
      <c r="B22" s="125"/>
      <c r="C22" s="125"/>
      <c r="D22" s="122"/>
      <c r="E22" s="122"/>
      <c r="F22" s="122"/>
      <c r="G22" s="119"/>
      <c r="H22" s="119"/>
      <c r="I22" s="119"/>
      <c r="J22" s="122"/>
      <c r="K22" s="134"/>
    </row>
    <row r="23" spans="1:11">
      <c r="A23" s="121">
        <f>A17+0.1</f>
        <v>2.1</v>
      </c>
      <c r="B23" s="118" t="s">
        <v>335</v>
      </c>
      <c r="C23" s="118"/>
      <c r="D23" s="119"/>
      <c r="E23" s="119"/>
      <c r="F23" s="119"/>
      <c r="G23" s="119"/>
      <c r="H23" s="119"/>
      <c r="I23" s="119"/>
      <c r="J23" s="122"/>
      <c r="K23" s="123"/>
    </row>
    <row r="24" spans="1:11" ht="48" customHeight="1">
      <c r="A24" s="136"/>
      <c r="B24" s="137" t="s">
        <v>336</v>
      </c>
      <c r="C24" s="137"/>
      <c r="D24" s="138">
        <v>25</v>
      </c>
      <c r="E24" s="138"/>
      <c r="F24" s="138"/>
      <c r="G24" s="139" t="s">
        <v>323</v>
      </c>
      <c r="H24" s="139"/>
      <c r="I24" s="139"/>
      <c r="J24" s="140">
        <v>0</v>
      </c>
      <c r="K24" s="141">
        <f>J24*D24</f>
        <v>0</v>
      </c>
    </row>
    <row r="25" spans="1:11">
      <c r="A25" s="124"/>
      <c r="B25" s="125"/>
      <c r="C25" s="125"/>
      <c r="D25" s="119"/>
      <c r="E25" s="119"/>
      <c r="F25" s="119"/>
      <c r="G25" s="119"/>
      <c r="H25" s="119"/>
      <c r="I25" s="119"/>
      <c r="J25" s="142"/>
      <c r="K25" s="123"/>
    </row>
    <row r="26" spans="1:11">
      <c r="A26" s="121">
        <f>A17+1</f>
        <v>3</v>
      </c>
      <c r="B26" s="118" t="s">
        <v>337</v>
      </c>
      <c r="C26" s="118"/>
      <c r="D26" s="119"/>
      <c r="E26" s="119"/>
      <c r="F26" s="119"/>
      <c r="G26" s="119"/>
      <c r="H26" s="119"/>
      <c r="I26" s="119"/>
      <c r="J26" s="122"/>
      <c r="K26" s="123"/>
    </row>
    <row r="27" spans="1:11" ht="101.5">
      <c r="A27" s="143"/>
      <c r="B27" s="125" t="s">
        <v>338</v>
      </c>
      <c r="C27" s="125"/>
      <c r="D27" s="122">
        <v>15</v>
      </c>
      <c r="E27" s="122"/>
      <c r="F27" s="122"/>
      <c r="G27" s="119" t="s">
        <v>323</v>
      </c>
      <c r="H27" s="119"/>
      <c r="I27" s="119"/>
      <c r="J27" s="122">
        <v>0</v>
      </c>
      <c r="K27" s="123">
        <f>J27*D27</f>
        <v>0</v>
      </c>
    </row>
    <row r="28" spans="1:11">
      <c r="A28" s="143"/>
      <c r="B28" s="125"/>
      <c r="C28" s="125"/>
      <c r="D28" s="119"/>
      <c r="E28" s="119"/>
      <c r="F28" s="119"/>
      <c r="G28" s="119"/>
      <c r="H28" s="119"/>
      <c r="I28" s="119"/>
      <c r="J28" s="122"/>
      <c r="K28" s="123"/>
    </row>
    <row r="29" spans="1:11">
      <c r="A29" s="121">
        <v>3.1</v>
      </c>
      <c r="B29" s="144" t="s">
        <v>339</v>
      </c>
      <c r="C29" s="144"/>
      <c r="D29" s="145"/>
      <c r="E29" s="145"/>
      <c r="F29" s="145"/>
      <c r="G29" s="145"/>
      <c r="H29" s="145"/>
      <c r="I29" s="145"/>
      <c r="J29" s="122"/>
      <c r="K29" s="123"/>
    </row>
    <row r="30" spans="1:11" ht="58">
      <c r="A30" s="117"/>
      <c r="B30" s="146" t="s">
        <v>340</v>
      </c>
      <c r="C30" s="146"/>
      <c r="D30" s="122">
        <v>15</v>
      </c>
      <c r="E30" s="122"/>
      <c r="F30" s="122"/>
      <c r="G30" s="119" t="s">
        <v>323</v>
      </c>
      <c r="H30" s="119"/>
      <c r="I30" s="119"/>
      <c r="J30" s="122">
        <v>0</v>
      </c>
      <c r="K30" s="123">
        <f>J30*D30</f>
        <v>0</v>
      </c>
    </row>
    <row r="31" spans="1:11">
      <c r="A31" s="117"/>
      <c r="B31" s="146"/>
      <c r="C31" s="146"/>
      <c r="D31" s="145"/>
      <c r="E31" s="145"/>
      <c r="F31" s="145"/>
      <c r="G31" s="119"/>
      <c r="H31" s="119"/>
      <c r="I31" s="119"/>
      <c r="J31" s="122"/>
      <c r="K31" s="123"/>
    </row>
    <row r="32" spans="1:11">
      <c r="A32" s="121">
        <f>A26+1</f>
        <v>4</v>
      </c>
      <c r="B32" s="118" t="s">
        <v>341</v>
      </c>
      <c r="C32" s="118"/>
      <c r="D32" s="119"/>
      <c r="E32" s="119"/>
      <c r="F32" s="119"/>
      <c r="G32" s="119"/>
      <c r="H32" s="119"/>
      <c r="I32" s="119"/>
      <c r="J32" s="122"/>
      <c r="K32" s="123"/>
    </row>
    <row r="33" spans="1:11" s="149" customFormat="1">
      <c r="A33" s="121">
        <v>4.0999999999999996</v>
      </c>
      <c r="B33" s="118" t="s">
        <v>342</v>
      </c>
      <c r="C33" s="118"/>
      <c r="D33" s="147"/>
      <c r="E33" s="147"/>
      <c r="F33" s="147"/>
      <c r="G33" s="147"/>
      <c r="H33" s="147"/>
      <c r="I33" s="147"/>
      <c r="J33" s="122"/>
      <c r="K33" s="148"/>
    </row>
    <row r="34" spans="1:11" ht="77.25" customHeight="1">
      <c r="A34" s="124"/>
      <c r="B34" s="146" t="s">
        <v>343</v>
      </c>
      <c r="C34" s="146"/>
      <c r="D34" s="145"/>
      <c r="E34" s="145"/>
      <c r="F34" s="145"/>
      <c r="G34" s="145"/>
      <c r="H34" s="145"/>
      <c r="I34" s="145"/>
      <c r="J34" s="122"/>
      <c r="K34" s="123"/>
    </row>
    <row r="35" spans="1:11" ht="43.5">
      <c r="A35" s="124"/>
      <c r="B35" s="146" t="s">
        <v>344</v>
      </c>
      <c r="C35" s="146"/>
      <c r="D35" s="145"/>
      <c r="E35" s="145"/>
      <c r="F35" s="145"/>
      <c r="G35" s="145"/>
      <c r="H35" s="145"/>
      <c r="I35" s="145"/>
      <c r="J35" s="122"/>
      <c r="K35" s="123"/>
    </row>
    <row r="36" spans="1:11" ht="43.5">
      <c r="A36" s="124"/>
      <c r="B36" s="146" t="s">
        <v>345</v>
      </c>
      <c r="C36" s="146"/>
      <c r="D36" s="145"/>
      <c r="E36" s="145"/>
      <c r="F36" s="145"/>
      <c r="G36" s="145"/>
      <c r="H36" s="145"/>
      <c r="I36" s="145"/>
      <c r="J36" s="122"/>
      <c r="K36" s="123"/>
    </row>
    <row r="37" spans="1:11" ht="29">
      <c r="A37" s="124"/>
      <c r="B37" s="146" t="s">
        <v>346</v>
      </c>
      <c r="C37" s="146"/>
      <c r="D37" s="122">
        <v>0</v>
      </c>
      <c r="E37" s="122"/>
      <c r="F37" s="122"/>
      <c r="G37" s="119" t="s">
        <v>323</v>
      </c>
      <c r="H37" s="119"/>
      <c r="I37" s="119"/>
      <c r="J37" s="122">
        <v>0</v>
      </c>
      <c r="K37" s="123"/>
    </row>
    <row r="38" spans="1:11">
      <c r="A38" s="124"/>
      <c r="B38" s="146"/>
      <c r="C38" s="146"/>
      <c r="D38" s="122"/>
      <c r="E38" s="122"/>
      <c r="F38" s="122"/>
      <c r="G38" s="119"/>
      <c r="H38" s="119"/>
      <c r="I38" s="119"/>
      <c r="J38" s="122"/>
      <c r="K38" s="123"/>
    </row>
    <row r="39" spans="1:11" ht="63.75" customHeight="1">
      <c r="A39" s="121">
        <f>A33+0.1</f>
        <v>4.1999999999999993</v>
      </c>
      <c r="B39" s="150" t="s">
        <v>347</v>
      </c>
      <c r="C39" s="150"/>
      <c r="D39" s="122">
        <v>20</v>
      </c>
      <c r="E39" s="122"/>
      <c r="F39" s="122"/>
      <c r="G39" s="119" t="s">
        <v>323</v>
      </c>
      <c r="H39" s="119"/>
      <c r="I39" s="119"/>
      <c r="J39" s="122">
        <v>0</v>
      </c>
      <c r="K39" s="123">
        <f>J39*D39</f>
        <v>0</v>
      </c>
    </row>
    <row r="40" spans="1:11">
      <c r="A40" s="121"/>
      <c r="B40" s="150"/>
      <c r="C40" s="150"/>
      <c r="D40" s="122"/>
      <c r="E40" s="122"/>
      <c r="F40" s="122"/>
      <c r="G40" s="119"/>
      <c r="H40" s="119"/>
      <c r="I40" s="119"/>
      <c r="J40" s="122"/>
      <c r="K40" s="123"/>
    </row>
    <row r="41" spans="1:11">
      <c r="A41" s="121">
        <v>4.3</v>
      </c>
      <c r="B41" s="118" t="s">
        <v>348</v>
      </c>
      <c r="C41" s="118"/>
      <c r="D41" s="145"/>
      <c r="E41" s="145"/>
      <c r="F41" s="145"/>
      <c r="G41" s="145"/>
      <c r="H41" s="145"/>
      <c r="I41" s="145"/>
      <c r="J41" s="122"/>
      <c r="K41" s="123"/>
    </row>
    <row r="42" spans="1:11" ht="33.75" customHeight="1">
      <c r="A42" s="124"/>
      <c r="B42" s="146" t="s">
        <v>349</v>
      </c>
      <c r="C42" s="146"/>
      <c r="D42" s="145"/>
      <c r="E42" s="145"/>
      <c r="F42" s="145"/>
      <c r="G42" s="145"/>
      <c r="H42" s="145"/>
      <c r="I42" s="145"/>
      <c r="J42" s="122"/>
      <c r="K42" s="123"/>
    </row>
    <row r="43" spans="1:11" ht="165.75" customHeight="1">
      <c r="A43" s="136"/>
      <c r="B43" s="151" t="s">
        <v>350</v>
      </c>
      <c r="C43" s="151"/>
      <c r="D43" s="138">
        <v>20</v>
      </c>
      <c r="E43" s="138"/>
      <c r="F43" s="138"/>
      <c r="G43" s="152" t="s">
        <v>351</v>
      </c>
      <c r="H43" s="152"/>
      <c r="I43" s="152"/>
      <c r="J43" s="138">
        <v>0</v>
      </c>
      <c r="K43" s="141">
        <f>J43*D43</f>
        <v>0</v>
      </c>
    </row>
    <row r="44" spans="1:11">
      <c r="A44" s="124"/>
      <c r="B44" s="146"/>
      <c r="C44" s="146"/>
      <c r="D44" s="122"/>
      <c r="E44" s="122"/>
      <c r="F44" s="122"/>
      <c r="G44" s="145"/>
      <c r="H44" s="145"/>
      <c r="I44" s="145"/>
      <c r="J44" s="122"/>
      <c r="K44" s="123"/>
    </row>
    <row r="45" spans="1:11">
      <c r="A45" s="121">
        <f>+A32+1</f>
        <v>5</v>
      </c>
      <c r="B45" s="118" t="s">
        <v>352</v>
      </c>
      <c r="C45" s="118"/>
      <c r="D45" s="119"/>
      <c r="E45" s="119"/>
      <c r="F45" s="119"/>
      <c r="G45" s="119"/>
      <c r="H45" s="119"/>
      <c r="I45" s="119"/>
      <c r="J45" s="122"/>
      <c r="K45" s="123"/>
    </row>
    <row r="46" spans="1:11" ht="29">
      <c r="A46" s="124"/>
      <c r="B46" s="125" t="s">
        <v>353</v>
      </c>
      <c r="C46" s="125"/>
      <c r="D46" s="119"/>
      <c r="E46" s="119"/>
      <c r="F46" s="119"/>
      <c r="G46" s="119"/>
      <c r="H46" s="119"/>
      <c r="I46" s="119"/>
      <c r="J46" s="122"/>
      <c r="K46" s="123"/>
    </row>
    <row r="47" spans="1:11" ht="29">
      <c r="A47" s="121">
        <f>A45+0.1</f>
        <v>5.0999999999999996</v>
      </c>
      <c r="B47" s="118" t="s">
        <v>354</v>
      </c>
      <c r="C47" s="118"/>
      <c r="D47" s="145"/>
      <c r="E47" s="145"/>
      <c r="F47" s="145"/>
      <c r="G47" s="145"/>
      <c r="H47" s="145"/>
      <c r="I47" s="145"/>
      <c r="J47" s="122"/>
      <c r="K47" s="123"/>
    </row>
    <row r="48" spans="1:11">
      <c r="A48" s="124" t="s">
        <v>355</v>
      </c>
      <c r="B48" s="125" t="s">
        <v>356</v>
      </c>
      <c r="C48" s="125"/>
      <c r="D48" s="145"/>
      <c r="E48" s="145"/>
      <c r="F48" s="145"/>
      <c r="G48" s="145"/>
      <c r="H48" s="145"/>
      <c r="I48" s="145"/>
      <c r="J48" s="122"/>
      <c r="K48" s="123"/>
    </row>
    <row r="49" spans="1:11" ht="101.5">
      <c r="A49" s="124"/>
      <c r="B49" s="125" t="s">
        <v>357</v>
      </c>
      <c r="C49" s="125"/>
      <c r="D49" s="145"/>
      <c r="E49" s="145"/>
      <c r="F49" s="145"/>
      <c r="G49" s="145"/>
      <c r="H49" s="145"/>
      <c r="I49" s="145"/>
      <c r="J49" s="122"/>
      <c r="K49" s="123"/>
    </row>
    <row r="50" spans="1:11" ht="29">
      <c r="A50" s="136"/>
      <c r="B50" s="137" t="s">
        <v>358</v>
      </c>
      <c r="C50" s="137"/>
      <c r="D50" s="152"/>
      <c r="E50" s="152"/>
      <c r="F50" s="152"/>
      <c r="G50" s="152"/>
      <c r="H50" s="152"/>
      <c r="I50" s="152"/>
      <c r="J50" s="138"/>
      <c r="K50" s="141"/>
    </row>
    <row r="51" spans="1:11">
      <c r="A51" s="124" t="s">
        <v>321</v>
      </c>
      <c r="B51" s="125" t="s">
        <v>359</v>
      </c>
      <c r="C51" s="125"/>
      <c r="D51" s="122">
        <v>0</v>
      </c>
      <c r="E51" s="122"/>
      <c r="F51" s="122"/>
      <c r="G51" s="145" t="s">
        <v>360</v>
      </c>
      <c r="H51" s="145"/>
      <c r="I51" s="145"/>
      <c r="J51" s="122">
        <v>0</v>
      </c>
      <c r="K51" s="123"/>
    </row>
    <row r="52" spans="1:11">
      <c r="A52" s="124" t="s">
        <v>324</v>
      </c>
      <c r="B52" s="125" t="s">
        <v>361</v>
      </c>
      <c r="C52" s="125"/>
      <c r="D52" s="122">
        <v>0</v>
      </c>
      <c r="E52" s="122"/>
      <c r="F52" s="122"/>
      <c r="G52" s="145" t="s">
        <v>360</v>
      </c>
      <c r="H52" s="145"/>
      <c r="I52" s="145"/>
      <c r="J52" s="122">
        <v>0</v>
      </c>
      <c r="K52" s="123"/>
    </row>
    <row r="53" spans="1:11">
      <c r="A53" s="124" t="s">
        <v>326</v>
      </c>
      <c r="B53" s="125" t="s">
        <v>362</v>
      </c>
      <c r="C53" s="125"/>
      <c r="D53" s="122">
        <v>0</v>
      </c>
      <c r="E53" s="122"/>
      <c r="F53" s="122"/>
      <c r="G53" s="145" t="s">
        <v>360</v>
      </c>
      <c r="H53" s="145"/>
      <c r="I53" s="145"/>
      <c r="J53" s="122">
        <v>0</v>
      </c>
      <c r="K53" s="123">
        <f>D53*J53</f>
        <v>0</v>
      </c>
    </row>
    <row r="54" spans="1:11">
      <c r="A54" s="124" t="s">
        <v>363</v>
      </c>
      <c r="B54" s="125" t="s">
        <v>364</v>
      </c>
      <c r="C54" s="125"/>
      <c r="D54" s="122">
        <v>0</v>
      </c>
      <c r="E54" s="122"/>
      <c r="F54" s="122"/>
      <c r="G54" s="145" t="s">
        <v>360</v>
      </c>
      <c r="H54" s="145"/>
      <c r="I54" s="145"/>
      <c r="J54" s="122">
        <v>0</v>
      </c>
      <c r="K54" s="134">
        <f>D54*J54</f>
        <v>0</v>
      </c>
    </row>
    <row r="55" spans="1:11">
      <c r="A55" s="124" t="s">
        <v>365</v>
      </c>
      <c r="B55" s="125" t="s">
        <v>366</v>
      </c>
      <c r="C55" s="125"/>
      <c r="D55" s="145"/>
      <c r="E55" s="145"/>
      <c r="F55" s="145"/>
      <c r="G55" s="145"/>
      <c r="H55" s="145"/>
      <c r="I55" s="145"/>
      <c r="J55" s="122"/>
      <c r="K55" s="123"/>
    </row>
    <row r="56" spans="1:11">
      <c r="A56" s="124"/>
      <c r="B56" s="125" t="s">
        <v>367</v>
      </c>
      <c r="C56" s="125"/>
      <c r="D56" s="145"/>
      <c r="E56" s="145"/>
      <c r="F56" s="145"/>
      <c r="G56" s="145"/>
      <c r="H56" s="145"/>
      <c r="I56" s="145"/>
      <c r="J56" s="122"/>
      <c r="K56" s="123"/>
    </row>
    <row r="57" spans="1:11" ht="43.5">
      <c r="A57" s="124"/>
      <c r="B57" s="125" t="s">
        <v>368</v>
      </c>
      <c r="C57" s="125"/>
      <c r="D57" s="145"/>
      <c r="E57" s="145"/>
      <c r="F57" s="145"/>
      <c r="G57" s="145"/>
      <c r="H57" s="145"/>
      <c r="I57" s="145"/>
      <c r="J57" s="122"/>
      <c r="K57" s="123"/>
    </row>
    <row r="58" spans="1:11" ht="58">
      <c r="A58" s="124"/>
      <c r="B58" s="125" t="s">
        <v>369</v>
      </c>
      <c r="C58" s="125"/>
      <c r="D58" s="145"/>
      <c r="E58" s="145"/>
      <c r="F58" s="145"/>
      <c r="G58" s="145"/>
      <c r="H58" s="145"/>
      <c r="I58" s="145"/>
      <c r="J58" s="122"/>
      <c r="K58" s="123"/>
    </row>
    <row r="59" spans="1:11">
      <c r="A59" s="124" t="s">
        <v>321</v>
      </c>
      <c r="B59" s="125" t="s">
        <v>370</v>
      </c>
      <c r="C59" s="125"/>
      <c r="D59" s="122">
        <v>0</v>
      </c>
      <c r="E59" s="122"/>
      <c r="F59" s="122"/>
      <c r="G59" s="145" t="s">
        <v>360</v>
      </c>
      <c r="H59" s="145"/>
      <c r="I59" s="145"/>
      <c r="J59" s="122">
        <v>0</v>
      </c>
      <c r="K59" s="123">
        <f t="shared" ref="K59:K64" si="0">D59*J59</f>
        <v>0</v>
      </c>
    </row>
    <row r="60" spans="1:11">
      <c r="A60" s="124" t="s">
        <v>324</v>
      </c>
      <c r="B60" s="125" t="s">
        <v>371</v>
      </c>
      <c r="C60" s="125"/>
      <c r="D60" s="122">
        <v>0</v>
      </c>
      <c r="E60" s="122"/>
      <c r="F60" s="122"/>
      <c r="G60" s="145" t="s">
        <v>360</v>
      </c>
      <c r="H60" s="145"/>
      <c r="I60" s="145"/>
      <c r="J60" s="122">
        <v>0</v>
      </c>
      <c r="K60" s="123">
        <f t="shared" si="0"/>
        <v>0</v>
      </c>
    </row>
    <row r="61" spans="1:11">
      <c r="A61" s="124" t="s">
        <v>326</v>
      </c>
      <c r="B61" s="125" t="s">
        <v>372</v>
      </c>
      <c r="C61" s="125"/>
      <c r="D61" s="122">
        <v>0</v>
      </c>
      <c r="E61" s="122"/>
      <c r="F61" s="122"/>
      <c r="G61" s="145" t="s">
        <v>360</v>
      </c>
      <c r="H61" s="145"/>
      <c r="I61" s="145"/>
      <c r="J61" s="122">
        <v>0</v>
      </c>
      <c r="K61" s="123">
        <f t="shared" si="0"/>
        <v>0</v>
      </c>
    </row>
    <row r="62" spans="1:11">
      <c r="A62" s="124" t="s">
        <v>363</v>
      </c>
      <c r="B62" s="125" t="s">
        <v>373</v>
      </c>
      <c r="C62" s="125"/>
      <c r="D62" s="122">
        <v>20</v>
      </c>
      <c r="E62" s="122"/>
      <c r="F62" s="122"/>
      <c r="G62" s="145" t="s">
        <v>360</v>
      </c>
      <c r="H62" s="145"/>
      <c r="I62" s="145"/>
      <c r="J62" s="122">
        <v>0</v>
      </c>
      <c r="K62" s="123">
        <f t="shared" si="0"/>
        <v>0</v>
      </c>
    </row>
    <row r="63" spans="1:11">
      <c r="A63" s="124" t="s">
        <v>374</v>
      </c>
      <c r="B63" s="125" t="s">
        <v>375</v>
      </c>
      <c r="C63" s="125"/>
      <c r="D63" s="122">
        <v>4</v>
      </c>
      <c r="E63" s="122"/>
      <c r="F63" s="122"/>
      <c r="G63" s="145" t="s">
        <v>360</v>
      </c>
      <c r="H63" s="145"/>
      <c r="I63" s="145"/>
      <c r="J63" s="122">
        <v>0</v>
      </c>
      <c r="K63" s="123">
        <f t="shared" si="0"/>
        <v>0</v>
      </c>
    </row>
    <row r="64" spans="1:11">
      <c r="A64" s="124" t="s">
        <v>376</v>
      </c>
      <c r="B64" s="125" t="s">
        <v>377</v>
      </c>
      <c r="C64" s="125"/>
      <c r="D64" s="122">
        <v>11</v>
      </c>
      <c r="E64" s="122"/>
      <c r="F64" s="122"/>
      <c r="G64" s="145" t="s">
        <v>323</v>
      </c>
      <c r="H64" s="145"/>
      <c r="I64" s="145"/>
      <c r="J64" s="122">
        <v>0</v>
      </c>
      <c r="K64" s="123">
        <f t="shared" si="0"/>
        <v>0</v>
      </c>
    </row>
    <row r="65" spans="1:11">
      <c r="A65" s="124" t="s">
        <v>378</v>
      </c>
      <c r="B65" s="125" t="s">
        <v>379</v>
      </c>
      <c r="C65" s="125"/>
      <c r="D65" s="145"/>
      <c r="E65" s="145"/>
      <c r="F65" s="145"/>
      <c r="G65" s="145"/>
      <c r="H65" s="145"/>
      <c r="I65" s="145"/>
      <c r="J65" s="122"/>
      <c r="K65" s="123"/>
    </row>
    <row r="66" spans="1:11" ht="58">
      <c r="A66" s="124"/>
      <c r="B66" s="125" t="s">
        <v>380</v>
      </c>
      <c r="C66" s="125"/>
      <c r="D66" s="145"/>
      <c r="E66" s="145"/>
      <c r="F66" s="145"/>
      <c r="G66" s="145"/>
      <c r="H66" s="145"/>
      <c r="I66" s="145"/>
      <c r="J66" s="122"/>
      <c r="K66" s="123"/>
    </row>
    <row r="67" spans="1:11">
      <c r="A67" s="124" t="s">
        <v>321</v>
      </c>
      <c r="B67" s="125" t="s">
        <v>381</v>
      </c>
      <c r="C67" s="125"/>
      <c r="D67" s="122">
        <v>45</v>
      </c>
      <c r="E67" s="122"/>
      <c r="F67" s="122"/>
      <c r="G67" s="145" t="s">
        <v>333</v>
      </c>
      <c r="H67" s="145"/>
      <c r="I67" s="145"/>
      <c r="J67" s="122">
        <v>0</v>
      </c>
      <c r="K67" s="123">
        <f>D67*J67</f>
        <v>0</v>
      </c>
    </row>
    <row r="68" spans="1:11">
      <c r="A68" s="124" t="s">
        <v>321</v>
      </c>
      <c r="B68" s="125" t="s">
        <v>382</v>
      </c>
      <c r="C68" s="125"/>
      <c r="D68" s="122">
        <v>0</v>
      </c>
      <c r="E68" s="122"/>
      <c r="F68" s="122"/>
      <c r="G68" s="145" t="s">
        <v>333</v>
      </c>
      <c r="H68" s="145"/>
      <c r="I68" s="145"/>
      <c r="J68" s="122">
        <v>0</v>
      </c>
      <c r="K68" s="123">
        <f>D68*J68</f>
        <v>0</v>
      </c>
    </row>
    <row r="69" spans="1:11">
      <c r="A69" s="124" t="s">
        <v>324</v>
      </c>
      <c r="B69" s="125" t="s">
        <v>383</v>
      </c>
      <c r="C69" s="125"/>
      <c r="D69" s="122">
        <v>0</v>
      </c>
      <c r="E69" s="122"/>
      <c r="F69" s="122"/>
      <c r="G69" s="145" t="s">
        <v>333</v>
      </c>
      <c r="H69" s="145"/>
      <c r="I69" s="145"/>
      <c r="J69" s="122">
        <v>0</v>
      </c>
      <c r="K69" s="123"/>
    </row>
    <row r="70" spans="1:11">
      <c r="A70" s="124" t="s">
        <v>326</v>
      </c>
      <c r="B70" s="125" t="s">
        <v>377</v>
      </c>
      <c r="C70" s="125"/>
      <c r="D70" s="122">
        <v>4</v>
      </c>
      <c r="E70" s="122"/>
      <c r="F70" s="122"/>
      <c r="G70" s="145" t="s">
        <v>323</v>
      </c>
      <c r="H70" s="145"/>
      <c r="I70" s="145"/>
      <c r="J70" s="122">
        <v>0</v>
      </c>
      <c r="K70" s="123">
        <f>D70*J70</f>
        <v>0</v>
      </c>
    </row>
    <row r="71" spans="1:11" ht="48" customHeight="1">
      <c r="A71" s="124" t="s">
        <v>384</v>
      </c>
      <c r="B71" s="125" t="s">
        <v>385</v>
      </c>
      <c r="C71" s="125"/>
      <c r="D71" s="122">
        <v>30</v>
      </c>
      <c r="E71" s="122"/>
      <c r="F71" s="122"/>
      <c r="G71" s="145" t="s">
        <v>323</v>
      </c>
      <c r="H71" s="145"/>
      <c r="I71" s="145"/>
      <c r="J71" s="122">
        <v>0</v>
      </c>
      <c r="K71" s="123">
        <f>D71*J71</f>
        <v>0</v>
      </c>
    </row>
    <row r="72" spans="1:11">
      <c r="A72" s="117">
        <v>6.2</v>
      </c>
      <c r="B72" s="118" t="s">
        <v>386</v>
      </c>
      <c r="C72" s="118"/>
      <c r="D72" s="145"/>
      <c r="E72" s="145"/>
      <c r="F72" s="145"/>
      <c r="G72" s="145"/>
      <c r="H72" s="145"/>
      <c r="I72" s="145"/>
      <c r="J72" s="122"/>
      <c r="K72" s="123"/>
    </row>
    <row r="73" spans="1:11">
      <c r="A73" s="124" t="s">
        <v>387</v>
      </c>
      <c r="B73" s="125" t="s">
        <v>388</v>
      </c>
      <c r="C73" s="125"/>
      <c r="D73" s="145"/>
      <c r="E73" s="145"/>
      <c r="F73" s="145"/>
      <c r="G73" s="145"/>
      <c r="H73" s="145"/>
      <c r="I73" s="145"/>
      <c r="J73" s="122"/>
      <c r="K73" s="123"/>
    </row>
    <row r="74" spans="1:11" ht="31">
      <c r="A74" s="124"/>
      <c r="B74" s="125" t="s">
        <v>389</v>
      </c>
      <c r="C74" s="125"/>
      <c r="D74" s="145"/>
      <c r="E74" s="145"/>
      <c r="F74" s="145"/>
      <c r="G74" s="145"/>
      <c r="H74" s="145"/>
      <c r="I74" s="145"/>
      <c r="J74" s="122"/>
      <c r="K74" s="123"/>
    </row>
    <row r="75" spans="1:11">
      <c r="A75" s="124" t="s">
        <v>321</v>
      </c>
      <c r="B75" s="125" t="s">
        <v>390</v>
      </c>
      <c r="C75" s="125"/>
      <c r="D75" s="122">
        <v>0</v>
      </c>
      <c r="E75" s="122"/>
      <c r="F75" s="122"/>
      <c r="G75" s="145" t="s">
        <v>333</v>
      </c>
      <c r="H75" s="145"/>
      <c r="I75" s="145"/>
      <c r="J75" s="122">
        <v>0</v>
      </c>
      <c r="K75" s="123"/>
    </row>
    <row r="76" spans="1:11">
      <c r="A76" s="124" t="s">
        <v>324</v>
      </c>
      <c r="B76" s="125" t="s">
        <v>382</v>
      </c>
      <c r="C76" s="125"/>
      <c r="D76" s="122">
        <v>0</v>
      </c>
      <c r="E76" s="122"/>
      <c r="F76" s="122"/>
      <c r="G76" s="145" t="s">
        <v>333</v>
      </c>
      <c r="H76" s="145"/>
      <c r="I76" s="145"/>
      <c r="J76" s="122">
        <v>0</v>
      </c>
      <c r="K76" s="123">
        <f>D76*J76</f>
        <v>0</v>
      </c>
    </row>
    <row r="77" spans="1:11">
      <c r="A77" s="124" t="s">
        <v>326</v>
      </c>
      <c r="B77" s="125" t="s">
        <v>383</v>
      </c>
      <c r="C77" s="125"/>
      <c r="D77" s="122">
        <v>120</v>
      </c>
      <c r="E77" s="122"/>
      <c r="F77" s="122"/>
      <c r="G77" s="145" t="s">
        <v>333</v>
      </c>
      <c r="H77" s="145"/>
      <c r="I77" s="145"/>
      <c r="J77" s="122">
        <v>0</v>
      </c>
      <c r="K77" s="123">
        <f>D77*J77</f>
        <v>0</v>
      </c>
    </row>
    <row r="78" spans="1:11">
      <c r="A78" s="124" t="s">
        <v>363</v>
      </c>
      <c r="B78" s="125" t="s">
        <v>377</v>
      </c>
      <c r="C78" s="125"/>
      <c r="D78" s="122">
        <v>0</v>
      </c>
      <c r="E78" s="122"/>
      <c r="F78" s="122"/>
      <c r="G78" s="145" t="s">
        <v>323</v>
      </c>
      <c r="H78" s="145"/>
      <c r="I78" s="145"/>
      <c r="J78" s="122">
        <v>0</v>
      </c>
      <c r="K78" s="123">
        <f>D78*J78</f>
        <v>0</v>
      </c>
    </row>
    <row r="79" spans="1:11">
      <c r="A79" s="124" t="s">
        <v>391</v>
      </c>
      <c r="B79" s="125" t="s">
        <v>392</v>
      </c>
      <c r="C79" s="125"/>
      <c r="D79" s="145"/>
      <c r="E79" s="145"/>
      <c r="F79" s="145"/>
      <c r="G79" s="145"/>
      <c r="H79" s="145"/>
      <c r="I79" s="145"/>
      <c r="J79" s="122"/>
      <c r="K79" s="123"/>
    </row>
    <row r="80" spans="1:11" ht="48.75" customHeight="1">
      <c r="A80" s="124"/>
      <c r="B80" s="125" t="s">
        <v>393</v>
      </c>
      <c r="C80" s="125"/>
      <c r="D80" s="145"/>
      <c r="E80" s="145"/>
      <c r="F80" s="145"/>
      <c r="G80" s="145"/>
      <c r="H80" s="145"/>
      <c r="I80" s="145"/>
      <c r="J80" s="122"/>
      <c r="K80" s="123"/>
    </row>
    <row r="81" spans="1:11">
      <c r="A81" s="124" t="s">
        <v>321</v>
      </c>
      <c r="B81" s="125" t="s">
        <v>390</v>
      </c>
      <c r="C81" s="125"/>
      <c r="D81" s="122">
        <v>0</v>
      </c>
      <c r="E81" s="122"/>
      <c r="F81" s="122"/>
      <c r="G81" s="145" t="s">
        <v>333</v>
      </c>
      <c r="H81" s="145"/>
      <c r="I81" s="145"/>
      <c r="J81" s="122">
        <v>0</v>
      </c>
      <c r="K81" s="123"/>
    </row>
    <row r="82" spans="1:11">
      <c r="A82" s="124" t="s">
        <v>324</v>
      </c>
      <c r="B82" s="125" t="s">
        <v>382</v>
      </c>
      <c r="C82" s="125"/>
      <c r="D82" s="122">
        <v>0</v>
      </c>
      <c r="E82" s="122"/>
      <c r="F82" s="122"/>
      <c r="G82" s="145" t="s">
        <v>333</v>
      </c>
      <c r="H82" s="145"/>
      <c r="I82" s="145"/>
      <c r="J82" s="122">
        <v>0</v>
      </c>
      <c r="K82" s="123">
        <f>D82*J82</f>
        <v>0</v>
      </c>
    </row>
    <row r="83" spans="1:11">
      <c r="A83" s="124" t="s">
        <v>326</v>
      </c>
      <c r="B83" s="125" t="s">
        <v>383</v>
      </c>
      <c r="C83" s="125"/>
      <c r="D83" s="122">
        <v>0</v>
      </c>
      <c r="E83" s="122"/>
      <c r="F83" s="122"/>
      <c r="G83" s="145" t="s">
        <v>333</v>
      </c>
      <c r="H83" s="145"/>
      <c r="I83" s="145"/>
      <c r="J83" s="122">
        <v>0</v>
      </c>
      <c r="K83" s="123">
        <f>D83*J83</f>
        <v>0</v>
      </c>
    </row>
    <row r="84" spans="1:11">
      <c r="A84" s="124" t="s">
        <v>363</v>
      </c>
      <c r="B84" s="125" t="s">
        <v>377</v>
      </c>
      <c r="C84" s="125"/>
      <c r="D84" s="122">
        <v>0</v>
      </c>
      <c r="E84" s="122"/>
      <c r="F84" s="122"/>
      <c r="G84" s="145" t="s">
        <v>323</v>
      </c>
      <c r="H84" s="145"/>
      <c r="I84" s="145"/>
      <c r="J84" s="122">
        <v>0</v>
      </c>
      <c r="K84" s="123">
        <f>D84*J84</f>
        <v>0</v>
      </c>
    </row>
    <row r="85" spans="1:11">
      <c r="A85" s="124" t="s">
        <v>394</v>
      </c>
      <c r="B85" s="125" t="s">
        <v>395</v>
      </c>
      <c r="C85" s="125"/>
      <c r="D85" s="145"/>
      <c r="E85" s="145"/>
      <c r="F85" s="145"/>
      <c r="G85" s="145"/>
      <c r="H85" s="145"/>
      <c r="I85" s="145"/>
      <c r="J85" s="122"/>
      <c r="K85" s="123"/>
    </row>
    <row r="86" spans="1:11" ht="58">
      <c r="A86" s="124"/>
      <c r="B86" s="125" t="s">
        <v>396</v>
      </c>
      <c r="C86" s="125"/>
      <c r="D86" s="145"/>
      <c r="E86" s="145"/>
      <c r="F86" s="145"/>
      <c r="G86" s="145"/>
      <c r="H86" s="145"/>
      <c r="I86" s="145"/>
      <c r="J86" s="122"/>
      <c r="K86" s="123"/>
    </row>
    <row r="87" spans="1:11" ht="29">
      <c r="A87" s="136"/>
      <c r="B87" s="137" t="s">
        <v>358</v>
      </c>
      <c r="C87" s="137"/>
      <c r="D87" s="152"/>
      <c r="E87" s="152"/>
      <c r="F87" s="152"/>
      <c r="G87" s="152"/>
      <c r="H87" s="152"/>
      <c r="I87" s="152"/>
      <c r="J87" s="138"/>
      <c r="K87" s="141"/>
    </row>
    <row r="88" spans="1:11" ht="43.5">
      <c r="A88" s="124"/>
      <c r="B88" s="125" t="s">
        <v>397</v>
      </c>
      <c r="C88" s="125"/>
      <c r="D88" s="145"/>
      <c r="E88" s="145"/>
      <c r="F88" s="145"/>
      <c r="G88" s="145"/>
      <c r="H88" s="145"/>
      <c r="I88" s="145"/>
      <c r="J88" s="122"/>
      <c r="K88" s="123"/>
    </row>
    <row r="89" spans="1:11">
      <c r="A89" s="124" t="s">
        <v>321</v>
      </c>
      <c r="B89" s="125" t="s">
        <v>359</v>
      </c>
      <c r="C89" s="125"/>
      <c r="D89" s="122">
        <v>0</v>
      </c>
      <c r="E89" s="122"/>
      <c r="F89" s="122"/>
      <c r="G89" s="145" t="s">
        <v>360</v>
      </c>
      <c r="H89" s="145"/>
      <c r="I89" s="145"/>
      <c r="J89" s="122"/>
      <c r="K89" s="123"/>
    </row>
    <row r="90" spans="1:11">
      <c r="A90" s="124" t="s">
        <v>324</v>
      </c>
      <c r="B90" s="125" t="s">
        <v>361</v>
      </c>
      <c r="C90" s="125"/>
      <c r="D90" s="122">
        <v>0</v>
      </c>
      <c r="E90" s="122"/>
      <c r="F90" s="122"/>
      <c r="G90" s="145" t="s">
        <v>360</v>
      </c>
      <c r="H90" s="145"/>
      <c r="I90" s="145"/>
      <c r="J90" s="122"/>
      <c r="K90" s="123"/>
    </row>
    <row r="91" spans="1:11">
      <c r="A91" s="124" t="s">
        <v>326</v>
      </c>
      <c r="B91" s="125" t="s">
        <v>398</v>
      </c>
      <c r="C91" s="125"/>
      <c r="D91" s="122">
        <v>0</v>
      </c>
      <c r="E91" s="122"/>
      <c r="F91" s="122"/>
      <c r="G91" s="145" t="s">
        <v>360</v>
      </c>
      <c r="H91" s="145"/>
      <c r="I91" s="145"/>
      <c r="J91" s="122"/>
      <c r="K91" s="123"/>
    </row>
    <row r="92" spans="1:11">
      <c r="A92" s="124" t="s">
        <v>363</v>
      </c>
      <c r="B92" s="125" t="s">
        <v>364</v>
      </c>
      <c r="C92" s="125"/>
      <c r="D92" s="122">
        <v>0</v>
      </c>
      <c r="E92" s="122"/>
      <c r="F92" s="122"/>
      <c r="G92" s="145" t="s">
        <v>360</v>
      </c>
      <c r="H92" s="145"/>
      <c r="I92" s="145"/>
      <c r="J92" s="122">
        <v>0</v>
      </c>
      <c r="K92" s="134">
        <f>D92*J92</f>
        <v>0</v>
      </c>
    </row>
    <row r="93" spans="1:11">
      <c r="A93" s="124" t="s">
        <v>394</v>
      </c>
      <c r="B93" s="125" t="s">
        <v>399</v>
      </c>
      <c r="C93" s="125"/>
      <c r="D93" s="145"/>
      <c r="E93" s="145"/>
      <c r="F93" s="145"/>
      <c r="G93" s="145"/>
      <c r="H93" s="145"/>
      <c r="I93" s="145"/>
      <c r="J93" s="122"/>
      <c r="K93" s="123"/>
    </row>
    <row r="94" spans="1:11" ht="58">
      <c r="A94" s="124"/>
      <c r="B94" s="125" t="s">
        <v>396</v>
      </c>
      <c r="C94" s="125"/>
      <c r="D94" s="145"/>
      <c r="E94" s="145"/>
      <c r="F94" s="145"/>
      <c r="G94" s="145"/>
      <c r="H94" s="145"/>
      <c r="I94" s="145"/>
      <c r="J94" s="122"/>
      <c r="K94" s="123"/>
    </row>
    <row r="95" spans="1:11" ht="29">
      <c r="A95" s="124"/>
      <c r="B95" s="125" t="s">
        <v>358</v>
      </c>
      <c r="C95" s="125"/>
      <c r="D95" s="145"/>
      <c r="E95" s="145"/>
      <c r="F95" s="145"/>
      <c r="G95" s="145"/>
      <c r="H95" s="145"/>
      <c r="I95" s="145"/>
      <c r="J95" s="122"/>
      <c r="K95" s="123"/>
    </row>
    <row r="96" spans="1:11">
      <c r="A96" s="124" t="s">
        <v>321</v>
      </c>
      <c r="B96" s="125" t="s">
        <v>359</v>
      </c>
      <c r="C96" s="125"/>
      <c r="D96" s="122">
        <v>0</v>
      </c>
      <c r="E96" s="122"/>
      <c r="F96" s="122"/>
      <c r="G96" s="145" t="s">
        <v>360</v>
      </c>
      <c r="H96" s="145"/>
      <c r="I96" s="145"/>
      <c r="J96" s="122"/>
      <c r="K96" s="123"/>
    </row>
    <row r="97" spans="1:11">
      <c r="A97" s="124" t="s">
        <v>324</v>
      </c>
      <c r="B97" s="125" t="s">
        <v>361</v>
      </c>
      <c r="C97" s="125"/>
      <c r="D97" s="122">
        <v>0</v>
      </c>
      <c r="E97" s="122"/>
      <c r="F97" s="122"/>
      <c r="G97" s="145" t="s">
        <v>360</v>
      </c>
      <c r="H97" s="145"/>
      <c r="I97" s="145"/>
      <c r="J97" s="122"/>
      <c r="K97" s="123"/>
    </row>
    <row r="98" spans="1:11">
      <c r="A98" s="124" t="s">
        <v>326</v>
      </c>
      <c r="B98" s="125" t="s">
        <v>398</v>
      </c>
      <c r="C98" s="125"/>
      <c r="D98" s="122">
        <v>0</v>
      </c>
      <c r="E98" s="122"/>
      <c r="F98" s="122"/>
      <c r="G98" s="145" t="s">
        <v>360</v>
      </c>
      <c r="H98" s="145"/>
      <c r="I98" s="145"/>
      <c r="J98" s="122"/>
      <c r="K98" s="123"/>
    </row>
    <row r="99" spans="1:11">
      <c r="A99" s="124" t="s">
        <v>363</v>
      </c>
      <c r="B99" s="125" t="s">
        <v>364</v>
      </c>
      <c r="C99" s="125"/>
      <c r="D99" s="122">
        <v>0</v>
      </c>
      <c r="E99" s="122"/>
      <c r="F99" s="122"/>
      <c r="G99" s="145" t="s">
        <v>360</v>
      </c>
      <c r="H99" s="145"/>
      <c r="I99" s="145"/>
      <c r="J99" s="122">
        <v>0</v>
      </c>
      <c r="K99" s="134">
        <f>D99*J99</f>
        <v>0</v>
      </c>
    </row>
    <row r="100" spans="1:11">
      <c r="A100" s="124" t="s">
        <v>400</v>
      </c>
      <c r="B100" s="125" t="s">
        <v>401</v>
      </c>
      <c r="C100" s="125"/>
      <c r="D100" s="145"/>
      <c r="E100" s="145"/>
      <c r="F100" s="145"/>
      <c r="G100" s="145"/>
      <c r="H100" s="145"/>
      <c r="I100" s="145"/>
      <c r="J100" s="122"/>
      <c r="K100" s="123"/>
    </row>
    <row r="101" spans="1:11" ht="58">
      <c r="A101" s="124" t="s">
        <v>293</v>
      </c>
      <c r="B101" s="125" t="s">
        <v>402</v>
      </c>
      <c r="C101" s="125"/>
      <c r="D101" s="145"/>
      <c r="E101" s="145"/>
      <c r="F101" s="145"/>
      <c r="G101" s="145"/>
      <c r="H101" s="145"/>
      <c r="I101" s="145"/>
      <c r="J101" s="122"/>
      <c r="K101" s="123"/>
    </row>
    <row r="102" spans="1:11">
      <c r="A102" s="124" t="s">
        <v>321</v>
      </c>
      <c r="B102" s="125" t="s">
        <v>403</v>
      </c>
      <c r="C102" s="125"/>
      <c r="D102" s="122">
        <v>0</v>
      </c>
      <c r="E102" s="122"/>
      <c r="F102" s="122"/>
      <c r="G102" s="145" t="s">
        <v>360</v>
      </c>
      <c r="H102" s="145"/>
      <c r="I102" s="145"/>
      <c r="J102" s="122">
        <v>0</v>
      </c>
      <c r="K102" s="123"/>
    </row>
    <row r="103" spans="1:11">
      <c r="A103" s="124" t="s">
        <v>324</v>
      </c>
      <c r="B103" s="125" t="s">
        <v>404</v>
      </c>
      <c r="C103" s="125"/>
      <c r="D103" s="122">
        <v>0</v>
      </c>
      <c r="E103" s="122"/>
      <c r="F103" s="122"/>
      <c r="G103" s="145" t="s">
        <v>360</v>
      </c>
      <c r="H103" s="145"/>
      <c r="I103" s="145"/>
      <c r="J103" s="122">
        <v>0</v>
      </c>
      <c r="K103" s="123"/>
    </row>
    <row r="104" spans="1:11" ht="58">
      <c r="A104" s="124" t="s">
        <v>405</v>
      </c>
      <c r="B104" s="127" t="s">
        <v>402</v>
      </c>
      <c r="C104" s="127"/>
      <c r="D104" s="122"/>
      <c r="E104" s="122"/>
      <c r="F104" s="122"/>
      <c r="G104" s="145"/>
      <c r="H104" s="145"/>
      <c r="I104" s="145"/>
      <c r="J104" s="122"/>
      <c r="K104" s="123"/>
    </row>
    <row r="105" spans="1:11">
      <c r="A105" s="124" t="s">
        <v>321</v>
      </c>
      <c r="B105" s="153" t="s">
        <v>406</v>
      </c>
      <c r="C105" s="153"/>
      <c r="D105" s="122">
        <v>0</v>
      </c>
      <c r="E105" s="122"/>
      <c r="F105" s="122"/>
      <c r="G105" s="145" t="s">
        <v>360</v>
      </c>
      <c r="H105" s="145"/>
      <c r="I105" s="145"/>
      <c r="J105" s="122"/>
      <c r="K105" s="123"/>
    </row>
    <row r="106" spans="1:11">
      <c r="A106" s="124" t="s">
        <v>324</v>
      </c>
      <c r="B106" s="153" t="s">
        <v>407</v>
      </c>
      <c r="C106" s="153"/>
      <c r="D106" s="122">
        <v>40</v>
      </c>
      <c r="E106" s="122"/>
      <c r="F106" s="122"/>
      <c r="G106" s="145" t="s">
        <v>360</v>
      </c>
      <c r="H106" s="145"/>
      <c r="I106" s="145"/>
      <c r="J106" s="122">
        <v>0</v>
      </c>
      <c r="K106" s="134">
        <f>D106*J106</f>
        <v>0</v>
      </c>
    </row>
    <row r="107" spans="1:11">
      <c r="A107" s="154" t="s">
        <v>408</v>
      </c>
      <c r="B107" s="155" t="s">
        <v>409</v>
      </c>
      <c r="C107" s="155"/>
      <c r="D107" s="156"/>
      <c r="E107" s="156"/>
      <c r="F107" s="156"/>
      <c r="G107" s="156"/>
      <c r="H107" s="156"/>
      <c r="I107" s="156"/>
      <c r="J107" s="122"/>
      <c r="K107" s="123"/>
    </row>
    <row r="108" spans="1:11" ht="101.5">
      <c r="A108" s="124"/>
      <c r="B108" s="125" t="s">
        <v>410</v>
      </c>
      <c r="C108" s="125"/>
      <c r="D108" s="119"/>
      <c r="E108" s="119"/>
      <c r="F108" s="119"/>
      <c r="G108" s="119"/>
      <c r="H108" s="119"/>
      <c r="I108" s="119"/>
      <c r="J108" s="122"/>
      <c r="K108" s="123"/>
    </row>
    <row r="109" spans="1:11">
      <c r="A109" s="124" t="s">
        <v>321</v>
      </c>
      <c r="B109" s="125" t="s">
        <v>411</v>
      </c>
      <c r="C109" s="125"/>
      <c r="D109" s="122">
        <v>0</v>
      </c>
      <c r="E109" s="122"/>
      <c r="F109" s="122"/>
      <c r="G109" s="119" t="s">
        <v>360</v>
      </c>
      <c r="H109" s="119"/>
      <c r="I109" s="119"/>
      <c r="J109" s="122">
        <v>0</v>
      </c>
      <c r="K109" s="123"/>
    </row>
    <row r="110" spans="1:11">
      <c r="A110" s="124" t="s">
        <v>324</v>
      </c>
      <c r="B110" s="125" t="s">
        <v>412</v>
      </c>
      <c r="C110" s="125"/>
      <c r="D110" s="122">
        <v>30</v>
      </c>
      <c r="E110" s="122"/>
      <c r="F110" s="122"/>
      <c r="G110" s="119" t="s">
        <v>360</v>
      </c>
      <c r="H110" s="119"/>
      <c r="I110" s="119"/>
      <c r="J110" s="122">
        <v>0</v>
      </c>
      <c r="K110" s="123">
        <f>J110*D110</f>
        <v>0</v>
      </c>
    </row>
    <row r="111" spans="1:11">
      <c r="A111" s="124" t="s">
        <v>326</v>
      </c>
      <c r="B111" s="125" t="s">
        <v>413</v>
      </c>
      <c r="C111" s="125"/>
      <c r="D111" s="122">
        <v>0</v>
      </c>
      <c r="E111" s="122"/>
      <c r="F111" s="122"/>
      <c r="G111" s="119" t="s">
        <v>360</v>
      </c>
      <c r="H111" s="119"/>
      <c r="I111" s="119"/>
      <c r="J111" s="122">
        <v>0</v>
      </c>
      <c r="K111" s="123"/>
    </row>
    <row r="112" spans="1:11" ht="72.5">
      <c r="A112" s="124" t="s">
        <v>414</v>
      </c>
      <c r="B112" s="125" t="s">
        <v>415</v>
      </c>
      <c r="C112" s="125"/>
      <c r="D112" s="119"/>
      <c r="E112" s="119"/>
      <c r="F112" s="119"/>
      <c r="G112" s="119"/>
      <c r="H112" s="119"/>
      <c r="I112" s="119"/>
      <c r="J112" s="122"/>
      <c r="K112" s="123"/>
    </row>
    <row r="113" spans="1:11">
      <c r="A113" s="124" t="s">
        <v>321</v>
      </c>
      <c r="B113" s="125" t="s">
        <v>416</v>
      </c>
      <c r="C113" s="125"/>
      <c r="D113" s="122">
        <v>3</v>
      </c>
      <c r="E113" s="122"/>
      <c r="F113" s="122"/>
      <c r="G113" s="119" t="s">
        <v>417</v>
      </c>
      <c r="H113" s="119"/>
      <c r="I113" s="119"/>
      <c r="J113" s="122">
        <v>0</v>
      </c>
      <c r="K113" s="123">
        <f t="shared" ref="K113:K118" si="1">IFERROR(J113*D113,0)</f>
        <v>0</v>
      </c>
    </row>
    <row r="114" spans="1:11">
      <c r="A114" s="124" t="s">
        <v>324</v>
      </c>
      <c r="B114" s="125" t="s">
        <v>418</v>
      </c>
      <c r="C114" s="125"/>
      <c r="D114" s="122">
        <v>3</v>
      </c>
      <c r="E114" s="122"/>
      <c r="F114" s="122"/>
      <c r="G114" s="119" t="s">
        <v>417</v>
      </c>
      <c r="H114" s="119"/>
      <c r="I114" s="119"/>
      <c r="J114" s="122">
        <v>0</v>
      </c>
      <c r="K114" s="123">
        <f t="shared" si="1"/>
        <v>0</v>
      </c>
    </row>
    <row r="115" spans="1:11">
      <c r="A115" s="124" t="s">
        <v>326</v>
      </c>
      <c r="B115" s="125" t="s">
        <v>419</v>
      </c>
      <c r="C115" s="125"/>
      <c r="D115" s="122">
        <v>3</v>
      </c>
      <c r="E115" s="122"/>
      <c r="F115" s="122"/>
      <c r="G115" s="119" t="s">
        <v>417</v>
      </c>
      <c r="H115" s="119"/>
      <c r="I115" s="119"/>
      <c r="J115" s="122">
        <v>0</v>
      </c>
      <c r="K115" s="123">
        <f t="shared" si="1"/>
        <v>0</v>
      </c>
    </row>
    <row r="116" spans="1:11">
      <c r="A116" s="124" t="s">
        <v>363</v>
      </c>
      <c r="B116" s="125" t="s">
        <v>420</v>
      </c>
      <c r="C116" s="125"/>
      <c r="D116" s="122">
        <v>0</v>
      </c>
      <c r="E116" s="122"/>
      <c r="F116" s="122"/>
      <c r="G116" s="119" t="s">
        <v>417</v>
      </c>
      <c r="H116" s="119"/>
      <c r="I116" s="119"/>
      <c r="J116" s="122">
        <v>0</v>
      </c>
      <c r="K116" s="123">
        <f t="shared" si="1"/>
        <v>0</v>
      </c>
    </row>
    <row r="117" spans="1:11">
      <c r="A117" s="124" t="s">
        <v>374</v>
      </c>
      <c r="B117" s="125" t="s">
        <v>421</v>
      </c>
      <c r="C117" s="125"/>
      <c r="D117" s="122">
        <v>1</v>
      </c>
      <c r="E117" s="122"/>
      <c r="F117" s="122"/>
      <c r="G117" s="119" t="s">
        <v>417</v>
      </c>
      <c r="H117" s="119"/>
      <c r="I117" s="119"/>
      <c r="J117" s="122">
        <v>0</v>
      </c>
      <c r="K117" s="123">
        <f t="shared" si="1"/>
        <v>0</v>
      </c>
    </row>
    <row r="118" spans="1:11">
      <c r="A118" s="124" t="s">
        <v>376</v>
      </c>
      <c r="B118" s="125" t="s">
        <v>422</v>
      </c>
      <c r="C118" s="125"/>
      <c r="D118" s="122">
        <v>1</v>
      </c>
      <c r="E118" s="122"/>
      <c r="F118" s="122"/>
      <c r="G118" s="119" t="s">
        <v>417</v>
      </c>
      <c r="H118" s="119"/>
      <c r="I118" s="119"/>
      <c r="J118" s="122">
        <v>0</v>
      </c>
      <c r="K118" s="123">
        <f t="shared" si="1"/>
        <v>0</v>
      </c>
    </row>
    <row r="119" spans="1:11" ht="52.5" customHeight="1">
      <c r="A119" s="136" t="s">
        <v>423</v>
      </c>
      <c r="B119" s="137" t="s">
        <v>385</v>
      </c>
      <c r="C119" s="137"/>
      <c r="D119" s="138">
        <v>6</v>
      </c>
      <c r="E119" s="138"/>
      <c r="F119" s="138"/>
      <c r="G119" s="152" t="s">
        <v>323</v>
      </c>
      <c r="H119" s="152"/>
      <c r="I119" s="152"/>
      <c r="J119" s="138">
        <v>0</v>
      </c>
      <c r="K119" s="141">
        <f>J119*D119</f>
        <v>0</v>
      </c>
    </row>
    <row r="120" spans="1:11">
      <c r="A120" s="124"/>
      <c r="B120" s="125"/>
      <c r="C120" s="125"/>
      <c r="D120" s="122"/>
      <c r="E120" s="122"/>
      <c r="F120" s="122"/>
      <c r="G120" s="145"/>
      <c r="H120" s="145"/>
      <c r="I120" s="145"/>
      <c r="J120" s="122"/>
      <c r="K120" s="123"/>
    </row>
    <row r="121" spans="1:11">
      <c r="A121" s="121">
        <v>7</v>
      </c>
      <c r="B121" s="118" t="s">
        <v>424</v>
      </c>
      <c r="C121" s="118"/>
      <c r="D121" s="119"/>
      <c r="E121" s="119"/>
      <c r="F121" s="119"/>
      <c r="G121" s="119"/>
      <c r="H121" s="119"/>
      <c r="I121" s="119"/>
      <c r="J121" s="122"/>
      <c r="K121" s="123"/>
    </row>
    <row r="122" spans="1:11" ht="48" customHeight="1">
      <c r="A122" s="121"/>
      <c r="B122" s="125" t="s">
        <v>425</v>
      </c>
      <c r="C122" s="125"/>
      <c r="D122" s="122">
        <v>0</v>
      </c>
      <c r="E122" s="122"/>
      <c r="F122" s="122"/>
      <c r="G122" s="119" t="s">
        <v>323</v>
      </c>
      <c r="H122" s="119"/>
      <c r="I122" s="119"/>
      <c r="J122" s="122">
        <v>0</v>
      </c>
      <c r="K122" s="123">
        <f>D122*J122</f>
        <v>0</v>
      </c>
    </row>
    <row r="123" spans="1:11">
      <c r="A123" s="121"/>
      <c r="B123" s="125"/>
      <c r="C123" s="125"/>
      <c r="D123" s="122"/>
      <c r="E123" s="122"/>
      <c r="F123" s="122"/>
      <c r="G123" s="119"/>
      <c r="H123" s="119"/>
      <c r="I123" s="119"/>
      <c r="J123" s="122"/>
      <c r="K123" s="123"/>
    </row>
    <row r="124" spans="1:11">
      <c r="A124" s="121">
        <v>8</v>
      </c>
      <c r="B124" s="118" t="s">
        <v>426</v>
      </c>
      <c r="C124" s="118"/>
      <c r="D124" s="157"/>
      <c r="E124" s="157"/>
      <c r="F124" s="157"/>
      <c r="G124" s="119"/>
      <c r="H124" s="119"/>
      <c r="I124" s="119"/>
      <c r="J124" s="122"/>
      <c r="K124" s="123"/>
    </row>
    <row r="125" spans="1:11" ht="101.5">
      <c r="A125" s="158"/>
      <c r="B125" s="125" t="s">
        <v>427</v>
      </c>
      <c r="C125" s="125"/>
      <c r="D125" s="122">
        <v>0</v>
      </c>
      <c r="E125" s="122"/>
      <c r="F125" s="122"/>
      <c r="G125" s="145" t="s">
        <v>428</v>
      </c>
      <c r="H125" s="145"/>
      <c r="I125" s="145"/>
      <c r="J125" s="122">
        <v>0</v>
      </c>
      <c r="K125" s="123"/>
    </row>
    <row r="126" spans="1:11">
      <c r="A126" s="158"/>
      <c r="B126" s="125"/>
      <c r="C126" s="125"/>
      <c r="D126" s="157"/>
      <c r="E126" s="157"/>
      <c r="F126" s="157"/>
      <c r="G126" s="119"/>
      <c r="H126" s="119"/>
      <c r="I126" s="119"/>
      <c r="J126" s="122"/>
      <c r="K126" s="123"/>
    </row>
    <row r="127" spans="1:11" s="161" customFormat="1">
      <c r="A127" s="112"/>
      <c r="B127" s="112" t="s">
        <v>299</v>
      </c>
      <c r="C127" s="112"/>
      <c r="D127" s="159"/>
      <c r="E127" s="159"/>
      <c r="F127" s="159"/>
      <c r="G127" s="112"/>
      <c r="H127" s="112"/>
      <c r="I127" s="112"/>
      <c r="J127" s="112"/>
      <c r="K127" s="160">
        <f>SUM(K12:K125)</f>
        <v>0</v>
      </c>
    </row>
    <row r="128" spans="1:11">
      <c r="A128" s="117" t="s">
        <v>429</v>
      </c>
      <c r="B128" s="118" t="s">
        <v>430</v>
      </c>
      <c r="C128" s="118"/>
      <c r="D128" s="119"/>
      <c r="E128" s="119"/>
      <c r="F128" s="119"/>
      <c r="G128" s="119"/>
      <c r="H128" s="119"/>
      <c r="I128" s="119"/>
      <c r="J128" s="119"/>
      <c r="K128" s="120"/>
    </row>
    <row r="129" spans="1:11">
      <c r="A129" s="121">
        <v>1</v>
      </c>
      <c r="B129" s="118" t="s">
        <v>431</v>
      </c>
      <c r="C129" s="118"/>
      <c r="D129" s="119"/>
      <c r="E129" s="119"/>
      <c r="F129" s="119"/>
      <c r="G129" s="119"/>
      <c r="H129" s="119"/>
      <c r="I129" s="119"/>
      <c r="J129" s="122"/>
      <c r="K129" s="123"/>
    </row>
    <row r="130" spans="1:11" ht="123.75" customHeight="1">
      <c r="A130" s="124"/>
      <c r="B130" s="125" t="s">
        <v>432</v>
      </c>
      <c r="C130" s="125"/>
      <c r="D130" s="119"/>
      <c r="E130" s="119"/>
      <c r="F130" s="119"/>
      <c r="G130" s="119"/>
      <c r="H130" s="119"/>
      <c r="I130" s="119"/>
      <c r="J130" s="122"/>
      <c r="K130" s="123"/>
    </row>
    <row r="131" spans="1:11">
      <c r="A131" s="124">
        <v>1.1000000000000001</v>
      </c>
      <c r="B131" s="125" t="s">
        <v>433</v>
      </c>
      <c r="C131" s="125"/>
      <c r="D131" s="122">
        <v>80</v>
      </c>
      <c r="E131" s="122"/>
      <c r="F131" s="122"/>
      <c r="G131" s="119" t="s">
        <v>323</v>
      </c>
      <c r="H131" s="119"/>
      <c r="I131" s="119"/>
      <c r="J131" s="122">
        <v>0</v>
      </c>
      <c r="K131" s="123">
        <f>J131*D131</f>
        <v>0</v>
      </c>
    </row>
    <row r="132" spans="1:11">
      <c r="A132" s="124">
        <v>1.2</v>
      </c>
      <c r="B132" s="125" t="s">
        <v>434</v>
      </c>
      <c r="C132" s="125"/>
      <c r="D132" s="122">
        <v>375</v>
      </c>
      <c r="E132" s="122"/>
      <c r="F132" s="122"/>
      <c r="G132" s="119" t="s">
        <v>323</v>
      </c>
      <c r="H132" s="119"/>
      <c r="I132" s="119"/>
      <c r="J132" s="122">
        <v>0</v>
      </c>
      <c r="K132" s="123">
        <f>J132*D132</f>
        <v>0</v>
      </c>
    </row>
    <row r="133" spans="1:11">
      <c r="A133" s="124"/>
      <c r="B133" s="125"/>
      <c r="C133" s="554"/>
      <c r="D133" s="132"/>
      <c r="E133" s="132"/>
      <c r="F133" s="132"/>
      <c r="G133" s="119"/>
      <c r="H133" s="119"/>
      <c r="I133" s="119"/>
      <c r="J133" s="122"/>
      <c r="K133" s="123"/>
    </row>
    <row r="134" spans="1:11">
      <c r="A134" s="121">
        <v>2</v>
      </c>
      <c r="B134" s="118" t="s">
        <v>435</v>
      </c>
      <c r="C134" s="118"/>
      <c r="D134" s="122"/>
      <c r="E134" s="122"/>
      <c r="F134" s="122"/>
      <c r="G134" s="119"/>
      <c r="H134" s="119"/>
      <c r="I134" s="119"/>
      <c r="J134" s="134"/>
      <c r="K134" s="134"/>
    </row>
    <row r="135" spans="1:11" ht="58">
      <c r="A135" s="124"/>
      <c r="B135" s="125" t="s">
        <v>436</v>
      </c>
      <c r="C135" s="125"/>
      <c r="D135" s="119"/>
      <c r="E135" s="119"/>
      <c r="F135" s="119"/>
      <c r="G135" s="119"/>
      <c r="H135" s="119"/>
      <c r="I135" s="119"/>
      <c r="J135" s="134"/>
      <c r="K135" s="134"/>
    </row>
    <row r="136" spans="1:11">
      <c r="A136" s="124">
        <v>2.1</v>
      </c>
      <c r="B136" s="125" t="s">
        <v>437</v>
      </c>
      <c r="C136" s="125"/>
      <c r="D136" s="122">
        <v>2060</v>
      </c>
      <c r="E136" s="122"/>
      <c r="F136" s="122"/>
      <c r="G136" s="119" t="s">
        <v>323</v>
      </c>
      <c r="H136" s="119"/>
      <c r="I136" s="119"/>
      <c r="J136" s="122">
        <v>0</v>
      </c>
      <c r="K136" s="134">
        <f>J136*D136</f>
        <v>0</v>
      </c>
    </row>
    <row r="137" spans="1:11">
      <c r="A137" s="124"/>
      <c r="B137" s="125"/>
      <c r="C137" s="125"/>
      <c r="D137" s="122"/>
      <c r="E137" s="122"/>
      <c r="F137" s="122"/>
      <c r="G137" s="119"/>
      <c r="H137" s="119"/>
      <c r="I137" s="119"/>
      <c r="J137" s="122"/>
      <c r="K137" s="134"/>
    </row>
    <row r="138" spans="1:11">
      <c r="A138" s="121">
        <v>3</v>
      </c>
      <c r="B138" s="118" t="s">
        <v>438</v>
      </c>
      <c r="C138" s="118"/>
      <c r="D138" s="119"/>
      <c r="E138" s="119"/>
      <c r="F138" s="119"/>
      <c r="G138" s="119"/>
      <c r="H138" s="119"/>
      <c r="I138" s="119"/>
      <c r="J138" s="134"/>
      <c r="K138" s="134"/>
    </row>
    <row r="139" spans="1:11" ht="116">
      <c r="A139" s="124"/>
      <c r="B139" s="125" t="s">
        <v>439</v>
      </c>
      <c r="C139" s="125"/>
      <c r="D139" s="122"/>
      <c r="E139" s="122"/>
      <c r="F139" s="122"/>
      <c r="G139" s="119"/>
      <c r="H139" s="119"/>
      <c r="I139" s="119"/>
      <c r="J139" s="122"/>
      <c r="K139" s="134"/>
    </row>
    <row r="140" spans="1:11">
      <c r="A140" s="124">
        <v>2.1</v>
      </c>
      <c r="B140" s="125" t="s">
        <v>440</v>
      </c>
      <c r="C140" s="125"/>
      <c r="D140" s="122">
        <v>0</v>
      </c>
      <c r="E140" s="122"/>
      <c r="F140" s="122"/>
      <c r="G140" s="119" t="s">
        <v>323</v>
      </c>
      <c r="H140" s="119"/>
      <c r="I140" s="119"/>
      <c r="J140" s="122">
        <v>0</v>
      </c>
      <c r="K140" s="134">
        <f>J140*D140</f>
        <v>0</v>
      </c>
    </row>
    <row r="141" spans="1:11">
      <c r="A141" s="124">
        <v>2.2000000000000002</v>
      </c>
      <c r="B141" s="125" t="s">
        <v>441</v>
      </c>
      <c r="C141" s="125"/>
      <c r="D141" s="122">
        <v>0</v>
      </c>
      <c r="E141" s="122"/>
      <c r="F141" s="122"/>
      <c r="G141" s="119" t="s">
        <v>323</v>
      </c>
      <c r="H141" s="119"/>
      <c r="I141" s="119"/>
      <c r="J141" s="122">
        <v>0</v>
      </c>
      <c r="K141" s="134">
        <f>J141*D141</f>
        <v>0</v>
      </c>
    </row>
    <row r="142" spans="1:11">
      <c r="A142" s="124">
        <v>2.2999999999999998</v>
      </c>
      <c r="B142" s="125" t="s">
        <v>442</v>
      </c>
      <c r="C142" s="125"/>
      <c r="D142" s="122">
        <v>0</v>
      </c>
      <c r="E142" s="122"/>
      <c r="F142" s="122"/>
      <c r="G142" s="119" t="s">
        <v>323</v>
      </c>
      <c r="H142" s="119"/>
      <c r="I142" s="119"/>
      <c r="J142" s="122">
        <v>0</v>
      </c>
      <c r="K142" s="134">
        <f>J142*D142</f>
        <v>0</v>
      </c>
    </row>
    <row r="143" spans="1:11">
      <c r="A143" s="124">
        <v>2.4</v>
      </c>
      <c r="B143" s="125" t="s">
        <v>443</v>
      </c>
      <c r="C143" s="125"/>
      <c r="D143" s="122">
        <v>0</v>
      </c>
      <c r="E143" s="122"/>
      <c r="F143" s="122"/>
      <c r="G143" s="119" t="s">
        <v>323</v>
      </c>
      <c r="H143" s="119"/>
      <c r="I143" s="119"/>
      <c r="J143" s="122">
        <v>0</v>
      </c>
      <c r="K143" s="134">
        <f>J143*D143</f>
        <v>0</v>
      </c>
    </row>
    <row r="144" spans="1:11">
      <c r="A144" s="124">
        <v>2.5</v>
      </c>
      <c r="B144" s="125" t="s">
        <v>437</v>
      </c>
      <c r="C144" s="125"/>
      <c r="D144" s="122" t="s">
        <v>15</v>
      </c>
      <c r="E144" s="122"/>
      <c r="F144" s="122"/>
      <c r="G144" s="119" t="s">
        <v>323</v>
      </c>
      <c r="H144" s="119"/>
      <c r="I144" s="119"/>
      <c r="J144" s="122">
        <v>0</v>
      </c>
      <c r="K144" s="134"/>
    </row>
    <row r="145" spans="1:11">
      <c r="A145" s="136"/>
      <c r="B145" s="137"/>
      <c r="C145" s="137"/>
      <c r="D145" s="138"/>
      <c r="E145" s="138"/>
      <c r="F145" s="138"/>
      <c r="G145" s="139"/>
      <c r="H145" s="139"/>
      <c r="I145" s="139"/>
      <c r="J145" s="138"/>
      <c r="K145" s="162"/>
    </row>
    <row r="146" spans="1:11" s="161" customFormat="1">
      <c r="A146" s="112"/>
      <c r="B146" s="112" t="s">
        <v>302</v>
      </c>
      <c r="C146" s="112"/>
      <c r="D146" s="159"/>
      <c r="E146" s="159"/>
      <c r="F146" s="159"/>
      <c r="G146" s="112"/>
      <c r="H146" s="112"/>
      <c r="I146" s="112"/>
      <c r="J146" s="112"/>
      <c r="K146" s="160">
        <f>SUM(K131:K144)</f>
        <v>0</v>
      </c>
    </row>
  </sheetData>
  <mergeCells count="1">
    <mergeCell ref="A1:K1"/>
  </mergeCells>
  <printOptions horizontalCentered="1"/>
  <pageMargins left="0.51181102362204722" right="0.23622047244094491" top="0.55118110236220474" bottom="0.31496062992125984" header="0.23622047244094491" footer="0.23622047244094491"/>
  <pageSetup paperSize="9" scale="99" fitToHeight="6" orientation="portrait" r:id="rId1"/>
  <headerFooter alignWithMargins="0">
    <oddHeader>&amp;LCINEPOLIS INDIA PVT LTD&amp;R&amp;"Aptos"&amp;10&amp;K000000 Internal&amp;1#_x000D_&amp;"Calibri"&amp;11&amp;K000000&amp;"Arialri"&amp;10&amp;K000000&amp;8VISION EMC PVT LTD
SERVICES  CONSULTANT</oddHeader>
    <oddFooter>&amp;L&amp;8 1736\ CINEPOLIS AT K MALL,JODHPUR \ HVAC \ TENDER \ BOQ LOWSIDE_x000D_&amp;1#&amp;"Aptos"&amp;10&amp;K000000 Internal&amp;R&amp;8Page &amp;P of &amp;N</oddFooter>
  </headerFooter>
  <rowBreaks count="2" manualBreakCount="2">
    <brk id="24" max="5" man="1"/>
    <brk id="127"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EB52-4BA0-4DF9-8EE0-12FEB457EF76}">
  <sheetPr codeName="Sheet5">
    <tabColor theme="9" tint="0.39997558519241921"/>
  </sheetPr>
  <dimension ref="A1:C11"/>
  <sheetViews>
    <sheetView showGridLines="0" workbookViewId="0">
      <selection sqref="A1:C11"/>
    </sheetView>
  </sheetViews>
  <sheetFormatPr defaultRowHeight="14.5"/>
  <cols>
    <col min="1" max="1" width="8.81640625" bestFit="1" customWidth="1"/>
    <col min="2" max="2" width="36.26953125" bestFit="1" customWidth="1"/>
    <col min="3" max="3" width="10.1796875" bestFit="1" customWidth="1"/>
  </cols>
  <sheetData>
    <row r="1" spans="1:3">
      <c r="A1" s="297" t="s">
        <v>758</v>
      </c>
      <c r="B1" s="297" t="s">
        <v>295</v>
      </c>
      <c r="C1" s="297" t="s">
        <v>297</v>
      </c>
    </row>
    <row r="2" spans="1:3">
      <c r="A2" s="298"/>
      <c r="B2" s="298" t="s">
        <v>759</v>
      </c>
      <c r="C2" s="298"/>
    </row>
    <row r="3" spans="1:3">
      <c r="A3" s="299" t="s">
        <v>464</v>
      </c>
      <c r="B3" s="300" t="s">
        <v>465</v>
      </c>
      <c r="C3" s="301">
        <f>'Wiring System'!$F$64</f>
        <v>0</v>
      </c>
    </row>
    <row r="4" spans="1:3">
      <c r="A4" s="299" t="s">
        <v>298</v>
      </c>
      <c r="B4" s="300" t="s">
        <v>499</v>
      </c>
      <c r="C4" s="301">
        <f>'Cables &amp; Wires'!$F$132</f>
        <v>0</v>
      </c>
    </row>
    <row r="5" spans="1:3">
      <c r="A5" s="299" t="s">
        <v>301</v>
      </c>
      <c r="B5" s="300" t="s">
        <v>545</v>
      </c>
      <c r="C5" s="301">
        <f>'LT Panels and DB'!$F$100 + 'LT Panels and DB'!$F$215</f>
        <v>0</v>
      </c>
    </row>
    <row r="6" spans="1:3">
      <c r="A6" s="299" t="s">
        <v>678</v>
      </c>
      <c r="B6" s="302" t="s">
        <v>760</v>
      </c>
      <c r="C6" s="301">
        <f>'Earthing System'!$F$46</f>
        <v>0</v>
      </c>
    </row>
    <row r="7" spans="1:3">
      <c r="A7" s="299" t="s">
        <v>700</v>
      </c>
      <c r="B7" s="300" t="s">
        <v>701</v>
      </c>
      <c r="C7" s="301">
        <f>'Light Fixtures'!$F$40</f>
        <v>0</v>
      </c>
    </row>
    <row r="8" spans="1:3">
      <c r="A8" s="299" t="s">
        <v>721</v>
      </c>
      <c r="B8" s="300" t="s">
        <v>722</v>
      </c>
      <c r="C8" s="301">
        <f>'Data &amp; Voice'!$F$36</f>
        <v>0</v>
      </c>
    </row>
    <row r="9" spans="1:3">
      <c r="A9" s="299" t="s">
        <v>739</v>
      </c>
      <c r="B9" s="300" t="s">
        <v>740</v>
      </c>
      <c r="C9" s="301">
        <f>'Audi Speaker System Wiring'!$F$20</f>
        <v>0</v>
      </c>
    </row>
    <row r="10" spans="1:3">
      <c r="A10" s="299" t="s">
        <v>753</v>
      </c>
      <c r="B10" s="300" t="s">
        <v>763</v>
      </c>
      <c r="C10" s="301">
        <f>'Temporary Work'!$F$10</f>
        <v>0</v>
      </c>
    </row>
    <row r="11" spans="1:3">
      <c r="A11" s="303"/>
      <c r="B11" s="304" t="s">
        <v>291</v>
      </c>
      <c r="C11" s="305">
        <f>SUM(C3:C10)</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C641-DC9A-43C1-A585-8BC9B9F93688}">
  <sheetPr codeName="Sheet6">
    <tabColor theme="9" tint="0.39997558519241921"/>
  </sheetPr>
  <dimension ref="A1:F64"/>
  <sheetViews>
    <sheetView showGridLines="0" workbookViewId="0">
      <selection activeCell="B40" sqref="B40"/>
    </sheetView>
  </sheetViews>
  <sheetFormatPr defaultColWidth="35.36328125" defaultRowHeight="14.5"/>
  <cols>
    <col min="1" max="1" width="5.81640625" bestFit="1" customWidth="1"/>
    <col min="2" max="2" width="48.6328125" bestFit="1" customWidth="1"/>
    <col min="3" max="3" width="5.453125" bestFit="1" customWidth="1"/>
    <col min="4" max="4" width="5.26953125" bestFit="1" customWidth="1"/>
    <col min="5" max="5" width="9.90625" bestFit="1" customWidth="1"/>
    <col min="6" max="6" width="13.90625" bestFit="1" customWidth="1"/>
  </cols>
  <sheetData>
    <row r="1" spans="1:6" ht="15.5">
      <c r="A1" s="514" t="s">
        <v>460</v>
      </c>
      <c r="B1" s="514"/>
      <c r="C1" s="514"/>
      <c r="D1" s="514"/>
      <c r="E1" s="514"/>
      <c r="F1" s="514"/>
    </row>
    <row r="2" spans="1:6" ht="15.5">
      <c r="A2" s="515" t="s">
        <v>461</v>
      </c>
      <c r="B2" s="515"/>
      <c r="C2" s="515"/>
      <c r="D2" s="515"/>
      <c r="E2" s="515"/>
      <c r="F2" s="515"/>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0" t="s">
        <v>464</v>
      </c>
      <c r="B5" s="171" t="s">
        <v>465</v>
      </c>
      <c r="C5" s="172"/>
      <c r="D5" s="172"/>
      <c r="E5" s="172"/>
      <c r="F5" s="172"/>
    </row>
    <row r="6" spans="1:6" ht="108.5">
      <c r="A6" s="173"/>
      <c r="B6" s="174" t="s">
        <v>466</v>
      </c>
      <c r="C6" s="175"/>
      <c r="D6" s="175"/>
      <c r="E6" s="176"/>
      <c r="F6" s="177"/>
    </row>
    <row r="7" spans="1:6" ht="15.5">
      <c r="A7" s="173"/>
      <c r="B7" s="178"/>
      <c r="C7" s="175"/>
      <c r="D7" s="175"/>
      <c r="E7" s="179"/>
      <c r="F7" s="177"/>
    </row>
    <row r="8" spans="1:6" ht="46.5">
      <c r="A8" s="173">
        <v>1.01</v>
      </c>
      <c r="B8" s="174" t="s">
        <v>467</v>
      </c>
      <c r="C8" s="175" t="s">
        <v>468</v>
      </c>
      <c r="D8" s="175">
        <v>30</v>
      </c>
      <c r="E8" s="179">
        <v>0</v>
      </c>
      <c r="F8" s="180">
        <f>+E8*D8</f>
        <v>0</v>
      </c>
    </row>
    <row r="9" spans="1:6" ht="15.5">
      <c r="A9" s="173"/>
      <c r="B9" s="178"/>
      <c r="C9" s="175"/>
      <c r="D9" s="175"/>
      <c r="E9" s="179"/>
      <c r="F9" s="177"/>
    </row>
    <row r="10" spans="1:6" ht="62">
      <c r="A10" s="173">
        <v>1.02</v>
      </c>
      <c r="B10" s="174" t="s">
        <v>469</v>
      </c>
      <c r="C10" s="175" t="s">
        <v>468</v>
      </c>
      <c r="D10" s="175">
        <v>20</v>
      </c>
      <c r="E10" s="179">
        <v>0</v>
      </c>
      <c r="F10" s="180">
        <f>+E10*D10</f>
        <v>0</v>
      </c>
    </row>
    <row r="11" spans="1:6" ht="15.5">
      <c r="A11" s="173"/>
      <c r="B11" s="178"/>
      <c r="C11" s="175"/>
      <c r="D11" s="175"/>
      <c r="E11" s="179"/>
      <c r="F11" s="177"/>
    </row>
    <row r="12" spans="1:6" ht="46.5">
      <c r="A12" s="173">
        <v>1.03</v>
      </c>
      <c r="B12" s="181" t="s">
        <v>470</v>
      </c>
      <c r="C12" s="175" t="s">
        <v>468</v>
      </c>
      <c r="D12" s="175">
        <v>40</v>
      </c>
      <c r="E12" s="179">
        <v>0</v>
      </c>
      <c r="F12" s="180">
        <f>+E12*D12</f>
        <v>0</v>
      </c>
    </row>
    <row r="13" spans="1:6" ht="15.5">
      <c r="A13" s="173"/>
      <c r="B13" s="178"/>
      <c r="C13" s="175"/>
      <c r="D13" s="175"/>
      <c r="E13" s="179"/>
      <c r="F13" s="177"/>
    </row>
    <row r="14" spans="1:6" ht="46.5">
      <c r="A14" s="173">
        <v>1.04</v>
      </c>
      <c r="B14" s="174" t="s">
        <v>471</v>
      </c>
      <c r="C14" s="175" t="s">
        <v>468</v>
      </c>
      <c r="D14" s="175">
        <v>180</v>
      </c>
      <c r="E14" s="179">
        <v>0</v>
      </c>
      <c r="F14" s="180">
        <f>+E14*D14</f>
        <v>0</v>
      </c>
    </row>
    <row r="15" spans="1:6" ht="15.5">
      <c r="A15" s="173"/>
      <c r="B15" s="182"/>
      <c r="C15" s="175"/>
      <c r="D15" s="175"/>
      <c r="E15" s="176"/>
      <c r="F15" s="177"/>
    </row>
    <row r="16" spans="1:6" ht="15.5">
      <c r="A16" s="183">
        <v>2</v>
      </c>
      <c r="B16" s="184" t="s">
        <v>472</v>
      </c>
      <c r="C16" s="175"/>
      <c r="D16" s="175"/>
      <c r="E16" s="176"/>
      <c r="F16" s="177"/>
    </row>
    <row r="17" spans="1:6" ht="139.5">
      <c r="A17" s="173"/>
      <c r="B17" s="174" t="s">
        <v>473</v>
      </c>
      <c r="C17" s="175"/>
      <c r="D17" s="175"/>
      <c r="E17" s="176"/>
      <c r="F17" s="177"/>
    </row>
    <row r="18" spans="1:6" ht="15.5">
      <c r="A18" s="173"/>
      <c r="B18" s="167"/>
      <c r="C18" s="175"/>
      <c r="D18" s="175"/>
      <c r="E18" s="176"/>
      <c r="F18" s="177"/>
    </row>
    <row r="19" spans="1:6" ht="46.5">
      <c r="A19" s="173">
        <v>2.1</v>
      </c>
      <c r="B19" s="181" t="s">
        <v>474</v>
      </c>
      <c r="C19" s="175" t="s">
        <v>468</v>
      </c>
      <c r="D19" s="175">
        <v>35</v>
      </c>
      <c r="E19" s="179">
        <v>0</v>
      </c>
      <c r="F19" s="180">
        <f>+E19*D19</f>
        <v>0</v>
      </c>
    </row>
    <row r="20" spans="1:6" ht="15.5">
      <c r="A20" s="173"/>
      <c r="B20" s="182"/>
      <c r="C20" s="175"/>
      <c r="D20" s="175"/>
      <c r="E20" s="179"/>
      <c r="F20" s="177"/>
    </row>
    <row r="21" spans="1:6" ht="46.5">
      <c r="A21" s="173">
        <v>2.2000000000000002</v>
      </c>
      <c r="B21" s="181" t="s">
        <v>475</v>
      </c>
      <c r="C21" s="175" t="s">
        <v>468</v>
      </c>
      <c r="D21" s="175">
        <v>75</v>
      </c>
      <c r="E21" s="179">
        <v>0</v>
      </c>
      <c r="F21" s="180">
        <f>+E21*D21</f>
        <v>0</v>
      </c>
    </row>
    <row r="22" spans="1:6" ht="15.5">
      <c r="A22" s="173"/>
      <c r="B22" s="178"/>
      <c r="C22" s="175"/>
      <c r="D22" s="175"/>
      <c r="E22" s="179"/>
      <c r="F22" s="177"/>
    </row>
    <row r="23" spans="1:6" ht="46.5">
      <c r="A23" s="173">
        <v>2.2999999999999998</v>
      </c>
      <c r="B23" s="185" t="s">
        <v>476</v>
      </c>
      <c r="C23" s="175" t="s">
        <v>468</v>
      </c>
      <c r="D23" s="175" t="s">
        <v>15</v>
      </c>
      <c r="E23" s="179">
        <v>0</v>
      </c>
      <c r="F23" s="180"/>
    </row>
    <row r="24" spans="1:6" ht="15.5">
      <c r="A24" s="173"/>
      <c r="B24" s="178"/>
      <c r="C24" s="175"/>
      <c r="D24" s="175"/>
      <c r="E24" s="179"/>
      <c r="F24" s="177"/>
    </row>
    <row r="25" spans="1:6" ht="139.5">
      <c r="A25" s="183">
        <v>3</v>
      </c>
      <c r="B25" s="174" t="s">
        <v>477</v>
      </c>
      <c r="C25" s="175"/>
      <c r="D25" s="175"/>
      <c r="E25" s="176"/>
      <c r="F25" s="177"/>
    </row>
    <row r="26" spans="1:6" ht="15.5">
      <c r="A26" s="173"/>
      <c r="B26" s="184"/>
      <c r="C26" s="175"/>
      <c r="D26" s="175"/>
      <c r="E26" s="176"/>
      <c r="F26" s="177"/>
    </row>
    <row r="27" spans="1:6" ht="46.5">
      <c r="A27" s="173">
        <v>3.01</v>
      </c>
      <c r="B27" s="181" t="s">
        <v>478</v>
      </c>
      <c r="C27" s="175" t="s">
        <v>468</v>
      </c>
      <c r="D27" s="175">
        <v>55</v>
      </c>
      <c r="E27" s="179">
        <v>0</v>
      </c>
      <c r="F27" s="180">
        <f>+E27*D27</f>
        <v>0</v>
      </c>
    </row>
    <row r="28" spans="1:6" ht="15.5">
      <c r="A28" s="173"/>
      <c r="B28" s="182"/>
      <c r="C28" s="175"/>
      <c r="D28" s="175"/>
      <c r="E28" s="179"/>
      <c r="F28" s="177"/>
    </row>
    <row r="29" spans="1:6" ht="46.5">
      <c r="A29" s="173">
        <v>3.02</v>
      </c>
      <c r="B29" s="181" t="s">
        <v>479</v>
      </c>
      <c r="C29" s="175" t="s">
        <v>468</v>
      </c>
      <c r="D29" s="175">
        <f>60+30+20</f>
        <v>110</v>
      </c>
      <c r="E29" s="179">
        <v>0</v>
      </c>
      <c r="F29" s="180">
        <f>+E29*D29</f>
        <v>0</v>
      </c>
    </row>
    <row r="30" spans="1:6" ht="15.5">
      <c r="A30" s="173"/>
      <c r="B30" s="178"/>
      <c r="C30" s="175"/>
      <c r="D30" s="175"/>
      <c r="E30" s="179"/>
      <c r="F30" s="177"/>
    </row>
    <row r="31" spans="1:6" ht="46.5">
      <c r="A31" s="173">
        <v>3.03</v>
      </c>
      <c r="B31" s="181" t="s">
        <v>480</v>
      </c>
      <c r="C31" s="175" t="s">
        <v>468</v>
      </c>
      <c r="D31" s="175">
        <v>20</v>
      </c>
      <c r="E31" s="179">
        <v>0</v>
      </c>
      <c r="F31" s="180">
        <f>+E31*D31</f>
        <v>0</v>
      </c>
    </row>
    <row r="32" spans="1:6" ht="15.5">
      <c r="A32" s="173"/>
      <c r="B32" s="182"/>
      <c r="C32" s="175"/>
      <c r="D32" s="175"/>
      <c r="E32" s="179"/>
      <c r="F32" s="177"/>
    </row>
    <row r="33" spans="1:6" ht="46.5">
      <c r="A33" s="173">
        <v>3.04</v>
      </c>
      <c r="B33" s="181" t="s">
        <v>481</v>
      </c>
      <c r="C33" s="175" t="s">
        <v>468</v>
      </c>
      <c r="D33" s="175" t="s">
        <v>15</v>
      </c>
      <c r="E33" s="175">
        <v>0</v>
      </c>
      <c r="F33" s="180"/>
    </row>
    <row r="34" spans="1:6" ht="15.5">
      <c r="A34" s="173"/>
      <c r="B34" s="182"/>
      <c r="C34" s="175"/>
      <c r="D34" s="175"/>
      <c r="E34" s="175"/>
      <c r="F34" s="175"/>
    </row>
    <row r="35" spans="1:6" ht="46.5">
      <c r="A35" s="173">
        <v>3.05</v>
      </c>
      <c r="B35" s="181" t="s">
        <v>482</v>
      </c>
      <c r="C35" s="175" t="s">
        <v>468</v>
      </c>
      <c r="D35" s="175" t="s">
        <v>15</v>
      </c>
      <c r="E35" s="175">
        <v>0</v>
      </c>
      <c r="F35" s="180"/>
    </row>
    <row r="36" spans="1:6" ht="15.5">
      <c r="A36" s="173"/>
      <c r="B36" s="174"/>
      <c r="C36" s="186"/>
      <c r="D36" s="175"/>
      <c r="E36" s="179"/>
      <c r="F36" s="180"/>
    </row>
    <row r="37" spans="1:6" ht="62">
      <c r="A37" s="173">
        <v>3.06</v>
      </c>
      <c r="B37" s="174" t="s">
        <v>483</v>
      </c>
      <c r="C37" s="186" t="s">
        <v>468</v>
      </c>
      <c r="D37" s="175">
        <v>18</v>
      </c>
      <c r="E37" s="179">
        <v>0</v>
      </c>
      <c r="F37" s="180">
        <f>+E37*D37</f>
        <v>0</v>
      </c>
    </row>
    <row r="38" spans="1:6" ht="15.5">
      <c r="A38" s="173"/>
      <c r="B38" s="187"/>
      <c r="C38" s="186"/>
      <c r="D38" s="175"/>
      <c r="E38" s="179"/>
      <c r="F38" s="177"/>
    </row>
    <row r="39" spans="1:6" ht="15.5">
      <c r="A39" s="170">
        <v>4</v>
      </c>
      <c r="B39" s="171" t="s">
        <v>484</v>
      </c>
      <c r="C39" s="172"/>
      <c r="D39" s="172"/>
      <c r="E39" s="172"/>
      <c r="F39" s="172"/>
    </row>
    <row r="40" spans="1:6" ht="77.5">
      <c r="A40" s="173"/>
      <c r="B40" s="174" t="s">
        <v>485</v>
      </c>
      <c r="C40" s="188"/>
      <c r="D40" s="175"/>
      <c r="E40" s="189"/>
      <c r="F40" s="190"/>
    </row>
    <row r="41" spans="1:6" ht="15.5">
      <c r="A41" s="173"/>
      <c r="B41" s="178"/>
      <c r="C41" s="175"/>
      <c r="D41" s="175"/>
      <c r="E41" s="176"/>
      <c r="F41" s="177"/>
    </row>
    <row r="42" spans="1:6" ht="15.5">
      <c r="A42" s="173">
        <v>4.01</v>
      </c>
      <c r="B42" s="178" t="s">
        <v>486</v>
      </c>
      <c r="C42" s="175" t="s">
        <v>487</v>
      </c>
      <c r="D42" s="175">
        <v>0</v>
      </c>
      <c r="E42" s="179">
        <v>0</v>
      </c>
      <c r="F42" s="180">
        <f>+E42*D42</f>
        <v>0</v>
      </c>
    </row>
    <row r="43" spans="1:6" ht="15.5">
      <c r="A43" s="173"/>
      <c r="B43" s="178"/>
      <c r="C43" s="175"/>
      <c r="D43" s="175"/>
      <c r="E43" s="176"/>
      <c r="F43" s="177"/>
    </row>
    <row r="44" spans="1:6" ht="15.5">
      <c r="A44" s="173">
        <v>4.0199999999999996</v>
      </c>
      <c r="B44" s="178" t="s">
        <v>488</v>
      </c>
      <c r="C44" s="175" t="s">
        <v>487</v>
      </c>
      <c r="D44" s="175">
        <v>0</v>
      </c>
      <c r="E44" s="179">
        <v>0</v>
      </c>
      <c r="F44" s="180">
        <f>+E44*D44</f>
        <v>0</v>
      </c>
    </row>
    <row r="45" spans="1:6" ht="15.5">
      <c r="A45" s="173"/>
      <c r="B45" s="178"/>
      <c r="C45" s="175"/>
      <c r="D45" s="175"/>
      <c r="E45" s="176"/>
      <c r="F45" s="177"/>
    </row>
    <row r="46" spans="1:6" ht="15.5">
      <c r="A46" s="173">
        <v>4.03</v>
      </c>
      <c r="B46" s="178" t="s">
        <v>489</v>
      </c>
      <c r="C46" s="175" t="s">
        <v>487</v>
      </c>
      <c r="D46" s="175">
        <v>180</v>
      </c>
      <c r="E46" s="179">
        <v>0</v>
      </c>
      <c r="F46" s="180">
        <f>+E46*D46</f>
        <v>0</v>
      </c>
    </row>
    <row r="47" spans="1:6" ht="15.5">
      <c r="A47" s="173"/>
      <c r="B47" s="178"/>
      <c r="C47" s="175"/>
      <c r="D47" s="175"/>
      <c r="E47" s="176"/>
      <c r="F47" s="177"/>
    </row>
    <row r="48" spans="1:6" ht="15.5">
      <c r="A48" s="173">
        <v>4.04</v>
      </c>
      <c r="B48" s="178" t="s">
        <v>490</v>
      </c>
      <c r="C48" s="175" t="s">
        <v>487</v>
      </c>
      <c r="D48" s="175">
        <v>550</v>
      </c>
      <c r="E48" s="179">
        <v>0</v>
      </c>
      <c r="F48" s="180">
        <f>+E48*D48</f>
        <v>0</v>
      </c>
    </row>
    <row r="49" spans="1:6" ht="15.5">
      <c r="A49" s="173"/>
      <c r="B49" s="178"/>
      <c r="C49" s="175"/>
      <c r="D49" s="175"/>
      <c r="E49" s="176"/>
      <c r="F49" s="177"/>
    </row>
    <row r="50" spans="1:6" ht="15.5">
      <c r="A50" s="173">
        <v>4.05</v>
      </c>
      <c r="B50" s="178" t="s">
        <v>491</v>
      </c>
      <c r="C50" s="175" t="s">
        <v>487</v>
      </c>
      <c r="D50" s="175">
        <v>600</v>
      </c>
      <c r="E50" s="179">
        <v>0</v>
      </c>
      <c r="F50" s="180">
        <f>+E50*D50</f>
        <v>0</v>
      </c>
    </row>
    <row r="51" spans="1:6" ht="15.5">
      <c r="A51" s="173"/>
      <c r="B51" s="178"/>
      <c r="C51" s="175"/>
      <c r="D51" s="175"/>
      <c r="E51" s="179"/>
      <c r="F51" s="177"/>
    </row>
    <row r="52" spans="1:6" ht="15.5">
      <c r="A52" s="173">
        <v>4.0599999999999996</v>
      </c>
      <c r="B52" s="178" t="s">
        <v>492</v>
      </c>
      <c r="C52" s="175" t="s">
        <v>487</v>
      </c>
      <c r="D52" s="175">
        <v>90</v>
      </c>
      <c r="E52" s="179">
        <v>0</v>
      </c>
      <c r="F52" s="180">
        <f>+E52*D52</f>
        <v>0</v>
      </c>
    </row>
    <row r="53" spans="1:6" ht="15.5">
      <c r="A53" s="173"/>
      <c r="B53" s="178"/>
      <c r="C53" s="175"/>
      <c r="D53" s="175"/>
      <c r="E53" s="179"/>
      <c r="F53" s="177"/>
    </row>
    <row r="54" spans="1:6" ht="15.5">
      <c r="A54" s="173">
        <v>4.07</v>
      </c>
      <c r="B54" s="178" t="s">
        <v>493</v>
      </c>
      <c r="C54" s="175" t="s">
        <v>487</v>
      </c>
      <c r="D54" s="175">
        <v>90</v>
      </c>
      <c r="E54" s="179">
        <v>0</v>
      </c>
      <c r="F54" s="180">
        <f>+E54*D54</f>
        <v>0</v>
      </c>
    </row>
    <row r="55" spans="1:6" ht="15.5">
      <c r="A55" s="167"/>
      <c r="B55" s="178"/>
      <c r="C55" s="175"/>
      <c r="D55" s="175"/>
      <c r="E55" s="179"/>
      <c r="F55" s="177"/>
    </row>
    <row r="56" spans="1:6" ht="108.5">
      <c r="A56" s="173">
        <v>5</v>
      </c>
      <c r="B56" s="174" t="s">
        <v>494</v>
      </c>
      <c r="C56" s="175"/>
      <c r="D56" s="175"/>
      <c r="E56" s="176"/>
      <c r="F56" s="177"/>
    </row>
    <row r="57" spans="1:6" ht="15.5">
      <c r="A57" s="173"/>
      <c r="B57" s="178"/>
      <c r="C57" s="175"/>
      <c r="D57" s="175"/>
      <c r="E57" s="176"/>
      <c r="F57" s="177"/>
    </row>
    <row r="58" spans="1:6" ht="15.5">
      <c r="A58" s="173">
        <v>5.01</v>
      </c>
      <c r="B58" s="178" t="s">
        <v>495</v>
      </c>
      <c r="C58" s="175" t="s">
        <v>487</v>
      </c>
      <c r="D58" s="175">
        <v>0</v>
      </c>
      <c r="E58" s="179">
        <v>0</v>
      </c>
      <c r="F58" s="180">
        <v>0</v>
      </c>
    </row>
    <row r="59" spans="1:6" ht="15.5">
      <c r="A59" s="173"/>
      <c r="B59" s="178"/>
      <c r="C59" s="175"/>
      <c r="D59" s="175"/>
      <c r="E59" s="179"/>
      <c r="F59" s="177"/>
    </row>
    <row r="60" spans="1:6" ht="15.5">
      <c r="A60" s="191">
        <v>5.0199999999999996</v>
      </c>
      <c r="B60" s="192" t="s">
        <v>496</v>
      </c>
      <c r="C60" s="175" t="s">
        <v>487</v>
      </c>
      <c r="D60" s="175">
        <v>3500</v>
      </c>
      <c r="E60" s="179">
        <v>0</v>
      </c>
      <c r="F60" s="180">
        <f>+E60*D60</f>
        <v>0</v>
      </c>
    </row>
    <row r="61" spans="1:6" ht="15.5">
      <c r="A61" s="173"/>
      <c r="B61" s="178"/>
      <c r="C61" s="192"/>
      <c r="D61" s="175"/>
      <c r="E61" s="179"/>
      <c r="F61" s="177"/>
    </row>
    <row r="62" spans="1:6" ht="15.5">
      <c r="A62" s="173">
        <v>5.03</v>
      </c>
      <c r="B62" s="192" t="s">
        <v>497</v>
      </c>
      <c r="C62" s="175" t="s">
        <v>487</v>
      </c>
      <c r="D62" s="175">
        <v>5500</v>
      </c>
      <c r="E62" s="179">
        <v>0</v>
      </c>
      <c r="F62" s="180">
        <f>+E62*D62</f>
        <v>0</v>
      </c>
    </row>
    <row r="63" spans="1:6" ht="15.5">
      <c r="A63" s="173"/>
      <c r="B63" s="178"/>
      <c r="C63" s="175"/>
      <c r="D63" s="175"/>
      <c r="E63" s="176"/>
      <c r="F63" s="177"/>
    </row>
    <row r="64" spans="1:6" ht="15.5">
      <c r="A64" s="193"/>
      <c r="B64" s="194" t="s">
        <v>498</v>
      </c>
      <c r="C64" s="195"/>
      <c r="D64" s="193"/>
      <c r="E64" s="196"/>
      <c r="F64" s="197">
        <f>SUM(F6:F63)</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3DE3-7AAC-4B03-A6B0-349D3A828FBB}">
  <sheetPr codeName="Sheet7">
    <tabColor theme="9" tint="0.39997558519241921"/>
  </sheetPr>
  <dimension ref="A1:F132"/>
  <sheetViews>
    <sheetView showGridLines="0" workbookViewId="0">
      <selection activeCell="F133" sqref="F133"/>
    </sheetView>
  </sheetViews>
  <sheetFormatPr defaultColWidth="24.54296875" defaultRowHeight="14.5"/>
  <cols>
    <col min="1" max="1" width="5.26953125" bestFit="1" customWidth="1"/>
    <col min="2" max="2" width="46.453125" bestFit="1" customWidth="1"/>
    <col min="3" max="3" width="5.453125" bestFit="1" customWidth="1"/>
    <col min="4" max="4" width="4.6328125" bestFit="1" customWidth="1"/>
    <col min="5" max="5" width="9.90625" bestFit="1" customWidth="1"/>
    <col min="6" max="6" width="13.90625" bestFit="1" customWidth="1"/>
  </cols>
  <sheetData>
    <row r="1" spans="1:6" ht="15.5">
      <c r="A1" s="519" t="s">
        <v>460</v>
      </c>
      <c r="B1" s="519"/>
      <c r="C1" s="519"/>
      <c r="D1" s="519"/>
      <c r="E1" s="519"/>
      <c r="F1" s="519"/>
    </row>
    <row r="2" spans="1:6" ht="15.5">
      <c r="A2" s="520" t="s">
        <v>461</v>
      </c>
      <c r="B2" s="520"/>
      <c r="C2" s="520"/>
      <c r="D2" s="520"/>
      <c r="E2" s="520"/>
      <c r="F2" s="520"/>
    </row>
    <row r="3" spans="1:6" ht="15.5">
      <c r="A3" s="521" t="s">
        <v>462</v>
      </c>
      <c r="B3" s="522"/>
      <c r="C3" s="522"/>
      <c r="D3" s="522"/>
      <c r="E3" s="522"/>
      <c r="F3" s="523"/>
    </row>
    <row r="4" spans="1:6" ht="15.5">
      <c r="A4" s="306" t="s">
        <v>463</v>
      </c>
      <c r="B4" s="307" t="s">
        <v>308</v>
      </c>
      <c r="C4" s="307" t="s">
        <v>6</v>
      </c>
      <c r="D4" s="307" t="s">
        <v>309</v>
      </c>
      <c r="E4" s="307" t="s">
        <v>8</v>
      </c>
      <c r="F4" s="307" t="s">
        <v>9</v>
      </c>
    </row>
    <row r="5" spans="1:6" ht="15.5">
      <c r="A5" s="308"/>
      <c r="B5" s="309"/>
      <c r="C5" s="310"/>
      <c r="D5" s="310"/>
      <c r="E5" s="199"/>
      <c r="F5" s="200"/>
    </row>
    <row r="6" spans="1:6" ht="15.5">
      <c r="A6" s="311" t="s">
        <v>298</v>
      </c>
      <c r="B6" s="312" t="s">
        <v>499</v>
      </c>
      <c r="C6" s="313"/>
      <c r="D6" s="313"/>
      <c r="E6" s="313"/>
      <c r="F6" s="313"/>
    </row>
    <row r="7" spans="1:6" ht="15.5">
      <c r="A7" s="308"/>
      <c r="B7" s="314"/>
      <c r="C7" s="310"/>
      <c r="D7" s="310"/>
      <c r="E7" s="199"/>
      <c r="F7" s="200"/>
    </row>
    <row r="8" spans="1:6" ht="186">
      <c r="A8" s="308">
        <v>1</v>
      </c>
      <c r="B8" s="315" t="s">
        <v>500</v>
      </c>
      <c r="C8" s="310"/>
      <c r="D8" s="310"/>
      <c r="E8" s="199"/>
      <c r="F8" s="310"/>
    </row>
    <row r="9" spans="1:6" ht="15.5">
      <c r="A9" s="308"/>
      <c r="B9" s="314"/>
      <c r="C9" s="310"/>
      <c r="D9" s="310"/>
      <c r="E9" s="199"/>
      <c r="F9" s="310"/>
    </row>
    <row r="10" spans="1:6" ht="15.5">
      <c r="A10" s="308"/>
      <c r="B10" s="309" t="s">
        <v>501</v>
      </c>
      <c r="C10" s="310"/>
      <c r="D10" s="310"/>
      <c r="E10" s="199"/>
      <c r="F10" s="310"/>
    </row>
    <row r="11" spans="1:6" ht="15.5">
      <c r="A11" s="308"/>
      <c r="B11" s="314"/>
      <c r="C11" s="316"/>
      <c r="D11" s="310"/>
      <c r="E11" s="179"/>
      <c r="F11" s="200"/>
    </row>
    <row r="12" spans="1:6" ht="15.5">
      <c r="A12" s="308">
        <v>1.01</v>
      </c>
      <c r="B12" s="314" t="s">
        <v>502</v>
      </c>
      <c r="C12" s="316" t="s">
        <v>503</v>
      </c>
      <c r="D12" s="310">
        <f>+'[2]Cable schedule'!D94</f>
        <v>40</v>
      </c>
      <c r="E12" s="179">
        <v>0</v>
      </c>
      <c r="F12" s="180">
        <f>+E12*D12</f>
        <v>0</v>
      </c>
    </row>
    <row r="13" spans="1:6" ht="15.5">
      <c r="A13" s="308"/>
      <c r="B13" s="314"/>
      <c r="C13" s="316"/>
      <c r="D13" s="310"/>
      <c r="E13" s="179"/>
      <c r="F13" s="200"/>
    </row>
    <row r="14" spans="1:6" ht="15.5">
      <c r="A14" s="308">
        <f>+A12+0.01</f>
        <v>1.02</v>
      </c>
      <c r="B14" s="314" t="s">
        <v>504</v>
      </c>
      <c r="C14" s="316" t="s">
        <v>503</v>
      </c>
      <c r="D14" s="310" t="s">
        <v>15</v>
      </c>
      <c r="E14" s="179">
        <v>0</v>
      </c>
      <c r="F14" s="180"/>
    </row>
    <row r="15" spans="1:6" ht="15.5">
      <c r="A15" s="308"/>
      <c r="B15" s="314"/>
      <c r="C15" s="316"/>
      <c r="D15" s="310"/>
      <c r="E15" s="179"/>
      <c r="F15" s="200"/>
    </row>
    <row r="16" spans="1:6" ht="15.5">
      <c r="A16" s="308">
        <f>+A14+0.01</f>
        <v>1.03</v>
      </c>
      <c r="B16" s="314" t="s">
        <v>505</v>
      </c>
      <c r="C16" s="316" t="s">
        <v>503</v>
      </c>
      <c r="D16" s="310">
        <f>+'[2]Cable schedule'!D95+3</f>
        <v>65</v>
      </c>
      <c r="E16" s="179">
        <v>0</v>
      </c>
      <c r="F16" s="180">
        <f>+E16*D16</f>
        <v>0</v>
      </c>
    </row>
    <row r="17" spans="1:6" ht="15.5">
      <c r="A17" s="308"/>
      <c r="B17" s="314"/>
      <c r="C17" s="316"/>
      <c r="D17" s="310"/>
      <c r="E17" s="179"/>
      <c r="F17" s="200"/>
    </row>
    <row r="18" spans="1:6" ht="15.5">
      <c r="A18" s="308">
        <f>+A16+0.01</f>
        <v>1.04</v>
      </c>
      <c r="B18" s="314" t="s">
        <v>506</v>
      </c>
      <c r="C18" s="316" t="s">
        <v>503</v>
      </c>
      <c r="D18" s="310">
        <f>+'[2]Cable schedule'!D96+4</f>
        <v>35</v>
      </c>
      <c r="E18" s="179">
        <v>0</v>
      </c>
      <c r="F18" s="180">
        <f>+E18*D18</f>
        <v>0</v>
      </c>
    </row>
    <row r="19" spans="1:6" ht="15.5">
      <c r="A19" s="308"/>
      <c r="B19" s="314"/>
      <c r="C19" s="316"/>
      <c r="D19" s="310"/>
      <c r="E19" s="179"/>
      <c r="F19" s="200"/>
    </row>
    <row r="20" spans="1:6" ht="15.5">
      <c r="A20" s="308">
        <f>+A18+0.01</f>
        <v>1.05</v>
      </c>
      <c r="B20" s="314" t="s">
        <v>507</v>
      </c>
      <c r="C20" s="316" t="s">
        <v>503</v>
      </c>
      <c r="D20" s="310" t="s">
        <v>15</v>
      </c>
      <c r="E20" s="179">
        <v>0</v>
      </c>
      <c r="F20" s="180"/>
    </row>
    <row r="21" spans="1:6" ht="15.5">
      <c r="A21" s="317"/>
      <c r="B21" s="318"/>
      <c r="C21" s="319"/>
      <c r="D21" s="319"/>
      <c r="E21" s="320"/>
      <c r="F21" s="319"/>
    </row>
    <row r="22" spans="1:6" ht="15.5">
      <c r="A22" s="308">
        <f>+A20+0.01</f>
        <v>1.06</v>
      </c>
      <c r="B22" s="314" t="s">
        <v>508</v>
      </c>
      <c r="C22" s="316" t="s">
        <v>503</v>
      </c>
      <c r="D22" s="310" t="s">
        <v>15</v>
      </c>
      <c r="E22" s="179">
        <v>0</v>
      </c>
      <c r="F22" s="180"/>
    </row>
    <row r="23" spans="1:6" ht="15.5">
      <c r="A23" s="308"/>
      <c r="B23" s="314"/>
      <c r="C23" s="316"/>
      <c r="D23" s="310"/>
      <c r="E23" s="179"/>
      <c r="F23" s="180">
        <f>+E23*D23</f>
        <v>0</v>
      </c>
    </row>
    <row r="24" spans="1:6" ht="15.5">
      <c r="A24" s="308">
        <f>+A22+0.01</f>
        <v>1.07</v>
      </c>
      <c r="B24" s="314" t="s">
        <v>509</v>
      </c>
      <c r="C24" s="316" t="s">
        <v>503</v>
      </c>
      <c r="D24" s="310">
        <f>+'[2]Cable schedule'!D98</f>
        <v>190</v>
      </c>
      <c r="E24" s="179">
        <v>0</v>
      </c>
      <c r="F24" s="180">
        <f>+E24*D24</f>
        <v>0</v>
      </c>
    </row>
    <row r="25" spans="1:6" ht="15.5">
      <c r="A25" s="308"/>
      <c r="B25" s="314"/>
      <c r="C25" s="310"/>
      <c r="D25" s="310"/>
      <c r="E25" s="179"/>
      <c r="F25" s="310"/>
    </row>
    <row r="26" spans="1:6" ht="15.5">
      <c r="A26" s="308">
        <f>+A24+0.01</f>
        <v>1.08</v>
      </c>
      <c r="B26" s="314" t="s">
        <v>510</v>
      </c>
      <c r="C26" s="316" t="s">
        <v>503</v>
      </c>
      <c r="D26" s="310">
        <f>+'[2]Cable schedule'!D99</f>
        <v>614</v>
      </c>
      <c r="E26" s="179">
        <v>0</v>
      </c>
      <c r="F26" s="180">
        <f>+E26*D26</f>
        <v>0</v>
      </c>
    </row>
    <row r="27" spans="1:6" ht="15.5">
      <c r="A27" s="308"/>
      <c r="B27" s="314"/>
      <c r="C27" s="310"/>
      <c r="D27" s="310"/>
      <c r="E27" s="179"/>
      <c r="F27" s="310"/>
    </row>
    <row r="28" spans="1:6" ht="15.5">
      <c r="A28" s="308"/>
      <c r="B28" s="309" t="s">
        <v>511</v>
      </c>
      <c r="C28" s="310"/>
      <c r="D28" s="310"/>
      <c r="E28" s="179"/>
      <c r="F28" s="180"/>
    </row>
    <row r="29" spans="1:6" ht="15.5">
      <c r="A29" s="308"/>
      <c r="B29" s="314"/>
      <c r="C29" s="310"/>
      <c r="D29" s="310"/>
      <c r="E29" s="179"/>
      <c r="F29" s="310"/>
    </row>
    <row r="30" spans="1:6" ht="15.5">
      <c r="A30" s="308">
        <f>+A26+0.01</f>
        <v>1.0900000000000001</v>
      </c>
      <c r="B30" s="314" t="s">
        <v>512</v>
      </c>
      <c r="C30" s="316" t="s">
        <v>503</v>
      </c>
      <c r="D30" s="310" t="s">
        <v>15</v>
      </c>
      <c r="E30" s="179">
        <v>0</v>
      </c>
      <c r="F30" s="180"/>
    </row>
    <row r="31" spans="1:6" ht="15.5">
      <c r="A31" s="308"/>
      <c r="B31" s="314"/>
      <c r="C31" s="310"/>
      <c r="D31" s="310"/>
      <c r="E31" s="179"/>
      <c r="F31" s="310"/>
    </row>
    <row r="32" spans="1:6" ht="15.5">
      <c r="A32" s="321">
        <f>+A30+0.01</f>
        <v>1.1000000000000001</v>
      </c>
      <c r="B32" s="314" t="s">
        <v>513</v>
      </c>
      <c r="C32" s="316" t="s">
        <v>503</v>
      </c>
      <c r="D32" s="310" t="s">
        <v>15</v>
      </c>
      <c r="E32" s="179">
        <v>0</v>
      </c>
      <c r="F32" s="180"/>
    </row>
    <row r="33" spans="1:6" ht="15.5">
      <c r="A33" s="308"/>
      <c r="B33" s="314"/>
      <c r="C33" s="316"/>
      <c r="D33" s="310"/>
      <c r="E33" s="179"/>
      <c r="F33" s="200"/>
    </row>
    <row r="34" spans="1:6" ht="15.5">
      <c r="A34" s="321">
        <f>+A32+0.01</f>
        <v>1.1100000000000001</v>
      </c>
      <c r="B34" s="314" t="s">
        <v>514</v>
      </c>
      <c r="C34" s="316" t="s">
        <v>503</v>
      </c>
      <c r="D34" s="310">
        <f>+'[2]Cable schedule'!D101+4</f>
        <v>35</v>
      </c>
      <c r="E34" s="179">
        <v>0</v>
      </c>
      <c r="F34" s="180">
        <f>+E34*D34</f>
        <v>0</v>
      </c>
    </row>
    <row r="35" spans="1:6" ht="15.5">
      <c r="A35" s="308"/>
      <c r="B35" s="314"/>
      <c r="C35" s="316"/>
      <c r="D35" s="310"/>
      <c r="E35" s="179"/>
      <c r="F35" s="200"/>
    </row>
    <row r="36" spans="1:6" ht="15.5">
      <c r="A36" s="321">
        <f>+A34+0.01</f>
        <v>1.1200000000000001</v>
      </c>
      <c r="B36" s="314" t="s">
        <v>515</v>
      </c>
      <c r="C36" s="316" t="s">
        <v>503</v>
      </c>
      <c r="D36" s="310">
        <f>+'[2]Cable schedule'!D102</f>
        <v>595</v>
      </c>
      <c r="E36" s="179">
        <v>0</v>
      </c>
      <c r="F36" s="180">
        <f>+E36*D36</f>
        <v>0</v>
      </c>
    </row>
    <row r="37" spans="1:6" ht="15.5">
      <c r="A37" s="308"/>
      <c r="B37" s="314"/>
      <c r="C37" s="316"/>
      <c r="D37" s="310"/>
      <c r="E37" s="179"/>
      <c r="F37" s="200"/>
    </row>
    <row r="38" spans="1:6" ht="15.5">
      <c r="A38" s="321">
        <f>+A36+0.01</f>
        <v>1.1300000000000001</v>
      </c>
      <c r="B38" s="314" t="s">
        <v>516</v>
      </c>
      <c r="C38" s="316" t="s">
        <v>503</v>
      </c>
      <c r="D38" s="310">
        <f>+'[2]Cable schedule'!D105+4</f>
        <v>150</v>
      </c>
      <c r="E38" s="179">
        <v>0</v>
      </c>
      <c r="F38" s="180">
        <f>+E38*D38</f>
        <v>0</v>
      </c>
    </row>
    <row r="39" spans="1:6" ht="15.5">
      <c r="A39" s="321"/>
      <c r="B39" s="314"/>
      <c r="C39" s="316"/>
      <c r="D39" s="310"/>
      <c r="E39" s="179"/>
      <c r="F39" s="180"/>
    </row>
    <row r="40" spans="1:6" ht="15.5">
      <c r="A40" s="321">
        <f>+A38+0.01</f>
        <v>1.1400000000000001</v>
      </c>
      <c r="B40" s="314" t="s">
        <v>517</v>
      </c>
      <c r="C40" s="316" t="s">
        <v>503</v>
      </c>
      <c r="D40" s="310">
        <f>+'[2]Cable schedule'!D103</f>
        <v>18</v>
      </c>
      <c r="E40" s="179">
        <v>0</v>
      </c>
      <c r="F40" s="180">
        <f>+E40*D40</f>
        <v>0</v>
      </c>
    </row>
    <row r="41" spans="1:6" ht="15.5">
      <c r="A41" s="321"/>
      <c r="B41" s="314"/>
      <c r="C41" s="316"/>
      <c r="D41" s="310"/>
      <c r="E41" s="179"/>
      <c r="F41" s="180"/>
    </row>
    <row r="42" spans="1:6" ht="15.5">
      <c r="A42" s="321">
        <f>+A40+0.01</f>
        <v>1.1500000000000001</v>
      </c>
      <c r="B42" s="314" t="s">
        <v>518</v>
      </c>
      <c r="C42" s="316" t="s">
        <v>503</v>
      </c>
      <c r="D42" s="310">
        <f>+'[2]Cable schedule'!D104+7</f>
        <v>180</v>
      </c>
      <c r="E42" s="179">
        <v>0</v>
      </c>
      <c r="F42" s="180">
        <f>+E42*D42</f>
        <v>0</v>
      </c>
    </row>
    <row r="43" spans="1:6" ht="15.5">
      <c r="A43" s="321"/>
      <c r="B43" s="314"/>
      <c r="C43" s="316"/>
      <c r="D43" s="310"/>
      <c r="E43" s="179"/>
      <c r="F43" s="180"/>
    </row>
    <row r="44" spans="1:6" ht="15.5">
      <c r="A44" s="321">
        <f>+A42+0.01</f>
        <v>1.1600000000000001</v>
      </c>
      <c r="B44" s="314" t="s">
        <v>519</v>
      </c>
      <c r="C44" s="316" t="s">
        <v>503</v>
      </c>
      <c r="D44" s="310" t="s">
        <v>15</v>
      </c>
      <c r="E44" s="179">
        <v>0</v>
      </c>
      <c r="F44" s="180"/>
    </row>
    <row r="45" spans="1:6" ht="15.5">
      <c r="A45" s="308"/>
      <c r="B45" s="314"/>
      <c r="C45" s="316"/>
      <c r="D45" s="310"/>
      <c r="E45" s="179"/>
      <c r="F45" s="200"/>
    </row>
    <row r="46" spans="1:6" ht="15.5">
      <c r="A46" s="321">
        <f>+A44+0.01</f>
        <v>1.1700000000000002</v>
      </c>
      <c r="B46" s="314" t="s">
        <v>520</v>
      </c>
      <c r="C46" s="316" t="s">
        <v>503</v>
      </c>
      <c r="D46" s="310">
        <f>+'[2]Cable schedule'!D106</f>
        <v>60</v>
      </c>
      <c r="E46" s="179">
        <v>0</v>
      </c>
      <c r="F46" s="180">
        <f>+E46*D46</f>
        <v>0</v>
      </c>
    </row>
    <row r="47" spans="1:6" ht="15.5">
      <c r="A47" s="308"/>
      <c r="B47" s="314"/>
      <c r="C47" s="316"/>
      <c r="D47" s="310"/>
      <c r="E47" s="179"/>
      <c r="F47" s="200"/>
    </row>
    <row r="48" spans="1:6" ht="15.5">
      <c r="A48" s="321">
        <f>+A46+0.01</f>
        <v>1.1800000000000002</v>
      </c>
      <c r="B48" s="314" t="s">
        <v>521</v>
      </c>
      <c r="C48" s="316" t="s">
        <v>503</v>
      </c>
      <c r="D48" s="310">
        <f>+'[2]Cable schedule'!D107</f>
        <v>160</v>
      </c>
      <c r="E48" s="179">
        <v>0</v>
      </c>
      <c r="F48" s="180">
        <f>+E48*D48</f>
        <v>0</v>
      </c>
    </row>
    <row r="49" spans="1:6" ht="15.5">
      <c r="A49" s="308"/>
      <c r="B49" s="314"/>
      <c r="C49" s="316"/>
      <c r="D49" s="310"/>
      <c r="E49" s="179"/>
      <c r="F49" s="200"/>
    </row>
    <row r="50" spans="1:6" ht="15.5">
      <c r="A50" s="321">
        <f>+A48+0.01</f>
        <v>1.1900000000000002</v>
      </c>
      <c r="B50" s="322" t="s">
        <v>522</v>
      </c>
      <c r="C50" s="310" t="s">
        <v>503</v>
      </c>
      <c r="D50" s="310">
        <v>550</v>
      </c>
      <c r="E50" s="199">
        <v>0</v>
      </c>
      <c r="F50" s="200">
        <f>+E50*D50</f>
        <v>0</v>
      </c>
    </row>
    <row r="51" spans="1:6" ht="15.5">
      <c r="A51" s="310"/>
      <c r="B51" s="310"/>
      <c r="C51" s="316"/>
      <c r="D51" s="310"/>
      <c r="E51" s="199"/>
      <c r="F51" s="200"/>
    </row>
    <row r="52" spans="1:6" ht="15.5">
      <c r="A52" s="321">
        <f>+A50+0.01</f>
        <v>1.2000000000000002</v>
      </c>
      <c r="B52" s="322" t="s">
        <v>523</v>
      </c>
      <c r="C52" s="310" t="s">
        <v>503</v>
      </c>
      <c r="D52" s="310">
        <v>450</v>
      </c>
      <c r="E52" s="199">
        <v>0</v>
      </c>
      <c r="F52" s="200">
        <f>+E52*D52</f>
        <v>0</v>
      </c>
    </row>
    <row r="53" spans="1:6" ht="15.5">
      <c r="A53" s="308"/>
      <c r="B53" s="308"/>
      <c r="C53" s="316"/>
      <c r="D53" s="310"/>
      <c r="E53" s="179"/>
      <c r="F53" s="200"/>
    </row>
    <row r="54" spans="1:6" ht="124">
      <c r="A54" s="323">
        <v>2</v>
      </c>
      <c r="B54" s="315" t="s">
        <v>524</v>
      </c>
      <c r="C54" s="310"/>
      <c r="D54" s="310"/>
      <c r="E54" s="199"/>
      <c r="F54" s="310"/>
    </row>
    <row r="55" spans="1:6" ht="15.5">
      <c r="A55" s="308"/>
      <c r="B55" s="309" t="s">
        <v>501</v>
      </c>
      <c r="C55" s="310"/>
      <c r="D55" s="310"/>
      <c r="E55" s="199"/>
      <c r="F55" s="180">
        <v>0</v>
      </c>
    </row>
    <row r="56" spans="1:6" ht="15.5">
      <c r="A56" s="308">
        <v>2.0099999999999998</v>
      </c>
      <c r="B56" s="314" t="s">
        <v>502</v>
      </c>
      <c r="C56" s="310" t="s">
        <v>360</v>
      </c>
      <c r="D56" s="310">
        <v>4</v>
      </c>
      <c r="E56" s="199">
        <v>0</v>
      </c>
      <c r="F56" s="200">
        <f>+E56*D56</f>
        <v>0</v>
      </c>
    </row>
    <row r="57" spans="1:6" ht="15.5">
      <c r="A57" s="308"/>
      <c r="B57" s="309"/>
      <c r="C57" s="310"/>
      <c r="D57" s="310"/>
      <c r="E57" s="199"/>
      <c r="F57" s="180"/>
    </row>
    <row r="58" spans="1:6" ht="15.5">
      <c r="A58" s="308">
        <f>+A56+0.01</f>
        <v>2.0199999999999996</v>
      </c>
      <c r="B58" s="314" t="s">
        <v>504</v>
      </c>
      <c r="C58" s="316" t="s">
        <v>360</v>
      </c>
      <c r="D58" s="310">
        <v>8</v>
      </c>
      <c r="E58" s="179">
        <v>0</v>
      </c>
      <c r="F58" s="200">
        <f>+E58*D58</f>
        <v>0</v>
      </c>
    </row>
    <row r="59" spans="1:6" ht="15.5">
      <c r="A59" s="308"/>
      <c r="B59" s="314"/>
      <c r="C59" s="316"/>
      <c r="D59" s="310"/>
      <c r="E59" s="179"/>
      <c r="F59" s="180"/>
    </row>
    <row r="60" spans="1:6" ht="15.5">
      <c r="A60" s="308">
        <f>+A58+0.01</f>
        <v>2.0299999999999994</v>
      </c>
      <c r="B60" s="314" t="s">
        <v>505</v>
      </c>
      <c r="C60" s="316" t="s">
        <v>360</v>
      </c>
      <c r="D60" s="310">
        <v>2</v>
      </c>
      <c r="E60" s="179">
        <v>0</v>
      </c>
      <c r="F60" s="200">
        <f>+E60*D60</f>
        <v>0</v>
      </c>
    </row>
    <row r="61" spans="1:6" ht="15.5">
      <c r="A61" s="308"/>
      <c r="B61" s="314"/>
      <c r="C61" s="316"/>
      <c r="D61" s="310"/>
      <c r="E61" s="179"/>
      <c r="F61" s="180"/>
    </row>
    <row r="62" spans="1:6" ht="15.5">
      <c r="A62" s="308">
        <f>+A60+0.01</f>
        <v>2.0399999999999991</v>
      </c>
      <c r="B62" s="314" t="s">
        <v>506</v>
      </c>
      <c r="C62" s="316" t="s">
        <v>360</v>
      </c>
      <c r="D62" s="310" t="s">
        <v>15</v>
      </c>
      <c r="E62" s="179">
        <v>0</v>
      </c>
      <c r="F62" s="180"/>
    </row>
    <row r="63" spans="1:6" ht="15.5">
      <c r="A63" s="308"/>
      <c r="B63" s="314"/>
      <c r="C63" s="316"/>
      <c r="D63" s="310"/>
      <c r="E63" s="179"/>
      <c r="F63" s="180"/>
    </row>
    <row r="64" spans="1:6" ht="15.5">
      <c r="A64" s="308">
        <f>+A62+0.01</f>
        <v>2.0499999999999989</v>
      </c>
      <c r="B64" s="314" t="s">
        <v>507</v>
      </c>
      <c r="C64" s="316" t="s">
        <v>360</v>
      </c>
      <c r="D64" s="310">
        <v>2</v>
      </c>
      <c r="E64" s="179">
        <v>0</v>
      </c>
      <c r="F64" s="200">
        <f>+E64*D64</f>
        <v>0</v>
      </c>
    </row>
    <row r="65" spans="1:6" ht="15.5">
      <c r="A65" s="317"/>
      <c r="B65" s="318"/>
      <c r="C65" s="316"/>
      <c r="D65" s="310"/>
      <c r="E65" s="179"/>
      <c r="F65" s="180"/>
    </row>
    <row r="66" spans="1:6" ht="15.5">
      <c r="A66" s="308">
        <f>+A64+0.01</f>
        <v>2.0599999999999987</v>
      </c>
      <c r="B66" s="314" t="s">
        <v>508</v>
      </c>
      <c r="C66" s="316" t="s">
        <v>360</v>
      </c>
      <c r="D66" s="310">
        <v>2</v>
      </c>
      <c r="E66" s="179">
        <v>0</v>
      </c>
      <c r="F66" s="200">
        <f>+E66*D66</f>
        <v>0</v>
      </c>
    </row>
    <row r="67" spans="1:6" ht="15.5">
      <c r="A67" s="308"/>
      <c r="B67" s="314"/>
      <c r="C67" s="316"/>
      <c r="D67" s="310"/>
      <c r="E67" s="179"/>
      <c r="F67" s="180"/>
    </row>
    <row r="68" spans="1:6" ht="15.5">
      <c r="A68" s="308">
        <f>+A66+0.01</f>
        <v>2.0699999999999985</v>
      </c>
      <c r="B68" s="314" t="s">
        <v>509</v>
      </c>
      <c r="C68" s="316" t="s">
        <v>360</v>
      </c>
      <c r="D68" s="310" t="s">
        <v>15</v>
      </c>
      <c r="E68" s="179">
        <v>0</v>
      </c>
      <c r="F68" s="200"/>
    </row>
    <row r="69" spans="1:6" ht="15.5">
      <c r="A69" s="308"/>
      <c r="B69" s="314"/>
      <c r="C69" s="316"/>
      <c r="D69" s="310"/>
      <c r="E69" s="179"/>
      <c r="F69" s="180"/>
    </row>
    <row r="70" spans="1:6" ht="15.5">
      <c r="A70" s="308">
        <f>+A68+0.01</f>
        <v>2.0799999999999983</v>
      </c>
      <c r="B70" s="314" t="s">
        <v>510</v>
      </c>
      <c r="C70" s="316" t="s">
        <v>360</v>
      </c>
      <c r="D70" s="310">
        <v>44</v>
      </c>
      <c r="E70" s="179">
        <v>0</v>
      </c>
      <c r="F70" s="200">
        <f>+E70*D70</f>
        <v>0</v>
      </c>
    </row>
    <row r="71" spans="1:6" ht="15.5">
      <c r="A71" s="308"/>
      <c r="B71" s="314"/>
      <c r="C71" s="316"/>
      <c r="D71" s="310"/>
      <c r="E71" s="179"/>
      <c r="F71" s="180"/>
    </row>
    <row r="72" spans="1:6" ht="15.5">
      <c r="A72" s="308"/>
      <c r="B72" s="309" t="s">
        <v>511</v>
      </c>
      <c r="C72" s="316"/>
      <c r="D72" s="310"/>
      <c r="E72" s="179"/>
      <c r="F72" s="180"/>
    </row>
    <row r="73" spans="1:6" ht="15.5">
      <c r="A73" s="308"/>
      <c r="B73" s="314"/>
      <c r="C73" s="316"/>
      <c r="D73" s="310"/>
      <c r="E73" s="179"/>
      <c r="F73" s="180"/>
    </row>
    <row r="74" spans="1:6" ht="15.5">
      <c r="A74" s="308">
        <f>+A70+0.01</f>
        <v>2.0899999999999981</v>
      </c>
      <c r="B74" s="314" t="s">
        <v>512</v>
      </c>
      <c r="C74" s="316" t="s">
        <v>360</v>
      </c>
      <c r="D74" s="310" t="s">
        <v>15</v>
      </c>
      <c r="E74" s="179">
        <v>0</v>
      </c>
      <c r="F74" s="180"/>
    </row>
    <row r="75" spans="1:6" ht="15.5">
      <c r="A75" s="308"/>
      <c r="B75" s="314"/>
      <c r="C75" s="316"/>
      <c r="D75" s="310"/>
      <c r="E75" s="179"/>
      <c r="F75" s="180"/>
    </row>
    <row r="76" spans="1:6" ht="15.5">
      <c r="A76" s="321">
        <f>+A74+0.01</f>
        <v>2.0999999999999979</v>
      </c>
      <c r="B76" s="314" t="s">
        <v>513</v>
      </c>
      <c r="C76" s="316" t="s">
        <v>360</v>
      </c>
      <c r="D76" s="310">
        <v>20</v>
      </c>
      <c r="E76" s="179">
        <v>0</v>
      </c>
      <c r="F76" s="200">
        <f>+E76*D76</f>
        <v>0</v>
      </c>
    </row>
    <row r="77" spans="1:6" ht="15.5">
      <c r="A77" s="308"/>
      <c r="B77" s="314"/>
      <c r="C77" s="316"/>
      <c r="D77" s="310"/>
      <c r="E77" s="179"/>
      <c r="F77" s="180"/>
    </row>
    <row r="78" spans="1:6" ht="15.5">
      <c r="A78" s="321">
        <f>+A76+0.01</f>
        <v>2.1099999999999977</v>
      </c>
      <c r="B78" s="314" t="s">
        <v>514</v>
      </c>
      <c r="C78" s="316" t="s">
        <v>360</v>
      </c>
      <c r="D78" s="310">
        <v>2</v>
      </c>
      <c r="E78" s="179">
        <v>0</v>
      </c>
      <c r="F78" s="200">
        <f>+E78*D78</f>
        <v>0</v>
      </c>
    </row>
    <row r="79" spans="1:6" ht="15.5">
      <c r="A79" s="308"/>
      <c r="B79" s="314"/>
      <c r="C79" s="316"/>
      <c r="D79" s="310"/>
      <c r="E79" s="179"/>
      <c r="F79" s="180"/>
    </row>
    <row r="80" spans="1:6" ht="15.5">
      <c r="A80" s="321">
        <f>+A78+0.01</f>
        <v>2.1199999999999974</v>
      </c>
      <c r="B80" s="314" t="s">
        <v>515</v>
      </c>
      <c r="C80" s="316" t="s">
        <v>360</v>
      </c>
      <c r="D80" s="310" t="s">
        <v>15</v>
      </c>
      <c r="E80" s="179">
        <v>0</v>
      </c>
      <c r="F80" s="200"/>
    </row>
    <row r="81" spans="1:6" ht="15.5">
      <c r="A81" s="308"/>
      <c r="B81" s="314"/>
      <c r="C81" s="316"/>
      <c r="D81" s="310"/>
      <c r="E81" s="179"/>
      <c r="F81" s="310"/>
    </row>
    <row r="82" spans="1:6" ht="15.5">
      <c r="A82" s="321">
        <f>+A80+0.01</f>
        <v>2.1299999999999972</v>
      </c>
      <c r="B82" s="314" t="s">
        <v>516</v>
      </c>
      <c r="C82" s="316" t="s">
        <v>360</v>
      </c>
      <c r="D82" s="310" t="s">
        <v>15</v>
      </c>
      <c r="E82" s="179">
        <v>0</v>
      </c>
      <c r="F82" s="200"/>
    </row>
    <row r="83" spans="1:6" ht="15.5">
      <c r="A83" s="321"/>
      <c r="B83" s="314"/>
      <c r="C83" s="316"/>
      <c r="D83" s="310"/>
      <c r="E83" s="179"/>
      <c r="F83" s="310"/>
    </row>
    <row r="84" spans="1:6" ht="15.5">
      <c r="A84" s="321">
        <f>+A82+0.01</f>
        <v>2.139999999999997</v>
      </c>
      <c r="B84" s="314" t="s">
        <v>517</v>
      </c>
      <c r="C84" s="316" t="s">
        <v>360</v>
      </c>
      <c r="D84" s="310" t="s">
        <v>15</v>
      </c>
      <c r="E84" s="179">
        <v>0</v>
      </c>
      <c r="F84" s="200"/>
    </row>
    <row r="85" spans="1:6" ht="15.5">
      <c r="A85" s="321"/>
      <c r="B85" s="314"/>
      <c r="C85" s="316"/>
      <c r="D85" s="310"/>
      <c r="E85" s="179"/>
      <c r="F85" s="310"/>
    </row>
    <row r="86" spans="1:6" ht="15.5">
      <c r="A86" s="321">
        <f>+A84+0.01</f>
        <v>2.1499999999999968</v>
      </c>
      <c r="B86" s="314" t="s">
        <v>518</v>
      </c>
      <c r="C86" s="316" t="s">
        <v>360</v>
      </c>
      <c r="D86" s="310">
        <v>32</v>
      </c>
      <c r="E86" s="179">
        <v>0</v>
      </c>
      <c r="F86" s="200">
        <f>+E86*D86</f>
        <v>0</v>
      </c>
    </row>
    <row r="87" spans="1:6" ht="15.5">
      <c r="A87" s="321"/>
      <c r="B87" s="314"/>
      <c r="C87" s="316"/>
      <c r="D87" s="310"/>
      <c r="E87" s="179"/>
      <c r="F87" s="310"/>
    </row>
    <row r="88" spans="1:6" ht="15.5">
      <c r="A88" s="321">
        <f>+A86+0.01</f>
        <v>2.1599999999999966</v>
      </c>
      <c r="B88" s="314" t="s">
        <v>519</v>
      </c>
      <c r="C88" s="316" t="s">
        <v>360</v>
      </c>
      <c r="D88" s="310">
        <v>30</v>
      </c>
      <c r="E88" s="179">
        <v>0</v>
      </c>
      <c r="F88" s="200">
        <f>+E88*D88</f>
        <v>0</v>
      </c>
    </row>
    <row r="89" spans="1:6" ht="15.5">
      <c r="A89" s="321"/>
      <c r="B89" s="314"/>
      <c r="C89" s="310"/>
      <c r="D89" s="310"/>
      <c r="E89" s="179"/>
      <c r="F89" s="310"/>
    </row>
    <row r="90" spans="1:6" ht="15.5">
      <c r="A90" s="321">
        <f>+A88+0.01</f>
        <v>2.1699999999999964</v>
      </c>
      <c r="B90" s="314" t="s">
        <v>520</v>
      </c>
      <c r="C90" s="310" t="s">
        <v>360</v>
      </c>
      <c r="D90" s="310">
        <f>+'[2]Cable schedule'!E106</f>
        <v>16</v>
      </c>
      <c r="E90" s="179">
        <v>0</v>
      </c>
      <c r="F90" s="200">
        <f>+E90*D90</f>
        <v>0</v>
      </c>
    </row>
    <row r="91" spans="1:6" ht="15.5">
      <c r="A91" s="308"/>
      <c r="B91" s="314"/>
      <c r="C91" s="310"/>
      <c r="D91" s="310"/>
      <c r="E91" s="179"/>
      <c r="F91" s="310"/>
    </row>
    <row r="92" spans="1:6" ht="15.5">
      <c r="A92" s="321">
        <f>+A90+0.01</f>
        <v>2.1799999999999962</v>
      </c>
      <c r="B92" s="314" t="s">
        <v>521</v>
      </c>
      <c r="C92" s="310" t="s">
        <v>360</v>
      </c>
      <c r="D92" s="310">
        <f>+'[2]Cable schedule'!E107</f>
        <v>36</v>
      </c>
      <c r="E92" s="179">
        <v>0</v>
      </c>
      <c r="F92" s="200">
        <f>+E92*D92</f>
        <v>0</v>
      </c>
    </row>
    <row r="93" spans="1:6" ht="15.5">
      <c r="A93" s="308"/>
      <c r="B93" s="314"/>
      <c r="C93" s="310"/>
      <c r="D93" s="310"/>
      <c r="E93" s="179"/>
      <c r="F93" s="310"/>
    </row>
    <row r="94" spans="1:6" ht="15.5">
      <c r="A94" s="321">
        <f>+A92+0.01</f>
        <v>2.1899999999999959</v>
      </c>
      <c r="B94" s="322" t="s">
        <v>522</v>
      </c>
      <c r="C94" s="316" t="s">
        <v>360</v>
      </c>
      <c r="D94" s="310">
        <v>60</v>
      </c>
      <c r="E94" s="179">
        <v>0</v>
      </c>
      <c r="F94" s="200">
        <f>+E94*D94</f>
        <v>0</v>
      </c>
    </row>
    <row r="95" spans="1:6" ht="15.5">
      <c r="A95" s="308"/>
      <c r="B95" s="310"/>
      <c r="C95" s="310"/>
      <c r="D95" s="310"/>
      <c r="E95" s="179"/>
      <c r="F95" s="180"/>
    </row>
    <row r="96" spans="1:6" ht="15.5">
      <c r="A96" s="321">
        <f>+A94+0.01</f>
        <v>2.1999999999999957</v>
      </c>
      <c r="B96" s="322" t="s">
        <v>523</v>
      </c>
      <c r="C96" s="316" t="s">
        <v>360</v>
      </c>
      <c r="D96" s="310">
        <v>70</v>
      </c>
      <c r="E96" s="179">
        <v>0</v>
      </c>
      <c r="F96" s="200">
        <f>+E96*D96</f>
        <v>0</v>
      </c>
    </row>
    <row r="97" spans="1:6" ht="15.5">
      <c r="A97" s="310"/>
      <c r="B97" s="314"/>
      <c r="C97" s="310"/>
      <c r="D97" s="310"/>
      <c r="E97" s="179"/>
      <c r="F97" s="180"/>
    </row>
    <row r="98" spans="1:6" ht="108.5">
      <c r="A98" s="321">
        <f>+A96+0.01</f>
        <v>2.2099999999999955</v>
      </c>
      <c r="B98" s="315" t="s">
        <v>525</v>
      </c>
      <c r="C98" s="316"/>
      <c r="D98" s="310"/>
      <c r="E98" s="199"/>
      <c r="F98" s="200"/>
    </row>
    <row r="99" spans="1:6" ht="15.5">
      <c r="A99" s="308"/>
      <c r="B99" s="314" t="s">
        <v>526</v>
      </c>
      <c r="C99" s="316"/>
      <c r="D99" s="310"/>
      <c r="E99" s="199"/>
      <c r="F99" s="200"/>
    </row>
    <row r="100" spans="1:6" ht="15.5">
      <c r="A100" s="324">
        <f>+A98+0.1</f>
        <v>2.3099999999999956</v>
      </c>
      <c r="B100" s="314" t="s">
        <v>527</v>
      </c>
      <c r="C100" s="316" t="s">
        <v>503</v>
      </c>
      <c r="D100" s="310">
        <v>50</v>
      </c>
      <c r="E100" s="180">
        <v>0</v>
      </c>
      <c r="F100" s="200">
        <f>+E100*D100</f>
        <v>0</v>
      </c>
    </row>
    <row r="101" spans="1:6" ht="15.5">
      <c r="A101" s="308"/>
      <c r="B101" s="314"/>
      <c r="C101" s="310"/>
      <c r="D101" s="310"/>
      <c r="E101" s="180"/>
      <c r="F101" s="200"/>
    </row>
    <row r="102" spans="1:6" ht="15.5">
      <c r="A102" s="324">
        <f>+A100+0.1</f>
        <v>2.4099999999999957</v>
      </c>
      <c r="B102" s="314" t="s">
        <v>528</v>
      </c>
      <c r="C102" s="316" t="s">
        <v>503</v>
      </c>
      <c r="D102" s="310">
        <v>0</v>
      </c>
      <c r="E102" s="180">
        <v>0</v>
      </c>
      <c r="F102" s="200">
        <f>+E102*D102</f>
        <v>0</v>
      </c>
    </row>
    <row r="103" spans="1:6" ht="15.5">
      <c r="A103" s="308"/>
      <c r="B103" s="314"/>
      <c r="C103" s="310"/>
      <c r="D103" s="310"/>
      <c r="E103" s="180"/>
      <c r="F103" s="200"/>
    </row>
    <row r="104" spans="1:6" ht="15.5">
      <c r="A104" s="324">
        <f>+A102+0.1</f>
        <v>2.5099999999999958</v>
      </c>
      <c r="B104" s="314" t="s">
        <v>529</v>
      </c>
      <c r="C104" s="316" t="s">
        <v>503</v>
      </c>
      <c r="D104" s="310">
        <v>75</v>
      </c>
      <c r="E104" s="180">
        <v>0</v>
      </c>
      <c r="F104" s="200">
        <f>+E104*D104</f>
        <v>0</v>
      </c>
    </row>
    <row r="105" spans="1:6" ht="15.5">
      <c r="A105" s="308"/>
      <c r="B105" s="314"/>
      <c r="C105" s="316"/>
      <c r="D105" s="310"/>
      <c r="E105" s="180"/>
      <c r="F105" s="200"/>
    </row>
    <row r="106" spans="1:6" ht="15.5">
      <c r="A106" s="324">
        <f>+A104+0.1</f>
        <v>2.6099999999999959</v>
      </c>
      <c r="B106" s="314" t="s">
        <v>530</v>
      </c>
      <c r="C106" s="316" t="s">
        <v>503</v>
      </c>
      <c r="D106" s="310">
        <v>50</v>
      </c>
      <c r="E106" s="180">
        <v>0</v>
      </c>
      <c r="F106" s="200">
        <f>+E106*D106</f>
        <v>0</v>
      </c>
    </row>
    <row r="107" spans="1:6" ht="15.5">
      <c r="A107" s="308"/>
      <c r="B107" s="314"/>
      <c r="C107" s="310"/>
      <c r="D107" s="310"/>
      <c r="E107" s="179"/>
      <c r="F107" s="200"/>
    </row>
    <row r="108" spans="1:6" ht="31">
      <c r="A108" s="324">
        <v>4</v>
      </c>
      <c r="B108" s="315" t="s">
        <v>531</v>
      </c>
      <c r="C108" s="310"/>
      <c r="D108" s="310">
        <v>0</v>
      </c>
      <c r="E108" s="179"/>
      <c r="F108" s="310"/>
    </row>
    <row r="109" spans="1:6" ht="15.5">
      <c r="A109" s="308"/>
      <c r="B109" s="314"/>
      <c r="C109" s="310"/>
      <c r="D109" s="310"/>
      <c r="E109" s="179"/>
      <c r="F109" s="310"/>
    </row>
    <row r="110" spans="1:6" ht="15.5">
      <c r="A110" s="324">
        <f>+A108+0.1</f>
        <v>4.0999999999999996</v>
      </c>
      <c r="B110" s="315" t="s">
        <v>532</v>
      </c>
      <c r="C110" s="316" t="s">
        <v>503</v>
      </c>
      <c r="D110" s="310">
        <v>0</v>
      </c>
      <c r="E110" s="180">
        <v>0</v>
      </c>
      <c r="F110" s="200">
        <f>+E110*D110</f>
        <v>0</v>
      </c>
    </row>
    <row r="111" spans="1:6" ht="15.5">
      <c r="A111" s="308"/>
      <c r="B111" s="314"/>
      <c r="C111" s="310"/>
      <c r="D111" s="310"/>
      <c r="E111" s="179"/>
      <c r="F111" s="310"/>
    </row>
    <row r="112" spans="1:6" ht="15.5">
      <c r="A112" s="324">
        <f>+A110+0.1</f>
        <v>4.1999999999999993</v>
      </c>
      <c r="B112" s="315" t="s">
        <v>533</v>
      </c>
      <c r="C112" s="316" t="s">
        <v>503</v>
      </c>
      <c r="D112" s="310">
        <v>0</v>
      </c>
      <c r="E112" s="180">
        <v>0</v>
      </c>
      <c r="F112" s="200">
        <f>+E112*D112</f>
        <v>0</v>
      </c>
    </row>
    <row r="113" spans="1:6" ht="15.5">
      <c r="A113" s="308"/>
      <c r="B113" s="314"/>
      <c r="C113" s="310"/>
      <c r="D113" s="310"/>
      <c r="E113" s="180"/>
      <c r="F113" s="310"/>
    </row>
    <row r="114" spans="1:6" ht="15.5">
      <c r="A114" s="324">
        <f>+A112+0.1</f>
        <v>4.2999999999999989</v>
      </c>
      <c r="B114" s="314" t="s">
        <v>534</v>
      </c>
      <c r="C114" s="316" t="s">
        <v>503</v>
      </c>
      <c r="D114" s="310">
        <f>35*4+10</f>
        <v>150</v>
      </c>
      <c r="E114" s="180">
        <v>0</v>
      </c>
      <c r="F114" s="200">
        <f>+E114*D114</f>
        <v>0</v>
      </c>
    </row>
    <row r="115" spans="1:6" ht="15.5">
      <c r="A115" s="308"/>
      <c r="B115" s="314"/>
      <c r="C115" s="310"/>
      <c r="D115" s="310"/>
      <c r="E115" s="180"/>
      <c r="F115" s="310"/>
    </row>
    <row r="116" spans="1:6" ht="15.5">
      <c r="A116" s="324">
        <f>+A114+0.1</f>
        <v>4.3999999999999986</v>
      </c>
      <c r="B116" s="315" t="s">
        <v>535</v>
      </c>
      <c r="C116" s="316" t="s">
        <v>503</v>
      </c>
      <c r="D116" s="310">
        <v>75</v>
      </c>
      <c r="E116" s="180">
        <v>0</v>
      </c>
      <c r="F116" s="200">
        <f>+E116*D116</f>
        <v>0</v>
      </c>
    </row>
    <row r="117" spans="1:6" ht="15.5">
      <c r="A117" s="308"/>
      <c r="B117" s="314"/>
      <c r="C117" s="310"/>
      <c r="D117" s="310"/>
      <c r="E117" s="180"/>
      <c r="F117" s="310"/>
    </row>
    <row r="118" spans="1:6" ht="15.5">
      <c r="A118" s="324">
        <f>+A116+0.1</f>
        <v>4.4999999999999982</v>
      </c>
      <c r="B118" s="314" t="s">
        <v>536</v>
      </c>
      <c r="C118" s="316" t="s">
        <v>503</v>
      </c>
      <c r="D118" s="310">
        <v>20</v>
      </c>
      <c r="E118" s="180">
        <v>0</v>
      </c>
      <c r="F118" s="200">
        <f>+E118*D118</f>
        <v>0</v>
      </c>
    </row>
    <row r="119" spans="1:6" ht="15.5">
      <c r="A119" s="308"/>
      <c r="B119" s="314"/>
      <c r="C119" s="310"/>
      <c r="D119" s="310"/>
      <c r="E119" s="179"/>
      <c r="F119" s="310"/>
    </row>
    <row r="120" spans="1:6" ht="46.5">
      <c r="A120" s="308">
        <v>5</v>
      </c>
      <c r="B120" s="315" t="s">
        <v>537</v>
      </c>
      <c r="C120" s="310"/>
      <c r="D120" s="310"/>
      <c r="E120" s="179"/>
      <c r="F120" s="310"/>
    </row>
    <row r="121" spans="1:6" ht="15.5">
      <c r="A121" s="308"/>
      <c r="B121" s="314"/>
      <c r="C121" s="310"/>
      <c r="D121" s="310"/>
      <c r="E121" s="179"/>
      <c r="F121" s="310"/>
    </row>
    <row r="122" spans="1:6" ht="15.5">
      <c r="A122" s="308">
        <v>5.0999999999999996</v>
      </c>
      <c r="B122" s="315" t="s">
        <v>538</v>
      </c>
      <c r="C122" s="310" t="s">
        <v>468</v>
      </c>
      <c r="D122" s="310">
        <v>2</v>
      </c>
      <c r="E122" s="179">
        <v>0</v>
      </c>
      <c r="F122" s="200">
        <f>+E122*D122</f>
        <v>0</v>
      </c>
    </row>
    <row r="123" spans="1:6" ht="15.5">
      <c r="A123" s="308"/>
      <c r="B123" s="314"/>
      <c r="C123" s="310"/>
      <c r="D123" s="310"/>
      <c r="E123" s="179"/>
      <c r="F123" s="310"/>
    </row>
    <row r="124" spans="1:6" ht="15.5">
      <c r="A124" s="308">
        <f>+A122+0.1</f>
        <v>5.1999999999999993</v>
      </c>
      <c r="B124" s="315" t="s">
        <v>539</v>
      </c>
      <c r="C124" s="310" t="s">
        <v>468</v>
      </c>
      <c r="D124" s="310">
        <v>0</v>
      </c>
      <c r="E124" s="179">
        <v>0</v>
      </c>
      <c r="F124" s="200">
        <f>+E124*D124</f>
        <v>0</v>
      </c>
    </row>
    <row r="125" spans="1:6" ht="15.5">
      <c r="A125" s="308"/>
      <c r="B125" s="314"/>
      <c r="C125" s="310"/>
      <c r="D125" s="310"/>
      <c r="E125" s="180"/>
      <c r="F125" s="200"/>
    </row>
    <row r="126" spans="1:6" ht="15.5">
      <c r="A126" s="308">
        <f>+A124+0.1</f>
        <v>5.2999999999999989</v>
      </c>
      <c r="B126" s="315" t="s">
        <v>540</v>
      </c>
      <c r="C126" s="310" t="s">
        <v>468</v>
      </c>
      <c r="D126" s="310">
        <v>14</v>
      </c>
      <c r="E126" s="179">
        <v>0</v>
      </c>
      <c r="F126" s="200">
        <f>+E126*D126</f>
        <v>0</v>
      </c>
    </row>
    <row r="127" spans="1:6" ht="15.5">
      <c r="A127" s="308"/>
      <c r="B127" s="314"/>
      <c r="C127" s="310"/>
      <c r="D127" s="310"/>
      <c r="E127" s="180"/>
      <c r="F127" s="200"/>
    </row>
    <row r="128" spans="1:6" ht="15.5">
      <c r="A128" s="308">
        <f>+A126+0.1</f>
        <v>5.3999999999999986</v>
      </c>
      <c r="B128" s="314" t="s">
        <v>541</v>
      </c>
      <c r="C128" s="310" t="s">
        <v>468</v>
      </c>
      <c r="D128" s="310">
        <v>22</v>
      </c>
      <c r="E128" s="179">
        <v>0</v>
      </c>
      <c r="F128" s="200">
        <f>+E128*D128</f>
        <v>0</v>
      </c>
    </row>
    <row r="129" spans="1:6" ht="15.5">
      <c r="A129" s="308"/>
      <c r="B129" s="314"/>
      <c r="C129" s="310"/>
      <c r="D129" s="310"/>
      <c r="E129" s="180"/>
      <c r="F129" s="200"/>
    </row>
    <row r="130" spans="1:6" ht="62">
      <c r="A130" s="308">
        <v>6</v>
      </c>
      <c r="B130" s="315" t="s">
        <v>542</v>
      </c>
      <c r="C130" s="310" t="s">
        <v>543</v>
      </c>
      <c r="D130" s="310">
        <v>750</v>
      </c>
      <c r="E130" s="179">
        <v>0</v>
      </c>
      <c r="F130" s="200">
        <f>+E130*D130</f>
        <v>0</v>
      </c>
    </row>
    <row r="131" spans="1:6" ht="15.5">
      <c r="A131" s="308"/>
      <c r="B131" s="314"/>
      <c r="C131" s="310"/>
      <c r="D131" s="310"/>
      <c r="E131" s="199"/>
      <c r="F131" s="200"/>
    </row>
    <row r="132" spans="1:6" ht="15.5">
      <c r="A132" s="325"/>
      <c r="B132" s="326" t="s">
        <v>544</v>
      </c>
      <c r="C132" s="327"/>
      <c r="D132" s="325"/>
      <c r="E132" s="328"/>
      <c r="F132" s="329">
        <f>SUM(F8:F130)</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52C1-A2DF-4854-8B59-E4CC00E50A57}">
  <sheetPr codeName="Sheet8">
    <tabColor theme="9" tint="0.39997558519241921"/>
  </sheetPr>
  <dimension ref="A1:F215"/>
  <sheetViews>
    <sheetView showGridLines="0" topLeftCell="A207" workbookViewId="0">
      <selection activeCell="F216" sqref="F216"/>
    </sheetView>
  </sheetViews>
  <sheetFormatPr defaultColWidth="31.54296875" defaultRowHeight="14.5"/>
  <cols>
    <col min="1" max="1" width="5.26953125" bestFit="1" customWidth="1"/>
    <col min="2" max="2" width="56.81640625" bestFit="1" customWidth="1"/>
    <col min="3" max="3" width="5.453125" bestFit="1" customWidth="1"/>
    <col min="4" max="4" width="4.6328125" bestFit="1" customWidth="1"/>
    <col min="5" max="5" width="11.54296875" bestFit="1" customWidth="1"/>
    <col min="6" max="6" width="12.81640625" bestFit="1" customWidth="1"/>
  </cols>
  <sheetData>
    <row r="1" spans="1:6" ht="15.5">
      <c r="A1" s="514" t="s">
        <v>460</v>
      </c>
      <c r="B1" s="514"/>
      <c r="C1" s="514"/>
      <c r="D1" s="514"/>
      <c r="E1" s="514"/>
      <c r="F1" s="514"/>
    </row>
    <row r="2" spans="1:6" ht="15.5">
      <c r="A2" s="515" t="s">
        <v>461</v>
      </c>
      <c r="B2" s="515"/>
      <c r="C2" s="515"/>
      <c r="D2" s="515"/>
      <c r="E2" s="515"/>
      <c r="F2" s="515"/>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0" t="s">
        <v>301</v>
      </c>
      <c r="B6" s="171" t="s">
        <v>545</v>
      </c>
      <c r="C6" s="172"/>
      <c r="D6" s="172"/>
      <c r="E6" s="172"/>
      <c r="F6" s="172"/>
    </row>
    <row r="7" spans="1:6" ht="341">
      <c r="A7" s="173"/>
      <c r="B7" s="174" t="s">
        <v>546</v>
      </c>
      <c r="C7" s="175"/>
      <c r="D7" s="175"/>
      <c r="E7" s="176"/>
      <c r="F7" s="177"/>
    </row>
    <row r="8" spans="1:6" ht="15.5">
      <c r="A8" s="173"/>
      <c r="B8" s="182"/>
      <c r="C8" s="175"/>
      <c r="D8" s="175"/>
      <c r="E8" s="176"/>
      <c r="F8" s="177"/>
    </row>
    <row r="9" spans="1:6" ht="15.5">
      <c r="A9" s="204"/>
      <c r="B9" s="205" t="s">
        <v>547</v>
      </c>
      <c r="C9" s="175"/>
      <c r="D9" s="175"/>
      <c r="E9" s="206"/>
      <c r="F9" s="175"/>
    </row>
    <row r="10" spans="1:6" ht="31">
      <c r="A10" s="207" t="s">
        <v>321</v>
      </c>
      <c r="B10" s="208" t="s">
        <v>548</v>
      </c>
      <c r="C10" s="175"/>
      <c r="D10" s="175"/>
      <c r="E10" s="206"/>
      <c r="F10" s="175"/>
    </row>
    <row r="11" spans="1:6" ht="31">
      <c r="A11" s="207" t="s">
        <v>324</v>
      </c>
      <c r="B11" s="208" t="s">
        <v>549</v>
      </c>
      <c r="C11" s="175"/>
      <c r="D11" s="175"/>
      <c r="E11" s="206"/>
      <c r="F11" s="175"/>
    </row>
    <row r="12" spans="1:6" ht="31">
      <c r="A12" s="207" t="s">
        <v>326</v>
      </c>
      <c r="B12" s="208" t="s">
        <v>550</v>
      </c>
      <c r="C12" s="175"/>
      <c r="D12" s="175"/>
      <c r="E12" s="206"/>
      <c r="F12" s="175"/>
    </row>
    <row r="13" spans="1:6" ht="31">
      <c r="A13" s="207" t="s">
        <v>363</v>
      </c>
      <c r="B13" s="208" t="s">
        <v>551</v>
      </c>
      <c r="C13" s="175"/>
      <c r="D13" s="175"/>
      <c r="E13" s="206"/>
      <c r="F13" s="175"/>
    </row>
    <row r="14" spans="1:6" ht="31">
      <c r="A14" s="207" t="s">
        <v>374</v>
      </c>
      <c r="B14" s="208" t="s">
        <v>552</v>
      </c>
      <c r="C14" s="175"/>
      <c r="D14" s="175"/>
      <c r="E14" s="206"/>
      <c r="F14" s="175"/>
    </row>
    <row r="15" spans="1:6" ht="31">
      <c r="A15" s="207" t="s">
        <v>376</v>
      </c>
      <c r="B15" s="208" t="s">
        <v>553</v>
      </c>
      <c r="C15" s="175"/>
      <c r="D15" s="175"/>
      <c r="E15" s="206"/>
      <c r="F15" s="175"/>
    </row>
    <row r="16" spans="1:6" ht="31">
      <c r="A16" s="207" t="s">
        <v>554</v>
      </c>
      <c r="B16" s="208" t="s">
        <v>555</v>
      </c>
      <c r="C16" s="175"/>
      <c r="D16" s="175"/>
      <c r="E16" s="206"/>
      <c r="F16" s="175"/>
    </row>
    <row r="17" spans="1:6" ht="15.5">
      <c r="A17" s="207" t="s">
        <v>556</v>
      </c>
      <c r="B17" s="208" t="s">
        <v>557</v>
      </c>
      <c r="C17" s="175"/>
      <c r="D17" s="175"/>
      <c r="E17" s="206"/>
      <c r="F17" s="175"/>
    </row>
    <row r="18" spans="1:6" ht="31">
      <c r="A18" s="207" t="s">
        <v>558</v>
      </c>
      <c r="B18" s="208" t="s">
        <v>559</v>
      </c>
      <c r="C18" s="175"/>
      <c r="D18" s="175"/>
      <c r="E18" s="206"/>
      <c r="F18" s="175"/>
    </row>
    <row r="19" spans="1:6" ht="31">
      <c r="A19" s="207" t="s">
        <v>560</v>
      </c>
      <c r="B19" s="208" t="s">
        <v>561</v>
      </c>
      <c r="C19" s="175"/>
      <c r="D19" s="175"/>
      <c r="E19" s="206"/>
      <c r="F19" s="175"/>
    </row>
    <row r="20" spans="1:6" ht="31">
      <c r="A20" s="207" t="s">
        <v>562</v>
      </c>
      <c r="B20" s="208" t="s">
        <v>563</v>
      </c>
      <c r="C20" s="175"/>
      <c r="D20" s="175"/>
      <c r="E20" s="206"/>
      <c r="F20" s="175"/>
    </row>
    <row r="21" spans="1:6" ht="31">
      <c r="A21" s="207" t="s">
        <v>564</v>
      </c>
      <c r="B21" s="208" t="s">
        <v>565</v>
      </c>
      <c r="C21" s="175"/>
      <c r="D21" s="175"/>
      <c r="E21" s="206"/>
      <c r="F21" s="175"/>
    </row>
    <row r="22" spans="1:6" ht="46.5">
      <c r="A22" s="207" t="s">
        <v>566</v>
      </c>
      <c r="B22" s="208" t="s">
        <v>567</v>
      </c>
      <c r="C22" s="175"/>
      <c r="D22" s="175"/>
      <c r="E22" s="206"/>
      <c r="F22" s="175"/>
    </row>
    <row r="23" spans="1:6" ht="31">
      <c r="A23" s="207" t="s">
        <v>568</v>
      </c>
      <c r="B23" s="208" t="s">
        <v>569</v>
      </c>
      <c r="C23" s="175"/>
      <c r="D23" s="175"/>
      <c r="E23" s="206"/>
      <c r="F23" s="175"/>
    </row>
    <row r="24" spans="1:6" ht="31">
      <c r="A24" s="207" t="s">
        <v>570</v>
      </c>
      <c r="B24" s="208" t="s">
        <v>571</v>
      </c>
      <c r="C24" s="175"/>
      <c r="D24" s="175"/>
      <c r="E24" s="206"/>
      <c r="F24" s="175"/>
    </row>
    <row r="25" spans="1:6" ht="15.5">
      <c r="A25" s="207" t="s">
        <v>572</v>
      </c>
      <c r="B25" s="208" t="s">
        <v>573</v>
      </c>
      <c r="C25" s="175"/>
      <c r="D25" s="175"/>
      <c r="E25" s="206"/>
      <c r="F25" s="175"/>
    </row>
    <row r="26" spans="1:6" ht="31">
      <c r="A26" s="207" t="s">
        <v>574</v>
      </c>
      <c r="B26" s="209" t="s">
        <v>575</v>
      </c>
      <c r="C26" s="175"/>
      <c r="D26" s="175"/>
      <c r="E26" s="206"/>
      <c r="F26" s="175"/>
    </row>
    <row r="27" spans="1:6" ht="15.5">
      <c r="A27" s="210"/>
      <c r="B27" s="211"/>
      <c r="C27" s="212"/>
      <c r="D27" s="212"/>
      <c r="E27" s="213"/>
      <c r="F27" s="214"/>
    </row>
    <row r="28" spans="1:6" ht="29">
      <c r="A28" s="215">
        <v>1.1000000000000001</v>
      </c>
      <c r="B28" s="216" t="s">
        <v>576</v>
      </c>
      <c r="C28" s="215" t="s">
        <v>577</v>
      </c>
      <c r="D28" s="215">
        <v>1</v>
      </c>
      <c r="E28" s="217">
        <v>0</v>
      </c>
      <c r="F28" s="218">
        <f>IFERROR(+E28*D28,0)</f>
        <v>0</v>
      </c>
    </row>
    <row r="29" spans="1:6">
      <c r="A29" s="219"/>
      <c r="B29" s="220" t="s">
        <v>578</v>
      </c>
      <c r="C29" s="221"/>
      <c r="D29" s="221"/>
      <c r="E29" s="222"/>
      <c r="F29" s="221"/>
    </row>
    <row r="30" spans="1:6" ht="29">
      <c r="A30" s="219"/>
      <c r="B30" s="220" t="s">
        <v>579</v>
      </c>
      <c r="C30" s="221"/>
      <c r="D30" s="221"/>
      <c r="E30" s="222"/>
      <c r="F30" s="221"/>
    </row>
    <row r="31" spans="1:6" ht="29">
      <c r="A31" s="219"/>
      <c r="B31" s="223" t="s">
        <v>580</v>
      </c>
      <c r="C31" s="221"/>
      <c r="D31" s="221"/>
      <c r="E31" s="222"/>
      <c r="F31" s="221"/>
    </row>
    <row r="32" spans="1:6" ht="29">
      <c r="A32" s="219"/>
      <c r="B32" s="223" t="s">
        <v>581</v>
      </c>
      <c r="C32" s="221"/>
      <c r="D32" s="221"/>
      <c r="E32" s="222"/>
      <c r="F32" s="221"/>
    </row>
    <row r="33" spans="1:6" ht="29">
      <c r="A33" s="219"/>
      <c r="B33" s="223" t="s">
        <v>582</v>
      </c>
      <c r="C33" s="221"/>
      <c r="D33" s="221"/>
      <c r="E33" s="222"/>
      <c r="F33" s="221"/>
    </row>
    <row r="34" spans="1:6" ht="29">
      <c r="A34" s="219"/>
      <c r="B34" s="223" t="s">
        <v>583</v>
      </c>
      <c r="C34" s="221"/>
      <c r="D34" s="221"/>
      <c r="E34" s="222"/>
      <c r="F34" s="221"/>
    </row>
    <row r="35" spans="1:6">
      <c r="A35" s="219"/>
      <c r="B35" s="220" t="s">
        <v>584</v>
      </c>
      <c r="C35" s="221"/>
      <c r="D35" s="221"/>
      <c r="E35" s="222"/>
      <c r="F35" s="221"/>
    </row>
    <row r="36" spans="1:6">
      <c r="A36" s="219"/>
      <c r="B36" s="224" t="s">
        <v>585</v>
      </c>
      <c r="C36" s="221"/>
      <c r="D36" s="221"/>
      <c r="E36" s="222"/>
      <c r="F36" s="221"/>
    </row>
    <row r="37" spans="1:6" ht="29">
      <c r="A37" s="219"/>
      <c r="B37" s="223" t="s">
        <v>586</v>
      </c>
      <c r="C37" s="221"/>
      <c r="D37" s="221"/>
      <c r="E37" s="222"/>
      <c r="F37" s="221"/>
    </row>
    <row r="38" spans="1:6" ht="29">
      <c r="A38" s="219"/>
      <c r="B38" s="223" t="s">
        <v>587</v>
      </c>
      <c r="C38" s="221"/>
      <c r="D38" s="221"/>
      <c r="E38" s="222"/>
      <c r="F38" s="221"/>
    </row>
    <row r="39" spans="1:6" ht="29">
      <c r="A39" s="219"/>
      <c r="B39" s="223" t="s">
        <v>588</v>
      </c>
      <c r="C39" s="221"/>
      <c r="D39" s="221"/>
      <c r="E39" s="222"/>
      <c r="F39" s="221"/>
    </row>
    <row r="40" spans="1:6">
      <c r="A40" s="219"/>
      <c r="B40" s="223" t="s">
        <v>589</v>
      </c>
      <c r="C40" s="221"/>
      <c r="D40" s="221"/>
      <c r="E40" s="222"/>
      <c r="F40" s="221"/>
    </row>
    <row r="41" spans="1:6">
      <c r="A41" s="219"/>
      <c r="B41" s="223" t="s">
        <v>590</v>
      </c>
      <c r="C41" s="221"/>
      <c r="D41" s="221"/>
      <c r="E41" s="222"/>
      <c r="F41" s="221"/>
    </row>
    <row r="42" spans="1:6">
      <c r="A42" s="215"/>
      <c r="B42" s="223"/>
      <c r="C42" s="221"/>
      <c r="D42" s="215"/>
      <c r="E42" s="217"/>
      <c r="F42" s="225"/>
    </row>
    <row r="43" spans="1:6">
      <c r="A43" s="215">
        <v>1.4</v>
      </c>
      <c r="B43" s="216" t="s">
        <v>591</v>
      </c>
      <c r="C43" s="215" t="s">
        <v>577</v>
      </c>
      <c r="D43" s="215">
        <v>1</v>
      </c>
      <c r="E43" s="217">
        <v>0</v>
      </c>
      <c r="F43" s="218">
        <f>IFERROR(+E43*D43,0)</f>
        <v>0</v>
      </c>
    </row>
    <row r="44" spans="1:6">
      <c r="A44" s="221"/>
      <c r="B44" s="226" t="s">
        <v>592</v>
      </c>
      <c r="C44" s="221"/>
      <c r="D44" s="215"/>
      <c r="E44" s="217"/>
      <c r="F44" s="218"/>
    </row>
    <row r="45" spans="1:6">
      <c r="A45" s="215"/>
      <c r="B45" s="223" t="s">
        <v>593</v>
      </c>
      <c r="C45" s="221"/>
      <c r="D45" s="215"/>
      <c r="E45" s="217"/>
      <c r="F45" s="225"/>
    </row>
    <row r="46" spans="1:6" ht="29">
      <c r="A46" s="215"/>
      <c r="B46" s="223" t="s">
        <v>594</v>
      </c>
      <c r="C46" s="221"/>
      <c r="D46" s="215"/>
      <c r="E46" s="217"/>
      <c r="F46" s="225"/>
    </row>
    <row r="47" spans="1:6">
      <c r="A47" s="215"/>
      <c r="B47" s="226" t="s">
        <v>595</v>
      </c>
      <c r="C47" s="221"/>
      <c r="D47" s="215"/>
      <c r="E47" s="217"/>
      <c r="F47" s="225"/>
    </row>
    <row r="48" spans="1:6" ht="29">
      <c r="A48" s="215"/>
      <c r="B48" s="223" t="s">
        <v>596</v>
      </c>
      <c r="C48" s="221"/>
      <c r="D48" s="215"/>
      <c r="E48" s="217"/>
      <c r="F48" s="225"/>
    </row>
    <row r="49" spans="1:6" ht="29">
      <c r="A49" s="215"/>
      <c r="B49" s="223" t="s">
        <v>581</v>
      </c>
      <c r="C49" s="221"/>
      <c r="D49" s="215"/>
      <c r="E49" s="217"/>
      <c r="F49" s="225"/>
    </row>
    <row r="50" spans="1:6">
      <c r="A50" s="215"/>
      <c r="B50" s="223" t="s">
        <v>597</v>
      </c>
      <c r="C50" s="221"/>
      <c r="D50" s="215"/>
      <c r="E50" s="217"/>
      <c r="F50" s="225"/>
    </row>
    <row r="51" spans="1:6">
      <c r="A51" s="215"/>
      <c r="B51" s="223" t="s">
        <v>598</v>
      </c>
      <c r="C51" s="221"/>
      <c r="D51" s="215"/>
      <c r="E51" s="217"/>
      <c r="F51" s="225"/>
    </row>
    <row r="52" spans="1:6">
      <c r="A52" s="215"/>
      <c r="B52" s="226" t="s">
        <v>599</v>
      </c>
      <c r="C52" s="221"/>
      <c r="D52" s="215"/>
      <c r="E52" s="217"/>
      <c r="F52" s="225"/>
    </row>
    <row r="53" spans="1:6" ht="29">
      <c r="A53" s="215"/>
      <c r="B53" s="227" t="s">
        <v>600</v>
      </c>
      <c r="C53" s="221"/>
      <c r="D53" s="215"/>
      <c r="E53" s="217"/>
      <c r="F53" s="225"/>
    </row>
    <row r="54" spans="1:6">
      <c r="A54" s="215"/>
      <c r="B54" s="226" t="s">
        <v>601</v>
      </c>
      <c r="C54" s="221"/>
      <c r="D54" s="215"/>
      <c r="E54" s="217"/>
      <c r="F54" s="225"/>
    </row>
    <row r="55" spans="1:6">
      <c r="A55" s="215"/>
      <c r="B55" s="223" t="s">
        <v>602</v>
      </c>
      <c r="C55" s="221"/>
      <c r="D55" s="215"/>
      <c r="E55" s="217"/>
      <c r="F55" s="225"/>
    </row>
    <row r="56" spans="1:6">
      <c r="A56" s="215"/>
      <c r="B56" s="223"/>
      <c r="C56" s="221"/>
      <c r="D56" s="215"/>
      <c r="E56" s="228"/>
      <c r="F56" s="221"/>
    </row>
    <row r="57" spans="1:6">
      <c r="A57" s="215">
        <v>1.5</v>
      </c>
      <c r="B57" s="216" t="s">
        <v>603</v>
      </c>
      <c r="C57" s="215" t="s">
        <v>577</v>
      </c>
      <c r="D57" s="215">
        <v>1</v>
      </c>
      <c r="E57" s="228">
        <v>0</v>
      </c>
      <c r="F57" s="218">
        <f>IFERROR(+E57*D57,0)</f>
        <v>0</v>
      </c>
    </row>
    <row r="58" spans="1:6">
      <c r="A58" s="215"/>
      <c r="B58" s="226" t="s">
        <v>592</v>
      </c>
      <c r="C58" s="221"/>
      <c r="D58" s="215"/>
      <c r="E58" s="228"/>
      <c r="F58" s="221"/>
    </row>
    <row r="59" spans="1:6" ht="29">
      <c r="A59" s="215"/>
      <c r="B59" s="223" t="s">
        <v>594</v>
      </c>
      <c r="C59" s="221"/>
      <c r="D59" s="215"/>
      <c r="E59" s="228"/>
      <c r="F59" s="221"/>
    </row>
    <row r="60" spans="1:6">
      <c r="A60" s="215"/>
      <c r="B60" s="223" t="s">
        <v>604</v>
      </c>
      <c r="C60" s="221"/>
      <c r="D60" s="215"/>
      <c r="E60" s="228"/>
      <c r="F60" s="221"/>
    </row>
    <row r="61" spans="1:6">
      <c r="A61" s="215"/>
      <c r="B61" s="223" t="s">
        <v>605</v>
      </c>
      <c r="C61" s="221"/>
      <c r="D61" s="215"/>
      <c r="E61" s="228"/>
      <c r="F61" s="221"/>
    </row>
    <row r="62" spans="1:6">
      <c r="A62" s="215"/>
      <c r="B62" s="226" t="s">
        <v>595</v>
      </c>
      <c r="C62" s="221"/>
      <c r="D62" s="215"/>
      <c r="E62" s="228"/>
      <c r="F62" s="221"/>
    </row>
    <row r="63" spans="1:6" ht="29">
      <c r="A63" s="215"/>
      <c r="B63" s="223" t="s">
        <v>596</v>
      </c>
      <c r="C63" s="221"/>
      <c r="D63" s="215"/>
      <c r="E63" s="228"/>
      <c r="F63" s="221"/>
    </row>
    <row r="64" spans="1:6" ht="29">
      <c r="A64" s="215"/>
      <c r="B64" s="223" t="s">
        <v>606</v>
      </c>
      <c r="C64" s="221"/>
      <c r="D64" s="215"/>
      <c r="E64" s="228"/>
      <c r="F64" s="221"/>
    </row>
    <row r="65" spans="1:6">
      <c r="A65" s="215"/>
      <c r="B65" s="223" t="s">
        <v>607</v>
      </c>
      <c r="C65" s="221"/>
      <c r="D65" s="215"/>
      <c r="E65" s="228"/>
      <c r="F65" s="221"/>
    </row>
    <row r="66" spans="1:6">
      <c r="A66" s="215"/>
      <c r="B66" s="223" t="s">
        <v>598</v>
      </c>
      <c r="C66" s="221"/>
      <c r="D66" s="215"/>
      <c r="E66" s="228"/>
      <c r="F66" s="221"/>
    </row>
    <row r="67" spans="1:6">
      <c r="A67" s="215"/>
      <c r="B67" s="226" t="s">
        <v>599</v>
      </c>
      <c r="C67" s="221"/>
      <c r="D67" s="215"/>
      <c r="E67" s="228"/>
      <c r="F67" s="221"/>
    </row>
    <row r="68" spans="1:6" ht="29">
      <c r="A68" s="215"/>
      <c r="B68" s="227" t="s">
        <v>600</v>
      </c>
      <c r="C68" s="221"/>
      <c r="D68" s="215"/>
      <c r="E68" s="228"/>
      <c r="F68" s="221"/>
    </row>
    <row r="69" spans="1:6">
      <c r="A69" s="215"/>
      <c r="B69" s="226" t="s">
        <v>601</v>
      </c>
      <c r="C69" s="221"/>
      <c r="D69" s="215"/>
      <c r="E69" s="228"/>
      <c r="F69" s="221"/>
    </row>
    <row r="70" spans="1:6">
      <c r="A70" s="215"/>
      <c r="B70" s="223" t="s">
        <v>608</v>
      </c>
      <c r="C70" s="221"/>
      <c r="D70" s="215"/>
      <c r="E70" s="228"/>
      <c r="F70" s="221"/>
    </row>
    <row r="71" spans="1:6">
      <c r="A71" s="215"/>
      <c r="B71" s="223" t="s">
        <v>609</v>
      </c>
      <c r="C71" s="221"/>
      <c r="D71" s="215"/>
      <c r="E71" s="228"/>
      <c r="F71" s="221"/>
    </row>
    <row r="72" spans="1:6">
      <c r="A72" s="215"/>
      <c r="B72" s="223"/>
      <c r="C72" s="221"/>
      <c r="D72" s="215"/>
      <c r="E72" s="228"/>
      <c r="F72" s="221"/>
    </row>
    <row r="73" spans="1:6">
      <c r="A73" s="215">
        <v>1.6</v>
      </c>
      <c r="B73" s="216" t="s">
        <v>610</v>
      </c>
      <c r="C73" s="215" t="s">
        <v>577</v>
      </c>
      <c r="D73" s="215">
        <v>1</v>
      </c>
      <c r="E73" s="228">
        <v>0</v>
      </c>
      <c r="F73" s="218">
        <f>IFERROR(+E73*D73,0)</f>
        <v>0</v>
      </c>
    </row>
    <row r="74" spans="1:6">
      <c r="A74" s="221"/>
      <c r="B74" s="226" t="s">
        <v>592</v>
      </c>
      <c r="C74" s="221"/>
      <c r="D74" s="215"/>
      <c r="E74" s="228"/>
      <c r="F74" s="221"/>
    </row>
    <row r="75" spans="1:6" ht="29">
      <c r="A75" s="215"/>
      <c r="B75" s="223" t="s">
        <v>611</v>
      </c>
      <c r="C75" s="221"/>
      <c r="D75" s="215"/>
      <c r="E75" s="228"/>
      <c r="F75" s="221"/>
    </row>
    <row r="76" spans="1:6">
      <c r="A76" s="215"/>
      <c r="B76" s="226" t="s">
        <v>612</v>
      </c>
      <c r="C76" s="221"/>
      <c r="D76" s="215"/>
      <c r="E76" s="228"/>
      <c r="F76" s="221"/>
    </row>
    <row r="77" spans="1:6" ht="29">
      <c r="A77" s="215"/>
      <c r="B77" s="223" t="s">
        <v>596</v>
      </c>
      <c r="C77" s="221"/>
      <c r="D77" s="215"/>
      <c r="E77" s="228"/>
      <c r="F77" s="221"/>
    </row>
    <row r="78" spans="1:6" ht="29">
      <c r="A78" s="215"/>
      <c r="B78" s="223" t="s">
        <v>613</v>
      </c>
      <c r="C78" s="221"/>
      <c r="D78" s="215"/>
      <c r="E78" s="228"/>
      <c r="F78" s="221"/>
    </row>
    <row r="79" spans="1:6" ht="29">
      <c r="A79" s="215"/>
      <c r="B79" s="223" t="s">
        <v>614</v>
      </c>
      <c r="C79" s="221"/>
      <c r="D79" s="215"/>
      <c r="E79" s="228"/>
      <c r="F79" s="221"/>
    </row>
    <row r="80" spans="1:6">
      <c r="A80" s="215"/>
      <c r="B80" s="223" t="s">
        <v>615</v>
      </c>
      <c r="C80" s="221"/>
      <c r="D80" s="215"/>
      <c r="E80" s="228"/>
      <c r="F80" s="221"/>
    </row>
    <row r="81" spans="1:6">
      <c r="A81" s="215"/>
      <c r="B81" s="226" t="s">
        <v>599</v>
      </c>
      <c r="C81" s="221"/>
      <c r="D81" s="215"/>
      <c r="E81" s="228"/>
      <c r="F81" s="221"/>
    </row>
    <row r="82" spans="1:6" ht="29">
      <c r="A82" s="215"/>
      <c r="B82" s="227" t="s">
        <v>616</v>
      </c>
      <c r="C82" s="221"/>
      <c r="D82" s="215"/>
      <c r="E82" s="228"/>
      <c r="F82" s="221"/>
    </row>
    <row r="83" spans="1:6">
      <c r="A83" s="215"/>
      <c r="B83" s="226" t="s">
        <v>601</v>
      </c>
      <c r="C83" s="221"/>
      <c r="D83" s="215"/>
      <c r="E83" s="228"/>
      <c r="F83" s="221"/>
    </row>
    <row r="84" spans="1:6">
      <c r="A84" s="215"/>
      <c r="B84" s="223" t="s">
        <v>617</v>
      </c>
      <c r="C84" s="221"/>
      <c r="D84" s="215"/>
      <c r="E84" s="228"/>
      <c r="F84" s="221"/>
    </row>
    <row r="85" spans="1:6">
      <c r="A85" s="215"/>
      <c r="B85" s="223" t="s">
        <v>618</v>
      </c>
      <c r="C85" s="221"/>
      <c r="D85" s="215"/>
      <c r="E85" s="228"/>
      <c r="F85" s="221"/>
    </row>
    <row r="86" spans="1:6">
      <c r="A86" s="215"/>
      <c r="B86" s="223" t="s">
        <v>619</v>
      </c>
      <c r="C86" s="221"/>
      <c r="D86" s="215"/>
      <c r="E86" s="228"/>
      <c r="F86" s="221"/>
    </row>
    <row r="87" spans="1:6">
      <c r="A87" s="215"/>
      <c r="B87" s="223"/>
      <c r="C87" s="221"/>
      <c r="D87" s="215"/>
      <c r="E87" s="228"/>
      <c r="F87" s="221"/>
    </row>
    <row r="88" spans="1:6">
      <c r="A88" s="215">
        <v>1.9</v>
      </c>
      <c r="B88" s="216" t="s">
        <v>620</v>
      </c>
      <c r="C88" s="215" t="s">
        <v>577</v>
      </c>
      <c r="D88" s="215">
        <v>1</v>
      </c>
      <c r="E88" s="228">
        <v>0</v>
      </c>
      <c r="F88" s="218">
        <f>IFERROR(+E88*D88,0)</f>
        <v>0</v>
      </c>
    </row>
    <row r="89" spans="1:6">
      <c r="A89" s="221"/>
      <c r="B89" s="226" t="s">
        <v>592</v>
      </c>
      <c r="C89" s="221"/>
      <c r="D89" s="215"/>
      <c r="E89" s="228"/>
      <c r="F89" s="218"/>
    </row>
    <row r="90" spans="1:6" ht="29">
      <c r="A90" s="215"/>
      <c r="B90" s="223" t="s">
        <v>621</v>
      </c>
      <c r="C90" s="221"/>
      <c r="D90" s="215"/>
      <c r="E90" s="228"/>
      <c r="F90" s="221"/>
    </row>
    <row r="91" spans="1:6">
      <c r="A91" s="215"/>
      <c r="B91" s="226" t="s">
        <v>595</v>
      </c>
      <c r="C91" s="221"/>
      <c r="D91" s="215"/>
      <c r="E91" s="228"/>
      <c r="F91" s="221"/>
    </row>
    <row r="92" spans="1:6" ht="29">
      <c r="A92" s="215"/>
      <c r="B92" s="223" t="s">
        <v>596</v>
      </c>
      <c r="C92" s="221"/>
      <c r="D92" s="215"/>
      <c r="E92" s="228"/>
      <c r="F92" s="221"/>
    </row>
    <row r="93" spans="1:6" ht="29">
      <c r="A93" s="215"/>
      <c r="B93" s="223" t="s">
        <v>581</v>
      </c>
      <c r="C93" s="221"/>
      <c r="D93" s="215"/>
      <c r="E93" s="228"/>
      <c r="F93" s="221"/>
    </row>
    <row r="94" spans="1:6" ht="29">
      <c r="A94" s="215"/>
      <c r="B94" s="223" t="s">
        <v>622</v>
      </c>
      <c r="C94" s="221"/>
      <c r="D94" s="215"/>
      <c r="E94" s="228"/>
      <c r="F94" s="221"/>
    </row>
    <row r="95" spans="1:6">
      <c r="A95" s="215"/>
      <c r="B95" s="223" t="s">
        <v>623</v>
      </c>
      <c r="C95" s="221"/>
      <c r="D95" s="215"/>
      <c r="E95" s="228"/>
      <c r="F95" s="221"/>
    </row>
    <row r="96" spans="1:6">
      <c r="A96" s="215"/>
      <c r="B96" s="226" t="s">
        <v>599</v>
      </c>
      <c r="C96" s="221"/>
      <c r="D96" s="215"/>
      <c r="E96" s="228"/>
      <c r="F96" s="221"/>
    </row>
    <row r="97" spans="1:6" ht="29">
      <c r="A97" s="215"/>
      <c r="B97" s="227" t="s">
        <v>624</v>
      </c>
      <c r="C97" s="221"/>
      <c r="D97" s="215"/>
      <c r="E97" s="228"/>
      <c r="F97" s="221"/>
    </row>
    <row r="98" spans="1:6">
      <c r="A98" s="215"/>
      <c r="B98" s="227" t="s">
        <v>625</v>
      </c>
      <c r="C98" s="221"/>
      <c r="D98" s="215"/>
      <c r="E98" s="228"/>
      <c r="F98" s="221"/>
    </row>
    <row r="99" spans="1:6">
      <c r="A99" s="215"/>
      <c r="B99" s="223"/>
      <c r="C99" s="221"/>
      <c r="D99" s="215"/>
      <c r="E99" s="228"/>
      <c r="F99" s="221"/>
    </row>
    <row r="100" spans="1:6">
      <c r="A100" s="229"/>
      <c r="B100" s="230" t="s">
        <v>626</v>
      </c>
      <c r="C100" s="231"/>
      <c r="D100" s="231"/>
      <c r="E100" s="232"/>
      <c r="F100" s="232">
        <f>SUM(F8:F99)</f>
        <v>0</v>
      </c>
    </row>
    <row r="101" spans="1:6">
      <c r="A101" s="221"/>
      <c r="B101" s="224"/>
      <c r="C101" s="233"/>
      <c r="D101" s="233"/>
      <c r="E101" s="234"/>
      <c r="F101" s="234"/>
    </row>
    <row r="102" spans="1:6">
      <c r="A102" s="221">
        <v>2</v>
      </c>
      <c r="B102" s="224" t="s">
        <v>627</v>
      </c>
      <c r="C102" s="233"/>
      <c r="D102" s="233"/>
      <c r="E102" s="234"/>
      <c r="F102" s="234"/>
    </row>
    <row r="103" spans="1:6" ht="130.5">
      <c r="A103" s="235"/>
      <c r="B103" s="223" t="s">
        <v>628</v>
      </c>
      <c r="C103" s="221"/>
      <c r="D103" s="215"/>
      <c r="E103" s="228"/>
      <c r="F103" s="221"/>
    </row>
    <row r="104" spans="1:6">
      <c r="A104" s="235"/>
      <c r="B104" s="226"/>
      <c r="C104" s="221"/>
      <c r="D104" s="215"/>
      <c r="E104" s="228"/>
      <c r="F104" s="221"/>
    </row>
    <row r="105" spans="1:6">
      <c r="A105" s="215">
        <v>2.1</v>
      </c>
      <c r="B105" s="216" t="s">
        <v>629</v>
      </c>
      <c r="C105" s="215" t="s">
        <v>577</v>
      </c>
      <c r="D105" s="215">
        <v>4</v>
      </c>
      <c r="E105" s="228">
        <v>0</v>
      </c>
      <c r="F105" s="218">
        <f>IFERROR(+E105*D105,0)</f>
        <v>0</v>
      </c>
    </row>
    <row r="106" spans="1:6">
      <c r="A106" s="215"/>
      <c r="B106" s="216" t="s">
        <v>630</v>
      </c>
      <c r="C106" s="236"/>
      <c r="D106" s="236"/>
      <c r="E106" s="228"/>
      <c r="F106" s="221"/>
    </row>
    <row r="107" spans="1:6">
      <c r="A107" s="215"/>
      <c r="B107" s="226" t="s">
        <v>592</v>
      </c>
      <c r="C107" s="236"/>
      <c r="D107" s="236"/>
      <c r="E107" s="228"/>
      <c r="F107" s="221"/>
    </row>
    <row r="108" spans="1:6">
      <c r="A108" s="215"/>
      <c r="B108" s="223" t="s">
        <v>631</v>
      </c>
      <c r="C108" s="236"/>
      <c r="D108" s="236"/>
      <c r="E108" s="228"/>
      <c r="F108" s="221"/>
    </row>
    <row r="109" spans="1:6">
      <c r="A109" s="215"/>
      <c r="B109" s="226" t="s">
        <v>632</v>
      </c>
      <c r="C109" s="236"/>
      <c r="D109" s="236"/>
      <c r="E109" s="228"/>
      <c r="F109" s="221"/>
    </row>
    <row r="110" spans="1:6">
      <c r="A110" s="215"/>
      <c r="B110" s="223" t="s">
        <v>633</v>
      </c>
      <c r="C110" s="236"/>
      <c r="D110" s="236"/>
      <c r="E110" s="228"/>
      <c r="F110" s="221"/>
    </row>
    <row r="111" spans="1:6">
      <c r="A111" s="215"/>
      <c r="B111" s="226" t="s">
        <v>634</v>
      </c>
      <c r="C111" s="236"/>
      <c r="D111" s="236"/>
      <c r="E111" s="228"/>
      <c r="F111" s="221"/>
    </row>
    <row r="112" spans="1:6">
      <c r="A112" s="215"/>
      <c r="B112" s="223" t="s">
        <v>635</v>
      </c>
      <c r="C112" s="236"/>
      <c r="D112" s="236"/>
      <c r="E112" s="228"/>
      <c r="F112" s="221"/>
    </row>
    <row r="113" spans="1:6">
      <c r="A113" s="215"/>
      <c r="B113" s="223"/>
      <c r="C113" s="236"/>
      <c r="D113" s="236"/>
      <c r="E113" s="228"/>
      <c r="F113" s="221"/>
    </row>
    <row r="114" spans="1:6">
      <c r="A114" s="215">
        <v>2.2000000000000002</v>
      </c>
      <c r="B114" s="216" t="s">
        <v>636</v>
      </c>
      <c r="C114" s="215" t="s">
        <v>577</v>
      </c>
      <c r="D114" s="215">
        <v>4</v>
      </c>
      <c r="E114" s="228">
        <v>0</v>
      </c>
      <c r="F114" s="218">
        <f>IFERROR(+E114*D114,0)</f>
        <v>0</v>
      </c>
    </row>
    <row r="115" spans="1:6">
      <c r="A115" s="215"/>
      <c r="B115" s="216" t="s">
        <v>637</v>
      </c>
      <c r="C115" s="236"/>
      <c r="D115" s="236"/>
      <c r="E115" s="228"/>
      <c r="F115" s="221"/>
    </row>
    <row r="116" spans="1:6">
      <c r="A116" s="215"/>
      <c r="B116" s="226" t="s">
        <v>592</v>
      </c>
      <c r="C116" s="236"/>
      <c r="D116" s="236"/>
      <c r="E116" s="228"/>
      <c r="F116" s="221"/>
    </row>
    <row r="117" spans="1:6">
      <c r="A117" s="215"/>
      <c r="B117" s="223" t="s">
        <v>638</v>
      </c>
      <c r="C117" s="236"/>
      <c r="D117" s="236"/>
      <c r="E117" s="228"/>
      <c r="F117" s="221"/>
    </row>
    <row r="118" spans="1:6">
      <c r="A118" s="215"/>
      <c r="B118" s="226" t="s">
        <v>632</v>
      </c>
      <c r="C118" s="236"/>
      <c r="D118" s="236"/>
      <c r="E118" s="228"/>
      <c r="F118" s="221"/>
    </row>
    <row r="119" spans="1:6">
      <c r="A119" s="215"/>
      <c r="B119" s="223" t="s">
        <v>633</v>
      </c>
      <c r="C119" s="236"/>
      <c r="D119" s="236"/>
      <c r="E119" s="228"/>
      <c r="F119" s="221"/>
    </row>
    <row r="120" spans="1:6">
      <c r="A120" s="215"/>
      <c r="B120" s="226" t="s">
        <v>634</v>
      </c>
      <c r="C120" s="236"/>
      <c r="D120" s="236"/>
      <c r="E120" s="228"/>
      <c r="F120" s="221"/>
    </row>
    <row r="121" spans="1:6">
      <c r="A121" s="215"/>
      <c r="B121" s="223" t="s">
        <v>639</v>
      </c>
      <c r="C121" s="236"/>
      <c r="D121" s="236"/>
      <c r="E121" s="228"/>
      <c r="F121" s="221"/>
    </row>
    <row r="122" spans="1:6">
      <c r="A122" s="215"/>
      <c r="B122" s="223" t="s">
        <v>640</v>
      </c>
      <c r="C122" s="236"/>
      <c r="D122" s="236"/>
      <c r="E122" s="228"/>
      <c r="F122" s="221"/>
    </row>
    <row r="123" spans="1:6">
      <c r="A123" s="235"/>
      <c r="B123" s="226"/>
      <c r="C123" s="221"/>
      <c r="D123" s="215"/>
      <c r="E123" s="228"/>
      <c r="F123" s="221"/>
    </row>
    <row r="124" spans="1:6">
      <c r="A124" s="215">
        <v>2.2999999999999998</v>
      </c>
      <c r="B124" s="216" t="s">
        <v>641</v>
      </c>
      <c r="C124" s="215" t="s">
        <v>577</v>
      </c>
      <c r="D124" s="215">
        <v>6</v>
      </c>
      <c r="E124" s="218">
        <v>0</v>
      </c>
      <c r="F124" s="218">
        <f>+E124*D124</f>
        <v>0</v>
      </c>
    </row>
    <row r="125" spans="1:6">
      <c r="A125" s="237"/>
      <c r="B125" s="223" t="s">
        <v>642</v>
      </c>
      <c r="C125" s="221"/>
      <c r="D125" s="215"/>
      <c r="E125" s="218"/>
      <c r="F125" s="218"/>
    </row>
    <row r="126" spans="1:6">
      <c r="A126" s="215"/>
      <c r="B126" s="226" t="s">
        <v>592</v>
      </c>
      <c r="C126" s="236"/>
      <c r="D126" s="215"/>
      <c r="E126" s="218"/>
      <c r="F126" s="218"/>
    </row>
    <row r="127" spans="1:6">
      <c r="A127" s="215"/>
      <c r="B127" s="223" t="s">
        <v>643</v>
      </c>
      <c r="C127" s="236"/>
      <c r="D127" s="215"/>
      <c r="E127" s="218"/>
      <c r="F127" s="218"/>
    </row>
    <row r="128" spans="1:6">
      <c r="A128" s="215"/>
      <c r="B128" s="226" t="s">
        <v>634</v>
      </c>
      <c r="C128" s="236"/>
      <c r="D128" s="215"/>
      <c r="E128" s="218"/>
      <c r="F128" s="218"/>
    </row>
    <row r="129" spans="1:6">
      <c r="A129" s="215"/>
      <c r="B129" s="223" t="s">
        <v>644</v>
      </c>
      <c r="C129" s="236"/>
      <c r="D129" s="215"/>
      <c r="E129" s="218"/>
      <c r="F129" s="218"/>
    </row>
    <row r="130" spans="1:6">
      <c r="A130" s="235"/>
      <c r="B130" s="226"/>
      <c r="C130" s="221"/>
      <c r="D130" s="215"/>
      <c r="E130" s="228"/>
      <c r="F130" s="221"/>
    </row>
    <row r="131" spans="1:6">
      <c r="A131" s="215">
        <v>2.4</v>
      </c>
      <c r="B131" s="216" t="s">
        <v>645</v>
      </c>
      <c r="C131" s="215" t="s">
        <v>577</v>
      </c>
      <c r="D131" s="215">
        <v>4</v>
      </c>
      <c r="E131" s="218">
        <v>0</v>
      </c>
      <c r="F131" s="218">
        <f>+E131*D131</f>
        <v>0</v>
      </c>
    </row>
    <row r="132" spans="1:6">
      <c r="A132" s="237"/>
      <c r="B132" s="223" t="s">
        <v>642</v>
      </c>
      <c r="C132" s="221"/>
      <c r="D132" s="215"/>
      <c r="E132" s="218"/>
      <c r="F132" s="218"/>
    </row>
    <row r="133" spans="1:6">
      <c r="A133" s="215"/>
      <c r="B133" s="226" t="s">
        <v>592</v>
      </c>
      <c r="C133" s="236"/>
      <c r="D133" s="215"/>
      <c r="E133" s="218"/>
      <c r="F133" s="218"/>
    </row>
    <row r="134" spans="1:6">
      <c r="A134" s="215"/>
      <c r="B134" s="223" t="s">
        <v>646</v>
      </c>
      <c r="C134" s="236"/>
      <c r="D134" s="215"/>
      <c r="E134" s="218"/>
      <c r="F134" s="218"/>
    </row>
    <row r="135" spans="1:6">
      <c r="A135" s="215"/>
      <c r="B135" s="226" t="s">
        <v>634</v>
      </c>
      <c r="C135" s="236"/>
      <c r="D135" s="215"/>
      <c r="E135" s="218"/>
      <c r="F135" s="218"/>
    </row>
    <row r="136" spans="1:6">
      <c r="A136" s="215"/>
      <c r="B136" s="223" t="s">
        <v>647</v>
      </c>
      <c r="C136" s="236"/>
      <c r="D136" s="215"/>
      <c r="E136" s="218"/>
      <c r="F136" s="218"/>
    </row>
    <row r="137" spans="1:6">
      <c r="A137" s="235"/>
      <c r="B137" s="226"/>
      <c r="C137" s="221"/>
      <c r="D137" s="215"/>
      <c r="E137" s="228"/>
      <c r="F137" s="221"/>
    </row>
    <row r="138" spans="1:6">
      <c r="A138" s="235">
        <v>2.5</v>
      </c>
      <c r="B138" s="226" t="s">
        <v>648</v>
      </c>
      <c r="C138" s="221" t="s">
        <v>577</v>
      </c>
      <c r="D138" s="215">
        <v>1</v>
      </c>
      <c r="E138" s="228">
        <v>0</v>
      </c>
      <c r="F138" s="218">
        <f>+E138*D138</f>
        <v>0</v>
      </c>
    </row>
    <row r="139" spans="1:6">
      <c r="A139" s="235"/>
      <c r="B139" s="223" t="s">
        <v>642</v>
      </c>
      <c r="C139" s="221"/>
      <c r="D139" s="215"/>
      <c r="E139" s="228"/>
      <c r="F139" s="221"/>
    </row>
    <row r="140" spans="1:6">
      <c r="A140" s="235"/>
      <c r="B140" s="226" t="s">
        <v>592</v>
      </c>
      <c r="C140" s="221"/>
      <c r="D140" s="215"/>
      <c r="E140" s="228"/>
      <c r="F140" s="221"/>
    </row>
    <row r="141" spans="1:6">
      <c r="A141" s="235"/>
      <c r="B141" s="223" t="s">
        <v>649</v>
      </c>
      <c r="C141" s="221"/>
      <c r="D141" s="215"/>
      <c r="E141" s="228"/>
      <c r="F141" s="221"/>
    </row>
    <row r="142" spans="1:6">
      <c r="A142" s="235"/>
      <c r="B142" s="226" t="s">
        <v>634</v>
      </c>
      <c r="C142" s="221"/>
      <c r="D142" s="215"/>
      <c r="E142" s="228"/>
      <c r="F142" s="221"/>
    </row>
    <row r="143" spans="1:6">
      <c r="A143" s="235"/>
      <c r="B143" s="223" t="s">
        <v>650</v>
      </c>
      <c r="C143" s="221"/>
      <c r="D143" s="215"/>
      <c r="E143" s="228"/>
      <c r="F143" s="221"/>
    </row>
    <row r="144" spans="1:6">
      <c r="A144" s="235"/>
      <c r="B144" s="226"/>
      <c r="C144" s="221"/>
      <c r="D144" s="215"/>
      <c r="E144" s="228"/>
      <c r="F144" s="221"/>
    </row>
    <row r="145" spans="1:6">
      <c r="A145" s="235">
        <v>2.6</v>
      </c>
      <c r="B145" s="226" t="s">
        <v>651</v>
      </c>
      <c r="C145" s="221" t="s">
        <v>652</v>
      </c>
      <c r="D145" s="215">
        <v>1</v>
      </c>
      <c r="E145" s="228">
        <v>0</v>
      </c>
      <c r="F145" s="218">
        <f>+E145*D145</f>
        <v>0</v>
      </c>
    </row>
    <row r="146" spans="1:6">
      <c r="A146" s="235"/>
      <c r="B146" s="223" t="s">
        <v>642</v>
      </c>
      <c r="C146" s="221"/>
      <c r="D146" s="215"/>
      <c r="E146" s="228"/>
      <c r="F146" s="221"/>
    </row>
    <row r="147" spans="1:6">
      <c r="A147" s="235"/>
      <c r="B147" s="226" t="s">
        <v>592</v>
      </c>
      <c r="C147" s="221"/>
      <c r="D147" s="215"/>
      <c r="E147" s="228"/>
      <c r="F147" s="221"/>
    </row>
    <row r="148" spans="1:6">
      <c r="A148" s="235"/>
      <c r="B148" s="223" t="s">
        <v>653</v>
      </c>
      <c r="C148" s="221"/>
      <c r="D148" s="215"/>
      <c r="E148" s="228"/>
      <c r="F148" s="221"/>
    </row>
    <row r="149" spans="1:6">
      <c r="A149" s="235"/>
      <c r="B149" s="226" t="s">
        <v>634</v>
      </c>
      <c r="C149" s="221"/>
      <c r="D149" s="215"/>
      <c r="E149" s="228"/>
      <c r="F149" s="221"/>
    </row>
    <row r="150" spans="1:6">
      <c r="A150" s="235"/>
      <c r="B150" s="223" t="s">
        <v>650</v>
      </c>
      <c r="C150" s="221"/>
      <c r="D150" s="215"/>
      <c r="E150" s="228"/>
      <c r="F150" s="221"/>
    </row>
    <row r="151" spans="1:6">
      <c r="A151" s="235"/>
      <c r="B151" s="226"/>
      <c r="C151" s="221"/>
      <c r="D151" s="215"/>
      <c r="E151" s="228"/>
      <c r="F151" s="221"/>
    </row>
    <row r="152" spans="1:6">
      <c r="A152" s="235">
        <v>2.7</v>
      </c>
      <c r="B152" s="226" t="s">
        <v>654</v>
      </c>
      <c r="C152" s="221" t="s">
        <v>652</v>
      </c>
      <c r="D152" s="215">
        <v>1</v>
      </c>
      <c r="E152" s="218">
        <f>IFERROR(+D152*C152,0)</f>
        <v>0</v>
      </c>
      <c r="F152" s="218">
        <f>IFERROR(+E152*D152,0)</f>
        <v>0</v>
      </c>
    </row>
    <row r="153" spans="1:6">
      <c r="A153" s="235"/>
      <c r="B153" s="223" t="s">
        <v>642</v>
      </c>
      <c r="C153" s="221"/>
      <c r="D153" s="215"/>
      <c r="E153" s="228"/>
      <c r="F153" s="221"/>
    </row>
    <row r="154" spans="1:6">
      <c r="A154" s="235"/>
      <c r="B154" s="226" t="s">
        <v>592</v>
      </c>
      <c r="C154" s="221"/>
      <c r="D154" s="215"/>
      <c r="E154" s="228"/>
      <c r="F154" s="221"/>
    </row>
    <row r="155" spans="1:6">
      <c r="A155" s="235"/>
      <c r="B155" s="223" t="s">
        <v>653</v>
      </c>
      <c r="C155" s="221"/>
      <c r="D155" s="215"/>
      <c r="E155" s="228"/>
      <c r="F155" s="221"/>
    </row>
    <row r="156" spans="1:6">
      <c r="A156" s="235"/>
      <c r="B156" s="226" t="s">
        <v>634</v>
      </c>
      <c r="C156" s="221"/>
      <c r="D156" s="215"/>
      <c r="E156" s="228"/>
      <c r="F156" s="221"/>
    </row>
    <row r="157" spans="1:6">
      <c r="A157" s="235"/>
      <c r="B157" s="223" t="s">
        <v>647</v>
      </c>
      <c r="C157" s="221"/>
      <c r="D157" s="215"/>
      <c r="E157" s="228"/>
      <c r="F157" s="221"/>
    </row>
    <row r="158" spans="1:6">
      <c r="A158" s="235"/>
      <c r="B158" s="226"/>
      <c r="C158" s="221"/>
      <c r="D158" s="215"/>
      <c r="E158" s="228"/>
      <c r="F158" s="221"/>
    </row>
    <row r="159" spans="1:6">
      <c r="A159" s="215">
        <v>2.8</v>
      </c>
      <c r="B159" s="216" t="s">
        <v>655</v>
      </c>
      <c r="C159" s="215" t="s">
        <v>577</v>
      </c>
      <c r="D159" s="215">
        <v>1</v>
      </c>
      <c r="E159" s="228">
        <v>0</v>
      </c>
      <c r="F159" s="218">
        <f>IFERROR(+E159*D159,0)</f>
        <v>0</v>
      </c>
    </row>
    <row r="160" spans="1:6">
      <c r="A160" s="237"/>
      <c r="B160" s="223" t="s">
        <v>656</v>
      </c>
      <c r="C160" s="221"/>
      <c r="D160" s="215"/>
      <c r="E160" s="228"/>
      <c r="F160" s="221"/>
    </row>
    <row r="161" spans="1:6">
      <c r="A161" s="215"/>
      <c r="B161" s="226" t="s">
        <v>592</v>
      </c>
      <c r="C161" s="236"/>
      <c r="D161" s="236"/>
      <c r="E161" s="228"/>
      <c r="F161" s="221"/>
    </row>
    <row r="162" spans="1:6">
      <c r="A162" s="215"/>
      <c r="B162" s="223" t="s">
        <v>643</v>
      </c>
      <c r="C162" s="236"/>
      <c r="D162" s="236"/>
      <c r="E162" s="228"/>
      <c r="F162" s="221"/>
    </row>
    <row r="163" spans="1:6">
      <c r="A163" s="215"/>
      <c r="B163" s="226" t="s">
        <v>634</v>
      </c>
      <c r="C163" s="236"/>
      <c r="D163" s="236"/>
      <c r="E163" s="228"/>
      <c r="F163" s="221"/>
    </row>
    <row r="164" spans="1:6">
      <c r="A164" s="215"/>
      <c r="B164" s="223" t="s">
        <v>657</v>
      </c>
      <c r="C164" s="236"/>
      <c r="D164" s="236"/>
      <c r="E164" s="228"/>
      <c r="F164" s="221"/>
    </row>
    <row r="165" spans="1:6">
      <c r="A165" s="215"/>
      <c r="B165" s="223"/>
      <c r="C165" s="236"/>
      <c r="D165" s="236"/>
      <c r="E165" s="228"/>
      <c r="F165" s="221"/>
    </row>
    <row r="166" spans="1:6">
      <c r="A166" s="215">
        <v>2.9</v>
      </c>
      <c r="B166" s="216" t="s">
        <v>658</v>
      </c>
      <c r="C166" s="215" t="s">
        <v>577</v>
      </c>
      <c r="D166" s="215">
        <v>2</v>
      </c>
      <c r="E166" s="228">
        <v>0</v>
      </c>
      <c r="F166" s="218">
        <f>IFERROR(+E166*D166,0)</f>
        <v>0</v>
      </c>
    </row>
    <row r="167" spans="1:6">
      <c r="A167" s="237"/>
      <c r="B167" s="223" t="s">
        <v>656</v>
      </c>
      <c r="C167" s="221"/>
      <c r="D167" s="215"/>
      <c r="E167" s="228"/>
      <c r="F167" s="221"/>
    </row>
    <row r="168" spans="1:6">
      <c r="A168" s="215"/>
      <c r="B168" s="226" t="s">
        <v>592</v>
      </c>
      <c r="C168" s="236"/>
      <c r="D168" s="236"/>
      <c r="E168" s="228"/>
      <c r="F168" s="221"/>
    </row>
    <row r="169" spans="1:6">
      <c r="A169" s="215"/>
      <c r="B169" s="223" t="s">
        <v>659</v>
      </c>
      <c r="C169" s="236"/>
      <c r="D169" s="236"/>
      <c r="E169" s="228"/>
      <c r="F169" s="221"/>
    </row>
    <row r="170" spans="1:6">
      <c r="A170" s="215"/>
      <c r="B170" s="226" t="s">
        <v>634</v>
      </c>
      <c r="C170" s="236"/>
      <c r="D170" s="236"/>
      <c r="E170" s="228"/>
      <c r="F170" s="221"/>
    </row>
    <row r="171" spans="1:6">
      <c r="A171" s="215"/>
      <c r="B171" s="223" t="s">
        <v>660</v>
      </c>
      <c r="C171" s="236"/>
      <c r="D171" s="236"/>
      <c r="E171" s="228"/>
      <c r="F171" s="221"/>
    </row>
    <row r="172" spans="1:6">
      <c r="A172" s="215"/>
      <c r="B172" s="223"/>
      <c r="C172" s="236"/>
      <c r="D172" s="236"/>
      <c r="E172" s="228"/>
      <c r="F172" s="221"/>
    </row>
    <row r="173" spans="1:6">
      <c r="A173" s="238">
        <v>2.1</v>
      </c>
      <c r="B173" s="216" t="s">
        <v>661</v>
      </c>
      <c r="C173" s="215" t="s">
        <v>577</v>
      </c>
      <c r="D173" s="215">
        <v>2</v>
      </c>
      <c r="E173" s="228">
        <v>0</v>
      </c>
      <c r="F173" s="218">
        <f>IFERROR(+E173*D173,0)</f>
        <v>0</v>
      </c>
    </row>
    <row r="174" spans="1:6">
      <c r="A174" s="215"/>
      <c r="B174" s="239" t="s">
        <v>662</v>
      </c>
      <c r="C174" s="236"/>
      <c r="D174" s="236"/>
      <c r="E174" s="236"/>
      <c r="F174" s="236"/>
    </row>
    <row r="175" spans="1:6">
      <c r="A175" s="215"/>
      <c r="B175" s="240" t="s">
        <v>592</v>
      </c>
      <c r="C175" s="236"/>
      <c r="D175" s="236"/>
      <c r="E175" s="236"/>
      <c r="F175" s="236"/>
    </row>
    <row r="176" spans="1:6">
      <c r="A176" s="215"/>
      <c r="B176" s="241" t="s">
        <v>663</v>
      </c>
      <c r="C176" s="236"/>
      <c r="D176" s="236"/>
      <c r="E176" s="236"/>
      <c r="F176" s="236"/>
    </row>
    <row r="177" spans="1:6">
      <c r="A177" s="215"/>
      <c r="B177" s="240" t="s">
        <v>634</v>
      </c>
      <c r="C177" s="236"/>
      <c r="D177" s="236"/>
      <c r="E177" s="236"/>
      <c r="F177" s="236"/>
    </row>
    <row r="178" spans="1:6">
      <c r="A178" s="215"/>
      <c r="B178" s="223" t="s">
        <v>664</v>
      </c>
      <c r="C178" s="236"/>
      <c r="D178" s="236"/>
      <c r="E178" s="236"/>
      <c r="F178" s="236"/>
    </row>
    <row r="179" spans="1:6">
      <c r="A179" s="215"/>
      <c r="B179" s="223"/>
      <c r="C179" s="236"/>
      <c r="D179" s="236"/>
      <c r="E179" s="228"/>
      <c r="F179" s="221"/>
    </row>
    <row r="180" spans="1:6">
      <c r="A180" s="238">
        <v>2.11</v>
      </c>
      <c r="B180" s="216" t="s">
        <v>665</v>
      </c>
      <c r="C180" s="215" t="s">
        <v>577</v>
      </c>
      <c r="D180" s="215">
        <v>1</v>
      </c>
      <c r="E180" s="228">
        <v>0</v>
      </c>
      <c r="F180" s="218">
        <f>IFERROR(+E180*D180,0)</f>
        <v>0</v>
      </c>
    </row>
    <row r="181" spans="1:6">
      <c r="A181" s="215"/>
      <c r="B181" s="216" t="s">
        <v>666</v>
      </c>
      <c r="C181" s="236"/>
      <c r="D181" s="236"/>
      <c r="E181" s="228"/>
      <c r="F181" s="221"/>
    </row>
    <row r="182" spans="1:6">
      <c r="A182" s="215"/>
      <c r="B182" s="226" t="s">
        <v>592</v>
      </c>
      <c r="C182" s="236"/>
      <c r="D182" s="236"/>
      <c r="E182" s="228"/>
      <c r="F182" s="221"/>
    </row>
    <row r="183" spans="1:6">
      <c r="A183" s="215"/>
      <c r="B183" s="223" t="s">
        <v>638</v>
      </c>
      <c r="C183" s="236"/>
      <c r="D183" s="236"/>
      <c r="E183" s="228"/>
      <c r="F183" s="221"/>
    </row>
    <row r="184" spans="1:6">
      <c r="A184" s="215"/>
      <c r="B184" s="226" t="s">
        <v>632</v>
      </c>
      <c r="C184" s="236"/>
      <c r="D184" s="236"/>
      <c r="E184" s="228"/>
      <c r="F184" s="221"/>
    </row>
    <row r="185" spans="1:6">
      <c r="A185" s="215"/>
      <c r="B185" s="223" t="s">
        <v>633</v>
      </c>
      <c r="C185" s="236"/>
      <c r="D185" s="236"/>
      <c r="E185" s="228"/>
      <c r="F185" s="221"/>
    </row>
    <row r="186" spans="1:6">
      <c r="A186" s="215"/>
      <c r="B186" s="226" t="s">
        <v>634</v>
      </c>
      <c r="C186" s="236"/>
      <c r="D186" s="236"/>
      <c r="E186" s="228"/>
      <c r="F186" s="221"/>
    </row>
    <row r="187" spans="1:6">
      <c r="A187" s="215"/>
      <c r="B187" s="223" t="s">
        <v>667</v>
      </c>
      <c r="C187" s="236"/>
      <c r="D187" s="236"/>
      <c r="E187" s="228"/>
      <c r="F187" s="221"/>
    </row>
    <row r="188" spans="1:6" ht="15.5">
      <c r="A188" s="202"/>
      <c r="B188" s="203"/>
      <c r="C188" s="295"/>
      <c r="D188" s="295"/>
      <c r="E188" s="296"/>
      <c r="F188" s="295"/>
    </row>
    <row r="189" spans="1:6">
      <c r="A189" s="238">
        <v>2.12</v>
      </c>
      <c r="B189" s="216" t="s">
        <v>668</v>
      </c>
      <c r="C189" s="221" t="s">
        <v>577</v>
      </c>
      <c r="D189" s="215">
        <v>2</v>
      </c>
      <c r="E189" s="228">
        <v>0</v>
      </c>
      <c r="F189" s="218">
        <f>IFERROR(+E189*D189,0)</f>
        <v>0</v>
      </c>
    </row>
    <row r="190" spans="1:6">
      <c r="A190" s="215"/>
      <c r="B190" s="216" t="s">
        <v>630</v>
      </c>
      <c r="C190" s="236"/>
      <c r="D190" s="236"/>
      <c r="E190" s="228"/>
      <c r="F190" s="221"/>
    </row>
    <row r="191" spans="1:6">
      <c r="A191" s="215"/>
      <c r="B191" s="226" t="s">
        <v>592</v>
      </c>
      <c r="C191" s="236"/>
      <c r="D191" s="236"/>
      <c r="E191" s="228"/>
      <c r="F191" s="221"/>
    </row>
    <row r="192" spans="1:6">
      <c r="A192" s="215"/>
      <c r="B192" s="223" t="s">
        <v>638</v>
      </c>
      <c r="C192" s="236"/>
      <c r="D192" s="236"/>
      <c r="E192" s="228"/>
      <c r="F192" s="221"/>
    </row>
    <row r="193" spans="1:6">
      <c r="A193" s="215"/>
      <c r="B193" s="226" t="s">
        <v>632</v>
      </c>
      <c r="C193" s="236"/>
      <c r="D193" s="236"/>
      <c r="E193" s="228"/>
      <c r="F193" s="221"/>
    </row>
    <row r="194" spans="1:6">
      <c r="A194" s="215"/>
      <c r="B194" s="223" t="s">
        <v>669</v>
      </c>
      <c r="C194" s="236"/>
      <c r="D194" s="236"/>
      <c r="E194" s="228"/>
      <c r="F194" s="221"/>
    </row>
    <row r="195" spans="1:6">
      <c r="A195" s="215"/>
      <c r="B195" s="226" t="s">
        <v>634</v>
      </c>
      <c r="C195" s="236"/>
      <c r="D195" s="236"/>
      <c r="E195" s="228"/>
      <c r="F195" s="221"/>
    </row>
    <row r="196" spans="1:6">
      <c r="A196" s="215"/>
      <c r="B196" s="223" t="s">
        <v>670</v>
      </c>
      <c r="C196" s="236"/>
      <c r="D196" s="236"/>
      <c r="E196" s="228"/>
      <c r="F196" s="221"/>
    </row>
    <row r="197" spans="1:6">
      <c r="A197" s="215"/>
      <c r="B197" s="223"/>
      <c r="C197" s="236"/>
      <c r="D197" s="236"/>
      <c r="E197" s="228"/>
      <c r="F197" s="221"/>
    </row>
    <row r="198" spans="1:6">
      <c r="A198" s="215">
        <v>2.13</v>
      </c>
      <c r="B198" s="216" t="s">
        <v>671</v>
      </c>
      <c r="C198" s="221" t="s">
        <v>577</v>
      </c>
      <c r="D198" s="215">
        <v>2</v>
      </c>
      <c r="E198" s="228">
        <v>0</v>
      </c>
      <c r="F198" s="218">
        <f>IFERROR(+E198*D198,0)</f>
        <v>0</v>
      </c>
    </row>
    <row r="199" spans="1:6">
      <c r="A199" s="215"/>
      <c r="B199" s="216" t="s">
        <v>666</v>
      </c>
      <c r="C199" s="236"/>
      <c r="D199" s="236"/>
      <c r="E199" s="228"/>
      <c r="F199" s="221"/>
    </row>
    <row r="200" spans="1:6">
      <c r="A200" s="215"/>
      <c r="B200" s="226" t="s">
        <v>592</v>
      </c>
      <c r="C200" s="236"/>
      <c r="D200" s="236"/>
      <c r="E200" s="228"/>
      <c r="F200" s="221"/>
    </row>
    <row r="201" spans="1:6">
      <c r="A201" s="215"/>
      <c r="B201" s="223" t="s">
        <v>638</v>
      </c>
      <c r="C201" s="236"/>
      <c r="D201" s="236"/>
      <c r="E201" s="228"/>
      <c r="F201" s="221"/>
    </row>
    <row r="202" spans="1:6">
      <c r="A202" s="215"/>
      <c r="B202" s="226" t="s">
        <v>632</v>
      </c>
      <c r="C202" s="236"/>
      <c r="D202" s="236"/>
      <c r="E202" s="228"/>
      <c r="F202" s="221"/>
    </row>
    <row r="203" spans="1:6">
      <c r="A203" s="215"/>
      <c r="B203" s="223" t="s">
        <v>633</v>
      </c>
      <c r="C203" s="236"/>
      <c r="D203" s="236"/>
      <c r="E203" s="228"/>
      <c r="F203" s="221"/>
    </row>
    <row r="204" spans="1:6">
      <c r="A204" s="215"/>
      <c r="B204" s="226" t="s">
        <v>634</v>
      </c>
      <c r="C204" s="236"/>
      <c r="D204" s="236"/>
      <c r="E204" s="228"/>
      <c r="F204" s="221"/>
    </row>
    <row r="205" spans="1:6">
      <c r="A205" s="215"/>
      <c r="B205" s="223" t="s">
        <v>672</v>
      </c>
      <c r="C205" s="236"/>
      <c r="D205" s="236"/>
      <c r="E205" s="228"/>
      <c r="F205" s="221"/>
    </row>
    <row r="206" spans="1:6">
      <c r="A206" s="215"/>
      <c r="B206" s="223"/>
      <c r="C206" s="236"/>
      <c r="D206" s="215"/>
      <c r="E206" s="218"/>
      <c r="F206" s="218"/>
    </row>
    <row r="207" spans="1:6" ht="46.5">
      <c r="A207" s="173">
        <v>2.14</v>
      </c>
      <c r="B207" s="242" t="s">
        <v>673</v>
      </c>
      <c r="C207" s="175" t="s">
        <v>468</v>
      </c>
      <c r="D207" s="175">
        <v>8</v>
      </c>
      <c r="E207" s="179">
        <v>0</v>
      </c>
      <c r="F207" s="200">
        <f>+E207*D207</f>
        <v>0</v>
      </c>
    </row>
    <row r="208" spans="1:6" ht="15.5">
      <c r="A208" s="173"/>
      <c r="B208" s="178"/>
      <c r="C208" s="175"/>
      <c r="D208" s="175"/>
      <c r="E208" s="179"/>
      <c r="F208" s="200"/>
    </row>
    <row r="209" spans="1:6" ht="62">
      <c r="A209" s="243">
        <v>2.15</v>
      </c>
      <c r="B209" s="244" t="s">
        <v>674</v>
      </c>
      <c r="C209" s="245" t="s">
        <v>468</v>
      </c>
      <c r="D209" s="245">
        <v>6</v>
      </c>
      <c r="E209" s="246">
        <v>0</v>
      </c>
      <c r="F209" s="247">
        <f>+E209*D209</f>
        <v>0</v>
      </c>
    </row>
    <row r="210" spans="1:6" ht="15.5">
      <c r="A210" s="173"/>
      <c r="B210" s="178"/>
      <c r="C210" s="175"/>
      <c r="D210" s="175"/>
      <c r="E210" s="179"/>
      <c r="F210" s="200"/>
    </row>
    <row r="211" spans="1:6" ht="46.5">
      <c r="A211" s="173">
        <v>2.16</v>
      </c>
      <c r="B211" s="242" t="s">
        <v>675</v>
      </c>
      <c r="C211" s="175" t="s">
        <v>468</v>
      </c>
      <c r="D211" s="175">
        <v>2</v>
      </c>
      <c r="E211" s="179">
        <v>0</v>
      </c>
      <c r="F211" s="200">
        <f>+E211*D211</f>
        <v>0</v>
      </c>
    </row>
    <row r="212" spans="1:6" ht="15.5">
      <c r="A212" s="173"/>
      <c r="B212" s="178"/>
      <c r="C212" s="175"/>
      <c r="D212" s="175"/>
      <c r="E212" s="179"/>
      <c r="F212" s="200"/>
    </row>
    <row r="213" spans="1:6" ht="46.5">
      <c r="A213" s="173">
        <v>2.17</v>
      </c>
      <c r="B213" s="242" t="s">
        <v>676</v>
      </c>
      <c r="C213" s="175" t="s">
        <v>468</v>
      </c>
      <c r="D213" s="175">
        <v>5</v>
      </c>
      <c r="E213" s="179">
        <v>0</v>
      </c>
      <c r="F213" s="200">
        <f>+E213*D213</f>
        <v>0</v>
      </c>
    </row>
    <row r="214" spans="1:6" ht="15.5">
      <c r="A214" s="248"/>
      <c r="B214" s="249"/>
      <c r="C214" s="248"/>
      <c r="D214" s="248"/>
      <c r="E214" s="250"/>
      <c r="F214" s="251"/>
    </row>
    <row r="215" spans="1:6" ht="15.5">
      <c r="A215" s="193"/>
      <c r="B215" s="194" t="s">
        <v>677</v>
      </c>
      <c r="C215" s="195"/>
      <c r="D215" s="193"/>
      <c r="E215" s="252"/>
      <c r="F215" s="197">
        <f>SUM(F104:F214)</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948A-14B9-4A7A-AEE7-24FCC3EFE48E}">
  <sheetPr codeName="Sheet9">
    <tabColor theme="9" tint="0.39997558519241921"/>
  </sheetPr>
  <dimension ref="A1:F46"/>
  <sheetViews>
    <sheetView showGridLines="0" topLeftCell="A43" workbookViewId="0">
      <selection activeCell="F47" sqref="F47"/>
    </sheetView>
  </sheetViews>
  <sheetFormatPr defaultColWidth="27.08984375" defaultRowHeight="14.5"/>
  <cols>
    <col min="1" max="1" width="5.26953125" bestFit="1" customWidth="1"/>
    <col min="2" max="2" width="34.36328125" bestFit="1" customWidth="1"/>
    <col min="3" max="3" width="5.453125" bestFit="1" customWidth="1"/>
    <col min="4" max="4" width="4.6328125" bestFit="1" customWidth="1"/>
    <col min="5" max="5" width="9.90625" bestFit="1" customWidth="1"/>
    <col min="6" max="6" width="12.81640625" bestFit="1" customWidth="1"/>
  </cols>
  <sheetData>
    <row r="1" spans="1:6" ht="15.5">
      <c r="A1" s="524" t="s">
        <v>460</v>
      </c>
      <c r="B1" s="525"/>
      <c r="C1" s="525"/>
      <c r="D1" s="525"/>
      <c r="E1" s="525"/>
      <c r="F1" s="526"/>
    </row>
    <row r="2" spans="1:6" ht="15.5">
      <c r="A2" s="527" t="s">
        <v>461</v>
      </c>
      <c r="B2" s="528"/>
      <c r="C2" s="528"/>
      <c r="D2" s="528"/>
      <c r="E2" s="528"/>
      <c r="F2" s="529"/>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3"/>
      <c r="B6" s="184"/>
      <c r="C6" s="175"/>
      <c r="D6" s="175"/>
      <c r="E6" s="176"/>
      <c r="F6" s="175"/>
    </row>
    <row r="7" spans="1:6" ht="15.5">
      <c r="A7" s="170" t="s">
        <v>678</v>
      </c>
      <c r="B7" s="171" t="s">
        <v>679</v>
      </c>
      <c r="C7" s="172"/>
      <c r="D7" s="172"/>
      <c r="E7" s="172"/>
      <c r="F7" s="172"/>
    </row>
    <row r="8" spans="1:6" ht="15.5">
      <c r="A8" s="173"/>
      <c r="B8" s="184"/>
      <c r="C8" s="175"/>
      <c r="D8" s="175"/>
      <c r="E8" s="176"/>
      <c r="F8" s="177"/>
    </row>
    <row r="9" spans="1:6" ht="62">
      <c r="A9" s="173">
        <v>1</v>
      </c>
      <c r="B9" s="242" t="s">
        <v>680</v>
      </c>
      <c r="C9" s="175"/>
      <c r="D9" s="175"/>
      <c r="E9" s="179"/>
      <c r="F9" s="180">
        <v>0</v>
      </c>
    </row>
    <row r="10" spans="1:6" ht="15.5">
      <c r="A10" s="173"/>
      <c r="B10" s="253"/>
      <c r="C10" s="175"/>
      <c r="D10" s="175"/>
      <c r="E10" s="199"/>
      <c r="F10" s="177"/>
    </row>
    <row r="11" spans="1:6" ht="15.5">
      <c r="A11" s="173">
        <v>1.01</v>
      </c>
      <c r="B11" s="178" t="s">
        <v>681</v>
      </c>
      <c r="C11" s="175" t="s">
        <v>487</v>
      </c>
      <c r="D11" s="175">
        <v>40</v>
      </c>
      <c r="E11" s="179">
        <v>0</v>
      </c>
      <c r="F11" s="200">
        <f>+E11*D11</f>
        <v>0</v>
      </c>
    </row>
    <row r="12" spans="1:6" ht="15.5">
      <c r="A12" s="173"/>
      <c r="B12" s="178"/>
      <c r="C12" s="175"/>
      <c r="D12" s="175"/>
      <c r="E12" s="179"/>
      <c r="F12" s="177"/>
    </row>
    <row r="13" spans="1:6" ht="15.5">
      <c r="A13" s="173">
        <v>1.02</v>
      </c>
      <c r="B13" s="254" t="s">
        <v>682</v>
      </c>
      <c r="C13" s="245" t="s">
        <v>487</v>
      </c>
      <c r="D13" s="175">
        <v>0</v>
      </c>
      <c r="E13" s="246">
        <v>0</v>
      </c>
      <c r="F13" s="200">
        <f>+E13*D13</f>
        <v>0</v>
      </c>
    </row>
    <row r="14" spans="1:6" ht="15.5">
      <c r="A14" s="173"/>
      <c r="B14" s="178"/>
      <c r="C14" s="175"/>
      <c r="D14" s="175"/>
      <c r="E14" s="199"/>
      <c r="F14" s="177"/>
    </row>
    <row r="15" spans="1:6" ht="15.5">
      <c r="A15" s="173">
        <v>1.03</v>
      </c>
      <c r="B15" s="178" t="s">
        <v>683</v>
      </c>
      <c r="C15" s="175" t="s">
        <v>487</v>
      </c>
      <c r="D15" s="175">
        <v>0</v>
      </c>
      <c r="E15" s="179">
        <v>0</v>
      </c>
      <c r="F15" s="200">
        <f>+E15*D15</f>
        <v>0</v>
      </c>
    </row>
    <row r="16" spans="1:6" ht="15.5">
      <c r="A16" s="173"/>
      <c r="B16" s="178"/>
      <c r="C16" s="175"/>
      <c r="D16" s="175"/>
      <c r="E16" s="199"/>
      <c r="F16" s="177"/>
    </row>
    <row r="17" spans="1:6" ht="15.5">
      <c r="A17" s="173">
        <v>1.04</v>
      </c>
      <c r="B17" s="178" t="s">
        <v>684</v>
      </c>
      <c r="C17" s="175" t="s">
        <v>487</v>
      </c>
      <c r="D17" s="175">
        <v>0</v>
      </c>
      <c r="E17" s="179">
        <v>0</v>
      </c>
      <c r="F17" s="200">
        <f>+E17*D17</f>
        <v>0</v>
      </c>
    </row>
    <row r="18" spans="1:6" ht="15.5">
      <c r="A18" s="173"/>
      <c r="B18" s="178"/>
      <c r="C18" s="175"/>
      <c r="D18" s="175"/>
      <c r="E18" s="199"/>
      <c r="F18" s="177"/>
    </row>
    <row r="19" spans="1:6" ht="15.5">
      <c r="A19" s="173">
        <v>1.05</v>
      </c>
      <c r="B19" s="178" t="s">
        <v>685</v>
      </c>
      <c r="C19" s="175" t="s">
        <v>487</v>
      </c>
      <c r="D19" s="175">
        <v>60</v>
      </c>
      <c r="E19" s="179">
        <v>0</v>
      </c>
      <c r="F19" s="200">
        <f>+E19*D19</f>
        <v>0</v>
      </c>
    </row>
    <row r="20" spans="1:6" ht="15.5">
      <c r="A20" s="173"/>
      <c r="B20" s="178"/>
      <c r="C20" s="175"/>
      <c r="D20" s="175"/>
      <c r="E20" s="199"/>
      <c r="F20" s="177"/>
    </row>
    <row r="21" spans="1:6" ht="15.5">
      <c r="A21" s="173">
        <v>1.06</v>
      </c>
      <c r="B21" s="178" t="s">
        <v>686</v>
      </c>
      <c r="C21" s="175" t="s">
        <v>487</v>
      </c>
      <c r="D21" s="175">
        <v>300</v>
      </c>
      <c r="E21" s="179">
        <v>0</v>
      </c>
      <c r="F21" s="200">
        <f>+E21*D21</f>
        <v>0</v>
      </c>
    </row>
    <row r="22" spans="1:6" ht="15.5">
      <c r="A22" s="173"/>
      <c r="B22" s="178"/>
      <c r="C22" s="175"/>
      <c r="D22" s="175"/>
      <c r="E22" s="199"/>
      <c r="F22" s="177"/>
    </row>
    <row r="23" spans="1:6" ht="15.5">
      <c r="A23" s="173">
        <v>1.07</v>
      </c>
      <c r="B23" s="178" t="s">
        <v>687</v>
      </c>
      <c r="C23" s="198" t="s">
        <v>503</v>
      </c>
      <c r="D23" s="175">
        <v>0</v>
      </c>
      <c r="E23" s="179">
        <v>0</v>
      </c>
      <c r="F23" s="200">
        <f>+E23*D23</f>
        <v>0</v>
      </c>
    </row>
    <row r="24" spans="1:6" ht="15.5">
      <c r="A24" s="173"/>
      <c r="B24" s="178"/>
      <c r="C24" s="198"/>
      <c r="D24" s="175"/>
      <c r="E24" s="199"/>
      <c r="F24" s="177"/>
    </row>
    <row r="25" spans="1:6" ht="15.5">
      <c r="A25" s="173">
        <v>1.08</v>
      </c>
      <c r="B25" s="178" t="s">
        <v>688</v>
      </c>
      <c r="C25" s="198" t="s">
        <v>503</v>
      </c>
      <c r="D25" s="175">
        <v>140</v>
      </c>
      <c r="E25" s="179">
        <v>0</v>
      </c>
      <c r="F25" s="200">
        <f>+E25*D25</f>
        <v>0</v>
      </c>
    </row>
    <row r="26" spans="1:6" ht="15.5">
      <c r="A26" s="173"/>
      <c r="B26" s="178"/>
      <c r="C26" s="198"/>
      <c r="D26" s="175"/>
      <c r="E26" s="199"/>
      <c r="F26" s="177"/>
    </row>
    <row r="27" spans="1:6" ht="15.5">
      <c r="A27" s="173">
        <v>1.0900000000000001</v>
      </c>
      <c r="B27" s="178" t="s">
        <v>689</v>
      </c>
      <c r="C27" s="198" t="s">
        <v>503</v>
      </c>
      <c r="D27" s="175">
        <v>0</v>
      </c>
      <c r="E27" s="179">
        <v>0</v>
      </c>
      <c r="F27" s="200">
        <f>+E27*D27</f>
        <v>0</v>
      </c>
    </row>
    <row r="28" spans="1:6" ht="15.5">
      <c r="A28" s="173"/>
      <c r="B28" s="178"/>
      <c r="C28" s="198"/>
      <c r="D28" s="175"/>
      <c r="E28" s="199"/>
      <c r="F28" s="177"/>
    </row>
    <row r="29" spans="1:6" ht="15.5">
      <c r="A29" s="191">
        <v>1.1000000000000001</v>
      </c>
      <c r="B29" s="178" t="s">
        <v>690</v>
      </c>
      <c r="C29" s="198" t="s">
        <v>503</v>
      </c>
      <c r="D29" s="175">
        <v>0</v>
      </c>
      <c r="E29" s="179">
        <v>0</v>
      </c>
      <c r="F29" s="200">
        <f>+E29*D29</f>
        <v>0</v>
      </c>
    </row>
    <row r="30" spans="1:6" ht="15.5">
      <c r="A30" s="173"/>
      <c r="B30" s="178"/>
      <c r="C30" s="198"/>
      <c r="D30" s="175"/>
      <c r="E30" s="199"/>
      <c r="F30" s="177"/>
    </row>
    <row r="31" spans="1:6" ht="15.5">
      <c r="A31" s="173">
        <v>1.1100000000000001</v>
      </c>
      <c r="B31" s="178" t="s">
        <v>691</v>
      </c>
      <c r="C31" s="198" t="s">
        <v>503</v>
      </c>
      <c r="D31" s="175">
        <v>150</v>
      </c>
      <c r="E31" s="179">
        <v>0</v>
      </c>
      <c r="F31" s="200">
        <f>+E31*D31</f>
        <v>0</v>
      </c>
    </row>
    <row r="32" spans="1:6" ht="15.5">
      <c r="A32" s="173"/>
      <c r="B32" s="178"/>
      <c r="C32" s="198"/>
      <c r="D32" s="175"/>
      <c r="E32" s="199"/>
      <c r="F32" s="177"/>
    </row>
    <row r="33" spans="1:6" ht="15.5">
      <c r="A33" s="173">
        <v>1.1200000000000001</v>
      </c>
      <c r="B33" s="178" t="s">
        <v>692</v>
      </c>
      <c r="C33" s="198" t="s">
        <v>503</v>
      </c>
      <c r="D33" s="175">
        <v>0</v>
      </c>
      <c r="E33" s="179">
        <v>0</v>
      </c>
      <c r="F33" s="200">
        <f>+E33*D33</f>
        <v>0</v>
      </c>
    </row>
    <row r="34" spans="1:6" ht="15.5">
      <c r="A34" s="173"/>
      <c r="B34" s="178"/>
      <c r="C34" s="198"/>
      <c r="D34" s="175"/>
      <c r="E34" s="199"/>
      <c r="F34" s="177"/>
    </row>
    <row r="35" spans="1:6" ht="15.5">
      <c r="A35" s="173">
        <v>1.1299999999999999</v>
      </c>
      <c r="B35" s="178" t="s">
        <v>693</v>
      </c>
      <c r="C35" s="198" t="s">
        <v>503</v>
      </c>
      <c r="D35" s="175">
        <v>0</v>
      </c>
      <c r="E35" s="179">
        <v>0</v>
      </c>
      <c r="F35" s="200">
        <f>+E35*D35</f>
        <v>0</v>
      </c>
    </row>
    <row r="36" spans="1:6" ht="15.5">
      <c r="A36" s="173"/>
      <c r="B36" s="178"/>
      <c r="C36" s="198"/>
      <c r="D36" s="175"/>
      <c r="E36" s="199"/>
      <c r="F36" s="177"/>
    </row>
    <row r="37" spans="1:6" ht="15.5">
      <c r="A37" s="173">
        <v>1.1399999999999999</v>
      </c>
      <c r="B37" s="178" t="s">
        <v>694</v>
      </c>
      <c r="C37" s="198" t="s">
        <v>503</v>
      </c>
      <c r="D37" s="175">
        <v>20</v>
      </c>
      <c r="E37" s="179">
        <v>0</v>
      </c>
      <c r="F37" s="200">
        <f>+E37*D37</f>
        <v>0</v>
      </c>
    </row>
    <row r="38" spans="1:6" ht="15.5">
      <c r="A38" s="173"/>
      <c r="B38" s="178"/>
      <c r="C38" s="198"/>
      <c r="D38" s="175"/>
      <c r="E38" s="199"/>
      <c r="F38" s="177"/>
    </row>
    <row r="39" spans="1:6" ht="15.5">
      <c r="A39" s="173">
        <v>1.1499999999999999</v>
      </c>
      <c r="B39" s="178" t="s">
        <v>695</v>
      </c>
      <c r="C39" s="198" t="s">
        <v>503</v>
      </c>
      <c r="D39" s="175">
        <v>80</v>
      </c>
      <c r="E39" s="199">
        <v>0</v>
      </c>
      <c r="F39" s="200">
        <f>+E39*D39</f>
        <v>0</v>
      </c>
    </row>
    <row r="40" spans="1:6" ht="15.5">
      <c r="A40" s="173"/>
      <c r="B40" s="178"/>
      <c r="C40" s="198"/>
      <c r="D40" s="175"/>
      <c r="E40" s="199"/>
      <c r="F40" s="177"/>
    </row>
    <row r="41" spans="1:6" ht="15.5">
      <c r="A41" s="173">
        <v>1.1599999999999999</v>
      </c>
      <c r="B41" s="178" t="s">
        <v>696</v>
      </c>
      <c r="C41" s="198" t="s">
        <v>503</v>
      </c>
      <c r="D41" s="175">
        <v>60</v>
      </c>
      <c r="E41" s="199">
        <v>0</v>
      </c>
      <c r="F41" s="200">
        <f>+E41*D41</f>
        <v>0</v>
      </c>
    </row>
    <row r="42" spans="1:6" ht="15.5">
      <c r="A42" s="173"/>
      <c r="B42" s="178"/>
      <c r="C42" s="198"/>
      <c r="D42" s="175"/>
      <c r="E42" s="199"/>
      <c r="F42" s="180"/>
    </row>
    <row r="43" spans="1:6" ht="46.5">
      <c r="A43" s="201">
        <v>2</v>
      </c>
      <c r="B43" s="178" t="s">
        <v>697</v>
      </c>
      <c r="C43" s="186" t="s">
        <v>360</v>
      </c>
      <c r="D43" s="175">
        <v>6</v>
      </c>
      <c r="E43" s="179">
        <v>0</v>
      </c>
      <c r="F43" s="200">
        <f>+E43*D43</f>
        <v>0</v>
      </c>
    </row>
    <row r="44" spans="1:6" ht="15.5">
      <c r="A44" s="201"/>
      <c r="B44" s="178"/>
      <c r="C44" s="186"/>
      <c r="D44" s="175"/>
      <c r="E44" s="179"/>
      <c r="F44" s="180"/>
    </row>
    <row r="45" spans="1:6" ht="77.5">
      <c r="A45" s="255">
        <v>3</v>
      </c>
      <c r="B45" s="174" t="s">
        <v>698</v>
      </c>
      <c r="C45" s="186" t="s">
        <v>468</v>
      </c>
      <c r="D45" s="175">
        <v>8</v>
      </c>
      <c r="E45" s="179">
        <v>0</v>
      </c>
      <c r="F45" s="200">
        <f>+E45*D45</f>
        <v>0</v>
      </c>
    </row>
    <row r="46" spans="1:6" ht="15.5">
      <c r="A46" s="193"/>
      <c r="B46" s="194" t="s">
        <v>699</v>
      </c>
      <c r="C46" s="195"/>
      <c r="D46" s="193"/>
      <c r="E46" s="196"/>
      <c r="F46" s="197">
        <f>SUM(F9:F45)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0C127-3593-49B9-AB72-5156480D5220}">
  <sheetPr codeName="Sheet10">
    <tabColor theme="9" tint="0.39997558519241921"/>
  </sheetPr>
  <dimension ref="A1:F40"/>
  <sheetViews>
    <sheetView showGridLines="0" workbookViewId="0">
      <selection activeCell="F41" sqref="F41"/>
    </sheetView>
  </sheetViews>
  <sheetFormatPr defaultColWidth="41.08984375" defaultRowHeight="14.5"/>
  <cols>
    <col min="1" max="1" width="3.81640625" bestFit="1" customWidth="1"/>
    <col min="2" max="2" width="67.36328125" bestFit="1" customWidth="1"/>
    <col min="3" max="3" width="5.453125" bestFit="1" customWidth="1"/>
    <col min="4" max="4" width="4.6328125" bestFit="1" customWidth="1"/>
    <col min="5" max="5" width="8.26953125" bestFit="1" customWidth="1"/>
    <col min="6" max="6" width="11" bestFit="1" customWidth="1"/>
  </cols>
  <sheetData>
    <row r="1" spans="1:6" ht="15.5">
      <c r="A1" s="524" t="s">
        <v>460</v>
      </c>
      <c r="B1" s="525"/>
      <c r="C1" s="525"/>
      <c r="D1" s="525"/>
      <c r="E1" s="525"/>
      <c r="F1" s="526"/>
    </row>
    <row r="2" spans="1:6" ht="15.5">
      <c r="A2" s="527" t="s">
        <v>461</v>
      </c>
      <c r="B2" s="528"/>
      <c r="C2" s="528"/>
      <c r="D2" s="528"/>
      <c r="E2" s="528"/>
      <c r="F2" s="529"/>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0" t="s">
        <v>700</v>
      </c>
      <c r="B6" s="256" t="s">
        <v>701</v>
      </c>
      <c r="C6" s="172"/>
      <c r="D6" s="172"/>
      <c r="E6" s="172"/>
      <c r="F6" s="172"/>
    </row>
    <row r="7" spans="1:6" ht="15.5">
      <c r="A7" s="173"/>
      <c r="B7" s="178" t="s">
        <v>702</v>
      </c>
      <c r="C7" s="175"/>
      <c r="D7" s="175"/>
      <c r="E7" s="176"/>
      <c r="F7" s="175"/>
    </row>
    <row r="8" spans="1:6" ht="46.5">
      <c r="A8" s="173">
        <v>1</v>
      </c>
      <c r="B8" s="174" t="s">
        <v>703</v>
      </c>
      <c r="C8" s="175" t="s">
        <v>360</v>
      </c>
      <c r="D8" s="175">
        <v>5</v>
      </c>
      <c r="E8" s="176">
        <v>0</v>
      </c>
      <c r="F8" s="200">
        <f>+E8*D8</f>
        <v>0</v>
      </c>
    </row>
    <row r="9" spans="1:6" ht="15.5">
      <c r="A9" s="173"/>
      <c r="B9" s="174"/>
      <c r="C9" s="175"/>
      <c r="D9" s="175"/>
      <c r="E9" s="176"/>
      <c r="F9" s="175"/>
    </row>
    <row r="10" spans="1:6" ht="46.5">
      <c r="A10" s="173">
        <f>+A8+1</f>
        <v>2</v>
      </c>
      <c r="B10" s="174" t="s">
        <v>704</v>
      </c>
      <c r="C10" s="175" t="s">
        <v>360</v>
      </c>
      <c r="D10" s="175">
        <v>30</v>
      </c>
      <c r="E10" s="176">
        <v>0</v>
      </c>
      <c r="F10" s="200">
        <f>+E10*D10</f>
        <v>0</v>
      </c>
    </row>
    <row r="11" spans="1:6" ht="15.5">
      <c r="A11" s="173"/>
      <c r="B11" s="174"/>
      <c r="C11" s="175"/>
      <c r="D11" s="175"/>
      <c r="E11" s="176"/>
      <c r="F11" s="175"/>
    </row>
    <row r="12" spans="1:6" ht="46.5">
      <c r="A12" s="173">
        <f>+A10+1</f>
        <v>3</v>
      </c>
      <c r="B12" s="174" t="s">
        <v>705</v>
      </c>
      <c r="C12" s="175" t="s">
        <v>360</v>
      </c>
      <c r="D12" s="175">
        <v>8</v>
      </c>
      <c r="E12" s="176">
        <v>0</v>
      </c>
      <c r="F12" s="200">
        <f>+E12*D12</f>
        <v>0</v>
      </c>
    </row>
    <row r="13" spans="1:6" ht="15.5">
      <c r="A13" s="173"/>
      <c r="B13" s="174"/>
      <c r="C13" s="175"/>
      <c r="D13" s="175"/>
      <c r="E13" s="176"/>
      <c r="F13" s="175"/>
    </row>
    <row r="14" spans="1:6" ht="46.5">
      <c r="A14" s="173">
        <f>+A12+1</f>
        <v>4</v>
      </c>
      <c r="B14" s="174" t="s">
        <v>706</v>
      </c>
      <c r="C14" s="175" t="s">
        <v>360</v>
      </c>
      <c r="D14" s="175">
        <v>19</v>
      </c>
      <c r="E14" s="176">
        <v>0</v>
      </c>
      <c r="F14" s="200">
        <f>+E14*D14</f>
        <v>0</v>
      </c>
    </row>
    <row r="15" spans="1:6" ht="15.5">
      <c r="A15" s="173"/>
      <c r="B15" s="174"/>
      <c r="C15" s="175"/>
      <c r="D15" s="175"/>
      <c r="E15" s="176"/>
      <c r="F15" s="175"/>
    </row>
    <row r="16" spans="1:6" ht="48.5">
      <c r="A16" s="173">
        <f>+A14+1</f>
        <v>5</v>
      </c>
      <c r="B16" s="174" t="s">
        <v>707</v>
      </c>
      <c r="C16" s="175" t="s">
        <v>360</v>
      </c>
      <c r="D16" s="175">
        <v>13</v>
      </c>
      <c r="E16" s="176">
        <v>0</v>
      </c>
      <c r="F16" s="200">
        <f>+E16*D16</f>
        <v>0</v>
      </c>
    </row>
    <row r="17" spans="1:6" ht="15.5">
      <c r="A17" s="173"/>
      <c r="B17" s="174"/>
      <c r="C17" s="175"/>
      <c r="D17" s="175"/>
      <c r="E17" s="176"/>
      <c r="F17" s="175"/>
    </row>
    <row r="18" spans="1:6" ht="46.5">
      <c r="A18" s="173">
        <f>+A16+1</f>
        <v>6</v>
      </c>
      <c r="B18" s="174" t="s">
        <v>708</v>
      </c>
      <c r="C18" s="175" t="s">
        <v>360</v>
      </c>
      <c r="D18" s="175">
        <v>8</v>
      </c>
      <c r="E18" s="176">
        <v>0</v>
      </c>
      <c r="F18" s="200">
        <f>+E18*D18</f>
        <v>0</v>
      </c>
    </row>
    <row r="19" spans="1:6" ht="15.5">
      <c r="A19" s="173"/>
      <c r="B19" s="174"/>
      <c r="C19" s="175"/>
      <c r="D19" s="175"/>
      <c r="E19" s="176"/>
      <c r="F19" s="175"/>
    </row>
    <row r="20" spans="1:6" ht="46.5">
      <c r="A20" s="173">
        <f>+A18+1</f>
        <v>7</v>
      </c>
      <c r="B20" s="174" t="s">
        <v>709</v>
      </c>
      <c r="C20" s="175" t="s">
        <v>360</v>
      </c>
      <c r="D20" s="175">
        <v>5</v>
      </c>
      <c r="E20" s="176">
        <v>0</v>
      </c>
      <c r="F20" s="200">
        <f>+E20*D20</f>
        <v>0</v>
      </c>
    </row>
    <row r="21" spans="1:6" ht="15.5">
      <c r="A21" s="173"/>
      <c r="B21" s="174"/>
      <c r="C21" s="175"/>
      <c r="D21" s="175"/>
      <c r="E21" s="176"/>
      <c r="F21" s="175"/>
    </row>
    <row r="22" spans="1:6" ht="46.5">
      <c r="A22" s="173">
        <f>+A20+1</f>
        <v>8</v>
      </c>
      <c r="B22" s="174" t="s">
        <v>710</v>
      </c>
      <c r="C22" s="175" t="s">
        <v>711</v>
      </c>
      <c r="D22" s="175">
        <v>36</v>
      </c>
      <c r="E22" s="176">
        <v>0</v>
      </c>
      <c r="F22" s="200">
        <f>+E22*D22</f>
        <v>0</v>
      </c>
    </row>
    <row r="23" spans="1:6" ht="15.5">
      <c r="A23" s="173"/>
      <c r="B23" s="174"/>
      <c r="C23" s="175"/>
      <c r="D23" s="175"/>
      <c r="E23" s="176"/>
      <c r="F23" s="175"/>
    </row>
    <row r="24" spans="1:6" ht="46.5">
      <c r="A24" s="173">
        <f>+A22+1</f>
        <v>9</v>
      </c>
      <c r="B24" s="174" t="s">
        <v>712</v>
      </c>
      <c r="C24" s="175" t="s">
        <v>711</v>
      </c>
      <c r="D24" s="175">
        <v>12</v>
      </c>
      <c r="E24" s="176">
        <v>0</v>
      </c>
      <c r="F24" s="200">
        <f>+E24*D24</f>
        <v>0</v>
      </c>
    </row>
    <row r="25" spans="1:6" ht="15.5">
      <c r="A25" s="173"/>
      <c r="B25" s="174"/>
      <c r="C25" s="175"/>
      <c r="D25" s="175"/>
      <c r="E25" s="176"/>
      <c r="F25" s="175"/>
    </row>
    <row r="26" spans="1:6" ht="46.5">
      <c r="A26" s="173">
        <f>+A24+1</f>
        <v>10</v>
      </c>
      <c r="B26" s="174" t="s">
        <v>713</v>
      </c>
      <c r="C26" s="175" t="s">
        <v>711</v>
      </c>
      <c r="D26" s="175">
        <v>10</v>
      </c>
      <c r="E26" s="176">
        <v>0</v>
      </c>
      <c r="F26" s="200">
        <f>+E26*D26</f>
        <v>0</v>
      </c>
    </row>
    <row r="27" spans="1:6" ht="15.5">
      <c r="A27" s="173"/>
      <c r="B27" s="174"/>
      <c r="C27" s="175"/>
      <c r="D27" s="175"/>
      <c r="E27" s="176"/>
      <c r="F27" s="175"/>
    </row>
    <row r="28" spans="1:6" ht="46.5">
      <c r="A28" s="173">
        <f>+A26+1</f>
        <v>11</v>
      </c>
      <c r="B28" s="174" t="s">
        <v>714</v>
      </c>
      <c r="C28" s="175" t="s">
        <v>711</v>
      </c>
      <c r="D28" s="175">
        <v>18</v>
      </c>
      <c r="E28" s="176">
        <v>0</v>
      </c>
      <c r="F28" s="200">
        <f>+E28*D28</f>
        <v>0</v>
      </c>
    </row>
    <row r="29" spans="1:6" ht="15.5">
      <c r="A29" s="173"/>
      <c r="B29" s="174"/>
      <c r="C29" s="175"/>
      <c r="D29" s="175"/>
      <c r="E29" s="176"/>
      <c r="F29" s="175"/>
    </row>
    <row r="30" spans="1:6" ht="77.5">
      <c r="A30" s="173">
        <f>+A28+1</f>
        <v>12</v>
      </c>
      <c r="B30" s="174" t="s">
        <v>715</v>
      </c>
      <c r="C30" s="175" t="s">
        <v>360</v>
      </c>
      <c r="D30" s="175">
        <v>6</v>
      </c>
      <c r="E30" s="176">
        <v>0</v>
      </c>
      <c r="F30" s="200">
        <f>+E30*D30</f>
        <v>0</v>
      </c>
    </row>
    <row r="31" spans="1:6" ht="15.5">
      <c r="A31" s="173"/>
      <c r="B31" s="174"/>
      <c r="C31" s="175"/>
      <c r="D31" s="175"/>
      <c r="E31" s="176"/>
      <c r="F31" s="175"/>
    </row>
    <row r="32" spans="1:6" ht="62">
      <c r="A32" s="173">
        <f>+A30+1</f>
        <v>13</v>
      </c>
      <c r="B32" s="174" t="s">
        <v>716</v>
      </c>
      <c r="C32" s="175" t="s">
        <v>360</v>
      </c>
      <c r="D32" s="175">
        <v>6</v>
      </c>
      <c r="E32" s="176">
        <v>0</v>
      </c>
      <c r="F32" s="200">
        <f>+E32*D32</f>
        <v>0</v>
      </c>
    </row>
    <row r="33" spans="1:6" ht="15.5">
      <c r="A33" s="173"/>
      <c r="B33" s="174"/>
      <c r="C33" s="175"/>
      <c r="D33" s="175"/>
      <c r="E33" s="176"/>
      <c r="F33" s="175"/>
    </row>
    <row r="34" spans="1:6" ht="31">
      <c r="A34" s="173">
        <f>+A32+1</f>
        <v>14</v>
      </c>
      <c r="B34" s="174" t="s">
        <v>717</v>
      </c>
      <c r="C34" s="175"/>
      <c r="D34" s="175">
        <v>6</v>
      </c>
      <c r="E34" s="176">
        <v>0</v>
      </c>
      <c r="F34" s="200">
        <f>+E34*D34</f>
        <v>0</v>
      </c>
    </row>
    <row r="35" spans="1:6" ht="15.5">
      <c r="A35" s="173"/>
      <c r="B35" s="178"/>
      <c r="C35" s="175"/>
      <c r="D35" s="175"/>
      <c r="E35" s="176"/>
      <c r="F35" s="175"/>
    </row>
    <row r="36" spans="1:6" ht="15.5">
      <c r="A36" s="173">
        <f>+A34+1</f>
        <v>15</v>
      </c>
      <c r="B36" s="178" t="s">
        <v>718</v>
      </c>
      <c r="C36" s="175" t="s">
        <v>360</v>
      </c>
      <c r="D36" s="175">
        <v>65</v>
      </c>
      <c r="E36" s="176">
        <v>0</v>
      </c>
      <c r="F36" s="175">
        <f>+E36*D36</f>
        <v>0</v>
      </c>
    </row>
    <row r="37" spans="1:6" ht="15.5">
      <c r="A37" s="173"/>
      <c r="B37" s="178"/>
      <c r="C37" s="175"/>
      <c r="D37" s="175"/>
      <c r="E37" s="176"/>
      <c r="F37" s="175"/>
    </row>
    <row r="38" spans="1:6" ht="93">
      <c r="A38" s="173">
        <f>+A36+1</f>
        <v>16</v>
      </c>
      <c r="B38" s="242" t="s">
        <v>719</v>
      </c>
      <c r="C38" s="175" t="s">
        <v>360</v>
      </c>
      <c r="D38" s="175">
        <v>24</v>
      </c>
      <c r="E38" s="176">
        <v>0</v>
      </c>
      <c r="F38" s="175">
        <f>+E38*D38</f>
        <v>0</v>
      </c>
    </row>
    <row r="39" spans="1:6" ht="15.5">
      <c r="A39" s="191"/>
      <c r="B39" s="242"/>
      <c r="C39" s="175"/>
      <c r="D39" s="175"/>
      <c r="E39" s="199"/>
      <c r="F39" s="180"/>
    </row>
    <row r="40" spans="1:6" ht="15.5">
      <c r="A40" s="193"/>
      <c r="B40" s="194" t="s">
        <v>720</v>
      </c>
      <c r="C40" s="195"/>
      <c r="D40" s="193"/>
      <c r="E40" s="196"/>
      <c r="F40" s="197">
        <f>SUM(F8:F39)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E9A8-FD98-4E79-A6DB-E08B82BCBE22}">
  <sheetPr codeName="Sheet11">
    <tabColor theme="9" tint="0.39997558519241921"/>
  </sheetPr>
  <dimension ref="A1:F36"/>
  <sheetViews>
    <sheetView showGridLines="0" workbookViewId="0">
      <selection activeCell="B40" sqref="B40"/>
    </sheetView>
  </sheetViews>
  <sheetFormatPr defaultColWidth="22.81640625" defaultRowHeight="14.5"/>
  <cols>
    <col min="1" max="1" width="3.81640625" bestFit="1" customWidth="1"/>
    <col min="2" max="2" width="49.7265625" customWidth="1"/>
    <col min="3" max="3" width="5.453125" bestFit="1" customWidth="1"/>
    <col min="4" max="4" width="5.26953125" bestFit="1" customWidth="1"/>
    <col min="5" max="5" width="9.90625" bestFit="1" customWidth="1"/>
    <col min="6" max="6" width="12.81640625" bestFit="1" customWidth="1"/>
  </cols>
  <sheetData>
    <row r="1" spans="1:6" ht="15.5">
      <c r="A1" s="524" t="s">
        <v>460</v>
      </c>
      <c r="B1" s="525"/>
      <c r="C1" s="525"/>
      <c r="D1" s="525"/>
      <c r="E1" s="525"/>
      <c r="F1" s="526"/>
    </row>
    <row r="2" spans="1:6" ht="15.5">
      <c r="A2" s="527" t="s">
        <v>461</v>
      </c>
      <c r="B2" s="528"/>
      <c r="C2" s="528"/>
      <c r="D2" s="528"/>
      <c r="E2" s="528"/>
      <c r="F2" s="529"/>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0" t="s">
        <v>721</v>
      </c>
      <c r="B6" s="171" t="s">
        <v>722</v>
      </c>
      <c r="C6" s="172"/>
      <c r="D6" s="172"/>
      <c r="E6" s="172"/>
      <c r="F6" s="172"/>
    </row>
    <row r="7" spans="1:6" ht="15.5">
      <c r="A7" s="173"/>
      <c r="B7" s="178"/>
      <c r="C7" s="175"/>
      <c r="D7" s="175"/>
      <c r="E7" s="176"/>
      <c r="F7" s="175"/>
    </row>
    <row r="8" spans="1:6" ht="15.5">
      <c r="A8" s="173">
        <v>1</v>
      </c>
      <c r="B8" s="257" t="s">
        <v>723</v>
      </c>
      <c r="C8" s="175" t="s">
        <v>487</v>
      </c>
      <c r="D8" s="175">
        <v>100</v>
      </c>
      <c r="E8" s="179">
        <v>0</v>
      </c>
      <c r="F8" s="200">
        <f>+E8*D8</f>
        <v>0</v>
      </c>
    </row>
    <row r="9" spans="1:6" ht="15.5">
      <c r="A9" s="173"/>
      <c r="B9" s="187"/>
      <c r="C9" s="258"/>
      <c r="D9" s="175"/>
      <c r="E9" s="179"/>
      <c r="F9" s="177"/>
    </row>
    <row r="10" spans="1:6" ht="31">
      <c r="A10" s="173">
        <v>2</v>
      </c>
      <c r="B10" s="257" t="s">
        <v>724</v>
      </c>
      <c r="C10" s="186" t="s">
        <v>468</v>
      </c>
      <c r="D10" s="175">
        <v>1</v>
      </c>
      <c r="E10" s="179">
        <v>0</v>
      </c>
      <c r="F10" s="200">
        <f>+E10*D10</f>
        <v>0</v>
      </c>
    </row>
    <row r="11" spans="1:6" ht="15.5">
      <c r="A11" s="173"/>
      <c r="B11" s="178"/>
      <c r="C11" s="258"/>
      <c r="D11" s="175"/>
      <c r="E11" s="179"/>
      <c r="F11" s="177"/>
    </row>
    <row r="12" spans="1:6" ht="31">
      <c r="A12" s="173">
        <v>3</v>
      </c>
      <c r="B12" s="257" t="s">
        <v>725</v>
      </c>
      <c r="C12" s="259" t="s">
        <v>726</v>
      </c>
      <c r="D12" s="175">
        <v>2</v>
      </c>
      <c r="E12" s="179">
        <v>0</v>
      </c>
      <c r="F12" s="200">
        <f>+E12*D12</f>
        <v>0</v>
      </c>
    </row>
    <row r="13" spans="1:6" ht="15.5">
      <c r="A13" s="173"/>
      <c r="B13" s="178"/>
      <c r="C13" s="258"/>
      <c r="D13" s="175"/>
      <c r="E13" s="179"/>
      <c r="F13" s="177"/>
    </row>
    <row r="14" spans="1:6" ht="46.5">
      <c r="A14" s="173">
        <v>4</v>
      </c>
      <c r="B14" s="242" t="s">
        <v>727</v>
      </c>
      <c r="C14" s="175" t="s">
        <v>487</v>
      </c>
      <c r="D14" s="175">
        <v>90</v>
      </c>
      <c r="E14" s="179">
        <v>0</v>
      </c>
      <c r="F14" s="200">
        <f>+E14*D14</f>
        <v>0</v>
      </c>
    </row>
    <row r="15" spans="1:6" ht="15.5">
      <c r="A15" s="173"/>
      <c r="B15" s="178"/>
      <c r="C15" s="258"/>
      <c r="D15" s="175"/>
      <c r="E15" s="179"/>
      <c r="F15" s="177"/>
    </row>
    <row r="16" spans="1:6" ht="31">
      <c r="A16" s="175">
        <f>+A14+1</f>
        <v>5</v>
      </c>
      <c r="B16" s="257" t="s">
        <v>728</v>
      </c>
      <c r="C16" s="186" t="s">
        <v>487</v>
      </c>
      <c r="D16" s="175">
        <v>5025</v>
      </c>
      <c r="E16" s="179">
        <v>0</v>
      </c>
      <c r="F16" s="260">
        <f>+E16*D16</f>
        <v>0</v>
      </c>
    </row>
    <row r="17" spans="1:6" ht="15.5">
      <c r="A17" s="175"/>
      <c r="B17" s="257"/>
      <c r="C17" s="186"/>
      <c r="D17" s="175"/>
      <c r="E17" s="199"/>
      <c r="F17" s="200"/>
    </row>
    <row r="18" spans="1:6" ht="31">
      <c r="A18" s="261">
        <v>5</v>
      </c>
      <c r="B18" s="262" t="s">
        <v>729</v>
      </c>
      <c r="C18" s="263" t="s">
        <v>711</v>
      </c>
      <c r="D18" s="261">
        <f>478+2</f>
        <v>480</v>
      </c>
      <c r="E18" s="179">
        <v>0</v>
      </c>
      <c r="F18" s="260">
        <f>+E18*D18</f>
        <v>0</v>
      </c>
    </row>
    <row r="19" spans="1:6" ht="15.5">
      <c r="A19" s="173"/>
      <c r="B19" s="178"/>
      <c r="C19" s="175"/>
      <c r="D19" s="175"/>
      <c r="E19" s="179"/>
      <c r="F19" s="177"/>
    </row>
    <row r="20" spans="1:6" ht="31">
      <c r="A20" s="173">
        <f>+A16+1</f>
        <v>6</v>
      </c>
      <c r="B20" s="257" t="s">
        <v>730</v>
      </c>
      <c r="C20" s="186" t="s">
        <v>487</v>
      </c>
      <c r="D20" s="175">
        <v>380</v>
      </c>
      <c r="E20" s="179">
        <v>0</v>
      </c>
      <c r="F20" s="260">
        <f>+E20*D20</f>
        <v>0</v>
      </c>
    </row>
    <row r="21" spans="1:6" ht="15.5">
      <c r="A21" s="173"/>
      <c r="B21" s="178"/>
      <c r="C21" s="175"/>
      <c r="D21" s="175"/>
      <c r="E21" s="179"/>
      <c r="F21" s="177"/>
    </row>
    <row r="22" spans="1:6" ht="93">
      <c r="A22" s="261">
        <v>7</v>
      </c>
      <c r="B22" s="262" t="s">
        <v>731</v>
      </c>
      <c r="C22" s="263" t="s">
        <v>711</v>
      </c>
      <c r="D22" s="261">
        <v>165</v>
      </c>
      <c r="E22" s="179">
        <v>0</v>
      </c>
      <c r="F22" s="260">
        <f>+E22*D22</f>
        <v>0</v>
      </c>
    </row>
    <row r="23" spans="1:6" ht="15.5">
      <c r="A23" s="173"/>
      <c r="B23" s="178"/>
      <c r="C23" s="175"/>
      <c r="D23" s="175"/>
      <c r="E23" s="179"/>
      <c r="F23" s="177"/>
    </row>
    <row r="24" spans="1:6" ht="155">
      <c r="A24" s="261">
        <v>8</v>
      </c>
      <c r="B24" s="262" t="s">
        <v>732</v>
      </c>
      <c r="C24" s="263" t="s">
        <v>711</v>
      </c>
      <c r="D24" s="261">
        <v>5</v>
      </c>
      <c r="E24" s="179">
        <v>0</v>
      </c>
      <c r="F24" s="260">
        <f>+E24*D24</f>
        <v>0</v>
      </c>
    </row>
    <row r="25" spans="1:6" ht="15.5">
      <c r="A25" s="173"/>
      <c r="B25" s="178"/>
      <c r="C25" s="175"/>
      <c r="D25" s="175"/>
      <c r="E25" s="179"/>
      <c r="F25" s="177"/>
    </row>
    <row r="26" spans="1:6" ht="31">
      <c r="A26" s="173">
        <v>9</v>
      </c>
      <c r="B26" s="174" t="s">
        <v>733</v>
      </c>
      <c r="C26" s="175" t="s">
        <v>487</v>
      </c>
      <c r="D26" s="175">
        <v>4</v>
      </c>
      <c r="E26" s="179">
        <v>0</v>
      </c>
      <c r="F26" s="200">
        <f>+E26*D26</f>
        <v>0</v>
      </c>
    </row>
    <row r="27" spans="1:6" ht="15.5">
      <c r="A27" s="173"/>
      <c r="B27" s="178"/>
      <c r="C27" s="175"/>
      <c r="D27" s="175"/>
      <c r="E27" s="179"/>
      <c r="F27" s="177"/>
    </row>
    <row r="28" spans="1:6" ht="77.5">
      <c r="A28" s="173">
        <f>+A26+1</f>
        <v>10</v>
      </c>
      <c r="B28" s="174" t="s">
        <v>734</v>
      </c>
      <c r="C28" s="175" t="s">
        <v>468</v>
      </c>
      <c r="D28" s="175">
        <v>4</v>
      </c>
      <c r="E28" s="179">
        <v>0</v>
      </c>
      <c r="F28" s="200">
        <f>+E28*D28</f>
        <v>0</v>
      </c>
    </row>
    <row r="29" spans="1:6" ht="15.5">
      <c r="A29" s="173"/>
      <c r="B29" s="178"/>
      <c r="C29" s="175"/>
      <c r="D29" s="175"/>
      <c r="E29" s="179"/>
      <c r="F29" s="177"/>
    </row>
    <row r="30" spans="1:6" ht="62">
      <c r="A30" s="173">
        <f>+A28+1</f>
        <v>11</v>
      </c>
      <c r="B30" s="174" t="s">
        <v>735</v>
      </c>
      <c r="C30" s="175" t="s">
        <v>468</v>
      </c>
      <c r="D30" s="175">
        <v>95</v>
      </c>
      <c r="E30" s="179">
        <v>0</v>
      </c>
      <c r="F30" s="200">
        <f>+E30*D30</f>
        <v>0</v>
      </c>
    </row>
    <row r="31" spans="1:6" ht="15.5">
      <c r="A31" s="173"/>
      <c r="B31" s="178"/>
      <c r="C31" s="175"/>
      <c r="D31" s="175"/>
      <c r="E31" s="179"/>
      <c r="F31" s="177"/>
    </row>
    <row r="32" spans="1:6" ht="93">
      <c r="A32" s="173">
        <f>+A30+1</f>
        <v>12</v>
      </c>
      <c r="B32" s="174" t="s">
        <v>736</v>
      </c>
      <c r="C32" s="175" t="s">
        <v>468</v>
      </c>
      <c r="D32" s="175">
        <v>1</v>
      </c>
      <c r="E32" s="179">
        <v>0</v>
      </c>
      <c r="F32" s="200">
        <f>+E32*D32</f>
        <v>0</v>
      </c>
    </row>
    <row r="33" spans="1:6" ht="15.5">
      <c r="A33" s="173"/>
      <c r="B33" s="178"/>
      <c r="C33" s="175"/>
      <c r="D33" s="175"/>
      <c r="E33" s="179"/>
      <c r="F33" s="177"/>
    </row>
    <row r="34" spans="1:6" ht="62">
      <c r="A34" s="173">
        <f>+A32+1</f>
        <v>13</v>
      </c>
      <c r="B34" s="174" t="s">
        <v>737</v>
      </c>
      <c r="C34" s="175" t="s">
        <v>468</v>
      </c>
      <c r="D34" s="175">
        <v>1</v>
      </c>
      <c r="E34" s="179">
        <v>0</v>
      </c>
      <c r="F34" s="200">
        <f>+E34*D34</f>
        <v>0</v>
      </c>
    </row>
    <row r="35" spans="1:6" ht="15.5">
      <c r="A35" s="173"/>
      <c r="B35" s="178"/>
      <c r="C35" s="175"/>
      <c r="D35" s="175"/>
      <c r="E35" s="199"/>
      <c r="F35" s="177"/>
    </row>
    <row r="36" spans="1:6" ht="31">
      <c r="A36" s="193"/>
      <c r="B36" s="194" t="s">
        <v>738</v>
      </c>
      <c r="C36" s="195"/>
      <c r="D36" s="193"/>
      <c r="E36" s="196"/>
      <c r="F36" s="197">
        <f>SUM(F8:F35)</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10C4-E361-43AF-A032-0B6DEC006583}">
  <sheetPr codeName="Sheet12">
    <tabColor theme="9" tint="0.39997558519241921"/>
  </sheetPr>
  <dimension ref="A1:F20"/>
  <sheetViews>
    <sheetView showGridLines="0" workbookViewId="0">
      <selection activeCell="G21" sqref="G21"/>
    </sheetView>
  </sheetViews>
  <sheetFormatPr defaultColWidth="64.90625" defaultRowHeight="14.5"/>
  <cols>
    <col min="1" max="1" width="3.81640625" bestFit="1" customWidth="1"/>
    <col min="2" max="2" width="64.7265625" bestFit="1" customWidth="1"/>
    <col min="3" max="3" width="5.453125" bestFit="1" customWidth="1"/>
    <col min="4" max="4" width="5.81640625" bestFit="1" customWidth="1"/>
    <col min="5" max="5" width="5.7265625" bestFit="1" customWidth="1"/>
    <col min="6" max="6" width="13.90625" bestFit="1" customWidth="1"/>
  </cols>
  <sheetData>
    <row r="1" spans="1:6" ht="15.5">
      <c r="A1" s="524" t="s">
        <v>460</v>
      </c>
      <c r="B1" s="525"/>
      <c r="C1" s="525"/>
      <c r="D1" s="525"/>
      <c r="E1" s="525"/>
      <c r="F1" s="526"/>
    </row>
    <row r="2" spans="1:6" ht="15.5">
      <c r="A2" s="527" t="s">
        <v>461</v>
      </c>
      <c r="B2" s="528"/>
      <c r="C2" s="528"/>
      <c r="D2" s="528"/>
      <c r="E2" s="528"/>
      <c r="F2" s="529"/>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0" t="s">
        <v>739</v>
      </c>
      <c r="B6" s="171" t="s">
        <v>740</v>
      </c>
      <c r="C6" s="172"/>
      <c r="D6" s="172"/>
      <c r="E6" s="172"/>
      <c r="F6" s="172"/>
    </row>
    <row r="7" spans="1:6">
      <c r="A7" s="264"/>
      <c r="B7" s="265" t="s">
        <v>741</v>
      </c>
      <c r="C7" s="266"/>
      <c r="D7" s="267"/>
      <c r="E7" s="268"/>
      <c r="F7" s="269"/>
    </row>
    <row r="8" spans="1:6" ht="72.5">
      <c r="A8" s="270">
        <v>3.1</v>
      </c>
      <c r="B8" s="271" t="s">
        <v>742</v>
      </c>
      <c r="C8" s="272"/>
      <c r="D8" s="273"/>
      <c r="E8" s="274"/>
      <c r="F8" s="275"/>
    </row>
    <row r="9" spans="1:6">
      <c r="A9" s="270" t="s">
        <v>321</v>
      </c>
      <c r="B9" s="276" t="s">
        <v>743</v>
      </c>
      <c r="C9" s="277" t="s">
        <v>744</v>
      </c>
      <c r="D9" s="277">
        <v>1500</v>
      </c>
      <c r="E9" s="274">
        <v>0</v>
      </c>
      <c r="F9" s="275">
        <f>D9*E9</f>
        <v>0</v>
      </c>
    </row>
    <row r="10" spans="1:6">
      <c r="A10" s="270" t="s">
        <v>324</v>
      </c>
      <c r="B10" s="276" t="s">
        <v>745</v>
      </c>
      <c r="C10" s="277" t="s">
        <v>744</v>
      </c>
      <c r="D10" s="277">
        <v>750</v>
      </c>
      <c r="E10" s="274">
        <v>0</v>
      </c>
      <c r="F10" s="275">
        <f>D10*E10</f>
        <v>0</v>
      </c>
    </row>
    <row r="11" spans="1:6">
      <c r="A11" s="278" t="s">
        <v>326</v>
      </c>
      <c r="B11" s="279" t="s">
        <v>746</v>
      </c>
      <c r="C11" s="280" t="s">
        <v>744</v>
      </c>
      <c r="D11" s="280" t="s">
        <v>15</v>
      </c>
      <c r="E11" s="281">
        <v>0</v>
      </c>
      <c r="F11" s="282"/>
    </row>
    <row r="12" spans="1:6">
      <c r="A12" s="278" t="s">
        <v>363</v>
      </c>
      <c r="B12" s="279" t="s">
        <v>747</v>
      </c>
      <c r="C12" s="280" t="s">
        <v>744</v>
      </c>
      <c r="D12" s="280" t="s">
        <v>15</v>
      </c>
      <c r="E12" s="281">
        <v>0</v>
      </c>
      <c r="F12" s="282"/>
    </row>
    <row r="13" spans="1:6">
      <c r="A13" s="278" t="s">
        <v>374</v>
      </c>
      <c r="B13" s="279" t="s">
        <v>748</v>
      </c>
      <c r="C13" s="280" t="s">
        <v>744</v>
      </c>
      <c r="D13" s="280" t="s">
        <v>15</v>
      </c>
      <c r="E13" s="281">
        <v>0</v>
      </c>
      <c r="F13" s="282"/>
    </row>
    <row r="14" spans="1:6">
      <c r="A14" s="278" t="s">
        <v>376</v>
      </c>
      <c r="B14" s="279" t="s">
        <v>749</v>
      </c>
      <c r="C14" s="280" t="s">
        <v>744</v>
      </c>
      <c r="D14" s="280" t="s">
        <v>15</v>
      </c>
      <c r="E14" s="281">
        <v>0</v>
      </c>
      <c r="F14" s="282"/>
    </row>
    <row r="15" spans="1:6">
      <c r="A15" s="270"/>
      <c r="B15" s="276"/>
      <c r="C15" s="277"/>
      <c r="D15" s="277"/>
      <c r="E15" s="274"/>
      <c r="F15" s="275"/>
    </row>
    <row r="16" spans="1:6" ht="58">
      <c r="A16" s="278">
        <v>3.2</v>
      </c>
      <c r="B16" s="279" t="s">
        <v>750</v>
      </c>
      <c r="C16" s="280" t="s">
        <v>744</v>
      </c>
      <c r="D16" s="280">
        <v>12100</v>
      </c>
      <c r="E16" s="281">
        <v>0</v>
      </c>
      <c r="F16" s="282">
        <f>D16*E16</f>
        <v>0</v>
      </c>
    </row>
    <row r="17" spans="1:6">
      <c r="A17" s="283"/>
      <c r="B17" s="284"/>
      <c r="C17" s="285"/>
      <c r="D17" s="285"/>
      <c r="E17" s="286"/>
      <c r="F17" s="269"/>
    </row>
    <row r="18" spans="1:6" ht="58">
      <c r="A18" s="278">
        <f>A16+0.1</f>
        <v>3.3000000000000003</v>
      </c>
      <c r="B18" s="279" t="s">
        <v>751</v>
      </c>
      <c r="C18" s="280" t="s">
        <v>744</v>
      </c>
      <c r="D18" s="280">
        <v>4378</v>
      </c>
      <c r="E18" s="281">
        <v>0</v>
      </c>
      <c r="F18" s="282">
        <f>D18*E18</f>
        <v>0</v>
      </c>
    </row>
    <row r="19" spans="1:6">
      <c r="A19" s="287"/>
      <c r="B19" s="288"/>
      <c r="C19" s="289"/>
      <c r="D19" s="290"/>
      <c r="E19" s="291"/>
      <c r="F19" s="292"/>
    </row>
    <row r="20" spans="1:6" ht="15.5">
      <c r="A20" s="193"/>
      <c r="B20" s="194" t="s">
        <v>752</v>
      </c>
      <c r="C20" s="195"/>
      <c r="D20" s="193"/>
      <c r="E20" s="196"/>
      <c r="F20" s="197">
        <f>SUM(F9:F19)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30BA-076C-44D9-8735-57C148009BB1}">
  <sheetPr codeName="Sheet13">
    <tabColor theme="9" tint="0.39997558519241921"/>
  </sheetPr>
  <dimension ref="A1:F10"/>
  <sheetViews>
    <sheetView showGridLines="0" workbookViewId="0">
      <selection activeCell="F10" sqref="F10"/>
    </sheetView>
  </sheetViews>
  <sheetFormatPr defaultColWidth="42" defaultRowHeight="14.5"/>
  <cols>
    <col min="1" max="1" width="3.81640625" bestFit="1" customWidth="1"/>
    <col min="2" max="2" width="44.7265625" bestFit="1" customWidth="1"/>
    <col min="3" max="3" width="5.453125" bestFit="1" customWidth="1"/>
    <col min="4" max="4" width="4.6328125" bestFit="1" customWidth="1"/>
    <col min="5" max="5" width="5.7265625" bestFit="1" customWidth="1"/>
    <col min="6" max="6" width="9.6328125" bestFit="1" customWidth="1"/>
  </cols>
  <sheetData>
    <row r="1" spans="1:6" ht="15.5">
      <c r="A1" s="524" t="s">
        <v>460</v>
      </c>
      <c r="B1" s="525"/>
      <c r="C1" s="525"/>
      <c r="D1" s="525"/>
      <c r="E1" s="525"/>
      <c r="F1" s="526"/>
    </row>
    <row r="2" spans="1:6" ht="15.5">
      <c r="A2" s="527" t="s">
        <v>461</v>
      </c>
      <c r="B2" s="528"/>
      <c r="C2" s="528"/>
      <c r="D2" s="528"/>
      <c r="E2" s="528"/>
      <c r="F2" s="529"/>
    </row>
    <row r="3" spans="1:6" ht="15.5">
      <c r="A3" s="516" t="s">
        <v>462</v>
      </c>
      <c r="B3" s="517"/>
      <c r="C3" s="517"/>
      <c r="D3" s="517"/>
      <c r="E3" s="517"/>
      <c r="F3" s="518"/>
    </row>
    <row r="4" spans="1:6" ht="15.5">
      <c r="A4" s="168" t="s">
        <v>463</v>
      </c>
      <c r="B4" s="169" t="s">
        <v>308</v>
      </c>
      <c r="C4" s="169" t="s">
        <v>6</v>
      </c>
      <c r="D4" s="169" t="s">
        <v>309</v>
      </c>
      <c r="E4" s="169" t="s">
        <v>8</v>
      </c>
      <c r="F4" s="169" t="s">
        <v>9</v>
      </c>
    </row>
    <row r="5" spans="1:6" ht="15.5">
      <c r="A5" s="175"/>
      <c r="B5" s="184"/>
      <c r="C5" s="188"/>
      <c r="D5" s="175"/>
      <c r="E5" s="189"/>
      <c r="F5" s="190"/>
    </row>
    <row r="6" spans="1:6" ht="15.5">
      <c r="A6" s="170" t="s">
        <v>753</v>
      </c>
      <c r="B6" s="171" t="s">
        <v>754</v>
      </c>
      <c r="C6" s="172"/>
      <c r="D6" s="172"/>
      <c r="E6" s="172"/>
      <c r="F6" s="172"/>
    </row>
    <row r="7" spans="1:6" ht="15.5">
      <c r="A7" s="201"/>
      <c r="B7" s="187"/>
      <c r="C7" s="259"/>
      <c r="D7" s="175"/>
      <c r="E7" s="199"/>
      <c r="F7" s="200"/>
    </row>
    <row r="8" spans="1:6" ht="279">
      <c r="A8" s="293">
        <v>11</v>
      </c>
      <c r="B8" s="294" t="s">
        <v>755</v>
      </c>
      <c r="C8" s="186" t="s">
        <v>756</v>
      </c>
      <c r="D8" s="175">
        <v>1</v>
      </c>
      <c r="E8" s="199">
        <v>0</v>
      </c>
      <c r="F8" s="200">
        <f>+E8*D8</f>
        <v>0</v>
      </c>
    </row>
    <row r="9" spans="1:6" ht="15.5">
      <c r="A9" s="201"/>
      <c r="B9" s="187"/>
      <c r="C9" s="259"/>
      <c r="D9" s="175"/>
      <c r="E9" s="199"/>
      <c r="F9" s="177"/>
    </row>
    <row r="10" spans="1:6" ht="15.5">
      <c r="A10" s="193"/>
      <c r="B10" s="194" t="s">
        <v>757</v>
      </c>
      <c r="C10" s="195"/>
      <c r="D10" s="193"/>
      <c r="E10" s="196"/>
      <c r="F10" s="197">
        <f>SUM(F8:F9)</f>
        <v>0</v>
      </c>
    </row>
  </sheetData>
  <mergeCells count="3">
    <mergeCell ref="A1:F1"/>
    <mergeCell ref="A2:F2"/>
    <mergeCell ref="A3:F3"/>
  </mergeCells>
  <pageMargins left="0.7" right="0.7" top="0.75" bottom="0.75" header="0.3" footer="0.3"/>
  <headerFooter>
    <oddHeader>&amp;R&amp;"Aptos"&amp;10&amp;K000000 Internal&amp;1#_x000D_</oddHeader>
    <oddFooter>&amp;L_x000D_&amp;1#&amp;"Aptos"&amp;10&amp;K000000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FC45A-345D-4E27-8656-9B335A0BDFAF}">
  <sheetPr codeName="Sheet14">
    <tabColor theme="3" tint="0.59999389629810485"/>
  </sheetPr>
  <dimension ref="A1:C5"/>
  <sheetViews>
    <sheetView showGridLines="0" workbookViewId="0">
      <selection activeCell="I30" sqref="I30"/>
    </sheetView>
  </sheetViews>
  <sheetFormatPr defaultRowHeight="14.5"/>
  <cols>
    <col min="1" max="1" width="8.81640625" bestFit="1" customWidth="1"/>
    <col min="2" max="2" width="36.26953125" bestFit="1" customWidth="1"/>
    <col min="3" max="3" width="7.6328125" bestFit="1" customWidth="1"/>
  </cols>
  <sheetData>
    <row r="1" spans="1:3">
      <c r="A1" s="297" t="s">
        <v>758</v>
      </c>
      <c r="B1" s="297" t="s">
        <v>295</v>
      </c>
      <c r="C1" s="297" t="s">
        <v>297</v>
      </c>
    </row>
    <row r="2" spans="1:3">
      <c r="A2" s="299" t="s">
        <v>464</v>
      </c>
      <c r="B2" s="300" t="s">
        <v>803</v>
      </c>
      <c r="C2" s="301">
        <f>CCTV!$F$32</f>
        <v>0</v>
      </c>
    </row>
    <row r="3" spans="1:3">
      <c r="A3" s="299" t="s">
        <v>298</v>
      </c>
      <c r="B3" s="300" t="s">
        <v>821</v>
      </c>
      <c r="C3" s="301">
        <f>PA!$F$26</f>
        <v>0</v>
      </c>
    </row>
    <row r="4" spans="1:3">
      <c r="A4" s="299" t="s">
        <v>301</v>
      </c>
      <c r="B4" s="300" t="s">
        <v>861</v>
      </c>
      <c r="C4" s="301">
        <f>'Access control'!$F$52</f>
        <v>0</v>
      </c>
    </row>
    <row r="5" spans="1:3">
      <c r="A5" s="303"/>
      <c r="B5" s="304" t="s">
        <v>291</v>
      </c>
      <c r="C5" s="305">
        <f>SUM(C2:C4)</f>
        <v>0</v>
      </c>
    </row>
  </sheetData>
  <pageMargins left="0.7" right="0.7" top="0.75" bottom="0.75" header="0.3" footer="0.3"/>
  <headerFooter>
    <oddHeader>&amp;R&amp;"Aptos"&amp;10&amp;K000000 Internal&amp;1#_x000D_</oddHeader>
    <oddFooter>&amp;L_x000D_&amp;1#&amp;"Aptos"&amp;10&amp;K000000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F885-0A40-414F-9D0B-D080D49D64F8}">
  <sheetPr codeName="Sheet15">
    <tabColor theme="3" tint="0.59999389629810485"/>
  </sheetPr>
  <dimension ref="A1:F32"/>
  <sheetViews>
    <sheetView showGridLines="0" topLeftCell="A13" zoomScaleNormal="100" zoomScaleSheetLayoutView="100" workbookViewId="0">
      <selection activeCell="G23" sqref="G23"/>
    </sheetView>
  </sheetViews>
  <sheetFormatPr defaultColWidth="9.1796875" defaultRowHeight="13.5"/>
  <cols>
    <col min="1" max="1" width="7.54296875" style="369" customWidth="1"/>
    <col min="2" max="2" width="54.54296875" style="370" customWidth="1"/>
    <col min="3" max="3" width="6.54296875" style="337" bestFit="1" customWidth="1"/>
    <col min="4" max="4" width="8" style="337" bestFit="1" customWidth="1"/>
    <col min="5" max="5" width="10.54296875" style="337" customWidth="1"/>
    <col min="6" max="6" width="12.81640625" style="337" customWidth="1"/>
    <col min="7" max="16384" width="9.1796875" style="337"/>
  </cols>
  <sheetData>
    <row r="1" spans="1:6" s="332" customFormat="1" ht="32.25" customHeight="1">
      <c r="A1" s="530" t="s">
        <v>766</v>
      </c>
      <c r="B1" s="531"/>
      <c r="C1" s="531"/>
      <c r="D1" s="531"/>
      <c r="E1" s="330"/>
      <c r="F1" s="331"/>
    </row>
    <row r="2" spans="1:6" s="332" customFormat="1" ht="27" customHeight="1">
      <c r="A2" s="532" t="s">
        <v>767</v>
      </c>
      <c r="B2" s="532"/>
      <c r="C2" s="532"/>
      <c r="D2" s="532"/>
      <c r="E2" s="533" t="str">
        <f>'[3]Summary Sheet'!C3</f>
        <v>R0 - 06.11.2025</v>
      </c>
      <c r="F2" s="534"/>
    </row>
    <row r="3" spans="1:6" ht="27">
      <c r="A3" s="333" t="s">
        <v>768</v>
      </c>
      <c r="B3" s="334" t="s">
        <v>769</v>
      </c>
      <c r="C3" s="335" t="s">
        <v>6</v>
      </c>
      <c r="D3" s="333" t="s">
        <v>770</v>
      </c>
      <c r="E3" s="336" t="s">
        <v>8</v>
      </c>
      <c r="F3" s="335" t="s">
        <v>771</v>
      </c>
    </row>
    <row r="4" spans="1:6">
      <c r="A4" s="338" t="s">
        <v>464</v>
      </c>
      <c r="B4" s="339" t="s">
        <v>772</v>
      </c>
      <c r="C4" s="340"/>
      <c r="D4" s="341"/>
      <c r="E4" s="342"/>
      <c r="F4" s="343"/>
    </row>
    <row r="5" spans="1:6" ht="40.5">
      <c r="A5" s="338"/>
      <c r="B5" s="344" t="s">
        <v>773</v>
      </c>
      <c r="C5" s="340"/>
      <c r="D5" s="341"/>
      <c r="E5" s="342"/>
      <c r="F5" s="343"/>
    </row>
    <row r="6" spans="1:6" ht="16.5" customHeight="1">
      <c r="A6" s="345">
        <v>1</v>
      </c>
      <c r="B6" s="346" t="s">
        <v>774</v>
      </c>
      <c r="C6" s="340"/>
      <c r="D6" s="341"/>
      <c r="E6" s="342"/>
    </row>
    <row r="7" spans="1:6" ht="81.75" customHeight="1">
      <c r="A7" s="345"/>
      <c r="B7" s="347" t="s">
        <v>775</v>
      </c>
      <c r="C7" s="348" t="s">
        <v>776</v>
      </c>
      <c r="D7" s="349">
        <f>[3]TOS!D7</f>
        <v>33</v>
      </c>
      <c r="E7" s="350">
        <v>0</v>
      </c>
      <c r="F7" s="351">
        <f>D7*E7</f>
        <v>0</v>
      </c>
    </row>
    <row r="8" spans="1:6" ht="29.25" customHeight="1">
      <c r="A8" s="345">
        <v>2</v>
      </c>
      <c r="B8" s="346" t="s">
        <v>777</v>
      </c>
      <c r="C8" s="352"/>
      <c r="D8" s="352"/>
      <c r="E8" s="352"/>
    </row>
    <row r="9" spans="1:6" ht="93" customHeight="1">
      <c r="A9" s="345"/>
      <c r="B9" s="347" t="s">
        <v>778</v>
      </c>
      <c r="C9" s="348" t="s">
        <v>776</v>
      </c>
      <c r="D9" s="349">
        <f>[3]TOS!D9</f>
        <v>4</v>
      </c>
      <c r="E9" s="350">
        <v>0</v>
      </c>
      <c r="F9" s="351">
        <f>D9*E9</f>
        <v>0</v>
      </c>
    </row>
    <row r="10" spans="1:6">
      <c r="A10" s="353">
        <v>3</v>
      </c>
      <c r="B10" s="354" t="s">
        <v>779</v>
      </c>
      <c r="C10" s="352"/>
      <c r="D10" s="352"/>
      <c r="E10" s="355"/>
    </row>
    <row r="11" spans="1:6" ht="159" customHeight="1">
      <c r="A11" s="345"/>
      <c r="B11" s="356" t="s">
        <v>780</v>
      </c>
      <c r="C11" s="357" t="s">
        <v>776</v>
      </c>
      <c r="D11" s="349">
        <f>[3]TOS!D11</f>
        <v>6</v>
      </c>
      <c r="E11" s="358">
        <v>0</v>
      </c>
      <c r="F11" s="359">
        <f>D11*E11</f>
        <v>0</v>
      </c>
    </row>
    <row r="12" spans="1:6" ht="18" customHeight="1">
      <c r="A12" s="345">
        <v>4.0999999999999996</v>
      </c>
      <c r="B12" s="346" t="s">
        <v>781</v>
      </c>
      <c r="C12" s="360"/>
      <c r="D12" s="352"/>
      <c r="E12" s="360"/>
    </row>
    <row r="13" spans="1:6" ht="169.5" customHeight="1">
      <c r="A13" s="345"/>
      <c r="B13" s="347" t="s">
        <v>782</v>
      </c>
      <c r="C13" s="348" t="s">
        <v>776</v>
      </c>
      <c r="D13" s="349">
        <f>[3]TOS!D13</f>
        <v>0</v>
      </c>
      <c r="E13" s="350">
        <v>0</v>
      </c>
      <c r="F13" s="351">
        <f>D13*E13</f>
        <v>0</v>
      </c>
    </row>
    <row r="14" spans="1:6">
      <c r="A14" s="345">
        <v>4.2</v>
      </c>
      <c r="B14" s="346" t="s">
        <v>783</v>
      </c>
      <c r="C14" s="352"/>
      <c r="D14" s="352"/>
      <c r="E14" s="352"/>
    </row>
    <row r="15" spans="1:6" ht="27">
      <c r="A15" s="345"/>
      <c r="B15" s="347" t="s">
        <v>784</v>
      </c>
      <c r="C15" s="348" t="s">
        <v>776</v>
      </c>
      <c r="D15" s="349">
        <f>[3]TOS!D15</f>
        <v>1</v>
      </c>
      <c r="E15" s="350">
        <v>0</v>
      </c>
      <c r="F15" s="351">
        <f>D15*E15</f>
        <v>0</v>
      </c>
    </row>
    <row r="16" spans="1:6">
      <c r="A16" s="345">
        <v>4.3</v>
      </c>
      <c r="B16" s="346" t="s">
        <v>785</v>
      </c>
      <c r="C16" s="352"/>
      <c r="D16" s="352"/>
      <c r="E16" s="352"/>
    </row>
    <row r="17" spans="1:6" ht="27">
      <c r="A17" s="345"/>
      <c r="B17" s="347" t="s">
        <v>786</v>
      </c>
      <c r="C17" s="348" t="s">
        <v>776</v>
      </c>
      <c r="D17" s="349">
        <f>[3]TOS!D17</f>
        <v>1</v>
      </c>
      <c r="E17" s="350">
        <v>0</v>
      </c>
      <c r="F17" s="351">
        <f>D17*E17</f>
        <v>0</v>
      </c>
    </row>
    <row r="18" spans="1:6">
      <c r="A18" s="345">
        <v>4.4000000000000004</v>
      </c>
      <c r="B18" s="346" t="s">
        <v>787</v>
      </c>
      <c r="C18" s="352"/>
      <c r="D18" s="352"/>
      <c r="E18" s="352"/>
    </row>
    <row r="19" spans="1:6">
      <c r="A19" s="345"/>
      <c r="B19" s="347" t="s">
        <v>788</v>
      </c>
      <c r="C19" s="348" t="s">
        <v>776</v>
      </c>
      <c r="D19" s="340" t="s">
        <v>15</v>
      </c>
      <c r="E19" s="350"/>
      <c r="F19" s="351"/>
    </row>
    <row r="20" spans="1:6">
      <c r="A20" s="345">
        <v>5</v>
      </c>
      <c r="B20" s="346" t="s">
        <v>789</v>
      </c>
      <c r="C20" s="352"/>
      <c r="D20" s="352"/>
      <c r="E20" s="352"/>
    </row>
    <row r="21" spans="1:6" ht="40.5">
      <c r="A21" s="345"/>
      <c r="B21" s="347" t="s">
        <v>790</v>
      </c>
      <c r="C21" s="348" t="s">
        <v>776</v>
      </c>
      <c r="D21" s="349">
        <f>[3]TOS!D21</f>
        <v>1</v>
      </c>
      <c r="E21" s="350">
        <v>0</v>
      </c>
      <c r="F21" s="351">
        <f>D21*E21</f>
        <v>0</v>
      </c>
    </row>
    <row r="22" spans="1:6">
      <c r="A22" s="345">
        <v>6</v>
      </c>
      <c r="B22" s="361" t="s">
        <v>791</v>
      </c>
      <c r="C22" s="352"/>
      <c r="D22" s="352"/>
      <c r="E22" s="352"/>
    </row>
    <row r="23" spans="1:6" ht="27">
      <c r="A23" s="345"/>
      <c r="B23" s="347" t="s">
        <v>792</v>
      </c>
      <c r="C23" s="348" t="s">
        <v>776</v>
      </c>
      <c r="D23" s="349">
        <f>[3]TOS!D23</f>
        <v>2</v>
      </c>
      <c r="E23" s="350">
        <v>0</v>
      </c>
      <c r="F23" s="351">
        <f>D23*E23</f>
        <v>0</v>
      </c>
    </row>
    <row r="24" spans="1:6" ht="28.5" customHeight="1">
      <c r="A24" s="345">
        <v>7.1</v>
      </c>
      <c r="B24" s="346" t="s">
        <v>793</v>
      </c>
      <c r="C24" s="352"/>
      <c r="D24" s="352"/>
      <c r="E24" s="352"/>
    </row>
    <row r="25" spans="1:6" ht="80.25" customHeight="1">
      <c r="A25" s="345"/>
      <c r="B25" s="347" t="s">
        <v>794</v>
      </c>
      <c r="C25" s="348" t="s">
        <v>776</v>
      </c>
      <c r="D25" s="349">
        <f>[3]TOS!D25</f>
        <v>2</v>
      </c>
      <c r="E25" s="350">
        <v>0</v>
      </c>
      <c r="F25" s="351">
        <f>D25*E25</f>
        <v>0</v>
      </c>
    </row>
    <row r="26" spans="1:6" ht="17.25" customHeight="1">
      <c r="A26" s="345">
        <v>7.2</v>
      </c>
      <c r="B26" s="346" t="s">
        <v>795</v>
      </c>
      <c r="C26" s="352"/>
      <c r="D26" s="352"/>
      <c r="E26" s="352"/>
    </row>
    <row r="27" spans="1:6" ht="21" customHeight="1">
      <c r="A27" s="345"/>
      <c r="B27" s="347" t="s">
        <v>796</v>
      </c>
      <c r="C27" s="348" t="s">
        <v>776</v>
      </c>
      <c r="D27" s="362">
        <v>0</v>
      </c>
      <c r="E27" s="350"/>
      <c r="F27" s="351"/>
    </row>
    <row r="28" spans="1:6" ht="16.5" customHeight="1">
      <c r="A28" s="345">
        <v>8</v>
      </c>
      <c r="B28" s="346" t="s">
        <v>797</v>
      </c>
      <c r="C28" s="352"/>
      <c r="D28" s="352"/>
      <c r="E28" s="352"/>
    </row>
    <row r="29" spans="1:6" ht="30" customHeight="1">
      <c r="A29" s="345"/>
      <c r="B29" s="347" t="s">
        <v>798</v>
      </c>
      <c r="C29" s="348" t="s">
        <v>799</v>
      </c>
      <c r="D29" s="349">
        <f>[3]TOS!D29</f>
        <v>3500</v>
      </c>
      <c r="E29" s="350">
        <v>0</v>
      </c>
      <c r="F29" s="351">
        <f>D29*E29</f>
        <v>0</v>
      </c>
    </row>
    <row r="30" spans="1:6" ht="17.25" customHeight="1">
      <c r="A30" s="345">
        <v>9</v>
      </c>
      <c r="B30" s="346" t="s">
        <v>800</v>
      </c>
      <c r="C30" s="348"/>
      <c r="D30" s="340"/>
      <c r="E30" s="350"/>
      <c r="F30" s="351"/>
    </row>
    <row r="31" spans="1:6" ht="33.75" customHeight="1">
      <c r="A31" s="337"/>
      <c r="B31" s="347" t="s">
        <v>801</v>
      </c>
      <c r="C31" s="348" t="s">
        <v>776</v>
      </c>
      <c r="D31" s="340" t="s">
        <v>15</v>
      </c>
      <c r="E31" s="350"/>
      <c r="F31" s="351"/>
    </row>
    <row r="32" spans="1:6">
      <c r="A32" s="363"/>
      <c r="B32" s="364" t="s">
        <v>802</v>
      </c>
      <c r="C32" s="365"/>
      <c r="D32" s="366"/>
      <c r="E32" s="367"/>
      <c r="F32" s="368">
        <f>SUM(F7:F31)</f>
        <v>0</v>
      </c>
    </row>
  </sheetData>
  <mergeCells count="3">
    <mergeCell ref="A1:D1"/>
    <mergeCell ref="A2:D2"/>
    <mergeCell ref="E2:F2"/>
  </mergeCells>
  <printOptions horizontalCentered="1"/>
  <pageMargins left="0.74803149606299213" right="0.74803149606299213" top="0.98425196850393704" bottom="0.98425196850393704" header="0.51181102362204722" footer="0.51181102362204722"/>
  <pageSetup paperSize="9" scale="87" fitToHeight="2" orientation="portrait" verticalDpi="300" r:id="rId1"/>
  <headerFooter alignWithMargins="0">
    <oddHeader>&amp;L&amp;G&amp;R&amp;"Aptos"&amp;10&amp;K000000 Internal&amp;1#_x000D_&amp;"Calibri"&amp;11&amp;K000000&amp;"Arialri"&amp;10&amp;K000000&amp;9VISION E M C PVT. LTD.&amp;10
&amp;8SERVICES CONSULTANT</oddHeader>
    <oddFooter>&amp;L&amp;8 1736-CINEPOLIS,K-MALL,JODHPUR\ SECURITY SYSTEM \ TENDER \ CCTV BOQ_x000D_&amp;1#&amp;"Aptos"&amp;10&amp;K000000 Internal&amp;R&amp;8CCTV - &amp;P</oddFooter>
  </headerFooter>
  <rowBreaks count="1" manualBreakCount="1">
    <brk id="19" max="5" man="1"/>
  </row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45F5-6C64-48A4-9AE1-C8B53FFAE5D1}">
  <sheetPr codeName="Sheet16">
    <tabColor theme="3" tint="0.59999389629810485"/>
  </sheetPr>
  <dimension ref="A1:F26"/>
  <sheetViews>
    <sheetView showGridLines="0" workbookViewId="0">
      <selection activeCell="B5" sqref="B5"/>
    </sheetView>
  </sheetViews>
  <sheetFormatPr defaultColWidth="9.1796875" defaultRowHeight="14.5"/>
  <cols>
    <col min="1" max="1" width="6.54296875" style="422" customWidth="1"/>
    <col min="2" max="2" width="50.54296875" style="371" customWidth="1"/>
    <col min="3" max="4" width="6.54296875" style="382" customWidth="1"/>
    <col min="5" max="5" width="10.1796875" style="423" customWidth="1"/>
    <col min="6" max="6" width="10.54296875" style="423" customWidth="1"/>
    <col min="7" max="8" width="9.1796875" style="382"/>
    <col min="9" max="9" width="13.81640625" style="382" customWidth="1"/>
    <col min="10" max="10" width="15.7265625" style="382" customWidth="1"/>
    <col min="11" max="256" width="9.1796875" style="382"/>
    <col min="257" max="257" width="6.54296875" style="382" customWidth="1"/>
    <col min="258" max="258" width="50.54296875" style="382" customWidth="1"/>
    <col min="259" max="260" width="6.54296875" style="382" customWidth="1"/>
    <col min="261" max="261" width="10.1796875" style="382" customWidth="1"/>
    <col min="262" max="262" width="10.54296875" style="382" customWidth="1"/>
    <col min="263" max="264" width="9.1796875" style="382"/>
    <col min="265" max="265" width="13.81640625" style="382" customWidth="1"/>
    <col min="266" max="266" width="15.7265625" style="382" customWidth="1"/>
    <col min="267" max="512" width="9.1796875" style="382"/>
    <col min="513" max="513" width="6.54296875" style="382" customWidth="1"/>
    <col min="514" max="514" width="50.54296875" style="382" customWidth="1"/>
    <col min="515" max="516" width="6.54296875" style="382" customWidth="1"/>
    <col min="517" max="517" width="10.1796875" style="382" customWidth="1"/>
    <col min="518" max="518" width="10.54296875" style="382" customWidth="1"/>
    <col min="519" max="520" width="9.1796875" style="382"/>
    <col min="521" max="521" width="13.81640625" style="382" customWidth="1"/>
    <col min="522" max="522" width="15.7265625" style="382" customWidth="1"/>
    <col min="523" max="768" width="9.1796875" style="382"/>
    <col min="769" max="769" width="6.54296875" style="382" customWidth="1"/>
    <col min="770" max="770" width="50.54296875" style="382" customWidth="1"/>
    <col min="771" max="772" width="6.54296875" style="382" customWidth="1"/>
    <col min="773" max="773" width="10.1796875" style="382" customWidth="1"/>
    <col min="774" max="774" width="10.54296875" style="382" customWidth="1"/>
    <col min="775" max="776" width="9.1796875" style="382"/>
    <col min="777" max="777" width="13.81640625" style="382" customWidth="1"/>
    <col min="778" max="778" width="15.7265625" style="382" customWidth="1"/>
    <col min="779" max="1024" width="9.1796875" style="382"/>
    <col min="1025" max="1025" width="6.54296875" style="382" customWidth="1"/>
    <col min="1026" max="1026" width="50.54296875" style="382" customWidth="1"/>
    <col min="1027" max="1028" width="6.54296875" style="382" customWidth="1"/>
    <col min="1029" max="1029" width="10.1796875" style="382" customWidth="1"/>
    <col min="1030" max="1030" width="10.54296875" style="382" customWidth="1"/>
    <col min="1031" max="1032" width="9.1796875" style="382"/>
    <col min="1033" max="1033" width="13.81640625" style="382" customWidth="1"/>
    <col min="1034" max="1034" width="15.7265625" style="382" customWidth="1"/>
    <col min="1035" max="1280" width="9.1796875" style="382"/>
    <col min="1281" max="1281" width="6.54296875" style="382" customWidth="1"/>
    <col min="1282" max="1282" width="50.54296875" style="382" customWidth="1"/>
    <col min="1283" max="1284" width="6.54296875" style="382" customWidth="1"/>
    <col min="1285" max="1285" width="10.1796875" style="382" customWidth="1"/>
    <col min="1286" max="1286" width="10.54296875" style="382" customWidth="1"/>
    <col min="1287" max="1288" width="9.1796875" style="382"/>
    <col min="1289" max="1289" width="13.81640625" style="382" customWidth="1"/>
    <col min="1290" max="1290" width="15.7265625" style="382" customWidth="1"/>
    <col min="1291" max="1536" width="9.1796875" style="382"/>
    <col min="1537" max="1537" width="6.54296875" style="382" customWidth="1"/>
    <col min="1538" max="1538" width="50.54296875" style="382" customWidth="1"/>
    <col min="1539" max="1540" width="6.54296875" style="382" customWidth="1"/>
    <col min="1541" max="1541" width="10.1796875" style="382" customWidth="1"/>
    <col min="1542" max="1542" width="10.54296875" style="382" customWidth="1"/>
    <col min="1543" max="1544" width="9.1796875" style="382"/>
    <col min="1545" max="1545" width="13.81640625" style="382" customWidth="1"/>
    <col min="1546" max="1546" width="15.7265625" style="382" customWidth="1"/>
    <col min="1547" max="1792" width="9.1796875" style="382"/>
    <col min="1793" max="1793" width="6.54296875" style="382" customWidth="1"/>
    <col min="1794" max="1794" width="50.54296875" style="382" customWidth="1"/>
    <col min="1795" max="1796" width="6.54296875" style="382" customWidth="1"/>
    <col min="1797" max="1797" width="10.1796875" style="382" customWidth="1"/>
    <col min="1798" max="1798" width="10.54296875" style="382" customWidth="1"/>
    <col min="1799" max="1800" width="9.1796875" style="382"/>
    <col min="1801" max="1801" width="13.81640625" style="382" customWidth="1"/>
    <col min="1802" max="1802" width="15.7265625" style="382" customWidth="1"/>
    <col min="1803" max="2048" width="9.1796875" style="382"/>
    <col min="2049" max="2049" width="6.54296875" style="382" customWidth="1"/>
    <col min="2050" max="2050" width="50.54296875" style="382" customWidth="1"/>
    <col min="2051" max="2052" width="6.54296875" style="382" customWidth="1"/>
    <col min="2053" max="2053" width="10.1796875" style="382" customWidth="1"/>
    <col min="2054" max="2054" width="10.54296875" style="382" customWidth="1"/>
    <col min="2055" max="2056" width="9.1796875" style="382"/>
    <col min="2057" max="2057" width="13.81640625" style="382" customWidth="1"/>
    <col min="2058" max="2058" width="15.7265625" style="382" customWidth="1"/>
    <col min="2059" max="2304" width="9.1796875" style="382"/>
    <col min="2305" max="2305" width="6.54296875" style="382" customWidth="1"/>
    <col min="2306" max="2306" width="50.54296875" style="382" customWidth="1"/>
    <col min="2307" max="2308" width="6.54296875" style="382" customWidth="1"/>
    <col min="2309" max="2309" width="10.1796875" style="382" customWidth="1"/>
    <col min="2310" max="2310" width="10.54296875" style="382" customWidth="1"/>
    <col min="2311" max="2312" width="9.1796875" style="382"/>
    <col min="2313" max="2313" width="13.81640625" style="382" customWidth="1"/>
    <col min="2314" max="2314" width="15.7265625" style="382" customWidth="1"/>
    <col min="2315" max="2560" width="9.1796875" style="382"/>
    <col min="2561" max="2561" width="6.54296875" style="382" customWidth="1"/>
    <col min="2562" max="2562" width="50.54296875" style="382" customWidth="1"/>
    <col min="2563" max="2564" width="6.54296875" style="382" customWidth="1"/>
    <col min="2565" max="2565" width="10.1796875" style="382" customWidth="1"/>
    <col min="2566" max="2566" width="10.54296875" style="382" customWidth="1"/>
    <col min="2567" max="2568" width="9.1796875" style="382"/>
    <col min="2569" max="2569" width="13.81640625" style="382" customWidth="1"/>
    <col min="2570" max="2570" width="15.7265625" style="382" customWidth="1"/>
    <col min="2571" max="2816" width="9.1796875" style="382"/>
    <col min="2817" max="2817" width="6.54296875" style="382" customWidth="1"/>
    <col min="2818" max="2818" width="50.54296875" style="382" customWidth="1"/>
    <col min="2819" max="2820" width="6.54296875" style="382" customWidth="1"/>
    <col min="2821" max="2821" width="10.1796875" style="382" customWidth="1"/>
    <col min="2822" max="2822" width="10.54296875" style="382" customWidth="1"/>
    <col min="2823" max="2824" width="9.1796875" style="382"/>
    <col min="2825" max="2825" width="13.81640625" style="382" customWidth="1"/>
    <col min="2826" max="2826" width="15.7265625" style="382" customWidth="1"/>
    <col min="2827" max="3072" width="9.1796875" style="382"/>
    <col min="3073" max="3073" width="6.54296875" style="382" customWidth="1"/>
    <col min="3074" max="3074" width="50.54296875" style="382" customWidth="1"/>
    <col min="3075" max="3076" width="6.54296875" style="382" customWidth="1"/>
    <col min="3077" max="3077" width="10.1796875" style="382" customWidth="1"/>
    <col min="3078" max="3078" width="10.54296875" style="382" customWidth="1"/>
    <col min="3079" max="3080" width="9.1796875" style="382"/>
    <col min="3081" max="3081" width="13.81640625" style="382" customWidth="1"/>
    <col min="3082" max="3082" width="15.7265625" style="382" customWidth="1"/>
    <col min="3083" max="3328" width="9.1796875" style="382"/>
    <col min="3329" max="3329" width="6.54296875" style="382" customWidth="1"/>
    <col min="3330" max="3330" width="50.54296875" style="382" customWidth="1"/>
    <col min="3331" max="3332" width="6.54296875" style="382" customWidth="1"/>
    <col min="3333" max="3333" width="10.1796875" style="382" customWidth="1"/>
    <col min="3334" max="3334" width="10.54296875" style="382" customWidth="1"/>
    <col min="3335" max="3336" width="9.1796875" style="382"/>
    <col min="3337" max="3337" width="13.81640625" style="382" customWidth="1"/>
    <col min="3338" max="3338" width="15.7265625" style="382" customWidth="1"/>
    <col min="3339" max="3584" width="9.1796875" style="382"/>
    <col min="3585" max="3585" width="6.54296875" style="382" customWidth="1"/>
    <col min="3586" max="3586" width="50.54296875" style="382" customWidth="1"/>
    <col min="3587" max="3588" width="6.54296875" style="382" customWidth="1"/>
    <col min="3589" max="3589" width="10.1796875" style="382" customWidth="1"/>
    <col min="3590" max="3590" width="10.54296875" style="382" customWidth="1"/>
    <col min="3591" max="3592" width="9.1796875" style="382"/>
    <col min="3593" max="3593" width="13.81640625" style="382" customWidth="1"/>
    <col min="3594" max="3594" width="15.7265625" style="382" customWidth="1"/>
    <col min="3595" max="3840" width="9.1796875" style="382"/>
    <col min="3841" max="3841" width="6.54296875" style="382" customWidth="1"/>
    <col min="3842" max="3842" width="50.54296875" style="382" customWidth="1"/>
    <col min="3843" max="3844" width="6.54296875" style="382" customWidth="1"/>
    <col min="3845" max="3845" width="10.1796875" style="382" customWidth="1"/>
    <col min="3846" max="3846" width="10.54296875" style="382" customWidth="1"/>
    <col min="3847" max="3848" width="9.1796875" style="382"/>
    <col min="3849" max="3849" width="13.81640625" style="382" customWidth="1"/>
    <col min="3850" max="3850" width="15.7265625" style="382" customWidth="1"/>
    <col min="3851" max="4096" width="9.1796875" style="382"/>
    <col min="4097" max="4097" width="6.54296875" style="382" customWidth="1"/>
    <col min="4098" max="4098" width="50.54296875" style="382" customWidth="1"/>
    <col min="4099" max="4100" width="6.54296875" style="382" customWidth="1"/>
    <col min="4101" max="4101" width="10.1796875" style="382" customWidth="1"/>
    <col min="4102" max="4102" width="10.54296875" style="382" customWidth="1"/>
    <col min="4103" max="4104" width="9.1796875" style="382"/>
    <col min="4105" max="4105" width="13.81640625" style="382" customWidth="1"/>
    <col min="4106" max="4106" width="15.7265625" style="382" customWidth="1"/>
    <col min="4107" max="4352" width="9.1796875" style="382"/>
    <col min="4353" max="4353" width="6.54296875" style="382" customWidth="1"/>
    <col min="4354" max="4354" width="50.54296875" style="382" customWidth="1"/>
    <col min="4355" max="4356" width="6.54296875" style="382" customWidth="1"/>
    <col min="4357" max="4357" width="10.1796875" style="382" customWidth="1"/>
    <col min="4358" max="4358" width="10.54296875" style="382" customWidth="1"/>
    <col min="4359" max="4360" width="9.1796875" style="382"/>
    <col min="4361" max="4361" width="13.81640625" style="382" customWidth="1"/>
    <col min="4362" max="4362" width="15.7265625" style="382" customWidth="1"/>
    <col min="4363" max="4608" width="9.1796875" style="382"/>
    <col min="4609" max="4609" width="6.54296875" style="382" customWidth="1"/>
    <col min="4610" max="4610" width="50.54296875" style="382" customWidth="1"/>
    <col min="4611" max="4612" width="6.54296875" style="382" customWidth="1"/>
    <col min="4613" max="4613" width="10.1796875" style="382" customWidth="1"/>
    <col min="4614" max="4614" width="10.54296875" style="382" customWidth="1"/>
    <col min="4615" max="4616" width="9.1796875" style="382"/>
    <col min="4617" max="4617" width="13.81640625" style="382" customWidth="1"/>
    <col min="4618" max="4618" width="15.7265625" style="382" customWidth="1"/>
    <col min="4619" max="4864" width="9.1796875" style="382"/>
    <col min="4865" max="4865" width="6.54296875" style="382" customWidth="1"/>
    <col min="4866" max="4866" width="50.54296875" style="382" customWidth="1"/>
    <col min="4867" max="4868" width="6.54296875" style="382" customWidth="1"/>
    <col min="4869" max="4869" width="10.1796875" style="382" customWidth="1"/>
    <col min="4870" max="4870" width="10.54296875" style="382" customWidth="1"/>
    <col min="4871" max="4872" width="9.1796875" style="382"/>
    <col min="4873" max="4873" width="13.81640625" style="382" customWidth="1"/>
    <col min="4874" max="4874" width="15.7265625" style="382" customWidth="1"/>
    <col min="4875" max="5120" width="9.1796875" style="382"/>
    <col min="5121" max="5121" width="6.54296875" style="382" customWidth="1"/>
    <col min="5122" max="5122" width="50.54296875" style="382" customWidth="1"/>
    <col min="5123" max="5124" width="6.54296875" style="382" customWidth="1"/>
    <col min="5125" max="5125" width="10.1796875" style="382" customWidth="1"/>
    <col min="5126" max="5126" width="10.54296875" style="382" customWidth="1"/>
    <col min="5127" max="5128" width="9.1796875" style="382"/>
    <col min="5129" max="5129" width="13.81640625" style="382" customWidth="1"/>
    <col min="5130" max="5130" width="15.7265625" style="382" customWidth="1"/>
    <col min="5131" max="5376" width="9.1796875" style="382"/>
    <col min="5377" max="5377" width="6.54296875" style="382" customWidth="1"/>
    <col min="5378" max="5378" width="50.54296875" style="382" customWidth="1"/>
    <col min="5379" max="5380" width="6.54296875" style="382" customWidth="1"/>
    <col min="5381" max="5381" width="10.1796875" style="382" customWidth="1"/>
    <col min="5382" max="5382" width="10.54296875" style="382" customWidth="1"/>
    <col min="5383" max="5384" width="9.1796875" style="382"/>
    <col min="5385" max="5385" width="13.81640625" style="382" customWidth="1"/>
    <col min="5386" max="5386" width="15.7265625" style="382" customWidth="1"/>
    <col min="5387" max="5632" width="9.1796875" style="382"/>
    <col min="5633" max="5633" width="6.54296875" style="382" customWidth="1"/>
    <col min="5634" max="5634" width="50.54296875" style="382" customWidth="1"/>
    <col min="5635" max="5636" width="6.54296875" style="382" customWidth="1"/>
    <col min="5637" max="5637" width="10.1796875" style="382" customWidth="1"/>
    <col min="5638" max="5638" width="10.54296875" style="382" customWidth="1"/>
    <col min="5639" max="5640" width="9.1796875" style="382"/>
    <col min="5641" max="5641" width="13.81640625" style="382" customWidth="1"/>
    <col min="5642" max="5642" width="15.7265625" style="382" customWidth="1"/>
    <col min="5643" max="5888" width="9.1796875" style="382"/>
    <col min="5889" max="5889" width="6.54296875" style="382" customWidth="1"/>
    <col min="5890" max="5890" width="50.54296875" style="382" customWidth="1"/>
    <col min="5891" max="5892" width="6.54296875" style="382" customWidth="1"/>
    <col min="5893" max="5893" width="10.1796875" style="382" customWidth="1"/>
    <col min="5894" max="5894" width="10.54296875" style="382" customWidth="1"/>
    <col min="5895" max="5896" width="9.1796875" style="382"/>
    <col min="5897" max="5897" width="13.81640625" style="382" customWidth="1"/>
    <col min="5898" max="5898" width="15.7265625" style="382" customWidth="1"/>
    <col min="5899" max="6144" width="9.1796875" style="382"/>
    <col min="6145" max="6145" width="6.54296875" style="382" customWidth="1"/>
    <col min="6146" max="6146" width="50.54296875" style="382" customWidth="1"/>
    <col min="6147" max="6148" width="6.54296875" style="382" customWidth="1"/>
    <col min="6149" max="6149" width="10.1796875" style="382" customWidth="1"/>
    <col min="6150" max="6150" width="10.54296875" style="382" customWidth="1"/>
    <col min="6151" max="6152" width="9.1796875" style="382"/>
    <col min="6153" max="6153" width="13.81640625" style="382" customWidth="1"/>
    <col min="6154" max="6154" width="15.7265625" style="382" customWidth="1"/>
    <col min="6155" max="6400" width="9.1796875" style="382"/>
    <col min="6401" max="6401" width="6.54296875" style="382" customWidth="1"/>
    <col min="6402" max="6402" width="50.54296875" style="382" customWidth="1"/>
    <col min="6403" max="6404" width="6.54296875" style="382" customWidth="1"/>
    <col min="6405" max="6405" width="10.1796875" style="382" customWidth="1"/>
    <col min="6406" max="6406" width="10.54296875" style="382" customWidth="1"/>
    <col min="6407" max="6408" width="9.1796875" style="382"/>
    <col min="6409" max="6409" width="13.81640625" style="382" customWidth="1"/>
    <col min="6410" max="6410" width="15.7265625" style="382" customWidth="1"/>
    <col min="6411" max="6656" width="9.1796875" style="382"/>
    <col min="6657" max="6657" width="6.54296875" style="382" customWidth="1"/>
    <col min="6658" max="6658" width="50.54296875" style="382" customWidth="1"/>
    <col min="6659" max="6660" width="6.54296875" style="382" customWidth="1"/>
    <col min="6661" max="6661" width="10.1796875" style="382" customWidth="1"/>
    <col min="6662" max="6662" width="10.54296875" style="382" customWidth="1"/>
    <col min="6663" max="6664" width="9.1796875" style="382"/>
    <col min="6665" max="6665" width="13.81640625" style="382" customWidth="1"/>
    <col min="6666" max="6666" width="15.7265625" style="382" customWidth="1"/>
    <col min="6667" max="6912" width="9.1796875" style="382"/>
    <col min="6913" max="6913" width="6.54296875" style="382" customWidth="1"/>
    <col min="6914" max="6914" width="50.54296875" style="382" customWidth="1"/>
    <col min="6915" max="6916" width="6.54296875" style="382" customWidth="1"/>
    <col min="6917" max="6917" width="10.1796875" style="382" customWidth="1"/>
    <col min="6918" max="6918" width="10.54296875" style="382" customWidth="1"/>
    <col min="6919" max="6920" width="9.1796875" style="382"/>
    <col min="6921" max="6921" width="13.81640625" style="382" customWidth="1"/>
    <col min="6922" max="6922" width="15.7265625" style="382" customWidth="1"/>
    <col min="6923" max="7168" width="9.1796875" style="382"/>
    <col min="7169" max="7169" width="6.54296875" style="382" customWidth="1"/>
    <col min="7170" max="7170" width="50.54296875" style="382" customWidth="1"/>
    <col min="7171" max="7172" width="6.54296875" style="382" customWidth="1"/>
    <col min="7173" max="7173" width="10.1796875" style="382" customWidth="1"/>
    <col min="7174" max="7174" width="10.54296875" style="382" customWidth="1"/>
    <col min="7175" max="7176" width="9.1796875" style="382"/>
    <col min="7177" max="7177" width="13.81640625" style="382" customWidth="1"/>
    <col min="7178" max="7178" width="15.7265625" style="382" customWidth="1"/>
    <col min="7179" max="7424" width="9.1796875" style="382"/>
    <col min="7425" max="7425" width="6.54296875" style="382" customWidth="1"/>
    <col min="7426" max="7426" width="50.54296875" style="382" customWidth="1"/>
    <col min="7427" max="7428" width="6.54296875" style="382" customWidth="1"/>
    <col min="7429" max="7429" width="10.1796875" style="382" customWidth="1"/>
    <col min="7430" max="7430" width="10.54296875" style="382" customWidth="1"/>
    <col min="7431" max="7432" width="9.1796875" style="382"/>
    <col min="7433" max="7433" width="13.81640625" style="382" customWidth="1"/>
    <col min="7434" max="7434" width="15.7265625" style="382" customWidth="1"/>
    <col min="7435" max="7680" width="9.1796875" style="382"/>
    <col min="7681" max="7681" width="6.54296875" style="382" customWidth="1"/>
    <col min="7682" max="7682" width="50.54296875" style="382" customWidth="1"/>
    <col min="7683" max="7684" width="6.54296875" style="382" customWidth="1"/>
    <col min="7685" max="7685" width="10.1796875" style="382" customWidth="1"/>
    <col min="7686" max="7686" width="10.54296875" style="382" customWidth="1"/>
    <col min="7687" max="7688" width="9.1796875" style="382"/>
    <col min="7689" max="7689" width="13.81640625" style="382" customWidth="1"/>
    <col min="7690" max="7690" width="15.7265625" style="382" customWidth="1"/>
    <col min="7691" max="7936" width="9.1796875" style="382"/>
    <col min="7937" max="7937" width="6.54296875" style="382" customWidth="1"/>
    <col min="7938" max="7938" width="50.54296875" style="382" customWidth="1"/>
    <col min="7939" max="7940" width="6.54296875" style="382" customWidth="1"/>
    <col min="7941" max="7941" width="10.1796875" style="382" customWidth="1"/>
    <col min="7942" max="7942" width="10.54296875" style="382" customWidth="1"/>
    <col min="7943" max="7944" width="9.1796875" style="382"/>
    <col min="7945" max="7945" width="13.81640625" style="382" customWidth="1"/>
    <col min="7946" max="7946" width="15.7265625" style="382" customWidth="1"/>
    <col min="7947" max="8192" width="9.1796875" style="382"/>
    <col min="8193" max="8193" width="6.54296875" style="382" customWidth="1"/>
    <col min="8194" max="8194" width="50.54296875" style="382" customWidth="1"/>
    <col min="8195" max="8196" width="6.54296875" style="382" customWidth="1"/>
    <col min="8197" max="8197" width="10.1796875" style="382" customWidth="1"/>
    <col min="8198" max="8198" width="10.54296875" style="382" customWidth="1"/>
    <col min="8199" max="8200" width="9.1796875" style="382"/>
    <col min="8201" max="8201" width="13.81640625" style="382" customWidth="1"/>
    <col min="8202" max="8202" width="15.7265625" style="382" customWidth="1"/>
    <col min="8203" max="8448" width="9.1796875" style="382"/>
    <col min="8449" max="8449" width="6.54296875" style="382" customWidth="1"/>
    <col min="8450" max="8450" width="50.54296875" style="382" customWidth="1"/>
    <col min="8451" max="8452" width="6.54296875" style="382" customWidth="1"/>
    <col min="8453" max="8453" width="10.1796875" style="382" customWidth="1"/>
    <col min="8454" max="8454" width="10.54296875" style="382" customWidth="1"/>
    <col min="8455" max="8456" width="9.1796875" style="382"/>
    <col min="8457" max="8457" width="13.81640625" style="382" customWidth="1"/>
    <col min="8458" max="8458" width="15.7265625" style="382" customWidth="1"/>
    <col min="8459" max="8704" width="9.1796875" style="382"/>
    <col min="8705" max="8705" width="6.54296875" style="382" customWidth="1"/>
    <col min="8706" max="8706" width="50.54296875" style="382" customWidth="1"/>
    <col min="8707" max="8708" width="6.54296875" style="382" customWidth="1"/>
    <col min="8709" max="8709" width="10.1796875" style="382" customWidth="1"/>
    <col min="8710" max="8710" width="10.54296875" style="382" customWidth="1"/>
    <col min="8711" max="8712" width="9.1796875" style="382"/>
    <col min="8713" max="8713" width="13.81640625" style="382" customWidth="1"/>
    <col min="8714" max="8714" width="15.7265625" style="382" customWidth="1"/>
    <col min="8715" max="8960" width="9.1796875" style="382"/>
    <col min="8961" max="8961" width="6.54296875" style="382" customWidth="1"/>
    <col min="8962" max="8962" width="50.54296875" style="382" customWidth="1"/>
    <col min="8963" max="8964" width="6.54296875" style="382" customWidth="1"/>
    <col min="8965" max="8965" width="10.1796875" style="382" customWidth="1"/>
    <col min="8966" max="8966" width="10.54296875" style="382" customWidth="1"/>
    <col min="8967" max="8968" width="9.1796875" style="382"/>
    <col min="8969" max="8969" width="13.81640625" style="382" customWidth="1"/>
    <col min="8970" max="8970" width="15.7265625" style="382" customWidth="1"/>
    <col min="8971" max="9216" width="9.1796875" style="382"/>
    <col min="9217" max="9217" width="6.54296875" style="382" customWidth="1"/>
    <col min="9218" max="9218" width="50.54296875" style="382" customWidth="1"/>
    <col min="9219" max="9220" width="6.54296875" style="382" customWidth="1"/>
    <col min="9221" max="9221" width="10.1796875" style="382" customWidth="1"/>
    <col min="9222" max="9222" width="10.54296875" style="382" customWidth="1"/>
    <col min="9223" max="9224" width="9.1796875" style="382"/>
    <col min="9225" max="9225" width="13.81640625" style="382" customWidth="1"/>
    <col min="9226" max="9226" width="15.7265625" style="382" customWidth="1"/>
    <col min="9227" max="9472" width="9.1796875" style="382"/>
    <col min="9473" max="9473" width="6.54296875" style="382" customWidth="1"/>
    <col min="9474" max="9474" width="50.54296875" style="382" customWidth="1"/>
    <col min="9475" max="9476" width="6.54296875" style="382" customWidth="1"/>
    <col min="9477" max="9477" width="10.1796875" style="382" customWidth="1"/>
    <col min="9478" max="9478" width="10.54296875" style="382" customWidth="1"/>
    <col min="9479" max="9480" width="9.1796875" style="382"/>
    <col min="9481" max="9481" width="13.81640625" style="382" customWidth="1"/>
    <col min="9482" max="9482" width="15.7265625" style="382" customWidth="1"/>
    <col min="9483" max="9728" width="9.1796875" style="382"/>
    <col min="9729" max="9729" width="6.54296875" style="382" customWidth="1"/>
    <col min="9730" max="9730" width="50.54296875" style="382" customWidth="1"/>
    <col min="9731" max="9732" width="6.54296875" style="382" customWidth="1"/>
    <col min="9733" max="9733" width="10.1796875" style="382" customWidth="1"/>
    <col min="9734" max="9734" width="10.54296875" style="382" customWidth="1"/>
    <col min="9735" max="9736" width="9.1796875" style="382"/>
    <col min="9737" max="9737" width="13.81640625" style="382" customWidth="1"/>
    <col min="9738" max="9738" width="15.7265625" style="382" customWidth="1"/>
    <col min="9739" max="9984" width="9.1796875" style="382"/>
    <col min="9985" max="9985" width="6.54296875" style="382" customWidth="1"/>
    <col min="9986" max="9986" width="50.54296875" style="382" customWidth="1"/>
    <col min="9987" max="9988" width="6.54296875" style="382" customWidth="1"/>
    <col min="9989" max="9989" width="10.1796875" style="382" customWidth="1"/>
    <col min="9990" max="9990" width="10.54296875" style="382" customWidth="1"/>
    <col min="9991" max="9992" width="9.1796875" style="382"/>
    <col min="9993" max="9993" width="13.81640625" style="382" customWidth="1"/>
    <col min="9994" max="9994" width="15.7265625" style="382" customWidth="1"/>
    <col min="9995" max="10240" width="9.1796875" style="382"/>
    <col min="10241" max="10241" width="6.54296875" style="382" customWidth="1"/>
    <col min="10242" max="10242" width="50.54296875" style="382" customWidth="1"/>
    <col min="10243" max="10244" width="6.54296875" style="382" customWidth="1"/>
    <col min="10245" max="10245" width="10.1796875" style="382" customWidth="1"/>
    <col min="10246" max="10246" width="10.54296875" style="382" customWidth="1"/>
    <col min="10247" max="10248" width="9.1796875" style="382"/>
    <col min="10249" max="10249" width="13.81640625" style="382" customWidth="1"/>
    <col min="10250" max="10250" width="15.7265625" style="382" customWidth="1"/>
    <col min="10251" max="10496" width="9.1796875" style="382"/>
    <col min="10497" max="10497" width="6.54296875" style="382" customWidth="1"/>
    <col min="10498" max="10498" width="50.54296875" style="382" customWidth="1"/>
    <col min="10499" max="10500" width="6.54296875" style="382" customWidth="1"/>
    <col min="10501" max="10501" width="10.1796875" style="382" customWidth="1"/>
    <col min="10502" max="10502" width="10.54296875" style="382" customWidth="1"/>
    <col min="10503" max="10504" width="9.1796875" style="382"/>
    <col min="10505" max="10505" width="13.81640625" style="382" customWidth="1"/>
    <col min="10506" max="10506" width="15.7265625" style="382" customWidth="1"/>
    <col min="10507" max="10752" width="9.1796875" style="382"/>
    <col min="10753" max="10753" width="6.54296875" style="382" customWidth="1"/>
    <col min="10754" max="10754" width="50.54296875" style="382" customWidth="1"/>
    <col min="10755" max="10756" width="6.54296875" style="382" customWidth="1"/>
    <col min="10757" max="10757" width="10.1796875" style="382" customWidth="1"/>
    <col min="10758" max="10758" width="10.54296875" style="382" customWidth="1"/>
    <col min="10759" max="10760" width="9.1796875" style="382"/>
    <col min="10761" max="10761" width="13.81640625" style="382" customWidth="1"/>
    <col min="10762" max="10762" width="15.7265625" style="382" customWidth="1"/>
    <col min="10763" max="11008" width="9.1796875" style="382"/>
    <col min="11009" max="11009" width="6.54296875" style="382" customWidth="1"/>
    <col min="11010" max="11010" width="50.54296875" style="382" customWidth="1"/>
    <col min="11011" max="11012" width="6.54296875" style="382" customWidth="1"/>
    <col min="11013" max="11013" width="10.1796875" style="382" customWidth="1"/>
    <col min="11014" max="11014" width="10.54296875" style="382" customWidth="1"/>
    <col min="11015" max="11016" width="9.1796875" style="382"/>
    <col min="11017" max="11017" width="13.81640625" style="382" customWidth="1"/>
    <col min="11018" max="11018" width="15.7265625" style="382" customWidth="1"/>
    <col min="11019" max="11264" width="9.1796875" style="382"/>
    <col min="11265" max="11265" width="6.54296875" style="382" customWidth="1"/>
    <col min="11266" max="11266" width="50.54296875" style="382" customWidth="1"/>
    <col min="11267" max="11268" width="6.54296875" style="382" customWidth="1"/>
    <col min="11269" max="11269" width="10.1796875" style="382" customWidth="1"/>
    <col min="11270" max="11270" width="10.54296875" style="382" customWidth="1"/>
    <col min="11271" max="11272" width="9.1796875" style="382"/>
    <col min="11273" max="11273" width="13.81640625" style="382" customWidth="1"/>
    <col min="11274" max="11274" width="15.7265625" style="382" customWidth="1"/>
    <col min="11275" max="11520" width="9.1796875" style="382"/>
    <col min="11521" max="11521" width="6.54296875" style="382" customWidth="1"/>
    <col min="11522" max="11522" width="50.54296875" style="382" customWidth="1"/>
    <col min="11523" max="11524" width="6.54296875" style="382" customWidth="1"/>
    <col min="11525" max="11525" width="10.1796875" style="382" customWidth="1"/>
    <col min="11526" max="11526" width="10.54296875" style="382" customWidth="1"/>
    <col min="11527" max="11528" width="9.1796875" style="382"/>
    <col min="11529" max="11529" width="13.81640625" style="382" customWidth="1"/>
    <col min="11530" max="11530" width="15.7265625" style="382" customWidth="1"/>
    <col min="11531" max="11776" width="9.1796875" style="382"/>
    <col min="11777" max="11777" width="6.54296875" style="382" customWidth="1"/>
    <col min="11778" max="11778" width="50.54296875" style="382" customWidth="1"/>
    <col min="11779" max="11780" width="6.54296875" style="382" customWidth="1"/>
    <col min="11781" max="11781" width="10.1796875" style="382" customWidth="1"/>
    <col min="11782" max="11782" width="10.54296875" style="382" customWidth="1"/>
    <col min="11783" max="11784" width="9.1796875" style="382"/>
    <col min="11785" max="11785" width="13.81640625" style="382" customWidth="1"/>
    <col min="11786" max="11786" width="15.7265625" style="382" customWidth="1"/>
    <col min="11787" max="12032" width="9.1796875" style="382"/>
    <col min="12033" max="12033" width="6.54296875" style="382" customWidth="1"/>
    <col min="12034" max="12034" width="50.54296875" style="382" customWidth="1"/>
    <col min="12035" max="12036" width="6.54296875" style="382" customWidth="1"/>
    <col min="12037" max="12037" width="10.1796875" style="382" customWidth="1"/>
    <col min="12038" max="12038" width="10.54296875" style="382" customWidth="1"/>
    <col min="12039" max="12040" width="9.1796875" style="382"/>
    <col min="12041" max="12041" width="13.81640625" style="382" customWidth="1"/>
    <col min="12042" max="12042" width="15.7265625" style="382" customWidth="1"/>
    <col min="12043" max="12288" width="9.1796875" style="382"/>
    <col min="12289" max="12289" width="6.54296875" style="382" customWidth="1"/>
    <col min="12290" max="12290" width="50.54296875" style="382" customWidth="1"/>
    <col min="12291" max="12292" width="6.54296875" style="382" customWidth="1"/>
    <col min="12293" max="12293" width="10.1796875" style="382" customWidth="1"/>
    <col min="12294" max="12294" width="10.54296875" style="382" customWidth="1"/>
    <col min="12295" max="12296" width="9.1796875" style="382"/>
    <col min="12297" max="12297" width="13.81640625" style="382" customWidth="1"/>
    <col min="12298" max="12298" width="15.7265625" style="382" customWidth="1"/>
    <col min="12299" max="12544" width="9.1796875" style="382"/>
    <col min="12545" max="12545" width="6.54296875" style="382" customWidth="1"/>
    <col min="12546" max="12546" width="50.54296875" style="382" customWidth="1"/>
    <col min="12547" max="12548" width="6.54296875" style="382" customWidth="1"/>
    <col min="12549" max="12549" width="10.1796875" style="382" customWidth="1"/>
    <col min="12550" max="12550" width="10.54296875" style="382" customWidth="1"/>
    <col min="12551" max="12552" width="9.1796875" style="382"/>
    <col min="12553" max="12553" width="13.81640625" style="382" customWidth="1"/>
    <col min="12554" max="12554" width="15.7265625" style="382" customWidth="1"/>
    <col min="12555" max="12800" width="9.1796875" style="382"/>
    <col min="12801" max="12801" width="6.54296875" style="382" customWidth="1"/>
    <col min="12802" max="12802" width="50.54296875" style="382" customWidth="1"/>
    <col min="12803" max="12804" width="6.54296875" style="382" customWidth="1"/>
    <col min="12805" max="12805" width="10.1796875" style="382" customWidth="1"/>
    <col min="12806" max="12806" width="10.54296875" style="382" customWidth="1"/>
    <col min="12807" max="12808" width="9.1796875" style="382"/>
    <col min="12809" max="12809" width="13.81640625" style="382" customWidth="1"/>
    <col min="12810" max="12810" width="15.7265625" style="382" customWidth="1"/>
    <col min="12811" max="13056" width="9.1796875" style="382"/>
    <col min="13057" max="13057" width="6.54296875" style="382" customWidth="1"/>
    <col min="13058" max="13058" width="50.54296875" style="382" customWidth="1"/>
    <col min="13059" max="13060" width="6.54296875" style="382" customWidth="1"/>
    <col min="13061" max="13061" width="10.1796875" style="382" customWidth="1"/>
    <col min="13062" max="13062" width="10.54296875" style="382" customWidth="1"/>
    <col min="13063" max="13064" width="9.1796875" style="382"/>
    <col min="13065" max="13065" width="13.81640625" style="382" customWidth="1"/>
    <col min="13066" max="13066" width="15.7265625" style="382" customWidth="1"/>
    <col min="13067" max="13312" width="9.1796875" style="382"/>
    <col min="13313" max="13313" width="6.54296875" style="382" customWidth="1"/>
    <col min="13314" max="13314" width="50.54296875" style="382" customWidth="1"/>
    <col min="13315" max="13316" width="6.54296875" style="382" customWidth="1"/>
    <col min="13317" max="13317" width="10.1796875" style="382" customWidth="1"/>
    <col min="13318" max="13318" width="10.54296875" style="382" customWidth="1"/>
    <col min="13319" max="13320" width="9.1796875" style="382"/>
    <col min="13321" max="13321" width="13.81640625" style="382" customWidth="1"/>
    <col min="13322" max="13322" width="15.7265625" style="382" customWidth="1"/>
    <col min="13323" max="13568" width="9.1796875" style="382"/>
    <col min="13569" max="13569" width="6.54296875" style="382" customWidth="1"/>
    <col min="13570" max="13570" width="50.54296875" style="382" customWidth="1"/>
    <col min="13571" max="13572" width="6.54296875" style="382" customWidth="1"/>
    <col min="13573" max="13573" width="10.1796875" style="382" customWidth="1"/>
    <col min="13574" max="13574" width="10.54296875" style="382" customWidth="1"/>
    <col min="13575" max="13576" width="9.1796875" style="382"/>
    <col min="13577" max="13577" width="13.81640625" style="382" customWidth="1"/>
    <col min="13578" max="13578" width="15.7265625" style="382" customWidth="1"/>
    <col min="13579" max="13824" width="9.1796875" style="382"/>
    <col min="13825" max="13825" width="6.54296875" style="382" customWidth="1"/>
    <col min="13826" max="13826" width="50.54296875" style="382" customWidth="1"/>
    <col min="13827" max="13828" width="6.54296875" style="382" customWidth="1"/>
    <col min="13829" max="13829" width="10.1796875" style="382" customWidth="1"/>
    <col min="13830" max="13830" width="10.54296875" style="382" customWidth="1"/>
    <col min="13831" max="13832" width="9.1796875" style="382"/>
    <col min="13833" max="13833" width="13.81640625" style="382" customWidth="1"/>
    <col min="13834" max="13834" width="15.7265625" style="382" customWidth="1"/>
    <col min="13835" max="14080" width="9.1796875" style="382"/>
    <col min="14081" max="14081" width="6.54296875" style="382" customWidth="1"/>
    <col min="14082" max="14082" width="50.54296875" style="382" customWidth="1"/>
    <col min="14083" max="14084" width="6.54296875" style="382" customWidth="1"/>
    <col min="14085" max="14085" width="10.1796875" style="382" customWidth="1"/>
    <col min="14086" max="14086" width="10.54296875" style="382" customWidth="1"/>
    <col min="14087" max="14088" width="9.1796875" style="382"/>
    <col min="14089" max="14089" width="13.81640625" style="382" customWidth="1"/>
    <col min="14090" max="14090" width="15.7265625" style="382" customWidth="1"/>
    <col min="14091" max="14336" width="9.1796875" style="382"/>
    <col min="14337" max="14337" width="6.54296875" style="382" customWidth="1"/>
    <col min="14338" max="14338" width="50.54296875" style="382" customWidth="1"/>
    <col min="14339" max="14340" width="6.54296875" style="382" customWidth="1"/>
    <col min="14341" max="14341" width="10.1796875" style="382" customWidth="1"/>
    <col min="14342" max="14342" width="10.54296875" style="382" customWidth="1"/>
    <col min="14343" max="14344" width="9.1796875" style="382"/>
    <col min="14345" max="14345" width="13.81640625" style="382" customWidth="1"/>
    <col min="14346" max="14346" width="15.7265625" style="382" customWidth="1"/>
    <col min="14347" max="14592" width="9.1796875" style="382"/>
    <col min="14593" max="14593" width="6.54296875" style="382" customWidth="1"/>
    <col min="14594" max="14594" width="50.54296875" style="382" customWidth="1"/>
    <col min="14595" max="14596" width="6.54296875" style="382" customWidth="1"/>
    <col min="14597" max="14597" width="10.1796875" style="382" customWidth="1"/>
    <col min="14598" max="14598" width="10.54296875" style="382" customWidth="1"/>
    <col min="14599" max="14600" width="9.1796875" style="382"/>
    <col min="14601" max="14601" width="13.81640625" style="382" customWidth="1"/>
    <col min="14602" max="14602" width="15.7265625" style="382" customWidth="1"/>
    <col min="14603" max="14848" width="9.1796875" style="382"/>
    <col min="14849" max="14849" width="6.54296875" style="382" customWidth="1"/>
    <col min="14850" max="14850" width="50.54296875" style="382" customWidth="1"/>
    <col min="14851" max="14852" width="6.54296875" style="382" customWidth="1"/>
    <col min="14853" max="14853" width="10.1796875" style="382" customWidth="1"/>
    <col min="14854" max="14854" width="10.54296875" style="382" customWidth="1"/>
    <col min="14855" max="14856" width="9.1796875" style="382"/>
    <col min="14857" max="14857" width="13.81640625" style="382" customWidth="1"/>
    <col min="14858" max="14858" width="15.7265625" style="382" customWidth="1"/>
    <col min="14859" max="15104" width="9.1796875" style="382"/>
    <col min="15105" max="15105" width="6.54296875" style="382" customWidth="1"/>
    <col min="15106" max="15106" width="50.54296875" style="382" customWidth="1"/>
    <col min="15107" max="15108" width="6.54296875" style="382" customWidth="1"/>
    <col min="15109" max="15109" width="10.1796875" style="382" customWidth="1"/>
    <col min="15110" max="15110" width="10.54296875" style="382" customWidth="1"/>
    <col min="15111" max="15112" width="9.1796875" style="382"/>
    <col min="15113" max="15113" width="13.81640625" style="382" customWidth="1"/>
    <col min="15114" max="15114" width="15.7265625" style="382" customWidth="1"/>
    <col min="15115" max="15360" width="9.1796875" style="382"/>
    <col min="15361" max="15361" width="6.54296875" style="382" customWidth="1"/>
    <col min="15362" max="15362" width="50.54296875" style="382" customWidth="1"/>
    <col min="15363" max="15364" width="6.54296875" style="382" customWidth="1"/>
    <col min="15365" max="15365" width="10.1796875" style="382" customWidth="1"/>
    <col min="15366" max="15366" width="10.54296875" style="382" customWidth="1"/>
    <col min="15367" max="15368" width="9.1796875" style="382"/>
    <col min="15369" max="15369" width="13.81640625" style="382" customWidth="1"/>
    <col min="15370" max="15370" width="15.7265625" style="382" customWidth="1"/>
    <col min="15371" max="15616" width="9.1796875" style="382"/>
    <col min="15617" max="15617" width="6.54296875" style="382" customWidth="1"/>
    <col min="15618" max="15618" width="50.54296875" style="382" customWidth="1"/>
    <col min="15619" max="15620" width="6.54296875" style="382" customWidth="1"/>
    <col min="15621" max="15621" width="10.1796875" style="382" customWidth="1"/>
    <col min="15622" max="15622" width="10.54296875" style="382" customWidth="1"/>
    <col min="15623" max="15624" width="9.1796875" style="382"/>
    <col min="15625" max="15625" width="13.81640625" style="382" customWidth="1"/>
    <col min="15626" max="15626" width="15.7265625" style="382" customWidth="1"/>
    <col min="15627" max="15872" width="9.1796875" style="382"/>
    <col min="15873" max="15873" width="6.54296875" style="382" customWidth="1"/>
    <col min="15874" max="15874" width="50.54296875" style="382" customWidth="1"/>
    <col min="15875" max="15876" width="6.54296875" style="382" customWidth="1"/>
    <col min="15877" max="15877" width="10.1796875" style="382" customWidth="1"/>
    <col min="15878" max="15878" width="10.54296875" style="382" customWidth="1"/>
    <col min="15879" max="15880" width="9.1796875" style="382"/>
    <col min="15881" max="15881" width="13.81640625" style="382" customWidth="1"/>
    <col min="15882" max="15882" width="15.7265625" style="382" customWidth="1"/>
    <col min="15883" max="16128" width="9.1796875" style="382"/>
    <col min="16129" max="16129" width="6.54296875" style="382" customWidth="1"/>
    <col min="16130" max="16130" width="50.54296875" style="382" customWidth="1"/>
    <col min="16131" max="16132" width="6.54296875" style="382" customWidth="1"/>
    <col min="16133" max="16133" width="10.1796875" style="382" customWidth="1"/>
    <col min="16134" max="16134" width="10.54296875" style="382" customWidth="1"/>
    <col min="16135" max="16136" width="9.1796875" style="382"/>
    <col min="16137" max="16137" width="13.81640625" style="382" customWidth="1"/>
    <col min="16138" max="16138" width="15.7265625" style="382" customWidth="1"/>
    <col min="16139" max="16384" width="9.1796875" style="382"/>
  </cols>
  <sheetData>
    <row r="1" spans="1:6" s="371" customFormat="1" ht="15.5">
      <c r="A1" s="535" t="s">
        <v>460</v>
      </c>
      <c r="B1" s="536"/>
      <c r="C1" s="536"/>
      <c r="D1" s="536"/>
      <c r="E1" s="536"/>
      <c r="F1" s="537"/>
    </row>
    <row r="2" spans="1:6" s="371" customFormat="1" ht="15" customHeight="1">
      <c r="A2" s="372" t="s">
        <v>804</v>
      </c>
      <c r="B2" s="538" t="s">
        <v>805</v>
      </c>
      <c r="C2" s="538"/>
      <c r="D2" s="538"/>
      <c r="E2" s="538"/>
      <c r="F2" s="539"/>
    </row>
    <row r="3" spans="1:6" s="371" customFormat="1" ht="15.5">
      <c r="A3" s="540" t="s">
        <v>806</v>
      </c>
      <c r="B3" s="541"/>
      <c r="C3" s="541"/>
      <c r="D3" s="541"/>
      <c r="E3" s="541"/>
      <c r="F3" s="542"/>
    </row>
    <row r="4" spans="1:6" s="376" customFormat="1" ht="20.25" customHeight="1">
      <c r="A4" s="373" t="s">
        <v>807</v>
      </c>
      <c r="B4" s="374" t="s">
        <v>295</v>
      </c>
      <c r="C4" s="374" t="s">
        <v>6</v>
      </c>
      <c r="D4" s="374" t="s">
        <v>309</v>
      </c>
      <c r="E4" s="375" t="s">
        <v>8</v>
      </c>
      <c r="F4" s="375" t="s">
        <v>9</v>
      </c>
    </row>
    <row r="5" spans="1:6">
      <c r="A5" s="377" t="s">
        <v>298</v>
      </c>
      <c r="B5" s="378" t="s">
        <v>808</v>
      </c>
      <c r="C5" s="379"/>
      <c r="D5" s="379"/>
      <c r="E5" s="380"/>
      <c r="F5" s="381"/>
    </row>
    <row r="6" spans="1:6">
      <c r="A6" s="383"/>
      <c r="B6" s="384"/>
      <c r="C6" s="385"/>
      <c r="D6" s="385"/>
      <c r="E6" s="386"/>
      <c r="F6" s="387"/>
    </row>
    <row r="7" spans="1:6" ht="43.5">
      <c r="A7" s="383">
        <v>1</v>
      </c>
      <c r="B7" s="284" t="s">
        <v>809</v>
      </c>
      <c r="C7" s="385"/>
      <c r="D7" s="388">
        <v>1</v>
      </c>
      <c r="E7" s="389">
        <v>0</v>
      </c>
      <c r="F7" s="389">
        <f>D7*E7</f>
        <v>0</v>
      </c>
    </row>
    <row r="8" spans="1:6">
      <c r="A8" s="383"/>
      <c r="B8" s="284"/>
      <c r="C8" s="385"/>
      <c r="D8" s="388"/>
      <c r="E8" s="389"/>
      <c r="F8" s="389"/>
    </row>
    <row r="9" spans="1:6" ht="43.5">
      <c r="A9" s="383">
        <v>2</v>
      </c>
      <c r="B9" s="284" t="s">
        <v>810</v>
      </c>
      <c r="C9" s="385"/>
      <c r="D9" s="388">
        <v>1</v>
      </c>
      <c r="E9" s="389">
        <v>0</v>
      </c>
      <c r="F9" s="389">
        <f>D9*E9</f>
        <v>0</v>
      </c>
    </row>
    <row r="10" spans="1:6">
      <c r="A10" s="383"/>
      <c r="B10" s="390"/>
      <c r="C10" s="385"/>
      <c r="D10" s="388"/>
      <c r="E10" s="389"/>
      <c r="F10" s="391"/>
    </row>
    <row r="11" spans="1:6" ht="87">
      <c r="A11" s="383">
        <v>3</v>
      </c>
      <c r="B11" s="392" t="s">
        <v>811</v>
      </c>
      <c r="C11" s="385"/>
      <c r="D11" s="388">
        <v>1</v>
      </c>
      <c r="E11" s="389">
        <v>0</v>
      </c>
      <c r="F11" s="389">
        <f>D11*E11</f>
        <v>0</v>
      </c>
    </row>
    <row r="12" spans="1:6">
      <c r="A12" s="383"/>
      <c r="B12" s="384"/>
      <c r="C12" s="385"/>
      <c r="D12" s="388"/>
      <c r="E12" s="389"/>
      <c r="F12" s="391"/>
    </row>
    <row r="13" spans="1:6" ht="29">
      <c r="A13" s="393">
        <v>3</v>
      </c>
      <c r="B13" s="394" t="s">
        <v>812</v>
      </c>
      <c r="C13" s="395" t="s">
        <v>813</v>
      </c>
      <c r="D13" s="395">
        <v>1</v>
      </c>
      <c r="E13" s="389">
        <v>0</v>
      </c>
      <c r="F13" s="389">
        <f>D13*E13</f>
        <v>0</v>
      </c>
    </row>
    <row r="14" spans="1:6">
      <c r="A14" s="396"/>
      <c r="B14" s="397"/>
      <c r="C14" s="398"/>
      <c r="D14" s="399"/>
      <c r="E14" s="391"/>
      <c r="F14" s="400"/>
    </row>
    <row r="15" spans="1:6">
      <c r="A15" s="401">
        <v>4</v>
      </c>
      <c r="B15" s="402" t="s">
        <v>814</v>
      </c>
      <c r="C15" s="398"/>
      <c r="D15" s="399"/>
      <c r="E15" s="391"/>
      <c r="F15" s="400"/>
    </row>
    <row r="16" spans="1:6" ht="29">
      <c r="A16" s="403">
        <v>3.1</v>
      </c>
      <c r="B16" s="397" t="s">
        <v>815</v>
      </c>
      <c r="C16" s="398" t="s">
        <v>360</v>
      </c>
      <c r="D16" s="399" t="s">
        <v>15</v>
      </c>
      <c r="E16" s="389">
        <v>0</v>
      </c>
      <c r="F16" s="400"/>
    </row>
    <row r="17" spans="1:6">
      <c r="A17" s="396"/>
      <c r="B17" s="397"/>
      <c r="C17" s="398"/>
      <c r="D17" s="399"/>
      <c r="E17" s="389"/>
      <c r="F17" s="400"/>
    </row>
    <row r="18" spans="1:6" ht="29">
      <c r="A18" s="403">
        <v>3.2</v>
      </c>
      <c r="B18" s="397" t="s">
        <v>816</v>
      </c>
      <c r="C18" s="398" t="s">
        <v>360</v>
      </c>
      <c r="D18" s="399" t="s">
        <v>15</v>
      </c>
      <c r="E18" s="389">
        <v>0</v>
      </c>
      <c r="F18" s="400"/>
    </row>
    <row r="19" spans="1:6">
      <c r="A19" s="403"/>
      <c r="B19" s="397"/>
      <c r="C19" s="398"/>
      <c r="D19" s="399"/>
      <c r="E19" s="391"/>
      <c r="F19" s="400"/>
    </row>
    <row r="20" spans="1:6" ht="72.5">
      <c r="A20" s="393">
        <v>3.3</v>
      </c>
      <c r="B20" s="397" t="s">
        <v>817</v>
      </c>
      <c r="C20" s="401" t="s">
        <v>360</v>
      </c>
      <c r="D20" s="401">
        <v>50</v>
      </c>
      <c r="E20" s="389">
        <v>0</v>
      </c>
      <c r="F20" s="400">
        <f>+E20*D20</f>
        <v>0</v>
      </c>
    </row>
    <row r="21" spans="1:6">
      <c r="A21" s="393"/>
      <c r="B21" s="397"/>
      <c r="C21" s="401"/>
      <c r="D21" s="401"/>
      <c r="E21" s="389"/>
      <c r="F21" s="400"/>
    </row>
    <row r="22" spans="1:6" ht="72.5">
      <c r="A22" s="393">
        <v>3.4</v>
      </c>
      <c r="B22" s="404" t="s">
        <v>818</v>
      </c>
      <c r="C22" s="401" t="s">
        <v>360</v>
      </c>
      <c r="D22" s="401">
        <v>8</v>
      </c>
      <c r="E22" s="389">
        <v>0</v>
      </c>
      <c r="F22" s="400">
        <f>+E22*D22</f>
        <v>0</v>
      </c>
    </row>
    <row r="23" spans="1:6">
      <c r="A23" s="396"/>
      <c r="B23" s="397"/>
      <c r="C23" s="398"/>
      <c r="D23" s="399"/>
      <c r="E23" s="391"/>
      <c r="F23" s="400"/>
    </row>
    <row r="24" spans="1:6" ht="87">
      <c r="A24" s="405">
        <v>5</v>
      </c>
      <c r="B24" s="397" t="s">
        <v>819</v>
      </c>
      <c r="C24" s="406" t="s">
        <v>744</v>
      </c>
      <c r="D24" s="407">
        <v>1900</v>
      </c>
      <c r="E24" s="408">
        <v>0</v>
      </c>
      <c r="F24" s="409">
        <f>D24*E24</f>
        <v>0</v>
      </c>
    </row>
    <row r="25" spans="1:6">
      <c r="A25" s="410"/>
      <c r="B25" s="411"/>
      <c r="C25" s="412"/>
      <c r="D25" s="413"/>
      <c r="E25" s="414"/>
      <c r="F25" s="415"/>
    </row>
    <row r="26" spans="1:6">
      <c r="A26" s="416"/>
      <c r="B26" s="417" t="s">
        <v>820</v>
      </c>
      <c r="C26" s="418"/>
      <c r="D26" s="419"/>
      <c r="E26" s="420"/>
      <c r="F26" s="421">
        <f>SUM(F6:F25)</f>
        <v>0</v>
      </c>
    </row>
  </sheetData>
  <mergeCells count="3">
    <mergeCell ref="A1:F1"/>
    <mergeCell ref="B2:F2"/>
    <mergeCell ref="A3:F3"/>
  </mergeCells>
  <pageMargins left="0.70866141732283472" right="0.70866141732283472" top="0.74803149606299213" bottom="0.74803149606299213" header="0.31496062992125984" footer="0.31496062992125984"/>
  <pageSetup paperSize="9" orientation="portrait" horizontalDpi="0" verticalDpi="0" r:id="rId1"/>
  <headerFooter>
    <oddHeader>&amp;L&amp;8CINEPOLIS INDIA PVT. LTD&amp;R&amp;"Aptos"&amp;10&amp;K000000 Internal&amp;1#_x000D_&amp;"Calibri"&amp;11&amp;K000000&amp;8VISION ELECTROMECH  CONSULTANCY PVT. LTD</oddHeader>
    <oddFooter>&amp;L&amp;8 1736-BOQ-PA SYSEM_x000D_&amp;1#&amp;"Aptos"&amp;10&amp;K000000 Internal&amp;R&amp;8&amp;P OF&amp;N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736F-3B40-47FE-A03E-AF8FE893002D}">
  <sheetPr codeName="Sheet17">
    <tabColor theme="3" tint="0.59999389629810485"/>
  </sheetPr>
  <dimension ref="A1:H55"/>
  <sheetViews>
    <sheetView view="pageBreakPreview" zoomScale="85" zoomScaleNormal="85" zoomScaleSheetLayoutView="85" workbookViewId="0">
      <selection activeCell="G48" sqref="G48"/>
    </sheetView>
  </sheetViews>
  <sheetFormatPr defaultColWidth="9.1796875" defaultRowHeight="16"/>
  <cols>
    <col min="1" max="1" width="6.7265625" style="432" customWidth="1"/>
    <col min="2" max="2" width="56.54296875" style="432" customWidth="1"/>
    <col min="3" max="4" width="6.7265625" style="482" customWidth="1"/>
    <col min="5" max="5" width="12.7265625" style="483" customWidth="1"/>
    <col min="6" max="6" width="12.7265625" style="484" customWidth="1"/>
    <col min="7" max="7" width="21" style="432" customWidth="1"/>
    <col min="8" max="8" width="40.81640625" style="432" bestFit="1" customWidth="1"/>
    <col min="9" max="16384" width="9.1796875" style="432"/>
  </cols>
  <sheetData>
    <row r="1" spans="1:8" s="424" customFormat="1" ht="15.5">
      <c r="A1" s="543" t="s">
        <v>460</v>
      </c>
      <c r="B1" s="544"/>
      <c r="C1" s="544"/>
      <c r="D1" s="544"/>
      <c r="E1" s="544"/>
      <c r="F1" s="545"/>
    </row>
    <row r="2" spans="1:8" s="425" customFormat="1" ht="15.5">
      <c r="A2" s="546" t="s">
        <v>822</v>
      </c>
      <c r="B2" s="547"/>
      <c r="C2" s="547"/>
      <c r="D2" s="547"/>
      <c r="E2" s="547"/>
      <c r="F2" s="548"/>
    </row>
    <row r="3" spans="1:8" s="425" customFormat="1" ht="15.5">
      <c r="A3" s="549" t="s">
        <v>823</v>
      </c>
      <c r="B3" s="550"/>
      <c r="C3" s="550"/>
      <c r="D3" s="550"/>
      <c r="E3" s="550"/>
      <c r="F3" s="551"/>
    </row>
    <row r="4" spans="1:8" s="428" customFormat="1">
      <c r="A4" s="426"/>
      <c r="B4" s="427"/>
      <c r="C4" s="552"/>
      <c r="D4" s="552"/>
      <c r="E4" s="552"/>
      <c r="F4" s="553"/>
    </row>
    <row r="5" spans="1:8">
      <c r="A5" s="429" t="s">
        <v>824</v>
      </c>
      <c r="B5" s="430" t="s">
        <v>308</v>
      </c>
      <c r="C5" s="431" t="s">
        <v>6</v>
      </c>
      <c r="D5" s="431" t="s">
        <v>309</v>
      </c>
      <c r="E5" s="431" t="s">
        <v>8</v>
      </c>
      <c r="F5" s="431" t="s">
        <v>9</v>
      </c>
      <c r="H5" s="433"/>
    </row>
    <row r="6" spans="1:8">
      <c r="A6" s="434"/>
      <c r="B6" s="435"/>
      <c r="C6" s="436"/>
      <c r="D6" s="436"/>
      <c r="E6" s="436"/>
      <c r="F6" s="436"/>
      <c r="H6" s="433"/>
    </row>
    <row r="7" spans="1:8">
      <c r="A7" s="437" t="s">
        <v>301</v>
      </c>
      <c r="B7" s="438" t="s">
        <v>825</v>
      </c>
      <c r="C7" s="439"/>
      <c r="D7" s="439"/>
      <c r="E7" s="440"/>
      <c r="F7" s="441"/>
      <c r="H7" s="433"/>
    </row>
    <row r="8" spans="1:8" ht="96">
      <c r="A8" s="442">
        <v>1</v>
      </c>
      <c r="B8" s="443" t="s">
        <v>826</v>
      </c>
      <c r="C8" s="439" t="s">
        <v>813</v>
      </c>
      <c r="D8" s="439">
        <v>1</v>
      </c>
      <c r="E8" s="440">
        <v>0</v>
      </c>
      <c r="F8" s="441">
        <f>+E8*D8</f>
        <v>0</v>
      </c>
      <c r="H8" s="433"/>
    </row>
    <row r="9" spans="1:8" ht="112">
      <c r="A9" s="442"/>
      <c r="B9" s="443" t="s">
        <v>827</v>
      </c>
      <c r="C9" s="444"/>
      <c r="D9" s="439"/>
      <c r="E9" s="440"/>
      <c r="F9" s="441"/>
      <c r="H9" s="433"/>
    </row>
    <row r="10" spans="1:8">
      <c r="A10" s="442"/>
      <c r="B10" s="445"/>
      <c r="C10" s="446"/>
      <c r="D10" s="439"/>
      <c r="E10" s="440"/>
      <c r="F10" s="441"/>
      <c r="H10" s="433"/>
    </row>
    <row r="11" spans="1:8" s="449" customFormat="1" ht="32">
      <c r="A11" s="442">
        <v>2</v>
      </c>
      <c r="B11" s="447" t="s">
        <v>828</v>
      </c>
      <c r="C11" s="444" t="s">
        <v>360</v>
      </c>
      <c r="D11" s="439">
        <v>6</v>
      </c>
      <c r="E11" s="448">
        <v>0</v>
      </c>
      <c r="F11" s="441">
        <f>+E11*D11</f>
        <v>0</v>
      </c>
      <c r="H11" s="433"/>
    </row>
    <row r="12" spans="1:8">
      <c r="A12" s="442"/>
      <c r="B12" s="447"/>
      <c r="C12" s="450"/>
      <c r="D12" s="439"/>
      <c r="E12" s="440"/>
      <c r="F12" s="441"/>
      <c r="H12" s="433"/>
    </row>
    <row r="13" spans="1:8" s="449" customFormat="1" ht="48">
      <c r="A13" s="442">
        <v>3</v>
      </c>
      <c r="B13" s="447" t="s">
        <v>829</v>
      </c>
      <c r="C13" s="444" t="s">
        <v>360</v>
      </c>
      <c r="D13" s="439">
        <v>6</v>
      </c>
      <c r="E13" s="448">
        <v>0</v>
      </c>
      <c r="F13" s="441">
        <f>+E13*D13</f>
        <v>0</v>
      </c>
    </row>
    <row r="14" spans="1:8">
      <c r="A14" s="442"/>
      <c r="B14" s="438"/>
      <c r="C14" s="439"/>
      <c r="D14" s="439"/>
      <c r="E14" s="440"/>
      <c r="F14" s="441"/>
      <c r="H14" s="433"/>
    </row>
    <row r="15" spans="1:8" s="457" customFormat="1" ht="32">
      <c r="A15" s="451">
        <v>4</v>
      </c>
      <c r="B15" s="452" t="s">
        <v>830</v>
      </c>
      <c r="C15" s="453" t="s">
        <v>360</v>
      </c>
      <c r="D15" s="454">
        <v>6</v>
      </c>
      <c r="E15" s="455">
        <v>0</v>
      </c>
      <c r="F15" s="456">
        <f>+E15*D15</f>
        <v>0</v>
      </c>
    </row>
    <row r="16" spans="1:8">
      <c r="A16" s="442"/>
      <c r="B16" s="438"/>
      <c r="C16" s="439"/>
      <c r="D16" s="439"/>
      <c r="E16" s="440"/>
      <c r="F16" s="441"/>
      <c r="H16" s="433"/>
    </row>
    <row r="17" spans="1:8" s="457" customFormat="1" ht="64">
      <c r="A17" s="451">
        <v>5</v>
      </c>
      <c r="B17" s="452" t="s">
        <v>831</v>
      </c>
      <c r="C17" s="453" t="s">
        <v>360</v>
      </c>
      <c r="D17" s="454">
        <v>6</v>
      </c>
      <c r="E17" s="455">
        <v>0</v>
      </c>
      <c r="F17" s="456">
        <f>+E17*D17</f>
        <v>0</v>
      </c>
    </row>
    <row r="18" spans="1:8" s="457" customFormat="1">
      <c r="A18" s="451"/>
      <c r="B18" s="452"/>
      <c r="C18" s="453"/>
      <c r="D18" s="454"/>
      <c r="E18" s="455"/>
      <c r="F18" s="456"/>
    </row>
    <row r="19" spans="1:8" s="457" customFormat="1" ht="64">
      <c r="A19" s="451">
        <f>A17+1</f>
        <v>6</v>
      </c>
      <c r="B19" s="452" t="s">
        <v>832</v>
      </c>
      <c r="C19" s="453" t="s">
        <v>360</v>
      </c>
      <c r="D19" s="454">
        <v>6</v>
      </c>
      <c r="E19" s="455">
        <v>0</v>
      </c>
      <c r="F19" s="456">
        <f>+E19*D19</f>
        <v>0</v>
      </c>
    </row>
    <row r="20" spans="1:8">
      <c r="A20" s="442"/>
      <c r="B20" s="438"/>
      <c r="C20" s="439"/>
      <c r="D20" s="439"/>
      <c r="E20" s="440"/>
      <c r="F20" s="441"/>
      <c r="H20" s="433"/>
    </row>
    <row r="21" spans="1:8">
      <c r="A21" s="442"/>
      <c r="B21" s="438"/>
      <c r="C21" s="439"/>
      <c r="D21" s="439"/>
      <c r="E21" s="440"/>
      <c r="F21" s="441"/>
      <c r="H21" s="433"/>
    </row>
    <row r="22" spans="1:8" s="449" customFormat="1" ht="32">
      <c r="A22" s="442">
        <f>A19+1</f>
        <v>7</v>
      </c>
      <c r="B22" s="447" t="s">
        <v>833</v>
      </c>
      <c r="C22" s="444" t="s">
        <v>360</v>
      </c>
      <c r="D22" s="439">
        <v>6</v>
      </c>
      <c r="E22" s="448">
        <v>0</v>
      </c>
      <c r="F22" s="441">
        <f>+E22*D22</f>
        <v>0</v>
      </c>
    </row>
    <row r="23" spans="1:8">
      <c r="A23" s="442"/>
      <c r="B23" s="438"/>
      <c r="C23" s="439"/>
      <c r="D23" s="439"/>
      <c r="E23" s="440"/>
      <c r="F23" s="441"/>
      <c r="H23" s="433"/>
    </row>
    <row r="24" spans="1:8" s="449" customFormat="1" ht="32">
      <c r="A24" s="442">
        <v>8</v>
      </c>
      <c r="B24" s="447" t="s">
        <v>834</v>
      </c>
      <c r="C24" s="444" t="s">
        <v>360</v>
      </c>
      <c r="D24" s="439">
        <v>20</v>
      </c>
      <c r="E24" s="448">
        <v>0</v>
      </c>
      <c r="F24" s="441">
        <f>+E24*D24</f>
        <v>0</v>
      </c>
    </row>
    <row r="25" spans="1:8">
      <c r="A25" s="458"/>
      <c r="B25" s="459"/>
      <c r="C25" s="460"/>
      <c r="D25" s="460"/>
      <c r="E25" s="461"/>
      <c r="F25" s="462"/>
      <c r="H25" s="433"/>
    </row>
    <row r="26" spans="1:8" ht="32">
      <c r="A26" s="442">
        <v>9</v>
      </c>
      <c r="B26" s="447" t="s">
        <v>835</v>
      </c>
      <c r="C26" s="439" t="s">
        <v>360</v>
      </c>
      <c r="D26" s="439">
        <v>4</v>
      </c>
      <c r="E26" s="440">
        <v>0</v>
      </c>
      <c r="F26" s="441">
        <f>+E26*D26</f>
        <v>0</v>
      </c>
      <c r="H26" s="433"/>
    </row>
    <row r="27" spans="1:8">
      <c r="A27" s="442"/>
      <c r="B27" s="438"/>
      <c r="C27" s="439"/>
      <c r="D27" s="439"/>
      <c r="E27" s="440"/>
      <c r="F27" s="441"/>
      <c r="H27" s="433"/>
    </row>
    <row r="28" spans="1:8" s="449" customFormat="1" ht="64">
      <c r="A28" s="442">
        <v>10</v>
      </c>
      <c r="B28" s="447" t="s">
        <v>836</v>
      </c>
      <c r="C28" s="444" t="s">
        <v>813</v>
      </c>
      <c r="D28" s="439">
        <v>1</v>
      </c>
      <c r="E28" s="448">
        <v>0</v>
      </c>
      <c r="F28" s="441">
        <f>+E28*D28</f>
        <v>0</v>
      </c>
    </row>
    <row r="29" spans="1:8">
      <c r="A29" s="463"/>
      <c r="B29" s="464"/>
      <c r="C29" s="465"/>
      <c r="D29" s="465"/>
      <c r="E29" s="448"/>
      <c r="F29" s="466"/>
    </row>
    <row r="30" spans="1:8" ht="48">
      <c r="A30" s="463">
        <v>11</v>
      </c>
      <c r="B30" s="447" t="s">
        <v>837</v>
      </c>
      <c r="C30" s="465"/>
      <c r="D30" s="465"/>
      <c r="E30" s="448"/>
      <c r="F30" s="466"/>
    </row>
    <row r="31" spans="1:8">
      <c r="A31" s="463" t="s">
        <v>838</v>
      </c>
      <c r="B31" s="447" t="s">
        <v>839</v>
      </c>
      <c r="C31" s="465"/>
      <c r="D31" s="465"/>
      <c r="E31" s="448"/>
      <c r="F31" s="466"/>
    </row>
    <row r="32" spans="1:8">
      <c r="A32" s="463">
        <v>11.1</v>
      </c>
      <c r="B32" s="464" t="s">
        <v>840</v>
      </c>
      <c r="C32" s="444" t="s">
        <v>333</v>
      </c>
      <c r="D32" s="465" t="s">
        <v>15</v>
      </c>
      <c r="E32" s="448">
        <v>0</v>
      </c>
      <c r="F32" s="441"/>
    </row>
    <row r="33" spans="1:8">
      <c r="A33" s="463">
        <v>11.2</v>
      </c>
      <c r="B33" s="464" t="s">
        <v>841</v>
      </c>
      <c r="C33" s="444" t="s">
        <v>333</v>
      </c>
      <c r="D33" s="465">
        <v>50</v>
      </c>
      <c r="E33" s="448">
        <v>0</v>
      </c>
      <c r="F33" s="441">
        <f>+E33*D33</f>
        <v>0</v>
      </c>
    </row>
    <row r="34" spans="1:8">
      <c r="A34" s="463">
        <v>11.3</v>
      </c>
      <c r="B34" s="464" t="s">
        <v>842</v>
      </c>
      <c r="C34" s="444" t="s">
        <v>333</v>
      </c>
      <c r="D34" s="465"/>
      <c r="E34" s="448">
        <v>0</v>
      </c>
      <c r="F34" s="466"/>
    </row>
    <row r="35" spans="1:8">
      <c r="A35" s="463" t="s">
        <v>843</v>
      </c>
      <c r="B35" s="464" t="s">
        <v>844</v>
      </c>
      <c r="C35" s="465"/>
      <c r="D35" s="465"/>
      <c r="E35" s="448"/>
      <c r="F35" s="466"/>
    </row>
    <row r="36" spans="1:8">
      <c r="A36" s="467">
        <v>11.4</v>
      </c>
      <c r="B36" s="447" t="s">
        <v>845</v>
      </c>
      <c r="C36" s="444" t="s">
        <v>333</v>
      </c>
      <c r="D36" s="439">
        <v>40</v>
      </c>
      <c r="E36" s="440">
        <v>0</v>
      </c>
      <c r="F36" s="441">
        <f t="shared" ref="F36:F38" si="0">+E36*D36</f>
        <v>0</v>
      </c>
      <c r="H36" s="433"/>
    </row>
    <row r="37" spans="1:8">
      <c r="A37" s="463">
        <v>11.5</v>
      </c>
      <c r="B37" s="447" t="s">
        <v>846</v>
      </c>
      <c r="C37" s="444" t="s">
        <v>333</v>
      </c>
      <c r="D37" s="465">
        <v>300</v>
      </c>
      <c r="E37" s="448">
        <v>0</v>
      </c>
      <c r="F37" s="441">
        <f t="shared" si="0"/>
        <v>0</v>
      </c>
    </row>
    <row r="38" spans="1:8" s="449" customFormat="1">
      <c r="A38" s="467">
        <v>11.6</v>
      </c>
      <c r="B38" s="447" t="s">
        <v>847</v>
      </c>
      <c r="C38" s="444" t="s">
        <v>333</v>
      </c>
      <c r="D38" s="439">
        <v>250</v>
      </c>
      <c r="E38" s="448">
        <v>0</v>
      </c>
      <c r="F38" s="441">
        <f t="shared" si="0"/>
        <v>0</v>
      </c>
      <c r="H38" s="433"/>
    </row>
    <row r="39" spans="1:8">
      <c r="A39" s="463"/>
      <c r="B39" s="447"/>
      <c r="C39" s="444"/>
      <c r="D39" s="465"/>
      <c r="E39" s="448"/>
      <c r="F39" s="466"/>
    </row>
    <row r="40" spans="1:8" s="449" customFormat="1" ht="80">
      <c r="A40" s="442">
        <v>12</v>
      </c>
      <c r="B40" s="447" t="s">
        <v>848</v>
      </c>
      <c r="C40" s="444" t="s">
        <v>711</v>
      </c>
      <c r="D40" s="439">
        <v>60</v>
      </c>
      <c r="E40" s="448">
        <v>0</v>
      </c>
      <c r="F40" s="441">
        <f>+E40*D40</f>
        <v>0</v>
      </c>
    </row>
    <row r="41" spans="1:8" s="449" customFormat="1">
      <c r="A41" s="442"/>
      <c r="B41" s="447"/>
      <c r="C41" s="444"/>
      <c r="D41" s="439"/>
      <c r="E41" s="448"/>
      <c r="F41" s="441"/>
    </row>
    <row r="42" spans="1:8" s="449" customFormat="1" ht="64">
      <c r="A42" s="442">
        <v>13</v>
      </c>
      <c r="B42" s="447" t="s">
        <v>849</v>
      </c>
      <c r="C42" s="444"/>
      <c r="D42" s="439"/>
      <c r="E42" s="448"/>
      <c r="F42" s="441"/>
    </row>
    <row r="43" spans="1:8" s="449" customFormat="1">
      <c r="A43" s="467">
        <f>A42+0.1</f>
        <v>13.1</v>
      </c>
      <c r="B43" s="447" t="s">
        <v>850</v>
      </c>
      <c r="C43" s="444" t="s">
        <v>711</v>
      </c>
      <c r="D43" s="439">
        <v>45</v>
      </c>
      <c r="E43" s="439">
        <v>0</v>
      </c>
      <c r="F43" s="441">
        <f>+E43*D43</f>
        <v>0</v>
      </c>
    </row>
    <row r="44" spans="1:8" s="449" customFormat="1">
      <c r="A44" s="467">
        <f>A43+0.1</f>
        <v>13.2</v>
      </c>
      <c r="B44" s="447" t="s">
        <v>851</v>
      </c>
      <c r="C44" s="444" t="s">
        <v>711</v>
      </c>
      <c r="D44" s="439" t="s">
        <v>15</v>
      </c>
      <c r="E44" s="439">
        <v>0</v>
      </c>
      <c r="F44" s="441"/>
    </row>
    <row r="45" spans="1:8" s="449" customFormat="1">
      <c r="A45" s="467">
        <f>A44+0.1</f>
        <v>13.299999999999999</v>
      </c>
      <c r="B45" s="447" t="s">
        <v>852</v>
      </c>
      <c r="C45" s="444" t="s">
        <v>711</v>
      </c>
      <c r="D45" s="439" t="s">
        <v>15</v>
      </c>
      <c r="E45" s="439">
        <v>0</v>
      </c>
      <c r="F45" s="441"/>
    </row>
    <row r="46" spans="1:8" s="449" customFormat="1">
      <c r="A46" s="467">
        <f>A45+0.1</f>
        <v>13.399999999999999</v>
      </c>
      <c r="B46" s="447" t="s">
        <v>853</v>
      </c>
      <c r="C46" s="444" t="s">
        <v>711</v>
      </c>
      <c r="D46" s="439" t="s">
        <v>15</v>
      </c>
      <c r="E46" s="439">
        <v>0</v>
      </c>
      <c r="F46" s="441"/>
    </row>
    <row r="47" spans="1:8" s="449" customFormat="1">
      <c r="A47" s="467"/>
      <c r="B47" s="447"/>
      <c r="C47" s="444"/>
      <c r="D47" s="439"/>
      <c r="E47" s="448"/>
      <c r="F47" s="441"/>
    </row>
    <row r="48" spans="1:8" s="449" customFormat="1" ht="32">
      <c r="A48" s="442">
        <v>14</v>
      </c>
      <c r="B48" s="447" t="s">
        <v>854</v>
      </c>
      <c r="C48" s="444" t="s">
        <v>360</v>
      </c>
      <c r="D48" s="439">
        <v>2</v>
      </c>
      <c r="E48" s="448">
        <v>0</v>
      </c>
      <c r="F48" s="441">
        <f>+E48*D48</f>
        <v>0</v>
      </c>
    </row>
    <row r="49" spans="1:8" s="449" customFormat="1">
      <c r="A49" s="442"/>
      <c r="B49" s="447"/>
      <c r="C49" s="444"/>
      <c r="D49" s="439"/>
      <c r="E49" s="448"/>
      <c r="F49" s="441"/>
    </row>
    <row r="50" spans="1:8" s="449" customFormat="1" ht="48">
      <c r="A50" s="468">
        <v>15</v>
      </c>
      <c r="B50" s="469" t="s">
        <v>855</v>
      </c>
      <c r="C50" s="470" t="s">
        <v>360</v>
      </c>
      <c r="D50" s="471" t="s">
        <v>15</v>
      </c>
      <c r="E50" s="472">
        <v>0</v>
      </c>
      <c r="F50" s="441">
        <v>0</v>
      </c>
      <c r="H50" s="433"/>
    </row>
    <row r="51" spans="1:8" s="449" customFormat="1">
      <c r="A51" s="473"/>
      <c r="B51" s="474"/>
      <c r="C51" s="475"/>
      <c r="D51" s="460"/>
      <c r="E51" s="476"/>
      <c r="F51" s="462"/>
    </row>
    <row r="52" spans="1:8" ht="20.149999999999999" customHeight="1">
      <c r="A52" s="477"/>
      <c r="B52" s="478" t="s">
        <v>856</v>
      </c>
      <c r="C52" s="479"/>
      <c r="D52" s="479"/>
      <c r="E52" s="479"/>
      <c r="F52" s="480">
        <f>SUM(F8:F50)</f>
        <v>0</v>
      </c>
    </row>
    <row r="53" spans="1:8">
      <c r="A53" s="481"/>
    </row>
    <row r="54" spans="1:8">
      <c r="A54" s="485" t="s">
        <v>857</v>
      </c>
      <c r="B54" s="432" t="s">
        <v>858</v>
      </c>
    </row>
    <row r="55" spans="1:8">
      <c r="A55" s="485" t="s">
        <v>859</v>
      </c>
      <c r="B55" s="432" t="s">
        <v>860</v>
      </c>
    </row>
  </sheetData>
  <mergeCells count="4">
    <mergeCell ref="A1:F1"/>
    <mergeCell ref="A2:F2"/>
    <mergeCell ref="A3:F3"/>
    <mergeCell ref="C4:F4"/>
  </mergeCells>
  <printOptions horizontalCentered="1"/>
  <pageMargins left="0.39370078740157483" right="0.19685039370078741" top="0.29527559055118113" bottom="0.29527559055118113" header="0.31496062992125984" footer="0.31496062992125984"/>
  <pageSetup paperSize="9" scale="97" orientation="portrait" r:id="rId1"/>
  <headerFooter>
    <oddHeader>&amp;L&amp;"Arial,Regular"&amp;8CINEPOLIS INDIA LTD.&amp;R&amp;"Aptos"&amp;10&amp;K000000 Internal&amp;1#_x000D_&amp;"Calibri"&amp;11&amp;K000000&amp;"Aptos Narrow"&amp;11&amp;K000000&amp;"Arial,Regular"&amp;8VISION E M C PVT LTD
SERVICES CONSULTANT</oddHeader>
    <oddFooter>&amp;L 1736-Access control /BOQ
K. mall Jodhpur_x000D_&amp;1#&amp;"Aptos"&amp;10&amp;K000000 Internal&amp;R&amp;P of &amp;N</oddFooter>
  </headerFooter>
  <rowBreaks count="1" manualBreakCount="1">
    <brk id="25"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Master Summary</vt:lpstr>
      <vt:lpstr>C&amp;I BOQ</vt:lpstr>
      <vt:lpstr>HVAC Summary</vt:lpstr>
      <vt:lpstr>HVAC BOQ</vt:lpstr>
      <vt:lpstr>MV Summary</vt:lpstr>
      <vt:lpstr>Wiring System</vt:lpstr>
      <vt:lpstr>Cables &amp; Wires</vt:lpstr>
      <vt:lpstr>LT Panels and DB</vt:lpstr>
      <vt:lpstr>Earthing System</vt:lpstr>
      <vt:lpstr>Light Fixtures</vt:lpstr>
      <vt:lpstr>Data &amp; Voice</vt:lpstr>
      <vt:lpstr>Audi Speaker System Wiring</vt:lpstr>
      <vt:lpstr>Temporary Work</vt:lpstr>
      <vt:lpstr>LV Summary</vt:lpstr>
      <vt:lpstr>CCTV</vt:lpstr>
      <vt:lpstr>PA</vt:lpstr>
      <vt:lpstr>Access control</vt:lpstr>
      <vt:lpstr>'Access control'!Print_Area</vt:lpstr>
      <vt:lpstr>'C&amp;I BOQ'!Print_Area</vt:lpstr>
      <vt:lpstr>CCTV!Print_Area</vt:lpstr>
      <vt:lpstr>'HVAC BOQ'!Print_Area</vt:lpstr>
      <vt:lpstr>PA!Print_Area</vt:lpstr>
      <vt:lpstr>'Access control'!Print_Titles</vt:lpstr>
      <vt:lpstr>'C&amp;I BOQ'!Print_Titles</vt:lpstr>
      <vt:lpstr>'HVAC BOQ'!Print_Titles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Agarwal</dc:creator>
  <cp:lastModifiedBy>Nitesh Kumar</cp:lastModifiedBy>
  <dcterms:created xsi:type="dcterms:W3CDTF">2026-04-07T08:46:39Z</dcterms:created>
  <dcterms:modified xsi:type="dcterms:W3CDTF">2026-05-18T20:06:41Z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66024a-0f35-40ef-bd33-ae25d33d29e2_Enabled">
    <vt:lpwstr>true</vt:lpwstr>
  </property>
  <property fmtid="{D5CDD505-2E9C-101B-9397-08002B2CF9AE}" pid="3" name="MSIP_Label_6966024a-0f35-40ef-bd33-ae25d33d29e2_SetDate">
    <vt:lpwstr>2026-04-07T10:11:15Z</vt:lpwstr>
  </property>
  <property fmtid="{D5CDD505-2E9C-101B-9397-08002B2CF9AE}" pid="4" name="MSIP_Label_6966024a-0f35-40ef-bd33-ae25d33d29e2_Method">
    <vt:lpwstr>Privileged</vt:lpwstr>
  </property>
  <property fmtid="{D5CDD505-2E9C-101B-9397-08002B2CF9AE}" pid="5" name="MSIP_Label_6966024a-0f35-40ef-bd33-ae25d33d29e2_Name">
    <vt:lpwstr>Internal</vt:lpwstr>
  </property>
  <property fmtid="{D5CDD505-2E9C-101B-9397-08002B2CF9AE}" pid="6" name="MSIP_Label_6966024a-0f35-40ef-bd33-ae25d33d29e2_SiteId">
    <vt:lpwstr>d95b8428-3729-4ecd-a6f3-beee9ba8c6cb</vt:lpwstr>
  </property>
  <property fmtid="{D5CDD505-2E9C-101B-9397-08002B2CF9AE}" pid="7" name="MSIP_Label_6966024a-0f35-40ef-bd33-ae25d33d29e2_ActionId">
    <vt:lpwstr>b214d085-1425-4dce-82d8-f69eb5042729</vt:lpwstr>
  </property>
  <property fmtid="{D5CDD505-2E9C-101B-9397-08002B2CF9AE}" pid="8" name="MSIP_Label_6966024a-0f35-40ef-bd33-ae25d33d29e2_ContentBits">
    <vt:lpwstr>3</vt:lpwstr>
  </property>
  <property fmtid="{D5CDD505-2E9C-101B-9397-08002B2CF9AE}" pid="9" name="MSIP_Label_6966024a-0f35-40ef-bd33-ae25d33d29e2_Tag">
    <vt:lpwstr>10, 0, 1, 1</vt:lpwstr>
  </property>
</Properties>
</file>