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anj2-my.sharepoint.com/personal/siddesh_b_anj_co_in/Documents/Desktop/Projects/TABLE SPACE BLR/Ve/"/>
    </mc:Choice>
  </mc:AlternateContent>
  <xr:revisionPtr revIDLastSave="18" documentId="11_397C9EC7E480EFD8A5CD9FE10F7F322C9D22A2B4" xr6:coauthVersionLast="47" xr6:coauthVersionMax="47" xr10:uidLastSave="{C83F2A16-C95E-49D9-8809-6D79F13184AE}"/>
  <bookViews>
    <workbookView xWindow="-110" yWindow="-110" windowWidth="19420" windowHeight="10420" tabRatio="840" activeTab="2" xr2:uid="{00000000-000D-0000-FFFF-FFFF00000000}"/>
  </bookViews>
  <sheets>
    <sheet name="ELEC-SUMM " sheetId="18" r:id="rId1"/>
    <sheet name="ELEC " sheetId="19" r:id="rId2"/>
    <sheet name="UPS BOQ" sheetId="22" r:id="rId3"/>
  </sheets>
  <definedNames>
    <definedName name="_" hidden="1">#REF!</definedName>
    <definedName name="__________________________________tem1" localSheetId="2" hidden="1">{#N/A,#N/A,TRUE,"Front";#N/A,#N/A,TRUE,"Simple Letter";#N/A,#N/A,TRUE,"Inside";#N/A,#N/A,TRUE,"Contents";#N/A,#N/A,TRUE,"Basis";#N/A,#N/A,TRUE,"Inclusions";#N/A,#N/A,TRUE,"Exclusions";#N/A,#N/A,TRUE,"Areas";#N/A,#N/A,TRUE,"Summary";#N/A,#N/A,TRUE,"Detail"}</definedName>
    <definedName name="__________________________________tem1" hidden="1">{#N/A,#N/A,TRUE,"Front";#N/A,#N/A,TRUE,"Simple Letter";#N/A,#N/A,TRUE,"Inside";#N/A,#N/A,TRUE,"Contents";#N/A,#N/A,TRUE,"Basis";#N/A,#N/A,TRUE,"Inclusions";#N/A,#N/A,TRUE,"Exclusions";#N/A,#N/A,TRUE,"Areas";#N/A,#N/A,TRUE,"Summary";#N/A,#N/A,TRUE,"Detail"}</definedName>
    <definedName name="_________________________________tem1" localSheetId="2" hidden="1">{#N/A,#N/A,TRUE,"Front";#N/A,#N/A,TRUE,"Simple Letter";#N/A,#N/A,TRUE,"Inside";#N/A,#N/A,TRUE,"Contents";#N/A,#N/A,TRUE,"Basis";#N/A,#N/A,TRUE,"Inclusions";#N/A,#N/A,TRUE,"Exclusions";#N/A,#N/A,TRUE,"Areas";#N/A,#N/A,TRUE,"Summary";#N/A,#N/A,TRUE,"Detail"}</definedName>
    <definedName name="_________________________________tem1" hidden="1">{#N/A,#N/A,TRUE,"Front";#N/A,#N/A,TRUE,"Simple Letter";#N/A,#N/A,TRUE,"Inside";#N/A,#N/A,TRUE,"Contents";#N/A,#N/A,TRUE,"Basis";#N/A,#N/A,TRUE,"Inclusions";#N/A,#N/A,TRUE,"Exclusions";#N/A,#N/A,TRUE,"Areas";#N/A,#N/A,TRUE,"Summary";#N/A,#N/A,TRUE,"Detail"}</definedName>
    <definedName name="________________________________tem1" localSheetId="2" hidden="1">{#N/A,#N/A,TRUE,"Front";#N/A,#N/A,TRUE,"Simple Letter";#N/A,#N/A,TRUE,"Inside";#N/A,#N/A,TRUE,"Contents";#N/A,#N/A,TRUE,"Basis";#N/A,#N/A,TRUE,"Inclusions";#N/A,#N/A,TRUE,"Exclusions";#N/A,#N/A,TRUE,"Areas";#N/A,#N/A,TRUE,"Summary";#N/A,#N/A,TRUE,"Detail"}</definedName>
    <definedName name="________________________________tem1" hidden="1">{#N/A,#N/A,TRUE,"Front";#N/A,#N/A,TRUE,"Simple Letter";#N/A,#N/A,TRUE,"Inside";#N/A,#N/A,TRUE,"Contents";#N/A,#N/A,TRUE,"Basis";#N/A,#N/A,TRUE,"Inclusions";#N/A,#N/A,TRUE,"Exclusions";#N/A,#N/A,TRUE,"Areas";#N/A,#N/A,TRUE,"Summary";#N/A,#N/A,TRUE,"Detail"}</definedName>
    <definedName name="_______________________________hp10" hidden="1">{#N/A,#N/A,TRUE,"Front";#N/A,#N/A,TRUE,"Simple Letter";#N/A,#N/A,TRUE,"Inside";#N/A,#N/A,TRUE,"Contents";#N/A,#N/A,TRUE,"Basis";#N/A,#N/A,TRUE,"Inclusions";#N/A,#N/A,TRUE,"Exclusions";#N/A,#N/A,TRUE,"Areas";#N/A,#N/A,TRUE,"Summary";#N/A,#N/A,TRUE,"Detail"}</definedName>
    <definedName name="_______________________________tem1" localSheetId="2" hidden="1">{#N/A,#N/A,TRUE,"Front";#N/A,#N/A,TRUE,"Simple Letter";#N/A,#N/A,TRUE,"Inside";#N/A,#N/A,TRUE,"Contents";#N/A,#N/A,TRUE,"Basis";#N/A,#N/A,TRUE,"Inclusions";#N/A,#N/A,TRUE,"Exclusions";#N/A,#N/A,TRUE,"Areas";#N/A,#N/A,TRUE,"Summary";#N/A,#N/A,TRUE,"Detail"}</definedName>
    <definedName name="_______________________________tem1" hidden="1">{#N/A,#N/A,TRUE,"Front";#N/A,#N/A,TRUE,"Simple Letter";#N/A,#N/A,TRUE,"Inside";#N/A,#N/A,TRUE,"Contents";#N/A,#N/A,TRUE,"Basis";#N/A,#N/A,TRUE,"Inclusions";#N/A,#N/A,TRUE,"Exclusions";#N/A,#N/A,TRUE,"Areas";#N/A,#N/A,TRUE,"Summary";#N/A,#N/A,TRUE,"Detail"}</definedName>
    <definedName name="______________________________tem1" localSheetId="2" hidden="1">{#N/A,#N/A,TRUE,"Front";#N/A,#N/A,TRUE,"Simple Letter";#N/A,#N/A,TRUE,"Inside";#N/A,#N/A,TRUE,"Contents";#N/A,#N/A,TRUE,"Basis";#N/A,#N/A,TRUE,"Inclusions";#N/A,#N/A,TRUE,"Exclusions";#N/A,#N/A,TRUE,"Areas";#N/A,#N/A,TRUE,"Summary";#N/A,#N/A,TRUE,"Detail"}</definedName>
    <definedName name="______________________________tem1" hidden="1">{#N/A,#N/A,TRUE,"Front";#N/A,#N/A,TRUE,"Simple Letter";#N/A,#N/A,TRUE,"Inside";#N/A,#N/A,TRUE,"Contents";#N/A,#N/A,TRUE,"Basis";#N/A,#N/A,TRUE,"Inclusions";#N/A,#N/A,TRUE,"Exclusions";#N/A,#N/A,TRUE,"Areas";#N/A,#N/A,TRUE,"Summary";#N/A,#N/A,TRUE,"Detail"}</definedName>
    <definedName name="_____________________________hp10" hidden="1">{#N/A,#N/A,TRUE,"Front";#N/A,#N/A,TRUE,"Simple Letter";#N/A,#N/A,TRUE,"Inside";#N/A,#N/A,TRUE,"Contents";#N/A,#N/A,TRUE,"Basis";#N/A,#N/A,TRUE,"Inclusions";#N/A,#N/A,TRUE,"Exclusions";#N/A,#N/A,TRUE,"Areas";#N/A,#N/A,TRUE,"Summary";#N/A,#N/A,TRUE,"Detail"}</definedName>
    <definedName name="_____________________________tem1" localSheetId="2" hidden="1">{#N/A,#N/A,TRUE,"Front";#N/A,#N/A,TRUE,"Simple Letter";#N/A,#N/A,TRUE,"Inside";#N/A,#N/A,TRUE,"Contents";#N/A,#N/A,TRUE,"Basis";#N/A,#N/A,TRUE,"Inclusions";#N/A,#N/A,TRUE,"Exclusions";#N/A,#N/A,TRUE,"Areas";#N/A,#N/A,TRUE,"Summary";#N/A,#N/A,TRUE,"Detail"}</definedName>
    <definedName name="_____________________________tem1" hidden="1">{#N/A,#N/A,TRUE,"Front";#N/A,#N/A,TRUE,"Simple Letter";#N/A,#N/A,TRUE,"Inside";#N/A,#N/A,TRUE,"Contents";#N/A,#N/A,TRUE,"Basis";#N/A,#N/A,TRUE,"Inclusions";#N/A,#N/A,TRUE,"Exclusions";#N/A,#N/A,TRUE,"Areas";#N/A,#N/A,TRUE,"Summary";#N/A,#N/A,TRUE,"Detail"}</definedName>
    <definedName name="____________________________hp10" hidden="1">{#N/A,#N/A,TRUE,"Front";#N/A,#N/A,TRUE,"Simple Letter";#N/A,#N/A,TRUE,"Inside";#N/A,#N/A,TRUE,"Contents";#N/A,#N/A,TRUE,"Basis";#N/A,#N/A,TRUE,"Inclusions";#N/A,#N/A,TRUE,"Exclusions";#N/A,#N/A,TRUE,"Areas";#N/A,#N/A,TRUE,"Summary";#N/A,#N/A,TRUE,"Detail"}</definedName>
    <definedName name="____________________________RAB002" localSheetId="2" hidden="1">{#N/A,#N/A,TRUE,"Front";#N/A,#N/A,TRUE,"Simple Letter";#N/A,#N/A,TRUE,"Inside";#N/A,#N/A,TRUE,"Contents";#N/A,#N/A,TRUE,"Basis";#N/A,#N/A,TRUE,"Inclusions";#N/A,#N/A,TRUE,"Exclusions";#N/A,#N/A,TRUE,"Areas";#N/A,#N/A,TRUE,"Summary";#N/A,#N/A,TRUE,"Detail"}</definedName>
    <definedName name="____________________________RAB002" hidden="1">{#N/A,#N/A,TRUE,"Front";#N/A,#N/A,TRUE,"Simple Letter";#N/A,#N/A,TRUE,"Inside";#N/A,#N/A,TRUE,"Contents";#N/A,#N/A,TRUE,"Basis";#N/A,#N/A,TRUE,"Inclusions";#N/A,#N/A,TRUE,"Exclusions";#N/A,#N/A,TRUE,"Areas";#N/A,#N/A,TRUE,"Summary";#N/A,#N/A,TRUE,"Detail"}</definedName>
    <definedName name="____________________________tem1" localSheetId="2" hidden="1">{#N/A,#N/A,TRUE,"Front";#N/A,#N/A,TRUE,"Simple Letter";#N/A,#N/A,TRUE,"Inside";#N/A,#N/A,TRUE,"Contents";#N/A,#N/A,TRUE,"Basis";#N/A,#N/A,TRUE,"Inclusions";#N/A,#N/A,TRUE,"Exclusions";#N/A,#N/A,TRUE,"Areas";#N/A,#N/A,TRUE,"Summary";#N/A,#N/A,TRUE,"Detail"}</definedName>
    <definedName name="____________________________tem1" hidden="1">{#N/A,#N/A,TRUE,"Front";#N/A,#N/A,TRUE,"Simple Letter";#N/A,#N/A,TRUE,"Inside";#N/A,#N/A,TRUE,"Contents";#N/A,#N/A,TRUE,"Basis";#N/A,#N/A,TRUE,"Inclusions";#N/A,#N/A,TRUE,"Exclusions";#N/A,#N/A,TRUE,"Areas";#N/A,#N/A,TRUE,"Summary";#N/A,#N/A,TRUE,"Detail"}</definedName>
    <definedName name="___________________________hp10" hidden="1">{#N/A,#N/A,TRUE,"Front";#N/A,#N/A,TRUE,"Simple Letter";#N/A,#N/A,TRUE,"Inside";#N/A,#N/A,TRUE,"Contents";#N/A,#N/A,TRUE,"Basis";#N/A,#N/A,TRUE,"Inclusions";#N/A,#N/A,TRUE,"Exclusions";#N/A,#N/A,TRUE,"Areas";#N/A,#N/A,TRUE,"Summary";#N/A,#N/A,TRUE,"Detail"}</definedName>
    <definedName name="___________________________RAB002" localSheetId="2" hidden="1">{#N/A,#N/A,TRUE,"Front";#N/A,#N/A,TRUE,"Simple Letter";#N/A,#N/A,TRUE,"Inside";#N/A,#N/A,TRUE,"Contents";#N/A,#N/A,TRUE,"Basis";#N/A,#N/A,TRUE,"Inclusions";#N/A,#N/A,TRUE,"Exclusions";#N/A,#N/A,TRUE,"Areas";#N/A,#N/A,TRUE,"Summary";#N/A,#N/A,TRUE,"Detail"}</definedName>
    <definedName name="___________________________RAB002" hidden="1">{#N/A,#N/A,TRUE,"Front";#N/A,#N/A,TRUE,"Simple Letter";#N/A,#N/A,TRUE,"Inside";#N/A,#N/A,TRUE,"Contents";#N/A,#N/A,TRUE,"Basis";#N/A,#N/A,TRUE,"Inclusions";#N/A,#N/A,TRUE,"Exclusions";#N/A,#N/A,TRUE,"Areas";#N/A,#N/A,TRUE,"Summary";#N/A,#N/A,TRUE,"Detail"}</definedName>
    <definedName name="___________________________tem1" localSheetId="2" hidden="1">{#N/A,#N/A,TRUE,"Front";#N/A,#N/A,TRUE,"Simple Letter";#N/A,#N/A,TRUE,"Inside";#N/A,#N/A,TRUE,"Contents";#N/A,#N/A,TRUE,"Basis";#N/A,#N/A,TRUE,"Inclusions";#N/A,#N/A,TRUE,"Exclusions";#N/A,#N/A,TRUE,"Areas";#N/A,#N/A,TRUE,"Summary";#N/A,#N/A,TRUE,"Detail"}</definedName>
    <definedName name="___________________________tem1" hidden="1">{#N/A,#N/A,TRUE,"Front";#N/A,#N/A,TRUE,"Simple Letter";#N/A,#N/A,TRUE,"Inside";#N/A,#N/A,TRUE,"Contents";#N/A,#N/A,TRUE,"Basis";#N/A,#N/A,TRUE,"Inclusions";#N/A,#N/A,TRUE,"Exclusions";#N/A,#N/A,TRUE,"Areas";#N/A,#N/A,TRUE,"Summary";#N/A,#N/A,TRUE,"Detail"}</definedName>
    <definedName name="__________________________hp10" hidden="1">{#N/A,#N/A,TRUE,"Front";#N/A,#N/A,TRUE,"Simple Letter";#N/A,#N/A,TRUE,"Inside";#N/A,#N/A,TRUE,"Contents";#N/A,#N/A,TRUE,"Basis";#N/A,#N/A,TRUE,"Inclusions";#N/A,#N/A,TRUE,"Exclusions";#N/A,#N/A,TRUE,"Areas";#N/A,#N/A,TRUE,"Summary";#N/A,#N/A,TRUE,"Detail"}</definedName>
    <definedName name="__________________________RAB002" localSheetId="2" hidden="1">{#N/A,#N/A,TRUE,"Front";#N/A,#N/A,TRUE,"Simple Letter";#N/A,#N/A,TRUE,"Inside";#N/A,#N/A,TRUE,"Contents";#N/A,#N/A,TRUE,"Basis";#N/A,#N/A,TRUE,"Inclusions";#N/A,#N/A,TRUE,"Exclusions";#N/A,#N/A,TRUE,"Areas";#N/A,#N/A,TRUE,"Summary";#N/A,#N/A,TRUE,"Detail"}</definedName>
    <definedName name="__________________________RAB002" hidden="1">{#N/A,#N/A,TRUE,"Front";#N/A,#N/A,TRUE,"Simple Letter";#N/A,#N/A,TRUE,"Inside";#N/A,#N/A,TRUE,"Contents";#N/A,#N/A,TRUE,"Basis";#N/A,#N/A,TRUE,"Inclusions";#N/A,#N/A,TRUE,"Exclusions";#N/A,#N/A,TRUE,"Areas";#N/A,#N/A,TRUE,"Summary";#N/A,#N/A,TRUE,"Detail"}</definedName>
    <definedName name="__________________________tem1" localSheetId="2" hidden="1">{#N/A,#N/A,TRUE,"Front";#N/A,#N/A,TRUE,"Simple Letter";#N/A,#N/A,TRUE,"Inside";#N/A,#N/A,TRUE,"Contents";#N/A,#N/A,TRUE,"Basis";#N/A,#N/A,TRUE,"Inclusions";#N/A,#N/A,TRUE,"Exclusions";#N/A,#N/A,TRUE,"Areas";#N/A,#N/A,TRUE,"Summary";#N/A,#N/A,TRUE,"Detail"}</definedName>
    <definedName name="__________________________tem1" hidden="1">{#N/A,#N/A,TRUE,"Front";#N/A,#N/A,TRUE,"Simple Letter";#N/A,#N/A,TRUE,"Inside";#N/A,#N/A,TRUE,"Contents";#N/A,#N/A,TRUE,"Basis";#N/A,#N/A,TRUE,"Inclusions";#N/A,#N/A,TRUE,"Exclusions";#N/A,#N/A,TRUE,"Areas";#N/A,#N/A,TRUE,"Summary";#N/A,#N/A,TRUE,"Detail"}</definedName>
    <definedName name="__________________________tm3" localSheetId="2" hidden="1">{#N/A,#N/A,TRUE,"Front";#N/A,#N/A,TRUE,"Simple Letter";#N/A,#N/A,TRUE,"Inside";#N/A,#N/A,TRUE,"Contents";#N/A,#N/A,TRUE,"Basis";#N/A,#N/A,TRUE,"Inclusions";#N/A,#N/A,TRUE,"Exclusions";#N/A,#N/A,TRUE,"Areas";#N/A,#N/A,TRUE,"Summary";#N/A,#N/A,TRUE,"Detail"}</definedName>
    <definedName name="__________________________tm3" hidden="1">{#N/A,#N/A,TRUE,"Front";#N/A,#N/A,TRUE,"Simple Letter";#N/A,#N/A,TRUE,"Inside";#N/A,#N/A,TRUE,"Contents";#N/A,#N/A,TRUE,"Basis";#N/A,#N/A,TRUE,"Inclusions";#N/A,#N/A,TRUE,"Exclusions";#N/A,#N/A,TRUE,"Areas";#N/A,#N/A,TRUE,"Summary";#N/A,#N/A,TRUE,"Detail"}</definedName>
    <definedName name="_________________________cat12" localSheetId="2" hidden="1">{#N/A,#N/A,TRUE,"Front";#N/A,#N/A,TRUE,"Simple Letter";#N/A,#N/A,TRUE,"Inside";#N/A,#N/A,TRUE,"Contents";#N/A,#N/A,TRUE,"Basis";#N/A,#N/A,TRUE,"Inclusions";#N/A,#N/A,TRUE,"Exclusions";#N/A,#N/A,TRUE,"Areas";#N/A,#N/A,TRUE,"Summary";#N/A,#N/A,TRUE,"Detail"}</definedName>
    <definedName name="_________________________cat12" hidden="1">{#N/A,#N/A,TRUE,"Front";#N/A,#N/A,TRUE,"Simple Letter";#N/A,#N/A,TRUE,"Inside";#N/A,#N/A,TRUE,"Contents";#N/A,#N/A,TRUE,"Basis";#N/A,#N/A,TRUE,"Inclusions";#N/A,#N/A,TRUE,"Exclusions";#N/A,#N/A,TRUE,"Areas";#N/A,#N/A,TRUE,"Summary";#N/A,#N/A,TRUE,"Detail"}</definedName>
    <definedName name="_________________________hp10" hidden="1">{#N/A,#N/A,TRUE,"Front";#N/A,#N/A,TRUE,"Simple Letter";#N/A,#N/A,TRUE,"Inside";#N/A,#N/A,TRUE,"Contents";#N/A,#N/A,TRUE,"Basis";#N/A,#N/A,TRUE,"Inclusions";#N/A,#N/A,TRUE,"Exclusions";#N/A,#N/A,TRUE,"Areas";#N/A,#N/A,TRUE,"Summary";#N/A,#N/A,TRUE,"Detail"}</definedName>
    <definedName name="_________________________RAB002" localSheetId="2" hidden="1">{#N/A,#N/A,TRUE,"Front";#N/A,#N/A,TRUE,"Simple Letter";#N/A,#N/A,TRUE,"Inside";#N/A,#N/A,TRUE,"Contents";#N/A,#N/A,TRUE,"Basis";#N/A,#N/A,TRUE,"Inclusions";#N/A,#N/A,TRUE,"Exclusions";#N/A,#N/A,TRUE,"Areas";#N/A,#N/A,TRUE,"Summary";#N/A,#N/A,TRUE,"Detail"}</definedName>
    <definedName name="_________________________RAB002" hidden="1">{#N/A,#N/A,TRUE,"Front";#N/A,#N/A,TRUE,"Simple Letter";#N/A,#N/A,TRUE,"Inside";#N/A,#N/A,TRUE,"Contents";#N/A,#N/A,TRUE,"Basis";#N/A,#N/A,TRUE,"Inclusions";#N/A,#N/A,TRUE,"Exclusions";#N/A,#N/A,TRUE,"Areas";#N/A,#N/A,TRUE,"Summary";#N/A,#N/A,TRUE,"Detail"}</definedName>
    <definedName name="_________________________tem1" localSheetId="2" hidden="1">{#N/A,#N/A,TRUE,"Front";#N/A,#N/A,TRUE,"Simple Letter";#N/A,#N/A,TRUE,"Inside";#N/A,#N/A,TRUE,"Contents";#N/A,#N/A,TRUE,"Basis";#N/A,#N/A,TRUE,"Inclusions";#N/A,#N/A,TRUE,"Exclusions";#N/A,#N/A,TRUE,"Areas";#N/A,#N/A,TRUE,"Summary";#N/A,#N/A,TRUE,"Detail"}</definedName>
    <definedName name="_________________________tem1" hidden="1">{#N/A,#N/A,TRUE,"Front";#N/A,#N/A,TRUE,"Simple Letter";#N/A,#N/A,TRUE,"Inside";#N/A,#N/A,TRUE,"Contents";#N/A,#N/A,TRUE,"Basis";#N/A,#N/A,TRUE,"Inclusions";#N/A,#N/A,TRUE,"Exclusions";#N/A,#N/A,TRUE,"Areas";#N/A,#N/A,TRUE,"Summary";#N/A,#N/A,TRUE,"Detail"}</definedName>
    <definedName name="_________________________tm3" localSheetId="2" hidden="1">{#N/A,#N/A,TRUE,"Front";#N/A,#N/A,TRUE,"Simple Letter";#N/A,#N/A,TRUE,"Inside";#N/A,#N/A,TRUE,"Contents";#N/A,#N/A,TRUE,"Basis";#N/A,#N/A,TRUE,"Inclusions";#N/A,#N/A,TRUE,"Exclusions";#N/A,#N/A,TRUE,"Areas";#N/A,#N/A,TRUE,"Summary";#N/A,#N/A,TRUE,"Detail"}</definedName>
    <definedName name="_________________________tm3" hidden="1">{#N/A,#N/A,TRUE,"Front";#N/A,#N/A,TRUE,"Simple Letter";#N/A,#N/A,TRUE,"Inside";#N/A,#N/A,TRUE,"Contents";#N/A,#N/A,TRUE,"Basis";#N/A,#N/A,TRUE,"Inclusions";#N/A,#N/A,TRUE,"Exclusions";#N/A,#N/A,TRUE,"Areas";#N/A,#N/A,TRUE,"Summary";#N/A,#N/A,TRUE,"Detail"}</definedName>
    <definedName name="________________________cat12" localSheetId="2" hidden="1">{#N/A,#N/A,TRUE,"Front";#N/A,#N/A,TRUE,"Simple Letter";#N/A,#N/A,TRUE,"Inside";#N/A,#N/A,TRUE,"Contents";#N/A,#N/A,TRUE,"Basis";#N/A,#N/A,TRUE,"Inclusions";#N/A,#N/A,TRUE,"Exclusions";#N/A,#N/A,TRUE,"Areas";#N/A,#N/A,TRUE,"Summary";#N/A,#N/A,TRUE,"Detail"}</definedName>
    <definedName name="________________________cat12" hidden="1">{#N/A,#N/A,TRUE,"Front";#N/A,#N/A,TRUE,"Simple Letter";#N/A,#N/A,TRUE,"Inside";#N/A,#N/A,TRUE,"Contents";#N/A,#N/A,TRUE,"Basis";#N/A,#N/A,TRUE,"Inclusions";#N/A,#N/A,TRUE,"Exclusions";#N/A,#N/A,TRUE,"Areas";#N/A,#N/A,TRUE,"Summary";#N/A,#N/A,TRUE,"Detail"}</definedName>
    <definedName name="________________________hp10" hidden="1">{#N/A,#N/A,TRUE,"Front";#N/A,#N/A,TRUE,"Simple Letter";#N/A,#N/A,TRUE,"Inside";#N/A,#N/A,TRUE,"Contents";#N/A,#N/A,TRUE,"Basis";#N/A,#N/A,TRUE,"Inclusions";#N/A,#N/A,TRUE,"Exclusions";#N/A,#N/A,TRUE,"Areas";#N/A,#N/A,TRUE,"Summary";#N/A,#N/A,TRUE,"Detail"}</definedName>
    <definedName name="________________________RAB002" localSheetId="2" hidden="1">{#N/A,#N/A,TRUE,"Front";#N/A,#N/A,TRUE,"Simple Letter";#N/A,#N/A,TRUE,"Inside";#N/A,#N/A,TRUE,"Contents";#N/A,#N/A,TRUE,"Basis";#N/A,#N/A,TRUE,"Inclusions";#N/A,#N/A,TRUE,"Exclusions";#N/A,#N/A,TRUE,"Areas";#N/A,#N/A,TRUE,"Summary";#N/A,#N/A,TRUE,"Detail"}</definedName>
    <definedName name="________________________RAB002" hidden="1">{#N/A,#N/A,TRUE,"Front";#N/A,#N/A,TRUE,"Simple Letter";#N/A,#N/A,TRUE,"Inside";#N/A,#N/A,TRUE,"Contents";#N/A,#N/A,TRUE,"Basis";#N/A,#N/A,TRUE,"Inclusions";#N/A,#N/A,TRUE,"Exclusions";#N/A,#N/A,TRUE,"Areas";#N/A,#N/A,TRUE,"Summary";#N/A,#N/A,TRUE,"Detail"}</definedName>
    <definedName name="________________________tem1" localSheetId="2" hidden="1">{#N/A,#N/A,TRUE,"Front";#N/A,#N/A,TRUE,"Simple Letter";#N/A,#N/A,TRUE,"Inside";#N/A,#N/A,TRUE,"Contents";#N/A,#N/A,TRUE,"Basis";#N/A,#N/A,TRUE,"Inclusions";#N/A,#N/A,TRUE,"Exclusions";#N/A,#N/A,TRUE,"Areas";#N/A,#N/A,TRUE,"Summary";#N/A,#N/A,TRUE,"Detail"}</definedName>
    <definedName name="________________________tem1" hidden="1">{#N/A,#N/A,TRUE,"Front";#N/A,#N/A,TRUE,"Simple Letter";#N/A,#N/A,TRUE,"Inside";#N/A,#N/A,TRUE,"Contents";#N/A,#N/A,TRUE,"Basis";#N/A,#N/A,TRUE,"Inclusions";#N/A,#N/A,TRUE,"Exclusions";#N/A,#N/A,TRUE,"Areas";#N/A,#N/A,TRUE,"Summary";#N/A,#N/A,TRUE,"Detail"}</definedName>
    <definedName name="________________________tm3" localSheetId="2" hidden="1">{#N/A,#N/A,TRUE,"Front";#N/A,#N/A,TRUE,"Simple Letter";#N/A,#N/A,TRUE,"Inside";#N/A,#N/A,TRUE,"Contents";#N/A,#N/A,TRUE,"Basis";#N/A,#N/A,TRUE,"Inclusions";#N/A,#N/A,TRUE,"Exclusions";#N/A,#N/A,TRUE,"Areas";#N/A,#N/A,TRUE,"Summary";#N/A,#N/A,TRUE,"Detail"}</definedName>
    <definedName name="________________________tm3" hidden="1">{#N/A,#N/A,TRUE,"Front";#N/A,#N/A,TRUE,"Simple Letter";#N/A,#N/A,TRUE,"Inside";#N/A,#N/A,TRUE,"Contents";#N/A,#N/A,TRUE,"Basis";#N/A,#N/A,TRUE,"Inclusions";#N/A,#N/A,TRUE,"Exclusions";#N/A,#N/A,TRUE,"Areas";#N/A,#N/A,TRUE,"Summary";#N/A,#N/A,TRUE,"Detail"}</definedName>
    <definedName name="_______________________hp10" hidden="1">{#N/A,#N/A,TRUE,"Front";#N/A,#N/A,TRUE,"Simple Letter";#N/A,#N/A,TRUE,"Inside";#N/A,#N/A,TRUE,"Contents";#N/A,#N/A,TRUE,"Basis";#N/A,#N/A,TRUE,"Inclusions";#N/A,#N/A,TRUE,"Exclusions";#N/A,#N/A,TRUE,"Areas";#N/A,#N/A,TRUE,"Summary";#N/A,#N/A,TRUE,"Detail"}</definedName>
    <definedName name="_______________________RAB002" localSheetId="2" hidden="1">{#N/A,#N/A,TRUE,"Front";#N/A,#N/A,TRUE,"Simple Letter";#N/A,#N/A,TRUE,"Inside";#N/A,#N/A,TRUE,"Contents";#N/A,#N/A,TRUE,"Basis";#N/A,#N/A,TRUE,"Inclusions";#N/A,#N/A,TRUE,"Exclusions";#N/A,#N/A,TRUE,"Areas";#N/A,#N/A,TRUE,"Summary";#N/A,#N/A,TRUE,"Detail"}</definedName>
    <definedName name="_______________________RAB002" hidden="1">{#N/A,#N/A,TRUE,"Front";#N/A,#N/A,TRUE,"Simple Letter";#N/A,#N/A,TRUE,"Inside";#N/A,#N/A,TRUE,"Contents";#N/A,#N/A,TRUE,"Basis";#N/A,#N/A,TRUE,"Inclusions";#N/A,#N/A,TRUE,"Exclusions";#N/A,#N/A,TRUE,"Areas";#N/A,#N/A,TRUE,"Summary";#N/A,#N/A,TRUE,"Detail"}</definedName>
    <definedName name="_______________________tem1" localSheetId="2" hidden="1">{#N/A,#N/A,TRUE,"Front";#N/A,#N/A,TRUE,"Simple Letter";#N/A,#N/A,TRUE,"Inside";#N/A,#N/A,TRUE,"Contents";#N/A,#N/A,TRUE,"Basis";#N/A,#N/A,TRUE,"Inclusions";#N/A,#N/A,TRUE,"Exclusions";#N/A,#N/A,TRUE,"Areas";#N/A,#N/A,TRUE,"Summary";#N/A,#N/A,TRUE,"Detail"}</definedName>
    <definedName name="_______________________tem1" hidden="1">{#N/A,#N/A,TRUE,"Front";#N/A,#N/A,TRUE,"Simple Letter";#N/A,#N/A,TRUE,"Inside";#N/A,#N/A,TRUE,"Contents";#N/A,#N/A,TRUE,"Basis";#N/A,#N/A,TRUE,"Inclusions";#N/A,#N/A,TRUE,"Exclusions";#N/A,#N/A,TRUE,"Areas";#N/A,#N/A,TRUE,"Summary";#N/A,#N/A,TRUE,"Detail"}</definedName>
    <definedName name="_______________________tm3" localSheetId="2" hidden="1">{#N/A,#N/A,TRUE,"Front";#N/A,#N/A,TRUE,"Simple Letter";#N/A,#N/A,TRUE,"Inside";#N/A,#N/A,TRUE,"Contents";#N/A,#N/A,TRUE,"Basis";#N/A,#N/A,TRUE,"Inclusions";#N/A,#N/A,TRUE,"Exclusions";#N/A,#N/A,TRUE,"Areas";#N/A,#N/A,TRUE,"Summary";#N/A,#N/A,TRUE,"Detail"}</definedName>
    <definedName name="_______________________tm3" hidden="1">{#N/A,#N/A,TRUE,"Front";#N/A,#N/A,TRUE,"Simple Letter";#N/A,#N/A,TRUE,"Inside";#N/A,#N/A,TRUE,"Contents";#N/A,#N/A,TRUE,"Basis";#N/A,#N/A,TRUE,"Inclusions";#N/A,#N/A,TRUE,"Exclusions";#N/A,#N/A,TRUE,"Areas";#N/A,#N/A,TRUE,"Summary";#N/A,#N/A,TRUE,"Detail"}</definedName>
    <definedName name="______________________cat12" localSheetId="2" hidden="1">{#N/A,#N/A,TRUE,"Front";#N/A,#N/A,TRUE,"Simple Letter";#N/A,#N/A,TRUE,"Inside";#N/A,#N/A,TRUE,"Contents";#N/A,#N/A,TRUE,"Basis";#N/A,#N/A,TRUE,"Inclusions";#N/A,#N/A,TRUE,"Exclusions";#N/A,#N/A,TRUE,"Areas";#N/A,#N/A,TRUE,"Summary";#N/A,#N/A,TRUE,"Detail"}</definedName>
    <definedName name="______________________cat12" hidden="1">{#N/A,#N/A,TRUE,"Front";#N/A,#N/A,TRUE,"Simple Letter";#N/A,#N/A,TRUE,"Inside";#N/A,#N/A,TRUE,"Contents";#N/A,#N/A,TRUE,"Basis";#N/A,#N/A,TRUE,"Inclusions";#N/A,#N/A,TRUE,"Exclusions";#N/A,#N/A,TRUE,"Areas";#N/A,#N/A,TRUE,"Summary";#N/A,#N/A,TRUE,"Detail"}</definedName>
    <definedName name="______________________hp10" hidden="1">{#N/A,#N/A,TRUE,"Front";#N/A,#N/A,TRUE,"Simple Letter";#N/A,#N/A,TRUE,"Inside";#N/A,#N/A,TRUE,"Contents";#N/A,#N/A,TRUE,"Basis";#N/A,#N/A,TRUE,"Inclusions";#N/A,#N/A,TRUE,"Exclusions";#N/A,#N/A,TRUE,"Areas";#N/A,#N/A,TRUE,"Summary";#N/A,#N/A,TRUE,"Detail"}</definedName>
    <definedName name="______________________RAB002" localSheetId="2" hidden="1">{#N/A,#N/A,TRUE,"Front";#N/A,#N/A,TRUE,"Simple Letter";#N/A,#N/A,TRUE,"Inside";#N/A,#N/A,TRUE,"Contents";#N/A,#N/A,TRUE,"Basis";#N/A,#N/A,TRUE,"Inclusions";#N/A,#N/A,TRUE,"Exclusions";#N/A,#N/A,TRUE,"Areas";#N/A,#N/A,TRUE,"Summary";#N/A,#N/A,TRUE,"Detail"}</definedName>
    <definedName name="______________________RAB002" hidden="1">{#N/A,#N/A,TRUE,"Front";#N/A,#N/A,TRUE,"Simple Letter";#N/A,#N/A,TRUE,"Inside";#N/A,#N/A,TRUE,"Contents";#N/A,#N/A,TRUE,"Basis";#N/A,#N/A,TRUE,"Inclusions";#N/A,#N/A,TRUE,"Exclusions";#N/A,#N/A,TRUE,"Areas";#N/A,#N/A,TRUE,"Summary";#N/A,#N/A,TRUE,"Detail"}</definedName>
    <definedName name="______________________tem1" localSheetId="2" hidden="1">{#N/A,#N/A,TRUE,"Front";#N/A,#N/A,TRUE,"Simple Letter";#N/A,#N/A,TRUE,"Inside";#N/A,#N/A,TRUE,"Contents";#N/A,#N/A,TRUE,"Basis";#N/A,#N/A,TRUE,"Inclusions";#N/A,#N/A,TRUE,"Exclusions";#N/A,#N/A,TRUE,"Areas";#N/A,#N/A,TRUE,"Summary";#N/A,#N/A,TRUE,"Detail"}</definedName>
    <definedName name="______________________tem1" hidden="1">{#N/A,#N/A,TRUE,"Front";#N/A,#N/A,TRUE,"Simple Letter";#N/A,#N/A,TRUE,"Inside";#N/A,#N/A,TRUE,"Contents";#N/A,#N/A,TRUE,"Basis";#N/A,#N/A,TRUE,"Inclusions";#N/A,#N/A,TRUE,"Exclusions";#N/A,#N/A,TRUE,"Areas";#N/A,#N/A,TRUE,"Summary";#N/A,#N/A,TRUE,"Detail"}</definedName>
    <definedName name="______________________tm3" localSheetId="2" hidden="1">{#N/A,#N/A,TRUE,"Front";#N/A,#N/A,TRUE,"Simple Letter";#N/A,#N/A,TRUE,"Inside";#N/A,#N/A,TRUE,"Contents";#N/A,#N/A,TRUE,"Basis";#N/A,#N/A,TRUE,"Inclusions";#N/A,#N/A,TRUE,"Exclusions";#N/A,#N/A,TRUE,"Areas";#N/A,#N/A,TRUE,"Summary";#N/A,#N/A,TRUE,"Detail"}</definedName>
    <definedName name="______________________tm3" hidden="1">{#N/A,#N/A,TRUE,"Front";#N/A,#N/A,TRUE,"Simple Letter";#N/A,#N/A,TRUE,"Inside";#N/A,#N/A,TRUE,"Contents";#N/A,#N/A,TRUE,"Basis";#N/A,#N/A,TRUE,"Inclusions";#N/A,#N/A,TRUE,"Exclusions";#N/A,#N/A,TRUE,"Areas";#N/A,#N/A,TRUE,"Summary";#N/A,#N/A,TRUE,"Detail"}</definedName>
    <definedName name="_____________________cat12" localSheetId="2" hidden="1">{#N/A,#N/A,TRUE,"Front";#N/A,#N/A,TRUE,"Simple Letter";#N/A,#N/A,TRUE,"Inside";#N/A,#N/A,TRUE,"Contents";#N/A,#N/A,TRUE,"Basis";#N/A,#N/A,TRUE,"Inclusions";#N/A,#N/A,TRUE,"Exclusions";#N/A,#N/A,TRUE,"Areas";#N/A,#N/A,TRUE,"Summary";#N/A,#N/A,TRUE,"Detail"}</definedName>
    <definedName name="_____________________cat12" hidden="1">{#N/A,#N/A,TRUE,"Front";#N/A,#N/A,TRUE,"Simple Letter";#N/A,#N/A,TRUE,"Inside";#N/A,#N/A,TRUE,"Contents";#N/A,#N/A,TRUE,"Basis";#N/A,#N/A,TRUE,"Inclusions";#N/A,#N/A,TRUE,"Exclusions";#N/A,#N/A,TRUE,"Areas";#N/A,#N/A,TRUE,"Summary";#N/A,#N/A,TRUE,"Detail"}</definedName>
    <definedName name="_____________________hp10" hidden="1">{#N/A,#N/A,TRUE,"Front";#N/A,#N/A,TRUE,"Simple Letter";#N/A,#N/A,TRUE,"Inside";#N/A,#N/A,TRUE,"Contents";#N/A,#N/A,TRUE,"Basis";#N/A,#N/A,TRUE,"Inclusions";#N/A,#N/A,TRUE,"Exclusions";#N/A,#N/A,TRUE,"Areas";#N/A,#N/A,TRUE,"Summary";#N/A,#N/A,TRUE,"Detail"}</definedName>
    <definedName name="_____________________PA1" hidden="1">{#N/A,#N/A,TRUE,"Front";#N/A,#N/A,TRUE,"Simple Letter";#N/A,#N/A,TRUE,"Inside";#N/A,#N/A,TRUE,"Contents";#N/A,#N/A,TRUE,"Basis";#N/A,#N/A,TRUE,"Inclusions";#N/A,#N/A,TRUE,"Exclusions";#N/A,#N/A,TRUE,"Areas";#N/A,#N/A,TRUE,"Summary";#N/A,#N/A,TRUE,"Detail"}</definedName>
    <definedName name="_____________________RAB002" localSheetId="2" hidden="1">{#N/A,#N/A,TRUE,"Front";#N/A,#N/A,TRUE,"Simple Letter";#N/A,#N/A,TRUE,"Inside";#N/A,#N/A,TRUE,"Contents";#N/A,#N/A,TRUE,"Basis";#N/A,#N/A,TRUE,"Inclusions";#N/A,#N/A,TRUE,"Exclusions";#N/A,#N/A,TRUE,"Areas";#N/A,#N/A,TRUE,"Summary";#N/A,#N/A,TRUE,"Detail"}</definedName>
    <definedName name="_____________________RAB002" hidden="1">{#N/A,#N/A,TRUE,"Front";#N/A,#N/A,TRUE,"Simple Letter";#N/A,#N/A,TRUE,"Inside";#N/A,#N/A,TRUE,"Contents";#N/A,#N/A,TRUE,"Basis";#N/A,#N/A,TRUE,"Inclusions";#N/A,#N/A,TRUE,"Exclusions";#N/A,#N/A,TRUE,"Areas";#N/A,#N/A,TRUE,"Summary";#N/A,#N/A,TRUE,"Detail"}</definedName>
    <definedName name="_____________________tem1" localSheetId="2" hidden="1">{#N/A,#N/A,TRUE,"Front";#N/A,#N/A,TRUE,"Simple Letter";#N/A,#N/A,TRUE,"Inside";#N/A,#N/A,TRUE,"Contents";#N/A,#N/A,TRUE,"Basis";#N/A,#N/A,TRUE,"Inclusions";#N/A,#N/A,TRUE,"Exclusions";#N/A,#N/A,TRUE,"Areas";#N/A,#N/A,TRUE,"Summary";#N/A,#N/A,TRUE,"Detail"}</definedName>
    <definedName name="_____________________tem1" hidden="1">{#N/A,#N/A,TRUE,"Front";#N/A,#N/A,TRUE,"Simple Letter";#N/A,#N/A,TRUE,"Inside";#N/A,#N/A,TRUE,"Contents";#N/A,#N/A,TRUE,"Basis";#N/A,#N/A,TRUE,"Inclusions";#N/A,#N/A,TRUE,"Exclusions";#N/A,#N/A,TRUE,"Areas";#N/A,#N/A,TRUE,"Summary";#N/A,#N/A,TRUE,"Detail"}</definedName>
    <definedName name="_____________________tm3" localSheetId="2" hidden="1">{#N/A,#N/A,TRUE,"Front";#N/A,#N/A,TRUE,"Simple Letter";#N/A,#N/A,TRUE,"Inside";#N/A,#N/A,TRUE,"Contents";#N/A,#N/A,TRUE,"Basis";#N/A,#N/A,TRUE,"Inclusions";#N/A,#N/A,TRUE,"Exclusions";#N/A,#N/A,TRUE,"Areas";#N/A,#N/A,TRUE,"Summary";#N/A,#N/A,TRUE,"Detail"}</definedName>
    <definedName name="_____________________tm3" hidden="1">{#N/A,#N/A,TRUE,"Front";#N/A,#N/A,TRUE,"Simple Letter";#N/A,#N/A,TRUE,"Inside";#N/A,#N/A,TRUE,"Contents";#N/A,#N/A,TRUE,"Basis";#N/A,#N/A,TRUE,"Inclusions";#N/A,#N/A,TRUE,"Exclusions";#N/A,#N/A,TRUE,"Areas";#N/A,#N/A,TRUE,"Summary";#N/A,#N/A,TRUE,"Detail"}</definedName>
    <definedName name="____________________cat12" localSheetId="2" hidden="1">{#N/A,#N/A,TRUE,"Front";#N/A,#N/A,TRUE,"Simple Letter";#N/A,#N/A,TRUE,"Inside";#N/A,#N/A,TRUE,"Contents";#N/A,#N/A,TRUE,"Basis";#N/A,#N/A,TRUE,"Inclusions";#N/A,#N/A,TRUE,"Exclusions";#N/A,#N/A,TRUE,"Areas";#N/A,#N/A,TRUE,"Summary";#N/A,#N/A,TRUE,"Detail"}</definedName>
    <definedName name="____________________cat12" hidden="1">{#N/A,#N/A,TRUE,"Front";#N/A,#N/A,TRUE,"Simple Letter";#N/A,#N/A,TRUE,"Inside";#N/A,#N/A,TRUE,"Contents";#N/A,#N/A,TRUE,"Basis";#N/A,#N/A,TRUE,"Inclusions";#N/A,#N/A,TRUE,"Exclusions";#N/A,#N/A,TRUE,"Areas";#N/A,#N/A,TRUE,"Summary";#N/A,#N/A,TRUE,"Detail"}</definedName>
    <definedName name="____________________hp10" hidden="1">{#N/A,#N/A,TRUE,"Front";#N/A,#N/A,TRUE,"Simple Letter";#N/A,#N/A,TRUE,"Inside";#N/A,#N/A,TRUE,"Contents";#N/A,#N/A,TRUE,"Basis";#N/A,#N/A,TRUE,"Inclusions";#N/A,#N/A,TRUE,"Exclusions";#N/A,#N/A,TRUE,"Areas";#N/A,#N/A,TRUE,"Summary";#N/A,#N/A,TRUE,"Detail"}</definedName>
    <definedName name="____________________PA1" hidden="1">{#N/A,#N/A,TRUE,"Front";#N/A,#N/A,TRUE,"Simple Letter";#N/A,#N/A,TRUE,"Inside";#N/A,#N/A,TRUE,"Contents";#N/A,#N/A,TRUE,"Basis";#N/A,#N/A,TRUE,"Inclusions";#N/A,#N/A,TRUE,"Exclusions";#N/A,#N/A,TRUE,"Areas";#N/A,#N/A,TRUE,"Summary";#N/A,#N/A,TRUE,"Detail"}</definedName>
    <definedName name="____________________RAB002" localSheetId="2" hidden="1">{#N/A,#N/A,TRUE,"Front";#N/A,#N/A,TRUE,"Simple Letter";#N/A,#N/A,TRUE,"Inside";#N/A,#N/A,TRUE,"Contents";#N/A,#N/A,TRUE,"Basis";#N/A,#N/A,TRUE,"Inclusions";#N/A,#N/A,TRUE,"Exclusions";#N/A,#N/A,TRUE,"Areas";#N/A,#N/A,TRUE,"Summary";#N/A,#N/A,TRUE,"Detail"}</definedName>
    <definedName name="____________________RAB002" hidden="1">{#N/A,#N/A,TRUE,"Front";#N/A,#N/A,TRUE,"Simple Letter";#N/A,#N/A,TRUE,"Inside";#N/A,#N/A,TRUE,"Contents";#N/A,#N/A,TRUE,"Basis";#N/A,#N/A,TRUE,"Inclusions";#N/A,#N/A,TRUE,"Exclusions";#N/A,#N/A,TRUE,"Areas";#N/A,#N/A,TRUE,"Summary";#N/A,#N/A,TRUE,"Detail"}</definedName>
    <definedName name="____________________tem1" localSheetId="2" hidden="1">{#N/A,#N/A,TRUE,"Front";#N/A,#N/A,TRUE,"Simple Letter";#N/A,#N/A,TRUE,"Inside";#N/A,#N/A,TRUE,"Contents";#N/A,#N/A,TRUE,"Basis";#N/A,#N/A,TRUE,"Inclusions";#N/A,#N/A,TRUE,"Exclusions";#N/A,#N/A,TRUE,"Areas";#N/A,#N/A,TRUE,"Summary";#N/A,#N/A,TRUE,"Detail"}</definedName>
    <definedName name="____________________tem1" hidden="1">{#N/A,#N/A,TRUE,"Front";#N/A,#N/A,TRUE,"Simple Letter";#N/A,#N/A,TRUE,"Inside";#N/A,#N/A,TRUE,"Contents";#N/A,#N/A,TRUE,"Basis";#N/A,#N/A,TRUE,"Inclusions";#N/A,#N/A,TRUE,"Exclusions";#N/A,#N/A,TRUE,"Areas";#N/A,#N/A,TRUE,"Summary";#N/A,#N/A,TRUE,"Detail"}</definedName>
    <definedName name="____________________tm3" localSheetId="2" hidden="1">{#N/A,#N/A,TRUE,"Front";#N/A,#N/A,TRUE,"Simple Letter";#N/A,#N/A,TRUE,"Inside";#N/A,#N/A,TRUE,"Contents";#N/A,#N/A,TRUE,"Basis";#N/A,#N/A,TRUE,"Inclusions";#N/A,#N/A,TRUE,"Exclusions";#N/A,#N/A,TRUE,"Areas";#N/A,#N/A,TRUE,"Summary";#N/A,#N/A,TRUE,"Detail"}</definedName>
    <definedName name="____________________tm3" hidden="1">{#N/A,#N/A,TRUE,"Front";#N/A,#N/A,TRUE,"Simple Letter";#N/A,#N/A,TRUE,"Inside";#N/A,#N/A,TRUE,"Contents";#N/A,#N/A,TRUE,"Basis";#N/A,#N/A,TRUE,"Inclusions";#N/A,#N/A,TRUE,"Exclusions";#N/A,#N/A,TRUE,"Areas";#N/A,#N/A,TRUE,"Summary";#N/A,#N/A,TRUE,"Detail"}</definedName>
    <definedName name="___________________cat12" localSheetId="2" hidden="1">{#N/A,#N/A,TRUE,"Front";#N/A,#N/A,TRUE,"Simple Letter";#N/A,#N/A,TRUE,"Inside";#N/A,#N/A,TRUE,"Contents";#N/A,#N/A,TRUE,"Basis";#N/A,#N/A,TRUE,"Inclusions";#N/A,#N/A,TRUE,"Exclusions";#N/A,#N/A,TRUE,"Areas";#N/A,#N/A,TRUE,"Summary";#N/A,#N/A,TRUE,"Detail"}</definedName>
    <definedName name="___________________cat12" hidden="1">{#N/A,#N/A,TRUE,"Front";#N/A,#N/A,TRUE,"Simple Letter";#N/A,#N/A,TRUE,"Inside";#N/A,#N/A,TRUE,"Contents";#N/A,#N/A,TRUE,"Basis";#N/A,#N/A,TRUE,"Inclusions";#N/A,#N/A,TRUE,"Exclusions";#N/A,#N/A,TRUE,"Areas";#N/A,#N/A,TRUE,"Summary";#N/A,#N/A,TRUE,"Detail"}</definedName>
    <definedName name="___________________hp10" hidden="1">{#N/A,#N/A,TRUE,"Front";#N/A,#N/A,TRUE,"Simple Letter";#N/A,#N/A,TRUE,"Inside";#N/A,#N/A,TRUE,"Contents";#N/A,#N/A,TRUE,"Basis";#N/A,#N/A,TRUE,"Inclusions";#N/A,#N/A,TRUE,"Exclusions";#N/A,#N/A,TRUE,"Areas";#N/A,#N/A,TRUE,"Summary";#N/A,#N/A,TRUE,"Detail"}</definedName>
    <definedName name="___________________RAB002" localSheetId="2" hidden="1">{#N/A,#N/A,TRUE,"Front";#N/A,#N/A,TRUE,"Simple Letter";#N/A,#N/A,TRUE,"Inside";#N/A,#N/A,TRUE,"Contents";#N/A,#N/A,TRUE,"Basis";#N/A,#N/A,TRUE,"Inclusions";#N/A,#N/A,TRUE,"Exclusions";#N/A,#N/A,TRUE,"Areas";#N/A,#N/A,TRUE,"Summary";#N/A,#N/A,TRUE,"Detail"}</definedName>
    <definedName name="___________________RAB002" hidden="1">{#N/A,#N/A,TRUE,"Front";#N/A,#N/A,TRUE,"Simple Letter";#N/A,#N/A,TRUE,"Inside";#N/A,#N/A,TRUE,"Contents";#N/A,#N/A,TRUE,"Basis";#N/A,#N/A,TRUE,"Inclusions";#N/A,#N/A,TRUE,"Exclusions";#N/A,#N/A,TRUE,"Areas";#N/A,#N/A,TRUE,"Summary";#N/A,#N/A,TRUE,"Detail"}</definedName>
    <definedName name="___________________tem1" localSheetId="2" hidden="1">{#N/A,#N/A,TRUE,"Front";#N/A,#N/A,TRUE,"Simple Letter";#N/A,#N/A,TRUE,"Inside";#N/A,#N/A,TRUE,"Contents";#N/A,#N/A,TRUE,"Basis";#N/A,#N/A,TRUE,"Inclusions";#N/A,#N/A,TRUE,"Exclusions";#N/A,#N/A,TRUE,"Areas";#N/A,#N/A,TRUE,"Summary";#N/A,#N/A,TRUE,"Detail"}</definedName>
    <definedName name="___________________tem1" hidden="1">{#N/A,#N/A,TRUE,"Front";#N/A,#N/A,TRUE,"Simple Letter";#N/A,#N/A,TRUE,"Inside";#N/A,#N/A,TRUE,"Contents";#N/A,#N/A,TRUE,"Basis";#N/A,#N/A,TRUE,"Inclusions";#N/A,#N/A,TRUE,"Exclusions";#N/A,#N/A,TRUE,"Areas";#N/A,#N/A,TRUE,"Summary";#N/A,#N/A,TRUE,"Detail"}</definedName>
    <definedName name="___________________tm3" localSheetId="2" hidden="1">{#N/A,#N/A,TRUE,"Front";#N/A,#N/A,TRUE,"Simple Letter";#N/A,#N/A,TRUE,"Inside";#N/A,#N/A,TRUE,"Contents";#N/A,#N/A,TRUE,"Basis";#N/A,#N/A,TRUE,"Inclusions";#N/A,#N/A,TRUE,"Exclusions";#N/A,#N/A,TRUE,"Areas";#N/A,#N/A,TRUE,"Summary";#N/A,#N/A,TRUE,"Detail"}</definedName>
    <definedName name="___________________tm3" hidden="1">{#N/A,#N/A,TRUE,"Front";#N/A,#N/A,TRUE,"Simple Letter";#N/A,#N/A,TRUE,"Inside";#N/A,#N/A,TRUE,"Contents";#N/A,#N/A,TRUE,"Basis";#N/A,#N/A,TRUE,"Inclusions";#N/A,#N/A,TRUE,"Exclusions";#N/A,#N/A,TRUE,"Areas";#N/A,#N/A,TRUE,"Summary";#N/A,#N/A,TRUE,"Detail"}</definedName>
    <definedName name="__________________cat12" localSheetId="2" hidden="1">{#N/A,#N/A,TRUE,"Front";#N/A,#N/A,TRUE,"Simple Letter";#N/A,#N/A,TRUE,"Inside";#N/A,#N/A,TRUE,"Contents";#N/A,#N/A,TRUE,"Basis";#N/A,#N/A,TRUE,"Inclusions";#N/A,#N/A,TRUE,"Exclusions";#N/A,#N/A,TRUE,"Areas";#N/A,#N/A,TRUE,"Summary";#N/A,#N/A,TRUE,"Detail"}</definedName>
    <definedName name="__________________cat12" hidden="1">{#N/A,#N/A,TRUE,"Front";#N/A,#N/A,TRUE,"Simple Letter";#N/A,#N/A,TRUE,"Inside";#N/A,#N/A,TRUE,"Contents";#N/A,#N/A,TRUE,"Basis";#N/A,#N/A,TRUE,"Inclusions";#N/A,#N/A,TRUE,"Exclusions";#N/A,#N/A,TRUE,"Areas";#N/A,#N/A,TRUE,"Summary";#N/A,#N/A,TRUE,"Detail"}</definedName>
    <definedName name="__________________hp10" hidden="1">{#N/A,#N/A,TRUE,"Front";#N/A,#N/A,TRUE,"Simple Letter";#N/A,#N/A,TRUE,"Inside";#N/A,#N/A,TRUE,"Contents";#N/A,#N/A,TRUE,"Basis";#N/A,#N/A,TRUE,"Inclusions";#N/A,#N/A,TRUE,"Exclusions";#N/A,#N/A,TRUE,"Areas";#N/A,#N/A,TRUE,"Summary";#N/A,#N/A,TRUE,"Detail"}</definedName>
    <definedName name="__________________PA1" hidden="1">{#N/A,#N/A,TRUE,"Front";#N/A,#N/A,TRUE,"Simple Letter";#N/A,#N/A,TRUE,"Inside";#N/A,#N/A,TRUE,"Contents";#N/A,#N/A,TRUE,"Basis";#N/A,#N/A,TRUE,"Inclusions";#N/A,#N/A,TRUE,"Exclusions";#N/A,#N/A,TRUE,"Areas";#N/A,#N/A,TRUE,"Summary";#N/A,#N/A,TRUE,"Detail"}</definedName>
    <definedName name="__________________RAB002" localSheetId="2" hidden="1">{#N/A,#N/A,TRUE,"Front";#N/A,#N/A,TRUE,"Simple Letter";#N/A,#N/A,TRUE,"Inside";#N/A,#N/A,TRUE,"Contents";#N/A,#N/A,TRUE,"Basis";#N/A,#N/A,TRUE,"Inclusions";#N/A,#N/A,TRUE,"Exclusions";#N/A,#N/A,TRUE,"Areas";#N/A,#N/A,TRUE,"Summary";#N/A,#N/A,TRUE,"Detail"}</definedName>
    <definedName name="__________________RAB002" hidden="1">{#N/A,#N/A,TRUE,"Front";#N/A,#N/A,TRUE,"Simple Letter";#N/A,#N/A,TRUE,"Inside";#N/A,#N/A,TRUE,"Contents";#N/A,#N/A,TRUE,"Basis";#N/A,#N/A,TRUE,"Inclusions";#N/A,#N/A,TRUE,"Exclusions";#N/A,#N/A,TRUE,"Areas";#N/A,#N/A,TRUE,"Summary";#N/A,#N/A,TRUE,"Detail"}</definedName>
    <definedName name="__________________tem1" localSheetId="2" hidden="1">{#N/A,#N/A,TRUE,"Front";#N/A,#N/A,TRUE,"Simple Letter";#N/A,#N/A,TRUE,"Inside";#N/A,#N/A,TRUE,"Contents";#N/A,#N/A,TRUE,"Basis";#N/A,#N/A,TRUE,"Inclusions";#N/A,#N/A,TRUE,"Exclusions";#N/A,#N/A,TRUE,"Areas";#N/A,#N/A,TRUE,"Summary";#N/A,#N/A,TRUE,"Detail"}</definedName>
    <definedName name="__________________tem1" hidden="1">{#N/A,#N/A,TRUE,"Front";#N/A,#N/A,TRUE,"Simple Letter";#N/A,#N/A,TRUE,"Inside";#N/A,#N/A,TRUE,"Contents";#N/A,#N/A,TRUE,"Basis";#N/A,#N/A,TRUE,"Inclusions";#N/A,#N/A,TRUE,"Exclusions";#N/A,#N/A,TRUE,"Areas";#N/A,#N/A,TRUE,"Summary";#N/A,#N/A,TRUE,"Detail"}</definedName>
    <definedName name="__________________tm3" localSheetId="2" hidden="1">{#N/A,#N/A,TRUE,"Front";#N/A,#N/A,TRUE,"Simple Letter";#N/A,#N/A,TRUE,"Inside";#N/A,#N/A,TRUE,"Contents";#N/A,#N/A,TRUE,"Basis";#N/A,#N/A,TRUE,"Inclusions";#N/A,#N/A,TRUE,"Exclusions";#N/A,#N/A,TRUE,"Areas";#N/A,#N/A,TRUE,"Summary";#N/A,#N/A,TRUE,"Detail"}</definedName>
    <definedName name="__________________tm3" hidden="1">{#N/A,#N/A,TRUE,"Front";#N/A,#N/A,TRUE,"Simple Letter";#N/A,#N/A,TRUE,"Inside";#N/A,#N/A,TRUE,"Contents";#N/A,#N/A,TRUE,"Basis";#N/A,#N/A,TRUE,"Inclusions";#N/A,#N/A,TRUE,"Exclusions";#N/A,#N/A,TRUE,"Areas";#N/A,#N/A,TRUE,"Summary";#N/A,#N/A,TRUE,"Detail"}</definedName>
    <definedName name="_________________cat12" localSheetId="2" hidden="1">{#N/A,#N/A,TRUE,"Front";#N/A,#N/A,TRUE,"Simple Letter";#N/A,#N/A,TRUE,"Inside";#N/A,#N/A,TRUE,"Contents";#N/A,#N/A,TRUE,"Basis";#N/A,#N/A,TRUE,"Inclusions";#N/A,#N/A,TRUE,"Exclusions";#N/A,#N/A,TRUE,"Areas";#N/A,#N/A,TRUE,"Summary";#N/A,#N/A,TRUE,"Detail"}</definedName>
    <definedName name="_________________cat12" hidden="1">{#N/A,#N/A,TRUE,"Front";#N/A,#N/A,TRUE,"Simple Letter";#N/A,#N/A,TRUE,"Inside";#N/A,#N/A,TRUE,"Contents";#N/A,#N/A,TRUE,"Basis";#N/A,#N/A,TRUE,"Inclusions";#N/A,#N/A,TRUE,"Exclusions";#N/A,#N/A,TRUE,"Areas";#N/A,#N/A,TRUE,"Summary";#N/A,#N/A,TRUE,"Detail"}</definedName>
    <definedName name="_________________hp10" hidden="1">{#N/A,#N/A,TRUE,"Front";#N/A,#N/A,TRUE,"Simple Letter";#N/A,#N/A,TRUE,"Inside";#N/A,#N/A,TRUE,"Contents";#N/A,#N/A,TRUE,"Basis";#N/A,#N/A,TRUE,"Inclusions";#N/A,#N/A,TRUE,"Exclusions";#N/A,#N/A,TRUE,"Areas";#N/A,#N/A,TRUE,"Summary";#N/A,#N/A,TRUE,"Detail"}</definedName>
    <definedName name="_________________PA1" hidden="1">{#N/A,#N/A,TRUE,"Front";#N/A,#N/A,TRUE,"Simple Letter";#N/A,#N/A,TRUE,"Inside";#N/A,#N/A,TRUE,"Contents";#N/A,#N/A,TRUE,"Basis";#N/A,#N/A,TRUE,"Inclusions";#N/A,#N/A,TRUE,"Exclusions";#N/A,#N/A,TRUE,"Areas";#N/A,#N/A,TRUE,"Summary";#N/A,#N/A,TRUE,"Detail"}</definedName>
    <definedName name="_________________RAB002" localSheetId="2" hidden="1">{#N/A,#N/A,TRUE,"Front";#N/A,#N/A,TRUE,"Simple Letter";#N/A,#N/A,TRUE,"Inside";#N/A,#N/A,TRUE,"Contents";#N/A,#N/A,TRUE,"Basis";#N/A,#N/A,TRUE,"Inclusions";#N/A,#N/A,TRUE,"Exclusions";#N/A,#N/A,TRUE,"Areas";#N/A,#N/A,TRUE,"Summary";#N/A,#N/A,TRUE,"Detail"}</definedName>
    <definedName name="_________________RAB002" hidden="1">{#N/A,#N/A,TRUE,"Front";#N/A,#N/A,TRUE,"Simple Letter";#N/A,#N/A,TRUE,"Inside";#N/A,#N/A,TRUE,"Contents";#N/A,#N/A,TRUE,"Basis";#N/A,#N/A,TRUE,"Inclusions";#N/A,#N/A,TRUE,"Exclusions";#N/A,#N/A,TRUE,"Areas";#N/A,#N/A,TRUE,"Summary";#N/A,#N/A,TRUE,"Detail"}</definedName>
    <definedName name="_________________tem1" localSheetId="2" hidden="1">{#N/A,#N/A,TRUE,"Front";#N/A,#N/A,TRUE,"Simple Letter";#N/A,#N/A,TRUE,"Inside";#N/A,#N/A,TRUE,"Contents";#N/A,#N/A,TRUE,"Basis";#N/A,#N/A,TRUE,"Inclusions";#N/A,#N/A,TRUE,"Exclusions";#N/A,#N/A,TRUE,"Areas";#N/A,#N/A,TRUE,"Summary";#N/A,#N/A,TRUE,"Detail"}</definedName>
    <definedName name="_________________tem1" hidden="1">{#N/A,#N/A,TRUE,"Front";#N/A,#N/A,TRUE,"Simple Letter";#N/A,#N/A,TRUE,"Inside";#N/A,#N/A,TRUE,"Contents";#N/A,#N/A,TRUE,"Basis";#N/A,#N/A,TRUE,"Inclusions";#N/A,#N/A,TRUE,"Exclusions";#N/A,#N/A,TRUE,"Areas";#N/A,#N/A,TRUE,"Summary";#N/A,#N/A,TRUE,"Detail"}</definedName>
    <definedName name="_________________tm3" localSheetId="2" hidden="1">{#N/A,#N/A,TRUE,"Front";#N/A,#N/A,TRUE,"Simple Letter";#N/A,#N/A,TRUE,"Inside";#N/A,#N/A,TRUE,"Contents";#N/A,#N/A,TRUE,"Basis";#N/A,#N/A,TRUE,"Inclusions";#N/A,#N/A,TRUE,"Exclusions";#N/A,#N/A,TRUE,"Areas";#N/A,#N/A,TRUE,"Summary";#N/A,#N/A,TRUE,"Detail"}</definedName>
    <definedName name="_________________tm3" hidden="1">{#N/A,#N/A,TRUE,"Front";#N/A,#N/A,TRUE,"Simple Letter";#N/A,#N/A,TRUE,"Inside";#N/A,#N/A,TRUE,"Contents";#N/A,#N/A,TRUE,"Basis";#N/A,#N/A,TRUE,"Inclusions";#N/A,#N/A,TRUE,"Exclusions";#N/A,#N/A,TRUE,"Areas";#N/A,#N/A,TRUE,"Summary";#N/A,#N/A,TRUE,"Detail"}</definedName>
    <definedName name="________________cat12" localSheetId="2" hidden="1">{#N/A,#N/A,TRUE,"Front";#N/A,#N/A,TRUE,"Simple Letter";#N/A,#N/A,TRUE,"Inside";#N/A,#N/A,TRUE,"Contents";#N/A,#N/A,TRUE,"Basis";#N/A,#N/A,TRUE,"Inclusions";#N/A,#N/A,TRUE,"Exclusions";#N/A,#N/A,TRUE,"Areas";#N/A,#N/A,TRUE,"Summary";#N/A,#N/A,TRUE,"Detail"}</definedName>
    <definedName name="________________cat12" hidden="1">{#N/A,#N/A,TRUE,"Front";#N/A,#N/A,TRUE,"Simple Letter";#N/A,#N/A,TRUE,"Inside";#N/A,#N/A,TRUE,"Contents";#N/A,#N/A,TRUE,"Basis";#N/A,#N/A,TRUE,"Inclusions";#N/A,#N/A,TRUE,"Exclusions";#N/A,#N/A,TRUE,"Areas";#N/A,#N/A,TRUE,"Summary";#N/A,#N/A,TRUE,"Detail"}</definedName>
    <definedName name="________________hp10" hidden="1">{#N/A,#N/A,TRUE,"Front";#N/A,#N/A,TRUE,"Simple Letter";#N/A,#N/A,TRUE,"Inside";#N/A,#N/A,TRUE,"Contents";#N/A,#N/A,TRUE,"Basis";#N/A,#N/A,TRUE,"Inclusions";#N/A,#N/A,TRUE,"Exclusions";#N/A,#N/A,TRUE,"Areas";#N/A,#N/A,TRUE,"Summary";#N/A,#N/A,TRUE,"Detail"}</definedName>
    <definedName name="________________RAB002" localSheetId="2" hidden="1">{#N/A,#N/A,TRUE,"Front";#N/A,#N/A,TRUE,"Simple Letter";#N/A,#N/A,TRUE,"Inside";#N/A,#N/A,TRUE,"Contents";#N/A,#N/A,TRUE,"Basis";#N/A,#N/A,TRUE,"Inclusions";#N/A,#N/A,TRUE,"Exclusions";#N/A,#N/A,TRUE,"Areas";#N/A,#N/A,TRUE,"Summary";#N/A,#N/A,TRUE,"Detail"}</definedName>
    <definedName name="________________RAB002" hidden="1">{#N/A,#N/A,TRUE,"Front";#N/A,#N/A,TRUE,"Simple Letter";#N/A,#N/A,TRUE,"Inside";#N/A,#N/A,TRUE,"Contents";#N/A,#N/A,TRUE,"Basis";#N/A,#N/A,TRUE,"Inclusions";#N/A,#N/A,TRUE,"Exclusions";#N/A,#N/A,TRUE,"Areas";#N/A,#N/A,TRUE,"Summary";#N/A,#N/A,TRUE,"Detail"}</definedName>
    <definedName name="________________tem1" localSheetId="2" hidden="1">{#N/A,#N/A,TRUE,"Front";#N/A,#N/A,TRUE,"Simple Letter";#N/A,#N/A,TRUE,"Inside";#N/A,#N/A,TRUE,"Contents";#N/A,#N/A,TRUE,"Basis";#N/A,#N/A,TRUE,"Inclusions";#N/A,#N/A,TRUE,"Exclusions";#N/A,#N/A,TRUE,"Areas";#N/A,#N/A,TRUE,"Summary";#N/A,#N/A,TRUE,"Detail"}</definedName>
    <definedName name="________________tem1" hidden="1">{#N/A,#N/A,TRUE,"Front";#N/A,#N/A,TRUE,"Simple Letter";#N/A,#N/A,TRUE,"Inside";#N/A,#N/A,TRUE,"Contents";#N/A,#N/A,TRUE,"Basis";#N/A,#N/A,TRUE,"Inclusions";#N/A,#N/A,TRUE,"Exclusions";#N/A,#N/A,TRUE,"Areas";#N/A,#N/A,TRUE,"Summary";#N/A,#N/A,TRUE,"Detail"}</definedName>
    <definedName name="________________tm3" localSheetId="2" hidden="1">{#N/A,#N/A,TRUE,"Front";#N/A,#N/A,TRUE,"Simple Letter";#N/A,#N/A,TRUE,"Inside";#N/A,#N/A,TRUE,"Contents";#N/A,#N/A,TRUE,"Basis";#N/A,#N/A,TRUE,"Inclusions";#N/A,#N/A,TRUE,"Exclusions";#N/A,#N/A,TRUE,"Areas";#N/A,#N/A,TRUE,"Summary";#N/A,#N/A,TRUE,"Detail"}</definedName>
    <definedName name="________________tm3" hidden="1">{#N/A,#N/A,TRUE,"Front";#N/A,#N/A,TRUE,"Simple Letter";#N/A,#N/A,TRUE,"Inside";#N/A,#N/A,TRUE,"Contents";#N/A,#N/A,TRUE,"Basis";#N/A,#N/A,TRUE,"Inclusions";#N/A,#N/A,TRUE,"Exclusions";#N/A,#N/A,TRUE,"Areas";#N/A,#N/A,TRUE,"Summary";#N/A,#N/A,TRUE,"Detail"}</definedName>
    <definedName name="_______________hp10" hidden="1">{#N/A,#N/A,TRUE,"Front";#N/A,#N/A,TRUE,"Simple Letter";#N/A,#N/A,TRUE,"Inside";#N/A,#N/A,TRUE,"Contents";#N/A,#N/A,TRUE,"Basis";#N/A,#N/A,TRUE,"Inclusions";#N/A,#N/A,TRUE,"Exclusions";#N/A,#N/A,TRUE,"Areas";#N/A,#N/A,TRUE,"Summary";#N/A,#N/A,TRUE,"Detail"}</definedName>
    <definedName name="_______________PA1" hidden="1">{#N/A,#N/A,TRUE,"Front";#N/A,#N/A,TRUE,"Simple Letter";#N/A,#N/A,TRUE,"Inside";#N/A,#N/A,TRUE,"Contents";#N/A,#N/A,TRUE,"Basis";#N/A,#N/A,TRUE,"Inclusions";#N/A,#N/A,TRUE,"Exclusions";#N/A,#N/A,TRUE,"Areas";#N/A,#N/A,TRUE,"Summary";#N/A,#N/A,TRUE,"Detail"}</definedName>
    <definedName name="_______________RAB002" localSheetId="2" hidden="1">{#N/A,#N/A,TRUE,"Front";#N/A,#N/A,TRUE,"Simple Letter";#N/A,#N/A,TRUE,"Inside";#N/A,#N/A,TRUE,"Contents";#N/A,#N/A,TRUE,"Basis";#N/A,#N/A,TRUE,"Inclusions";#N/A,#N/A,TRUE,"Exclusions";#N/A,#N/A,TRUE,"Areas";#N/A,#N/A,TRUE,"Summary";#N/A,#N/A,TRUE,"Detail"}</definedName>
    <definedName name="_______________RAB002" hidden="1">{#N/A,#N/A,TRUE,"Front";#N/A,#N/A,TRUE,"Simple Letter";#N/A,#N/A,TRUE,"Inside";#N/A,#N/A,TRUE,"Contents";#N/A,#N/A,TRUE,"Basis";#N/A,#N/A,TRUE,"Inclusions";#N/A,#N/A,TRUE,"Exclusions";#N/A,#N/A,TRUE,"Areas";#N/A,#N/A,TRUE,"Summary";#N/A,#N/A,TRUE,"Detail"}</definedName>
    <definedName name="_______________tem1" localSheetId="2" hidden="1">{#N/A,#N/A,TRUE,"Front";#N/A,#N/A,TRUE,"Simple Letter";#N/A,#N/A,TRUE,"Inside";#N/A,#N/A,TRUE,"Contents";#N/A,#N/A,TRUE,"Basis";#N/A,#N/A,TRUE,"Inclusions";#N/A,#N/A,TRUE,"Exclusions";#N/A,#N/A,TRUE,"Areas";#N/A,#N/A,TRUE,"Summary";#N/A,#N/A,TRUE,"Detail"}</definedName>
    <definedName name="_______________tem1" hidden="1">{#N/A,#N/A,TRUE,"Front";#N/A,#N/A,TRUE,"Simple Letter";#N/A,#N/A,TRUE,"Inside";#N/A,#N/A,TRUE,"Contents";#N/A,#N/A,TRUE,"Basis";#N/A,#N/A,TRUE,"Inclusions";#N/A,#N/A,TRUE,"Exclusions";#N/A,#N/A,TRUE,"Areas";#N/A,#N/A,TRUE,"Summary";#N/A,#N/A,TRUE,"Detail"}</definedName>
    <definedName name="_______________tm3" localSheetId="2" hidden="1">{#N/A,#N/A,TRUE,"Front";#N/A,#N/A,TRUE,"Simple Letter";#N/A,#N/A,TRUE,"Inside";#N/A,#N/A,TRUE,"Contents";#N/A,#N/A,TRUE,"Basis";#N/A,#N/A,TRUE,"Inclusions";#N/A,#N/A,TRUE,"Exclusions";#N/A,#N/A,TRUE,"Areas";#N/A,#N/A,TRUE,"Summary";#N/A,#N/A,TRUE,"Detail"}</definedName>
    <definedName name="_______________tm3" hidden="1">{#N/A,#N/A,TRUE,"Front";#N/A,#N/A,TRUE,"Simple Letter";#N/A,#N/A,TRUE,"Inside";#N/A,#N/A,TRUE,"Contents";#N/A,#N/A,TRUE,"Basis";#N/A,#N/A,TRUE,"Inclusions";#N/A,#N/A,TRUE,"Exclusions";#N/A,#N/A,TRUE,"Areas";#N/A,#N/A,TRUE,"Summary";#N/A,#N/A,TRUE,"Detail"}</definedName>
    <definedName name="______________cat12" localSheetId="2" hidden="1">{#N/A,#N/A,TRUE,"Front";#N/A,#N/A,TRUE,"Simple Letter";#N/A,#N/A,TRUE,"Inside";#N/A,#N/A,TRUE,"Contents";#N/A,#N/A,TRUE,"Basis";#N/A,#N/A,TRUE,"Inclusions";#N/A,#N/A,TRUE,"Exclusions";#N/A,#N/A,TRUE,"Areas";#N/A,#N/A,TRUE,"Summary";#N/A,#N/A,TRUE,"Detail"}</definedName>
    <definedName name="______________cat12" hidden="1">{#N/A,#N/A,TRUE,"Front";#N/A,#N/A,TRUE,"Simple Letter";#N/A,#N/A,TRUE,"Inside";#N/A,#N/A,TRUE,"Contents";#N/A,#N/A,TRUE,"Basis";#N/A,#N/A,TRUE,"Inclusions";#N/A,#N/A,TRUE,"Exclusions";#N/A,#N/A,TRUE,"Areas";#N/A,#N/A,TRUE,"Summary";#N/A,#N/A,TRUE,"Detail"}</definedName>
    <definedName name="______________hp10" hidden="1">{#N/A,#N/A,TRUE,"Front";#N/A,#N/A,TRUE,"Simple Letter";#N/A,#N/A,TRUE,"Inside";#N/A,#N/A,TRUE,"Contents";#N/A,#N/A,TRUE,"Basis";#N/A,#N/A,TRUE,"Inclusions";#N/A,#N/A,TRUE,"Exclusions";#N/A,#N/A,TRUE,"Areas";#N/A,#N/A,TRUE,"Summary";#N/A,#N/A,TRUE,"Detail"}</definedName>
    <definedName name="______________PA1" hidden="1">{#N/A,#N/A,TRUE,"Front";#N/A,#N/A,TRUE,"Simple Letter";#N/A,#N/A,TRUE,"Inside";#N/A,#N/A,TRUE,"Contents";#N/A,#N/A,TRUE,"Basis";#N/A,#N/A,TRUE,"Inclusions";#N/A,#N/A,TRUE,"Exclusions";#N/A,#N/A,TRUE,"Areas";#N/A,#N/A,TRUE,"Summary";#N/A,#N/A,TRUE,"Detail"}</definedName>
    <definedName name="______________RAB002" localSheetId="2" hidden="1">{#N/A,#N/A,TRUE,"Front";#N/A,#N/A,TRUE,"Simple Letter";#N/A,#N/A,TRUE,"Inside";#N/A,#N/A,TRUE,"Contents";#N/A,#N/A,TRUE,"Basis";#N/A,#N/A,TRUE,"Inclusions";#N/A,#N/A,TRUE,"Exclusions";#N/A,#N/A,TRUE,"Areas";#N/A,#N/A,TRUE,"Summary";#N/A,#N/A,TRUE,"Detail"}</definedName>
    <definedName name="______________RAB002" hidden="1">{#N/A,#N/A,TRUE,"Front";#N/A,#N/A,TRUE,"Simple Letter";#N/A,#N/A,TRUE,"Inside";#N/A,#N/A,TRUE,"Contents";#N/A,#N/A,TRUE,"Basis";#N/A,#N/A,TRUE,"Inclusions";#N/A,#N/A,TRUE,"Exclusions";#N/A,#N/A,TRUE,"Areas";#N/A,#N/A,TRUE,"Summary";#N/A,#N/A,TRUE,"Detail"}</definedName>
    <definedName name="______________tem1" localSheetId="2" hidden="1">{#N/A,#N/A,TRUE,"Front";#N/A,#N/A,TRUE,"Simple Letter";#N/A,#N/A,TRUE,"Inside";#N/A,#N/A,TRUE,"Contents";#N/A,#N/A,TRUE,"Basis";#N/A,#N/A,TRUE,"Inclusions";#N/A,#N/A,TRUE,"Exclusions";#N/A,#N/A,TRUE,"Areas";#N/A,#N/A,TRUE,"Summary";#N/A,#N/A,TRUE,"Detail"}</definedName>
    <definedName name="______________tem1" hidden="1">{#N/A,#N/A,TRUE,"Front";#N/A,#N/A,TRUE,"Simple Letter";#N/A,#N/A,TRUE,"Inside";#N/A,#N/A,TRUE,"Contents";#N/A,#N/A,TRUE,"Basis";#N/A,#N/A,TRUE,"Inclusions";#N/A,#N/A,TRUE,"Exclusions";#N/A,#N/A,TRUE,"Areas";#N/A,#N/A,TRUE,"Summary";#N/A,#N/A,TRUE,"Detail"}</definedName>
    <definedName name="______________tm3" localSheetId="2" hidden="1">{#N/A,#N/A,TRUE,"Front";#N/A,#N/A,TRUE,"Simple Letter";#N/A,#N/A,TRUE,"Inside";#N/A,#N/A,TRUE,"Contents";#N/A,#N/A,TRUE,"Basis";#N/A,#N/A,TRUE,"Inclusions";#N/A,#N/A,TRUE,"Exclusions";#N/A,#N/A,TRUE,"Areas";#N/A,#N/A,TRUE,"Summary";#N/A,#N/A,TRUE,"Detail"}</definedName>
    <definedName name="______________tm3" hidden="1">{#N/A,#N/A,TRUE,"Front";#N/A,#N/A,TRUE,"Simple Letter";#N/A,#N/A,TRUE,"Inside";#N/A,#N/A,TRUE,"Contents";#N/A,#N/A,TRUE,"Basis";#N/A,#N/A,TRUE,"Inclusions";#N/A,#N/A,TRUE,"Exclusions";#N/A,#N/A,TRUE,"Areas";#N/A,#N/A,TRUE,"Summary";#N/A,#N/A,TRUE,"Detail"}</definedName>
    <definedName name="_____________cat12" localSheetId="2" hidden="1">{#N/A,#N/A,TRUE,"Front";#N/A,#N/A,TRUE,"Simple Letter";#N/A,#N/A,TRUE,"Inside";#N/A,#N/A,TRUE,"Contents";#N/A,#N/A,TRUE,"Basis";#N/A,#N/A,TRUE,"Inclusions";#N/A,#N/A,TRUE,"Exclusions";#N/A,#N/A,TRUE,"Areas";#N/A,#N/A,TRUE,"Summary";#N/A,#N/A,TRUE,"Detail"}</definedName>
    <definedName name="_____________cat12" hidden="1">{#N/A,#N/A,TRUE,"Front";#N/A,#N/A,TRUE,"Simple Letter";#N/A,#N/A,TRUE,"Inside";#N/A,#N/A,TRUE,"Contents";#N/A,#N/A,TRUE,"Basis";#N/A,#N/A,TRUE,"Inclusions";#N/A,#N/A,TRUE,"Exclusions";#N/A,#N/A,TRUE,"Areas";#N/A,#N/A,TRUE,"Summary";#N/A,#N/A,TRUE,"Detail"}</definedName>
    <definedName name="_____________hp10" hidden="1">{#N/A,#N/A,TRUE,"Front";#N/A,#N/A,TRUE,"Simple Letter";#N/A,#N/A,TRUE,"Inside";#N/A,#N/A,TRUE,"Contents";#N/A,#N/A,TRUE,"Basis";#N/A,#N/A,TRUE,"Inclusions";#N/A,#N/A,TRUE,"Exclusions";#N/A,#N/A,TRUE,"Areas";#N/A,#N/A,TRUE,"Summary";#N/A,#N/A,TRUE,"Detail"}</definedName>
    <definedName name="_____________PA1" hidden="1">{#N/A,#N/A,TRUE,"Front";#N/A,#N/A,TRUE,"Simple Letter";#N/A,#N/A,TRUE,"Inside";#N/A,#N/A,TRUE,"Contents";#N/A,#N/A,TRUE,"Basis";#N/A,#N/A,TRUE,"Inclusions";#N/A,#N/A,TRUE,"Exclusions";#N/A,#N/A,TRUE,"Areas";#N/A,#N/A,TRUE,"Summary";#N/A,#N/A,TRUE,"Detail"}</definedName>
    <definedName name="_____________RAB002" localSheetId="2" hidden="1">{#N/A,#N/A,TRUE,"Front";#N/A,#N/A,TRUE,"Simple Letter";#N/A,#N/A,TRUE,"Inside";#N/A,#N/A,TRUE,"Contents";#N/A,#N/A,TRUE,"Basis";#N/A,#N/A,TRUE,"Inclusions";#N/A,#N/A,TRUE,"Exclusions";#N/A,#N/A,TRUE,"Areas";#N/A,#N/A,TRUE,"Summary";#N/A,#N/A,TRUE,"Detail"}</definedName>
    <definedName name="_____________RAB002" hidden="1">{#N/A,#N/A,TRUE,"Front";#N/A,#N/A,TRUE,"Simple Letter";#N/A,#N/A,TRUE,"Inside";#N/A,#N/A,TRUE,"Contents";#N/A,#N/A,TRUE,"Basis";#N/A,#N/A,TRUE,"Inclusions";#N/A,#N/A,TRUE,"Exclusions";#N/A,#N/A,TRUE,"Areas";#N/A,#N/A,TRUE,"Summary";#N/A,#N/A,TRUE,"Detail"}</definedName>
    <definedName name="_____________tem1" localSheetId="2" hidden="1">{#N/A,#N/A,TRUE,"Front";#N/A,#N/A,TRUE,"Simple Letter";#N/A,#N/A,TRUE,"Inside";#N/A,#N/A,TRUE,"Contents";#N/A,#N/A,TRUE,"Basis";#N/A,#N/A,TRUE,"Inclusions";#N/A,#N/A,TRUE,"Exclusions";#N/A,#N/A,TRUE,"Areas";#N/A,#N/A,TRUE,"Summary";#N/A,#N/A,TRUE,"Detail"}</definedName>
    <definedName name="_____________tem1" hidden="1">{#N/A,#N/A,TRUE,"Front";#N/A,#N/A,TRUE,"Simple Letter";#N/A,#N/A,TRUE,"Inside";#N/A,#N/A,TRUE,"Contents";#N/A,#N/A,TRUE,"Basis";#N/A,#N/A,TRUE,"Inclusions";#N/A,#N/A,TRUE,"Exclusions";#N/A,#N/A,TRUE,"Areas";#N/A,#N/A,TRUE,"Summary";#N/A,#N/A,TRUE,"Detail"}</definedName>
    <definedName name="_____________tm3" localSheetId="2" hidden="1">{#N/A,#N/A,TRUE,"Front";#N/A,#N/A,TRUE,"Simple Letter";#N/A,#N/A,TRUE,"Inside";#N/A,#N/A,TRUE,"Contents";#N/A,#N/A,TRUE,"Basis";#N/A,#N/A,TRUE,"Inclusions";#N/A,#N/A,TRUE,"Exclusions";#N/A,#N/A,TRUE,"Areas";#N/A,#N/A,TRUE,"Summary";#N/A,#N/A,TRUE,"Detail"}</definedName>
    <definedName name="_____________tm3" hidden="1">{#N/A,#N/A,TRUE,"Front";#N/A,#N/A,TRUE,"Simple Letter";#N/A,#N/A,TRUE,"Inside";#N/A,#N/A,TRUE,"Contents";#N/A,#N/A,TRUE,"Basis";#N/A,#N/A,TRUE,"Inclusions";#N/A,#N/A,TRUE,"Exclusions";#N/A,#N/A,TRUE,"Areas";#N/A,#N/A,TRUE,"Summary";#N/A,#N/A,TRUE,"Detail"}</definedName>
    <definedName name="____________cat12" localSheetId="2" hidden="1">{#N/A,#N/A,TRUE,"Front";#N/A,#N/A,TRUE,"Simple Letter";#N/A,#N/A,TRUE,"Inside";#N/A,#N/A,TRUE,"Contents";#N/A,#N/A,TRUE,"Basis";#N/A,#N/A,TRUE,"Inclusions";#N/A,#N/A,TRUE,"Exclusions";#N/A,#N/A,TRUE,"Areas";#N/A,#N/A,TRUE,"Summary";#N/A,#N/A,TRUE,"Detail"}</definedName>
    <definedName name="____________cat12" hidden="1">{#N/A,#N/A,TRUE,"Front";#N/A,#N/A,TRUE,"Simple Letter";#N/A,#N/A,TRUE,"Inside";#N/A,#N/A,TRUE,"Contents";#N/A,#N/A,TRUE,"Basis";#N/A,#N/A,TRUE,"Inclusions";#N/A,#N/A,TRUE,"Exclusions";#N/A,#N/A,TRUE,"Areas";#N/A,#N/A,TRUE,"Summary";#N/A,#N/A,TRUE,"Detail"}</definedName>
    <definedName name="____________hp10" localSheetId="2" hidden="1">{#N/A,#N/A,TRUE,"Front";#N/A,#N/A,TRUE,"Simple Letter";#N/A,#N/A,TRUE,"Inside";#N/A,#N/A,TRUE,"Contents";#N/A,#N/A,TRUE,"Basis";#N/A,#N/A,TRUE,"Inclusions";#N/A,#N/A,TRUE,"Exclusions";#N/A,#N/A,TRUE,"Areas";#N/A,#N/A,TRUE,"Summary";#N/A,#N/A,TRUE,"Detail"}</definedName>
    <definedName name="____________hp10" hidden="1">{#N/A,#N/A,TRUE,"Front";#N/A,#N/A,TRUE,"Simple Letter";#N/A,#N/A,TRUE,"Inside";#N/A,#N/A,TRUE,"Contents";#N/A,#N/A,TRUE,"Basis";#N/A,#N/A,TRUE,"Inclusions";#N/A,#N/A,TRUE,"Exclusions";#N/A,#N/A,TRUE,"Areas";#N/A,#N/A,TRUE,"Summary";#N/A,#N/A,TRUE,"Detail"}</definedName>
    <definedName name="____________RAB002" localSheetId="2" hidden="1">{#N/A,#N/A,TRUE,"Front";#N/A,#N/A,TRUE,"Simple Letter";#N/A,#N/A,TRUE,"Inside";#N/A,#N/A,TRUE,"Contents";#N/A,#N/A,TRUE,"Basis";#N/A,#N/A,TRUE,"Inclusions";#N/A,#N/A,TRUE,"Exclusions";#N/A,#N/A,TRUE,"Areas";#N/A,#N/A,TRUE,"Summary";#N/A,#N/A,TRUE,"Detail"}</definedName>
    <definedName name="____________RAB002" hidden="1">{#N/A,#N/A,TRUE,"Front";#N/A,#N/A,TRUE,"Simple Letter";#N/A,#N/A,TRUE,"Inside";#N/A,#N/A,TRUE,"Contents";#N/A,#N/A,TRUE,"Basis";#N/A,#N/A,TRUE,"Inclusions";#N/A,#N/A,TRUE,"Exclusions";#N/A,#N/A,TRUE,"Areas";#N/A,#N/A,TRUE,"Summary";#N/A,#N/A,TRUE,"Detail"}</definedName>
    <definedName name="____________tem1" localSheetId="2" hidden="1">{#N/A,#N/A,TRUE,"Front";#N/A,#N/A,TRUE,"Simple Letter";#N/A,#N/A,TRUE,"Inside";#N/A,#N/A,TRUE,"Contents";#N/A,#N/A,TRUE,"Basis";#N/A,#N/A,TRUE,"Inclusions";#N/A,#N/A,TRUE,"Exclusions";#N/A,#N/A,TRUE,"Areas";#N/A,#N/A,TRUE,"Summary";#N/A,#N/A,TRUE,"Detail"}</definedName>
    <definedName name="____________tem1" hidden="1">{#N/A,#N/A,TRUE,"Front";#N/A,#N/A,TRUE,"Simple Letter";#N/A,#N/A,TRUE,"Inside";#N/A,#N/A,TRUE,"Contents";#N/A,#N/A,TRUE,"Basis";#N/A,#N/A,TRUE,"Inclusions";#N/A,#N/A,TRUE,"Exclusions";#N/A,#N/A,TRUE,"Areas";#N/A,#N/A,TRUE,"Summary";#N/A,#N/A,TRUE,"Detail"}</definedName>
    <definedName name="____________tm3" localSheetId="2" hidden="1">{#N/A,#N/A,TRUE,"Front";#N/A,#N/A,TRUE,"Simple Letter";#N/A,#N/A,TRUE,"Inside";#N/A,#N/A,TRUE,"Contents";#N/A,#N/A,TRUE,"Basis";#N/A,#N/A,TRUE,"Inclusions";#N/A,#N/A,TRUE,"Exclusions";#N/A,#N/A,TRUE,"Areas";#N/A,#N/A,TRUE,"Summary";#N/A,#N/A,TRUE,"Detail"}</definedName>
    <definedName name="____________tm3" hidden="1">{#N/A,#N/A,TRUE,"Front";#N/A,#N/A,TRUE,"Simple Letter";#N/A,#N/A,TRUE,"Inside";#N/A,#N/A,TRUE,"Contents";#N/A,#N/A,TRUE,"Basis";#N/A,#N/A,TRUE,"Inclusions";#N/A,#N/A,TRUE,"Exclusions";#N/A,#N/A,TRUE,"Areas";#N/A,#N/A,TRUE,"Summary";#N/A,#N/A,TRUE,"Detail"}</definedName>
    <definedName name="___________cat12" localSheetId="2" hidden="1">{#N/A,#N/A,TRUE,"Front";#N/A,#N/A,TRUE,"Simple Letter";#N/A,#N/A,TRUE,"Inside";#N/A,#N/A,TRUE,"Contents";#N/A,#N/A,TRUE,"Basis";#N/A,#N/A,TRUE,"Inclusions";#N/A,#N/A,TRUE,"Exclusions";#N/A,#N/A,TRUE,"Areas";#N/A,#N/A,TRUE,"Summary";#N/A,#N/A,TRUE,"Detail"}</definedName>
    <definedName name="___________cat12" hidden="1">{#N/A,#N/A,TRUE,"Front";#N/A,#N/A,TRUE,"Simple Letter";#N/A,#N/A,TRUE,"Inside";#N/A,#N/A,TRUE,"Contents";#N/A,#N/A,TRUE,"Basis";#N/A,#N/A,TRUE,"Inclusions";#N/A,#N/A,TRUE,"Exclusions";#N/A,#N/A,TRUE,"Areas";#N/A,#N/A,TRUE,"Summary";#N/A,#N/A,TRUE,"Detail"}</definedName>
    <definedName name="___________hp10" localSheetId="2" hidden="1">{#N/A,#N/A,TRUE,"Front";#N/A,#N/A,TRUE,"Simple Letter";#N/A,#N/A,TRUE,"Inside";#N/A,#N/A,TRUE,"Contents";#N/A,#N/A,TRUE,"Basis";#N/A,#N/A,TRUE,"Inclusions";#N/A,#N/A,TRUE,"Exclusions";#N/A,#N/A,TRUE,"Areas";#N/A,#N/A,TRUE,"Summary";#N/A,#N/A,TRUE,"Detail"}</definedName>
    <definedName name="___________hp10" hidden="1">{#N/A,#N/A,TRUE,"Front";#N/A,#N/A,TRUE,"Simple Letter";#N/A,#N/A,TRUE,"Inside";#N/A,#N/A,TRUE,"Contents";#N/A,#N/A,TRUE,"Basis";#N/A,#N/A,TRUE,"Inclusions";#N/A,#N/A,TRUE,"Exclusions";#N/A,#N/A,TRUE,"Areas";#N/A,#N/A,TRUE,"Summary";#N/A,#N/A,TRUE,"Detail"}</definedName>
    <definedName name="___________PA1" hidden="1">{#N/A,#N/A,TRUE,"Front";#N/A,#N/A,TRUE,"Simple Letter";#N/A,#N/A,TRUE,"Inside";#N/A,#N/A,TRUE,"Contents";#N/A,#N/A,TRUE,"Basis";#N/A,#N/A,TRUE,"Inclusions";#N/A,#N/A,TRUE,"Exclusions";#N/A,#N/A,TRUE,"Areas";#N/A,#N/A,TRUE,"Summary";#N/A,#N/A,TRUE,"Detail"}</definedName>
    <definedName name="___________RAB002" localSheetId="2" hidden="1">{#N/A,#N/A,TRUE,"Front";#N/A,#N/A,TRUE,"Simple Letter";#N/A,#N/A,TRUE,"Inside";#N/A,#N/A,TRUE,"Contents";#N/A,#N/A,TRUE,"Basis";#N/A,#N/A,TRUE,"Inclusions";#N/A,#N/A,TRUE,"Exclusions";#N/A,#N/A,TRUE,"Areas";#N/A,#N/A,TRUE,"Summary";#N/A,#N/A,TRUE,"Detail"}</definedName>
    <definedName name="___________RAB002" hidden="1">{#N/A,#N/A,TRUE,"Front";#N/A,#N/A,TRUE,"Simple Letter";#N/A,#N/A,TRUE,"Inside";#N/A,#N/A,TRUE,"Contents";#N/A,#N/A,TRUE,"Basis";#N/A,#N/A,TRUE,"Inclusions";#N/A,#N/A,TRUE,"Exclusions";#N/A,#N/A,TRUE,"Areas";#N/A,#N/A,TRUE,"Summary";#N/A,#N/A,TRUE,"Detail"}</definedName>
    <definedName name="___________tem1" localSheetId="2" hidden="1">{#N/A,#N/A,TRUE,"Front";#N/A,#N/A,TRUE,"Simple Letter";#N/A,#N/A,TRUE,"Inside";#N/A,#N/A,TRUE,"Contents";#N/A,#N/A,TRUE,"Basis";#N/A,#N/A,TRUE,"Inclusions";#N/A,#N/A,TRUE,"Exclusions";#N/A,#N/A,TRUE,"Areas";#N/A,#N/A,TRUE,"Summary";#N/A,#N/A,TRUE,"Detail"}</definedName>
    <definedName name="___________tem1" hidden="1">{#N/A,#N/A,TRUE,"Front";#N/A,#N/A,TRUE,"Simple Letter";#N/A,#N/A,TRUE,"Inside";#N/A,#N/A,TRUE,"Contents";#N/A,#N/A,TRUE,"Basis";#N/A,#N/A,TRUE,"Inclusions";#N/A,#N/A,TRUE,"Exclusions";#N/A,#N/A,TRUE,"Areas";#N/A,#N/A,TRUE,"Summary";#N/A,#N/A,TRUE,"Detail"}</definedName>
    <definedName name="___________tm3" localSheetId="2" hidden="1">{#N/A,#N/A,TRUE,"Front";#N/A,#N/A,TRUE,"Simple Letter";#N/A,#N/A,TRUE,"Inside";#N/A,#N/A,TRUE,"Contents";#N/A,#N/A,TRUE,"Basis";#N/A,#N/A,TRUE,"Inclusions";#N/A,#N/A,TRUE,"Exclusions";#N/A,#N/A,TRUE,"Areas";#N/A,#N/A,TRUE,"Summary";#N/A,#N/A,TRUE,"Detail"}</definedName>
    <definedName name="___________tm3" hidden="1">{#N/A,#N/A,TRUE,"Front";#N/A,#N/A,TRUE,"Simple Letter";#N/A,#N/A,TRUE,"Inside";#N/A,#N/A,TRUE,"Contents";#N/A,#N/A,TRUE,"Basis";#N/A,#N/A,TRUE,"Inclusions";#N/A,#N/A,TRUE,"Exclusions";#N/A,#N/A,TRUE,"Areas";#N/A,#N/A,TRUE,"Summary";#N/A,#N/A,TRUE,"Detail"}</definedName>
    <definedName name="__________cat12" localSheetId="2" hidden="1">{#N/A,#N/A,TRUE,"Front";#N/A,#N/A,TRUE,"Simple Letter";#N/A,#N/A,TRUE,"Inside";#N/A,#N/A,TRUE,"Contents";#N/A,#N/A,TRUE,"Basis";#N/A,#N/A,TRUE,"Inclusions";#N/A,#N/A,TRUE,"Exclusions";#N/A,#N/A,TRUE,"Areas";#N/A,#N/A,TRUE,"Summary";#N/A,#N/A,TRUE,"Detail"}</definedName>
    <definedName name="__________cat12" hidden="1">{#N/A,#N/A,TRUE,"Front";#N/A,#N/A,TRUE,"Simple Letter";#N/A,#N/A,TRUE,"Inside";#N/A,#N/A,TRUE,"Contents";#N/A,#N/A,TRUE,"Basis";#N/A,#N/A,TRUE,"Inclusions";#N/A,#N/A,TRUE,"Exclusions";#N/A,#N/A,TRUE,"Areas";#N/A,#N/A,TRUE,"Summary";#N/A,#N/A,TRUE,"Detail"}</definedName>
    <definedName name="__________hp10" localSheetId="2" hidden="1">{#N/A,#N/A,TRUE,"Front";#N/A,#N/A,TRUE,"Simple Letter";#N/A,#N/A,TRUE,"Inside";#N/A,#N/A,TRUE,"Contents";#N/A,#N/A,TRUE,"Basis";#N/A,#N/A,TRUE,"Inclusions";#N/A,#N/A,TRUE,"Exclusions";#N/A,#N/A,TRUE,"Areas";#N/A,#N/A,TRUE,"Summary";#N/A,#N/A,TRUE,"Detail"}</definedName>
    <definedName name="__________hp10" hidden="1">{#N/A,#N/A,TRUE,"Front";#N/A,#N/A,TRUE,"Simple Letter";#N/A,#N/A,TRUE,"Inside";#N/A,#N/A,TRUE,"Contents";#N/A,#N/A,TRUE,"Basis";#N/A,#N/A,TRUE,"Inclusions";#N/A,#N/A,TRUE,"Exclusions";#N/A,#N/A,TRUE,"Areas";#N/A,#N/A,TRUE,"Summary";#N/A,#N/A,TRUE,"Detail"}</definedName>
    <definedName name="__________PA1" hidden="1">{#N/A,#N/A,TRUE,"Front";#N/A,#N/A,TRUE,"Simple Letter";#N/A,#N/A,TRUE,"Inside";#N/A,#N/A,TRUE,"Contents";#N/A,#N/A,TRUE,"Basis";#N/A,#N/A,TRUE,"Inclusions";#N/A,#N/A,TRUE,"Exclusions";#N/A,#N/A,TRUE,"Areas";#N/A,#N/A,TRUE,"Summary";#N/A,#N/A,TRUE,"Detail"}</definedName>
    <definedName name="__________RAB002" localSheetId="2" hidden="1">{#N/A,#N/A,TRUE,"Front";#N/A,#N/A,TRUE,"Simple Letter";#N/A,#N/A,TRUE,"Inside";#N/A,#N/A,TRUE,"Contents";#N/A,#N/A,TRUE,"Basis";#N/A,#N/A,TRUE,"Inclusions";#N/A,#N/A,TRUE,"Exclusions";#N/A,#N/A,TRUE,"Areas";#N/A,#N/A,TRUE,"Summary";#N/A,#N/A,TRUE,"Detail"}</definedName>
    <definedName name="__________RAB002" hidden="1">{#N/A,#N/A,TRUE,"Front";#N/A,#N/A,TRUE,"Simple Letter";#N/A,#N/A,TRUE,"Inside";#N/A,#N/A,TRUE,"Contents";#N/A,#N/A,TRUE,"Basis";#N/A,#N/A,TRUE,"Inclusions";#N/A,#N/A,TRUE,"Exclusions";#N/A,#N/A,TRUE,"Areas";#N/A,#N/A,TRUE,"Summary";#N/A,#N/A,TRUE,"Detail"}</definedName>
    <definedName name="__________tem1" localSheetId="2" hidden="1">{#N/A,#N/A,TRUE,"Front";#N/A,#N/A,TRUE,"Simple Letter";#N/A,#N/A,TRUE,"Inside";#N/A,#N/A,TRUE,"Contents";#N/A,#N/A,TRUE,"Basis";#N/A,#N/A,TRUE,"Inclusions";#N/A,#N/A,TRUE,"Exclusions";#N/A,#N/A,TRUE,"Areas";#N/A,#N/A,TRUE,"Summary";#N/A,#N/A,TRUE,"Detail"}</definedName>
    <definedName name="__________tem1" hidden="1">{#N/A,#N/A,TRUE,"Front";#N/A,#N/A,TRUE,"Simple Letter";#N/A,#N/A,TRUE,"Inside";#N/A,#N/A,TRUE,"Contents";#N/A,#N/A,TRUE,"Basis";#N/A,#N/A,TRUE,"Inclusions";#N/A,#N/A,TRUE,"Exclusions";#N/A,#N/A,TRUE,"Areas";#N/A,#N/A,TRUE,"Summary";#N/A,#N/A,TRUE,"Detail"}</definedName>
    <definedName name="__________tm3" localSheetId="2" hidden="1">{#N/A,#N/A,TRUE,"Front";#N/A,#N/A,TRUE,"Simple Letter";#N/A,#N/A,TRUE,"Inside";#N/A,#N/A,TRUE,"Contents";#N/A,#N/A,TRUE,"Basis";#N/A,#N/A,TRUE,"Inclusions";#N/A,#N/A,TRUE,"Exclusions";#N/A,#N/A,TRUE,"Areas";#N/A,#N/A,TRUE,"Summary";#N/A,#N/A,TRUE,"Detail"}</definedName>
    <definedName name="__________tm3" hidden="1">{#N/A,#N/A,TRUE,"Front";#N/A,#N/A,TRUE,"Simple Letter";#N/A,#N/A,TRUE,"Inside";#N/A,#N/A,TRUE,"Contents";#N/A,#N/A,TRUE,"Basis";#N/A,#N/A,TRUE,"Inclusions";#N/A,#N/A,TRUE,"Exclusions";#N/A,#N/A,TRUE,"Areas";#N/A,#N/A,TRUE,"Summary";#N/A,#N/A,TRUE,"Detail"}</definedName>
    <definedName name="_________cat12" localSheetId="2" hidden="1">{#N/A,#N/A,TRUE,"Front";#N/A,#N/A,TRUE,"Simple Letter";#N/A,#N/A,TRUE,"Inside";#N/A,#N/A,TRUE,"Contents";#N/A,#N/A,TRUE,"Basis";#N/A,#N/A,TRUE,"Inclusions";#N/A,#N/A,TRUE,"Exclusions";#N/A,#N/A,TRUE,"Areas";#N/A,#N/A,TRUE,"Summary";#N/A,#N/A,TRUE,"Detail"}</definedName>
    <definedName name="_________cat12" hidden="1">{#N/A,#N/A,TRUE,"Front";#N/A,#N/A,TRUE,"Simple Letter";#N/A,#N/A,TRUE,"Inside";#N/A,#N/A,TRUE,"Contents";#N/A,#N/A,TRUE,"Basis";#N/A,#N/A,TRUE,"Inclusions";#N/A,#N/A,TRUE,"Exclusions";#N/A,#N/A,TRUE,"Areas";#N/A,#N/A,TRUE,"Summary";#N/A,#N/A,TRUE,"Detail"}</definedName>
    <definedName name="_________hp10" localSheetId="2" hidden="1">{#N/A,#N/A,TRUE,"Front";#N/A,#N/A,TRUE,"Simple Letter";#N/A,#N/A,TRUE,"Inside";#N/A,#N/A,TRUE,"Contents";#N/A,#N/A,TRUE,"Basis";#N/A,#N/A,TRUE,"Inclusions";#N/A,#N/A,TRUE,"Exclusions";#N/A,#N/A,TRUE,"Areas";#N/A,#N/A,TRUE,"Summary";#N/A,#N/A,TRUE,"Detail"}</definedName>
    <definedName name="_________hp10" hidden="1">{#N/A,#N/A,TRUE,"Front";#N/A,#N/A,TRUE,"Simple Letter";#N/A,#N/A,TRUE,"Inside";#N/A,#N/A,TRUE,"Contents";#N/A,#N/A,TRUE,"Basis";#N/A,#N/A,TRUE,"Inclusions";#N/A,#N/A,TRUE,"Exclusions";#N/A,#N/A,TRUE,"Areas";#N/A,#N/A,TRUE,"Summary";#N/A,#N/A,TRUE,"Detail"}</definedName>
    <definedName name="_________PA1" hidden="1">{#N/A,#N/A,TRUE,"Front";#N/A,#N/A,TRUE,"Simple Letter";#N/A,#N/A,TRUE,"Inside";#N/A,#N/A,TRUE,"Contents";#N/A,#N/A,TRUE,"Basis";#N/A,#N/A,TRUE,"Inclusions";#N/A,#N/A,TRUE,"Exclusions";#N/A,#N/A,TRUE,"Areas";#N/A,#N/A,TRUE,"Summary";#N/A,#N/A,TRUE,"Detail"}</definedName>
    <definedName name="_________RAB002" localSheetId="2" hidden="1">{#N/A,#N/A,TRUE,"Front";#N/A,#N/A,TRUE,"Simple Letter";#N/A,#N/A,TRUE,"Inside";#N/A,#N/A,TRUE,"Contents";#N/A,#N/A,TRUE,"Basis";#N/A,#N/A,TRUE,"Inclusions";#N/A,#N/A,TRUE,"Exclusions";#N/A,#N/A,TRUE,"Areas";#N/A,#N/A,TRUE,"Summary";#N/A,#N/A,TRUE,"Detail"}</definedName>
    <definedName name="_________RAB002" hidden="1">{#N/A,#N/A,TRUE,"Front";#N/A,#N/A,TRUE,"Simple Letter";#N/A,#N/A,TRUE,"Inside";#N/A,#N/A,TRUE,"Contents";#N/A,#N/A,TRUE,"Basis";#N/A,#N/A,TRUE,"Inclusions";#N/A,#N/A,TRUE,"Exclusions";#N/A,#N/A,TRUE,"Areas";#N/A,#N/A,TRUE,"Summary";#N/A,#N/A,TRUE,"Detail"}</definedName>
    <definedName name="_________tem1" localSheetId="2" hidden="1">{#N/A,#N/A,TRUE,"Front";#N/A,#N/A,TRUE,"Simple Letter";#N/A,#N/A,TRUE,"Inside";#N/A,#N/A,TRUE,"Contents";#N/A,#N/A,TRUE,"Basis";#N/A,#N/A,TRUE,"Inclusions";#N/A,#N/A,TRUE,"Exclusions";#N/A,#N/A,TRUE,"Areas";#N/A,#N/A,TRUE,"Summary";#N/A,#N/A,TRUE,"Detail"}</definedName>
    <definedName name="_________tem1" hidden="1">{#N/A,#N/A,TRUE,"Front";#N/A,#N/A,TRUE,"Simple Letter";#N/A,#N/A,TRUE,"Inside";#N/A,#N/A,TRUE,"Contents";#N/A,#N/A,TRUE,"Basis";#N/A,#N/A,TRUE,"Inclusions";#N/A,#N/A,TRUE,"Exclusions";#N/A,#N/A,TRUE,"Areas";#N/A,#N/A,TRUE,"Summary";#N/A,#N/A,TRUE,"Detail"}</definedName>
    <definedName name="_________tm3" localSheetId="2" hidden="1">{#N/A,#N/A,TRUE,"Front";#N/A,#N/A,TRUE,"Simple Letter";#N/A,#N/A,TRUE,"Inside";#N/A,#N/A,TRUE,"Contents";#N/A,#N/A,TRUE,"Basis";#N/A,#N/A,TRUE,"Inclusions";#N/A,#N/A,TRUE,"Exclusions";#N/A,#N/A,TRUE,"Areas";#N/A,#N/A,TRUE,"Summary";#N/A,#N/A,TRUE,"Detail"}</definedName>
    <definedName name="_________tm3" hidden="1">{#N/A,#N/A,TRUE,"Front";#N/A,#N/A,TRUE,"Simple Letter";#N/A,#N/A,TRUE,"Inside";#N/A,#N/A,TRUE,"Contents";#N/A,#N/A,TRUE,"Basis";#N/A,#N/A,TRUE,"Inclusions";#N/A,#N/A,TRUE,"Exclusions";#N/A,#N/A,TRUE,"Areas";#N/A,#N/A,TRUE,"Summary";#N/A,#N/A,TRUE,"Detail"}</definedName>
    <definedName name="________cat12" localSheetId="2" hidden="1">{#N/A,#N/A,TRUE,"Front";#N/A,#N/A,TRUE,"Simple Letter";#N/A,#N/A,TRUE,"Inside";#N/A,#N/A,TRUE,"Contents";#N/A,#N/A,TRUE,"Basis";#N/A,#N/A,TRUE,"Inclusions";#N/A,#N/A,TRUE,"Exclusions";#N/A,#N/A,TRUE,"Areas";#N/A,#N/A,TRUE,"Summary";#N/A,#N/A,TRUE,"Detail"}</definedName>
    <definedName name="________cat12" hidden="1">{#N/A,#N/A,TRUE,"Front";#N/A,#N/A,TRUE,"Simple Letter";#N/A,#N/A,TRUE,"Inside";#N/A,#N/A,TRUE,"Contents";#N/A,#N/A,TRUE,"Basis";#N/A,#N/A,TRUE,"Inclusions";#N/A,#N/A,TRUE,"Exclusions";#N/A,#N/A,TRUE,"Areas";#N/A,#N/A,TRUE,"Summary";#N/A,#N/A,TRUE,"Detail"}</definedName>
    <definedName name="________hp10" localSheetId="2" hidden="1">{#N/A,#N/A,TRUE,"Front";#N/A,#N/A,TRUE,"Simple Letter";#N/A,#N/A,TRUE,"Inside";#N/A,#N/A,TRUE,"Contents";#N/A,#N/A,TRUE,"Basis";#N/A,#N/A,TRUE,"Inclusions";#N/A,#N/A,TRUE,"Exclusions";#N/A,#N/A,TRUE,"Areas";#N/A,#N/A,TRUE,"Summary";#N/A,#N/A,TRUE,"Detail"}</definedName>
    <definedName name="________hp10" hidden="1">{#N/A,#N/A,TRUE,"Front";#N/A,#N/A,TRUE,"Simple Letter";#N/A,#N/A,TRUE,"Inside";#N/A,#N/A,TRUE,"Contents";#N/A,#N/A,TRUE,"Basis";#N/A,#N/A,TRUE,"Inclusions";#N/A,#N/A,TRUE,"Exclusions";#N/A,#N/A,TRUE,"Areas";#N/A,#N/A,TRUE,"Summary";#N/A,#N/A,TRUE,"Detail"}</definedName>
    <definedName name="________PA1" hidden="1">{#N/A,#N/A,TRUE,"Front";#N/A,#N/A,TRUE,"Simple Letter";#N/A,#N/A,TRUE,"Inside";#N/A,#N/A,TRUE,"Contents";#N/A,#N/A,TRUE,"Basis";#N/A,#N/A,TRUE,"Inclusions";#N/A,#N/A,TRUE,"Exclusions";#N/A,#N/A,TRUE,"Areas";#N/A,#N/A,TRUE,"Summary";#N/A,#N/A,TRUE,"Detail"}</definedName>
    <definedName name="________RAB002" localSheetId="2" hidden="1">{#N/A,#N/A,TRUE,"Front";#N/A,#N/A,TRUE,"Simple Letter";#N/A,#N/A,TRUE,"Inside";#N/A,#N/A,TRUE,"Contents";#N/A,#N/A,TRUE,"Basis";#N/A,#N/A,TRUE,"Inclusions";#N/A,#N/A,TRUE,"Exclusions";#N/A,#N/A,TRUE,"Areas";#N/A,#N/A,TRUE,"Summary";#N/A,#N/A,TRUE,"Detail"}</definedName>
    <definedName name="________RAB002" hidden="1">{#N/A,#N/A,TRUE,"Front";#N/A,#N/A,TRUE,"Simple Letter";#N/A,#N/A,TRUE,"Inside";#N/A,#N/A,TRUE,"Contents";#N/A,#N/A,TRUE,"Basis";#N/A,#N/A,TRUE,"Inclusions";#N/A,#N/A,TRUE,"Exclusions";#N/A,#N/A,TRUE,"Areas";#N/A,#N/A,TRUE,"Summary";#N/A,#N/A,TRUE,"Detail"}</definedName>
    <definedName name="________tem1" localSheetId="2" hidden="1">{#N/A,#N/A,TRUE,"Front";#N/A,#N/A,TRUE,"Simple Letter";#N/A,#N/A,TRUE,"Inside";#N/A,#N/A,TRUE,"Contents";#N/A,#N/A,TRUE,"Basis";#N/A,#N/A,TRUE,"Inclusions";#N/A,#N/A,TRUE,"Exclusions";#N/A,#N/A,TRUE,"Areas";#N/A,#N/A,TRUE,"Summary";#N/A,#N/A,TRUE,"Detail"}</definedName>
    <definedName name="________tem1" hidden="1">{#N/A,#N/A,TRUE,"Front";#N/A,#N/A,TRUE,"Simple Letter";#N/A,#N/A,TRUE,"Inside";#N/A,#N/A,TRUE,"Contents";#N/A,#N/A,TRUE,"Basis";#N/A,#N/A,TRUE,"Inclusions";#N/A,#N/A,TRUE,"Exclusions";#N/A,#N/A,TRUE,"Areas";#N/A,#N/A,TRUE,"Summary";#N/A,#N/A,TRUE,"Detail"}</definedName>
    <definedName name="________tm3" localSheetId="2" hidden="1">{#N/A,#N/A,TRUE,"Front";#N/A,#N/A,TRUE,"Simple Letter";#N/A,#N/A,TRUE,"Inside";#N/A,#N/A,TRUE,"Contents";#N/A,#N/A,TRUE,"Basis";#N/A,#N/A,TRUE,"Inclusions";#N/A,#N/A,TRUE,"Exclusions";#N/A,#N/A,TRUE,"Areas";#N/A,#N/A,TRUE,"Summary";#N/A,#N/A,TRUE,"Detail"}</definedName>
    <definedName name="________tm3" hidden="1">{#N/A,#N/A,TRUE,"Front";#N/A,#N/A,TRUE,"Simple Letter";#N/A,#N/A,TRUE,"Inside";#N/A,#N/A,TRUE,"Contents";#N/A,#N/A,TRUE,"Basis";#N/A,#N/A,TRUE,"Inclusions";#N/A,#N/A,TRUE,"Exclusions";#N/A,#N/A,TRUE,"Areas";#N/A,#N/A,TRUE,"Summary";#N/A,#N/A,TRUE,"Detail"}</definedName>
    <definedName name="_______cat12" localSheetId="2" hidden="1">{#N/A,#N/A,TRUE,"Front";#N/A,#N/A,TRUE,"Simple Letter";#N/A,#N/A,TRUE,"Inside";#N/A,#N/A,TRUE,"Contents";#N/A,#N/A,TRUE,"Basis";#N/A,#N/A,TRUE,"Inclusions";#N/A,#N/A,TRUE,"Exclusions";#N/A,#N/A,TRUE,"Areas";#N/A,#N/A,TRUE,"Summary";#N/A,#N/A,TRUE,"Detail"}</definedName>
    <definedName name="_______cat12" hidden="1">{#N/A,#N/A,TRUE,"Front";#N/A,#N/A,TRUE,"Simple Letter";#N/A,#N/A,TRUE,"Inside";#N/A,#N/A,TRUE,"Contents";#N/A,#N/A,TRUE,"Basis";#N/A,#N/A,TRUE,"Inclusions";#N/A,#N/A,TRUE,"Exclusions";#N/A,#N/A,TRUE,"Areas";#N/A,#N/A,TRUE,"Summary";#N/A,#N/A,TRUE,"Detail"}</definedName>
    <definedName name="_______Feb06" localSheetId="2" hidden="1">{#N/A,#N/A,TRUE,"Front";#N/A,#N/A,TRUE,"Simple Letter";#N/A,#N/A,TRUE,"Inside";#N/A,#N/A,TRUE,"Contents";#N/A,#N/A,TRUE,"Basis";#N/A,#N/A,TRUE,"Inclusions";#N/A,#N/A,TRUE,"Exclusions";#N/A,#N/A,TRUE,"Areas";#N/A,#N/A,TRUE,"Summary";#N/A,#N/A,TRUE,"Detail"}</definedName>
    <definedName name="_______Feb06" hidden="1">{#N/A,#N/A,TRUE,"Front";#N/A,#N/A,TRUE,"Simple Letter";#N/A,#N/A,TRUE,"Inside";#N/A,#N/A,TRUE,"Contents";#N/A,#N/A,TRUE,"Basis";#N/A,#N/A,TRUE,"Inclusions";#N/A,#N/A,TRUE,"Exclusions";#N/A,#N/A,TRUE,"Areas";#N/A,#N/A,TRUE,"Summary";#N/A,#N/A,TRUE,"Detail"}</definedName>
    <definedName name="_______HDD1111" localSheetId="2" hidden="1">{#N/A,#N/A,TRUE,"Front";#N/A,#N/A,TRUE,"Simple Letter";#N/A,#N/A,TRUE,"Inside";#N/A,#N/A,TRUE,"Contents";#N/A,#N/A,TRUE,"Basis";#N/A,#N/A,TRUE,"Inclusions";#N/A,#N/A,TRUE,"Exclusions";#N/A,#N/A,TRUE,"Areas";#N/A,#N/A,TRUE,"Summary";#N/A,#N/A,TRUE,"Detail"}</definedName>
    <definedName name="_______HDD1111" hidden="1">{#N/A,#N/A,TRUE,"Front";#N/A,#N/A,TRUE,"Simple Letter";#N/A,#N/A,TRUE,"Inside";#N/A,#N/A,TRUE,"Contents";#N/A,#N/A,TRUE,"Basis";#N/A,#N/A,TRUE,"Inclusions";#N/A,#N/A,TRUE,"Exclusions";#N/A,#N/A,TRUE,"Areas";#N/A,#N/A,TRUE,"Summary";#N/A,#N/A,TRUE,"Detail"}</definedName>
    <definedName name="_______hp10" localSheetId="2" hidden="1">{#N/A,#N/A,TRUE,"Front";#N/A,#N/A,TRUE,"Simple Letter";#N/A,#N/A,TRUE,"Inside";#N/A,#N/A,TRUE,"Contents";#N/A,#N/A,TRUE,"Basis";#N/A,#N/A,TRUE,"Inclusions";#N/A,#N/A,TRUE,"Exclusions";#N/A,#N/A,TRUE,"Areas";#N/A,#N/A,TRUE,"Summary";#N/A,#N/A,TRUE,"Detail"}</definedName>
    <definedName name="_______hp10" hidden="1">{#N/A,#N/A,TRUE,"Front";#N/A,#N/A,TRUE,"Simple Letter";#N/A,#N/A,TRUE,"Inside";#N/A,#N/A,TRUE,"Contents";#N/A,#N/A,TRUE,"Basis";#N/A,#N/A,TRUE,"Inclusions";#N/A,#N/A,TRUE,"Exclusions";#N/A,#N/A,TRUE,"Areas";#N/A,#N/A,TRUE,"Summary";#N/A,#N/A,TRUE,"Detail"}</definedName>
    <definedName name="_______PA1" hidden="1">{#N/A,#N/A,TRUE,"Front";#N/A,#N/A,TRUE,"Simple Letter";#N/A,#N/A,TRUE,"Inside";#N/A,#N/A,TRUE,"Contents";#N/A,#N/A,TRUE,"Basis";#N/A,#N/A,TRUE,"Inclusions";#N/A,#N/A,TRUE,"Exclusions";#N/A,#N/A,TRUE,"Areas";#N/A,#N/A,TRUE,"Summary";#N/A,#N/A,TRUE,"Detail"}</definedName>
    <definedName name="_______RAB002" localSheetId="2" hidden="1">{#N/A,#N/A,TRUE,"Front";#N/A,#N/A,TRUE,"Simple Letter";#N/A,#N/A,TRUE,"Inside";#N/A,#N/A,TRUE,"Contents";#N/A,#N/A,TRUE,"Basis";#N/A,#N/A,TRUE,"Inclusions";#N/A,#N/A,TRUE,"Exclusions";#N/A,#N/A,TRUE,"Areas";#N/A,#N/A,TRUE,"Summary";#N/A,#N/A,TRUE,"Detail"}</definedName>
    <definedName name="_______RAB002" hidden="1">{#N/A,#N/A,TRUE,"Front";#N/A,#N/A,TRUE,"Simple Letter";#N/A,#N/A,TRUE,"Inside";#N/A,#N/A,TRUE,"Contents";#N/A,#N/A,TRUE,"Basis";#N/A,#N/A,TRUE,"Inclusions";#N/A,#N/A,TRUE,"Exclusions";#N/A,#N/A,TRUE,"Areas";#N/A,#N/A,TRUE,"Summary";#N/A,#N/A,TRUE,"Detail"}</definedName>
    <definedName name="_______tem1" localSheetId="2" hidden="1">{#N/A,#N/A,TRUE,"Front";#N/A,#N/A,TRUE,"Simple Letter";#N/A,#N/A,TRUE,"Inside";#N/A,#N/A,TRUE,"Contents";#N/A,#N/A,TRUE,"Basis";#N/A,#N/A,TRUE,"Inclusions";#N/A,#N/A,TRUE,"Exclusions";#N/A,#N/A,TRUE,"Areas";#N/A,#N/A,TRUE,"Summary";#N/A,#N/A,TRUE,"Detail"}</definedName>
    <definedName name="_______tem1" hidden="1">{#N/A,#N/A,TRUE,"Front";#N/A,#N/A,TRUE,"Simple Letter";#N/A,#N/A,TRUE,"Inside";#N/A,#N/A,TRUE,"Contents";#N/A,#N/A,TRUE,"Basis";#N/A,#N/A,TRUE,"Inclusions";#N/A,#N/A,TRUE,"Exclusions";#N/A,#N/A,TRUE,"Areas";#N/A,#N/A,TRUE,"Summary";#N/A,#N/A,TRUE,"Detail"}</definedName>
    <definedName name="_______tm3" localSheetId="2" hidden="1">{#N/A,#N/A,TRUE,"Front";#N/A,#N/A,TRUE,"Simple Letter";#N/A,#N/A,TRUE,"Inside";#N/A,#N/A,TRUE,"Contents";#N/A,#N/A,TRUE,"Basis";#N/A,#N/A,TRUE,"Inclusions";#N/A,#N/A,TRUE,"Exclusions";#N/A,#N/A,TRUE,"Areas";#N/A,#N/A,TRUE,"Summary";#N/A,#N/A,TRUE,"Detail"}</definedName>
    <definedName name="_______tm3" hidden="1">{#N/A,#N/A,TRUE,"Front";#N/A,#N/A,TRUE,"Simple Letter";#N/A,#N/A,TRUE,"Inside";#N/A,#N/A,TRUE,"Contents";#N/A,#N/A,TRUE,"Basis";#N/A,#N/A,TRUE,"Inclusions";#N/A,#N/A,TRUE,"Exclusions";#N/A,#N/A,TRUE,"Areas";#N/A,#N/A,TRUE,"Summary";#N/A,#N/A,TRUE,"Detail"}</definedName>
    <definedName name="______cat12" localSheetId="2" hidden="1">{#N/A,#N/A,TRUE,"Front";#N/A,#N/A,TRUE,"Simple Letter";#N/A,#N/A,TRUE,"Inside";#N/A,#N/A,TRUE,"Contents";#N/A,#N/A,TRUE,"Basis";#N/A,#N/A,TRUE,"Inclusions";#N/A,#N/A,TRUE,"Exclusions";#N/A,#N/A,TRUE,"Areas";#N/A,#N/A,TRUE,"Summary";#N/A,#N/A,TRUE,"Detail"}</definedName>
    <definedName name="______cat12" hidden="1">{#N/A,#N/A,TRUE,"Front";#N/A,#N/A,TRUE,"Simple Letter";#N/A,#N/A,TRUE,"Inside";#N/A,#N/A,TRUE,"Contents";#N/A,#N/A,TRUE,"Basis";#N/A,#N/A,TRUE,"Inclusions";#N/A,#N/A,TRUE,"Exclusions";#N/A,#N/A,TRUE,"Areas";#N/A,#N/A,TRUE,"Summary";#N/A,#N/A,TRUE,"Detail"}</definedName>
    <definedName name="______Feb06" localSheetId="2" hidden="1">{#N/A,#N/A,TRUE,"Front";#N/A,#N/A,TRUE,"Simple Letter";#N/A,#N/A,TRUE,"Inside";#N/A,#N/A,TRUE,"Contents";#N/A,#N/A,TRUE,"Basis";#N/A,#N/A,TRUE,"Inclusions";#N/A,#N/A,TRUE,"Exclusions";#N/A,#N/A,TRUE,"Areas";#N/A,#N/A,TRUE,"Summary";#N/A,#N/A,TRUE,"Detail"}</definedName>
    <definedName name="______Feb06" hidden="1">{#N/A,#N/A,TRUE,"Front";#N/A,#N/A,TRUE,"Simple Letter";#N/A,#N/A,TRUE,"Inside";#N/A,#N/A,TRUE,"Contents";#N/A,#N/A,TRUE,"Basis";#N/A,#N/A,TRUE,"Inclusions";#N/A,#N/A,TRUE,"Exclusions";#N/A,#N/A,TRUE,"Areas";#N/A,#N/A,TRUE,"Summary";#N/A,#N/A,TRUE,"Detail"}</definedName>
    <definedName name="______HDD1111" localSheetId="2" hidden="1">{#N/A,#N/A,TRUE,"Front";#N/A,#N/A,TRUE,"Simple Letter";#N/A,#N/A,TRUE,"Inside";#N/A,#N/A,TRUE,"Contents";#N/A,#N/A,TRUE,"Basis";#N/A,#N/A,TRUE,"Inclusions";#N/A,#N/A,TRUE,"Exclusions";#N/A,#N/A,TRUE,"Areas";#N/A,#N/A,TRUE,"Summary";#N/A,#N/A,TRUE,"Detail"}</definedName>
    <definedName name="______HDD1111" hidden="1">{#N/A,#N/A,TRUE,"Front";#N/A,#N/A,TRUE,"Simple Letter";#N/A,#N/A,TRUE,"Inside";#N/A,#N/A,TRUE,"Contents";#N/A,#N/A,TRUE,"Basis";#N/A,#N/A,TRUE,"Inclusions";#N/A,#N/A,TRUE,"Exclusions";#N/A,#N/A,TRUE,"Areas";#N/A,#N/A,TRUE,"Summary";#N/A,#N/A,TRUE,"Detail"}</definedName>
    <definedName name="______hp10" localSheetId="2" hidden="1">{#N/A,#N/A,TRUE,"Front";#N/A,#N/A,TRUE,"Simple Letter";#N/A,#N/A,TRUE,"Inside";#N/A,#N/A,TRUE,"Contents";#N/A,#N/A,TRUE,"Basis";#N/A,#N/A,TRUE,"Inclusions";#N/A,#N/A,TRUE,"Exclusions";#N/A,#N/A,TRUE,"Areas";#N/A,#N/A,TRUE,"Summary";#N/A,#N/A,TRUE,"Detail"}</definedName>
    <definedName name="______hp10" hidden="1">{#N/A,#N/A,TRUE,"Front";#N/A,#N/A,TRUE,"Simple Letter";#N/A,#N/A,TRUE,"Inside";#N/A,#N/A,TRUE,"Contents";#N/A,#N/A,TRUE,"Basis";#N/A,#N/A,TRUE,"Inclusions";#N/A,#N/A,TRUE,"Exclusions";#N/A,#N/A,TRUE,"Areas";#N/A,#N/A,TRUE,"Summary";#N/A,#N/A,TRUE,"Detail"}</definedName>
    <definedName name="______PA1" hidden="1">{#N/A,#N/A,TRUE,"Front";#N/A,#N/A,TRUE,"Simple Letter";#N/A,#N/A,TRUE,"Inside";#N/A,#N/A,TRUE,"Contents";#N/A,#N/A,TRUE,"Basis";#N/A,#N/A,TRUE,"Inclusions";#N/A,#N/A,TRUE,"Exclusions";#N/A,#N/A,TRUE,"Areas";#N/A,#N/A,TRUE,"Summary";#N/A,#N/A,TRUE,"Detail"}</definedName>
    <definedName name="______RAB002" localSheetId="2" hidden="1">{#N/A,#N/A,TRUE,"Front";#N/A,#N/A,TRUE,"Simple Letter";#N/A,#N/A,TRUE,"Inside";#N/A,#N/A,TRUE,"Contents";#N/A,#N/A,TRUE,"Basis";#N/A,#N/A,TRUE,"Inclusions";#N/A,#N/A,TRUE,"Exclusions";#N/A,#N/A,TRUE,"Areas";#N/A,#N/A,TRUE,"Summary";#N/A,#N/A,TRUE,"Detail"}</definedName>
    <definedName name="______RAB002" hidden="1">{#N/A,#N/A,TRUE,"Front";#N/A,#N/A,TRUE,"Simple Letter";#N/A,#N/A,TRUE,"Inside";#N/A,#N/A,TRUE,"Contents";#N/A,#N/A,TRUE,"Basis";#N/A,#N/A,TRUE,"Inclusions";#N/A,#N/A,TRUE,"Exclusions";#N/A,#N/A,TRUE,"Areas";#N/A,#N/A,TRUE,"Summary";#N/A,#N/A,TRUE,"Detail"}</definedName>
    <definedName name="______tem1" localSheetId="2" hidden="1">{#N/A,#N/A,TRUE,"Front";#N/A,#N/A,TRUE,"Simple Letter";#N/A,#N/A,TRUE,"Inside";#N/A,#N/A,TRUE,"Contents";#N/A,#N/A,TRUE,"Basis";#N/A,#N/A,TRUE,"Inclusions";#N/A,#N/A,TRUE,"Exclusions";#N/A,#N/A,TRUE,"Areas";#N/A,#N/A,TRUE,"Summary";#N/A,#N/A,TRUE,"Detail"}</definedName>
    <definedName name="______tem1" hidden="1">{#N/A,#N/A,TRUE,"Front";#N/A,#N/A,TRUE,"Simple Letter";#N/A,#N/A,TRUE,"Inside";#N/A,#N/A,TRUE,"Contents";#N/A,#N/A,TRUE,"Basis";#N/A,#N/A,TRUE,"Inclusions";#N/A,#N/A,TRUE,"Exclusions";#N/A,#N/A,TRUE,"Areas";#N/A,#N/A,TRUE,"Summary";#N/A,#N/A,TRUE,"Detail"}</definedName>
    <definedName name="______tm3" localSheetId="2" hidden="1">{#N/A,#N/A,TRUE,"Front";#N/A,#N/A,TRUE,"Simple Letter";#N/A,#N/A,TRUE,"Inside";#N/A,#N/A,TRUE,"Contents";#N/A,#N/A,TRUE,"Basis";#N/A,#N/A,TRUE,"Inclusions";#N/A,#N/A,TRUE,"Exclusions";#N/A,#N/A,TRUE,"Areas";#N/A,#N/A,TRUE,"Summary";#N/A,#N/A,TRUE,"Detail"}</definedName>
    <definedName name="______tm3" hidden="1">{#N/A,#N/A,TRUE,"Front";#N/A,#N/A,TRUE,"Simple Letter";#N/A,#N/A,TRUE,"Inside";#N/A,#N/A,TRUE,"Contents";#N/A,#N/A,TRUE,"Basis";#N/A,#N/A,TRUE,"Inclusions";#N/A,#N/A,TRUE,"Exclusions";#N/A,#N/A,TRUE,"Areas";#N/A,#N/A,TRUE,"Summary";#N/A,#N/A,TRUE,"Detail"}</definedName>
    <definedName name="_____cat12" localSheetId="2" hidden="1">{#N/A,#N/A,TRUE,"Front";#N/A,#N/A,TRUE,"Simple Letter";#N/A,#N/A,TRUE,"Inside";#N/A,#N/A,TRUE,"Contents";#N/A,#N/A,TRUE,"Basis";#N/A,#N/A,TRUE,"Inclusions";#N/A,#N/A,TRUE,"Exclusions";#N/A,#N/A,TRUE,"Areas";#N/A,#N/A,TRUE,"Summary";#N/A,#N/A,TRUE,"Detail"}</definedName>
    <definedName name="_____cat12" hidden="1">{#N/A,#N/A,TRUE,"Front";#N/A,#N/A,TRUE,"Simple Letter";#N/A,#N/A,TRUE,"Inside";#N/A,#N/A,TRUE,"Contents";#N/A,#N/A,TRUE,"Basis";#N/A,#N/A,TRUE,"Inclusions";#N/A,#N/A,TRUE,"Exclusions";#N/A,#N/A,TRUE,"Areas";#N/A,#N/A,TRUE,"Summary";#N/A,#N/A,TRUE,"Detail"}</definedName>
    <definedName name="_____Feb06" localSheetId="2" hidden="1">{#N/A,#N/A,TRUE,"Front";#N/A,#N/A,TRUE,"Simple Letter";#N/A,#N/A,TRUE,"Inside";#N/A,#N/A,TRUE,"Contents";#N/A,#N/A,TRUE,"Basis";#N/A,#N/A,TRUE,"Inclusions";#N/A,#N/A,TRUE,"Exclusions";#N/A,#N/A,TRUE,"Areas";#N/A,#N/A,TRUE,"Summary";#N/A,#N/A,TRUE,"Detail"}</definedName>
    <definedName name="_____Feb06" hidden="1">{#N/A,#N/A,TRUE,"Front";#N/A,#N/A,TRUE,"Simple Letter";#N/A,#N/A,TRUE,"Inside";#N/A,#N/A,TRUE,"Contents";#N/A,#N/A,TRUE,"Basis";#N/A,#N/A,TRUE,"Inclusions";#N/A,#N/A,TRUE,"Exclusions";#N/A,#N/A,TRUE,"Areas";#N/A,#N/A,TRUE,"Summary";#N/A,#N/A,TRUE,"Detail"}</definedName>
    <definedName name="_____HDD1111" localSheetId="2" hidden="1">{#N/A,#N/A,TRUE,"Front";#N/A,#N/A,TRUE,"Simple Letter";#N/A,#N/A,TRUE,"Inside";#N/A,#N/A,TRUE,"Contents";#N/A,#N/A,TRUE,"Basis";#N/A,#N/A,TRUE,"Inclusions";#N/A,#N/A,TRUE,"Exclusions";#N/A,#N/A,TRUE,"Areas";#N/A,#N/A,TRUE,"Summary";#N/A,#N/A,TRUE,"Detail"}</definedName>
    <definedName name="_____HDD1111" hidden="1">{#N/A,#N/A,TRUE,"Front";#N/A,#N/A,TRUE,"Simple Letter";#N/A,#N/A,TRUE,"Inside";#N/A,#N/A,TRUE,"Contents";#N/A,#N/A,TRUE,"Basis";#N/A,#N/A,TRUE,"Inclusions";#N/A,#N/A,TRUE,"Exclusions";#N/A,#N/A,TRUE,"Areas";#N/A,#N/A,TRUE,"Summary";#N/A,#N/A,TRUE,"Detail"}</definedName>
    <definedName name="_____hp10" localSheetId="2" hidden="1">{#N/A,#N/A,TRUE,"Front";#N/A,#N/A,TRUE,"Simple Letter";#N/A,#N/A,TRUE,"Inside";#N/A,#N/A,TRUE,"Contents";#N/A,#N/A,TRUE,"Basis";#N/A,#N/A,TRUE,"Inclusions";#N/A,#N/A,TRUE,"Exclusions";#N/A,#N/A,TRUE,"Areas";#N/A,#N/A,TRUE,"Summary";#N/A,#N/A,TRUE,"Detail"}</definedName>
    <definedName name="_____hp10" hidden="1">{#N/A,#N/A,TRUE,"Front";#N/A,#N/A,TRUE,"Simple Letter";#N/A,#N/A,TRUE,"Inside";#N/A,#N/A,TRUE,"Contents";#N/A,#N/A,TRUE,"Basis";#N/A,#N/A,TRUE,"Inclusions";#N/A,#N/A,TRUE,"Exclusions";#N/A,#N/A,TRUE,"Areas";#N/A,#N/A,TRUE,"Summary";#N/A,#N/A,TRUE,"Detail"}</definedName>
    <definedName name="_____PA1" localSheetId="2" hidden="1">{#N/A,#N/A,TRUE,"Front";#N/A,#N/A,TRUE,"Simple Letter";#N/A,#N/A,TRUE,"Inside";#N/A,#N/A,TRUE,"Contents";#N/A,#N/A,TRUE,"Basis";#N/A,#N/A,TRUE,"Inclusions";#N/A,#N/A,TRUE,"Exclusions";#N/A,#N/A,TRUE,"Areas";#N/A,#N/A,TRUE,"Summary";#N/A,#N/A,TRUE,"Detail"}</definedName>
    <definedName name="_____PA1" hidden="1">{#N/A,#N/A,TRUE,"Front";#N/A,#N/A,TRUE,"Simple Letter";#N/A,#N/A,TRUE,"Inside";#N/A,#N/A,TRUE,"Contents";#N/A,#N/A,TRUE,"Basis";#N/A,#N/A,TRUE,"Inclusions";#N/A,#N/A,TRUE,"Exclusions";#N/A,#N/A,TRUE,"Areas";#N/A,#N/A,TRUE,"Summary";#N/A,#N/A,TRUE,"Detail"}</definedName>
    <definedName name="_____RAB002" localSheetId="2" hidden="1">{#N/A,#N/A,TRUE,"Front";#N/A,#N/A,TRUE,"Simple Letter";#N/A,#N/A,TRUE,"Inside";#N/A,#N/A,TRUE,"Contents";#N/A,#N/A,TRUE,"Basis";#N/A,#N/A,TRUE,"Inclusions";#N/A,#N/A,TRUE,"Exclusions";#N/A,#N/A,TRUE,"Areas";#N/A,#N/A,TRUE,"Summary";#N/A,#N/A,TRUE,"Detail"}</definedName>
    <definedName name="_____RAB002" hidden="1">{#N/A,#N/A,TRUE,"Front";#N/A,#N/A,TRUE,"Simple Letter";#N/A,#N/A,TRUE,"Inside";#N/A,#N/A,TRUE,"Contents";#N/A,#N/A,TRUE,"Basis";#N/A,#N/A,TRUE,"Inclusions";#N/A,#N/A,TRUE,"Exclusions";#N/A,#N/A,TRUE,"Areas";#N/A,#N/A,TRUE,"Summary";#N/A,#N/A,TRUE,"Detail"}</definedName>
    <definedName name="_____tem1" localSheetId="2" hidden="1">{#N/A,#N/A,TRUE,"Front";#N/A,#N/A,TRUE,"Simple Letter";#N/A,#N/A,TRUE,"Inside";#N/A,#N/A,TRUE,"Contents";#N/A,#N/A,TRUE,"Basis";#N/A,#N/A,TRUE,"Inclusions";#N/A,#N/A,TRUE,"Exclusions";#N/A,#N/A,TRUE,"Areas";#N/A,#N/A,TRUE,"Summary";#N/A,#N/A,TRUE,"Detail"}</definedName>
    <definedName name="_____tem1" hidden="1">{#N/A,#N/A,TRUE,"Front";#N/A,#N/A,TRUE,"Simple Letter";#N/A,#N/A,TRUE,"Inside";#N/A,#N/A,TRUE,"Contents";#N/A,#N/A,TRUE,"Basis";#N/A,#N/A,TRUE,"Inclusions";#N/A,#N/A,TRUE,"Exclusions";#N/A,#N/A,TRUE,"Areas";#N/A,#N/A,TRUE,"Summary";#N/A,#N/A,TRUE,"Detail"}</definedName>
    <definedName name="_____tm3" localSheetId="2" hidden="1">{#N/A,#N/A,TRUE,"Front";#N/A,#N/A,TRUE,"Simple Letter";#N/A,#N/A,TRUE,"Inside";#N/A,#N/A,TRUE,"Contents";#N/A,#N/A,TRUE,"Basis";#N/A,#N/A,TRUE,"Inclusions";#N/A,#N/A,TRUE,"Exclusions";#N/A,#N/A,TRUE,"Areas";#N/A,#N/A,TRUE,"Summary";#N/A,#N/A,TRUE,"Detail"}</definedName>
    <definedName name="_____tm3" hidden="1">{#N/A,#N/A,TRUE,"Front";#N/A,#N/A,TRUE,"Simple Letter";#N/A,#N/A,TRUE,"Inside";#N/A,#N/A,TRUE,"Contents";#N/A,#N/A,TRUE,"Basis";#N/A,#N/A,TRUE,"Inclusions";#N/A,#N/A,TRUE,"Exclusions";#N/A,#N/A,TRUE,"Areas";#N/A,#N/A,TRUE,"Summary";#N/A,#N/A,TRUE,"Detail"}</definedName>
    <definedName name="____cat12" localSheetId="2" hidden="1">{#N/A,#N/A,TRUE,"Front";#N/A,#N/A,TRUE,"Simple Letter";#N/A,#N/A,TRUE,"Inside";#N/A,#N/A,TRUE,"Contents";#N/A,#N/A,TRUE,"Basis";#N/A,#N/A,TRUE,"Inclusions";#N/A,#N/A,TRUE,"Exclusions";#N/A,#N/A,TRUE,"Areas";#N/A,#N/A,TRUE,"Summary";#N/A,#N/A,TRUE,"Detail"}</definedName>
    <definedName name="____cat12" hidden="1">{#N/A,#N/A,TRUE,"Front";#N/A,#N/A,TRUE,"Simple Letter";#N/A,#N/A,TRUE,"Inside";#N/A,#N/A,TRUE,"Contents";#N/A,#N/A,TRUE,"Basis";#N/A,#N/A,TRUE,"Inclusions";#N/A,#N/A,TRUE,"Exclusions";#N/A,#N/A,TRUE,"Areas";#N/A,#N/A,TRUE,"Summary";#N/A,#N/A,TRUE,"Detail"}</definedName>
    <definedName name="____d2" localSheetId="2" hidden="1">{#N/A,#N/A,FALSE,"mgtsum.XLS";#N/A,#N/A,FALSE,"CAPONE";#N/A,#N/A,FALSE,"CAPTWO";#N/A,#N/A,FALSE,"CAPTHREE"}</definedName>
    <definedName name="____d2" hidden="1">{#N/A,#N/A,FALSE,"mgtsum.XLS";#N/A,#N/A,FALSE,"CAPONE";#N/A,#N/A,FALSE,"CAPTWO";#N/A,#N/A,FALSE,"CAPTHREE"}</definedName>
    <definedName name="____Feb06" localSheetId="2" hidden="1">{#N/A,#N/A,TRUE,"Front";#N/A,#N/A,TRUE,"Simple Letter";#N/A,#N/A,TRUE,"Inside";#N/A,#N/A,TRUE,"Contents";#N/A,#N/A,TRUE,"Basis";#N/A,#N/A,TRUE,"Inclusions";#N/A,#N/A,TRUE,"Exclusions";#N/A,#N/A,TRUE,"Areas";#N/A,#N/A,TRUE,"Summary";#N/A,#N/A,TRUE,"Detail"}</definedName>
    <definedName name="____Feb06" hidden="1">{#N/A,#N/A,TRUE,"Front";#N/A,#N/A,TRUE,"Simple Letter";#N/A,#N/A,TRUE,"Inside";#N/A,#N/A,TRUE,"Contents";#N/A,#N/A,TRUE,"Basis";#N/A,#N/A,TRUE,"Inclusions";#N/A,#N/A,TRUE,"Exclusions";#N/A,#N/A,TRUE,"Areas";#N/A,#N/A,TRUE,"Summary";#N/A,#N/A,TRUE,"Detail"}</definedName>
    <definedName name="____HDD1111" localSheetId="2" hidden="1">{#N/A,#N/A,TRUE,"Front";#N/A,#N/A,TRUE,"Simple Letter";#N/A,#N/A,TRUE,"Inside";#N/A,#N/A,TRUE,"Contents";#N/A,#N/A,TRUE,"Basis";#N/A,#N/A,TRUE,"Inclusions";#N/A,#N/A,TRUE,"Exclusions";#N/A,#N/A,TRUE,"Areas";#N/A,#N/A,TRUE,"Summary";#N/A,#N/A,TRUE,"Detail"}</definedName>
    <definedName name="____HDD1111" hidden="1">{#N/A,#N/A,TRUE,"Front";#N/A,#N/A,TRUE,"Simple Letter";#N/A,#N/A,TRUE,"Inside";#N/A,#N/A,TRUE,"Contents";#N/A,#N/A,TRUE,"Basis";#N/A,#N/A,TRUE,"Inclusions";#N/A,#N/A,TRUE,"Exclusions";#N/A,#N/A,TRUE,"Areas";#N/A,#N/A,TRUE,"Summary";#N/A,#N/A,TRUE,"Detail"}</definedName>
    <definedName name="____hp10" localSheetId="2" hidden="1">{#N/A,#N/A,TRUE,"Front";#N/A,#N/A,TRUE,"Simple Letter";#N/A,#N/A,TRUE,"Inside";#N/A,#N/A,TRUE,"Contents";#N/A,#N/A,TRUE,"Basis";#N/A,#N/A,TRUE,"Inclusions";#N/A,#N/A,TRUE,"Exclusions";#N/A,#N/A,TRUE,"Areas";#N/A,#N/A,TRUE,"Summary";#N/A,#N/A,TRUE,"Detail"}</definedName>
    <definedName name="____hp10" hidden="1">{#N/A,#N/A,TRUE,"Front";#N/A,#N/A,TRUE,"Simple Letter";#N/A,#N/A,TRUE,"Inside";#N/A,#N/A,TRUE,"Contents";#N/A,#N/A,TRUE,"Basis";#N/A,#N/A,TRUE,"Inclusions";#N/A,#N/A,TRUE,"Exclusions";#N/A,#N/A,TRUE,"Areas";#N/A,#N/A,TRUE,"Summary";#N/A,#N/A,TRUE,"Detail"}</definedName>
    <definedName name="____PA1" localSheetId="2" hidden="1">{#N/A,#N/A,TRUE,"Front";#N/A,#N/A,TRUE,"Simple Letter";#N/A,#N/A,TRUE,"Inside";#N/A,#N/A,TRUE,"Contents";#N/A,#N/A,TRUE,"Basis";#N/A,#N/A,TRUE,"Inclusions";#N/A,#N/A,TRUE,"Exclusions";#N/A,#N/A,TRUE,"Areas";#N/A,#N/A,TRUE,"Summary";#N/A,#N/A,TRUE,"Detail"}</definedName>
    <definedName name="____PA1" hidden="1">{#N/A,#N/A,TRUE,"Front";#N/A,#N/A,TRUE,"Simple Letter";#N/A,#N/A,TRUE,"Inside";#N/A,#N/A,TRUE,"Contents";#N/A,#N/A,TRUE,"Basis";#N/A,#N/A,TRUE,"Inclusions";#N/A,#N/A,TRUE,"Exclusions";#N/A,#N/A,TRUE,"Areas";#N/A,#N/A,TRUE,"Summary";#N/A,#N/A,TRUE,"Detail"}</definedName>
    <definedName name="____RAB002" localSheetId="2" hidden="1">{#N/A,#N/A,TRUE,"Front";#N/A,#N/A,TRUE,"Simple Letter";#N/A,#N/A,TRUE,"Inside";#N/A,#N/A,TRUE,"Contents";#N/A,#N/A,TRUE,"Basis";#N/A,#N/A,TRUE,"Inclusions";#N/A,#N/A,TRUE,"Exclusions";#N/A,#N/A,TRUE,"Areas";#N/A,#N/A,TRUE,"Summary";#N/A,#N/A,TRUE,"Detail"}</definedName>
    <definedName name="____RAB002" hidden="1">{#N/A,#N/A,TRUE,"Front";#N/A,#N/A,TRUE,"Simple Letter";#N/A,#N/A,TRUE,"Inside";#N/A,#N/A,TRUE,"Contents";#N/A,#N/A,TRUE,"Basis";#N/A,#N/A,TRUE,"Inclusions";#N/A,#N/A,TRUE,"Exclusions";#N/A,#N/A,TRUE,"Areas";#N/A,#N/A,TRUE,"Summary";#N/A,#N/A,TRUE,"Detail"}</definedName>
    <definedName name="____t2" localSheetId="2" hidden="1">{#N/A,#N/A,TRUE,"Front";#N/A,#N/A,TRUE,"Simple Letter";#N/A,#N/A,TRUE,"Inside";#N/A,#N/A,TRUE,"Contents";#N/A,#N/A,TRUE,"Basis";#N/A,#N/A,TRUE,"Inclusions";#N/A,#N/A,TRUE,"Exclusions";#N/A,#N/A,TRUE,"Areas";#N/A,#N/A,TRUE,"Summary";#N/A,#N/A,TRUE,"Detail"}</definedName>
    <definedName name="____t2" hidden="1">{#N/A,#N/A,TRUE,"Front";#N/A,#N/A,TRUE,"Simple Letter";#N/A,#N/A,TRUE,"Inside";#N/A,#N/A,TRUE,"Contents";#N/A,#N/A,TRUE,"Basis";#N/A,#N/A,TRUE,"Inclusions";#N/A,#N/A,TRUE,"Exclusions";#N/A,#N/A,TRUE,"Areas";#N/A,#N/A,TRUE,"Summary";#N/A,#N/A,TRUE,"Detail"}</definedName>
    <definedName name="____tem1" localSheetId="2" hidden="1">{#N/A,#N/A,TRUE,"Front";#N/A,#N/A,TRUE,"Simple Letter";#N/A,#N/A,TRUE,"Inside";#N/A,#N/A,TRUE,"Contents";#N/A,#N/A,TRUE,"Basis";#N/A,#N/A,TRUE,"Inclusions";#N/A,#N/A,TRUE,"Exclusions";#N/A,#N/A,TRUE,"Areas";#N/A,#N/A,TRUE,"Summary";#N/A,#N/A,TRUE,"Detail"}</definedName>
    <definedName name="____tem1" hidden="1">{#N/A,#N/A,TRUE,"Front";#N/A,#N/A,TRUE,"Simple Letter";#N/A,#N/A,TRUE,"Inside";#N/A,#N/A,TRUE,"Contents";#N/A,#N/A,TRUE,"Basis";#N/A,#N/A,TRUE,"Inclusions";#N/A,#N/A,TRUE,"Exclusions";#N/A,#N/A,TRUE,"Areas";#N/A,#N/A,TRUE,"Summary";#N/A,#N/A,TRUE,"Detail"}</definedName>
    <definedName name="____tm3" localSheetId="2" hidden="1">{#N/A,#N/A,TRUE,"Front";#N/A,#N/A,TRUE,"Simple Letter";#N/A,#N/A,TRUE,"Inside";#N/A,#N/A,TRUE,"Contents";#N/A,#N/A,TRUE,"Basis";#N/A,#N/A,TRUE,"Inclusions";#N/A,#N/A,TRUE,"Exclusions";#N/A,#N/A,TRUE,"Areas";#N/A,#N/A,TRUE,"Summary";#N/A,#N/A,TRUE,"Detail"}</definedName>
    <definedName name="____tm3" hidden="1">{#N/A,#N/A,TRUE,"Front";#N/A,#N/A,TRUE,"Simple Letter";#N/A,#N/A,TRUE,"Inside";#N/A,#N/A,TRUE,"Contents";#N/A,#N/A,TRUE,"Basis";#N/A,#N/A,TRUE,"Inclusions";#N/A,#N/A,TRUE,"Exclusions";#N/A,#N/A,TRUE,"Areas";#N/A,#N/A,TRUE,"Summary";#N/A,#N/A,TRUE,"Detail"}</definedName>
    <definedName name="___cat12" localSheetId="2" hidden="1">{#N/A,#N/A,TRUE,"Front";#N/A,#N/A,TRUE,"Simple Letter";#N/A,#N/A,TRUE,"Inside";#N/A,#N/A,TRUE,"Contents";#N/A,#N/A,TRUE,"Basis";#N/A,#N/A,TRUE,"Inclusions";#N/A,#N/A,TRUE,"Exclusions";#N/A,#N/A,TRUE,"Areas";#N/A,#N/A,TRUE,"Summary";#N/A,#N/A,TRUE,"Detail"}</definedName>
    <definedName name="___cat12" hidden="1">{#N/A,#N/A,TRUE,"Front";#N/A,#N/A,TRUE,"Simple Letter";#N/A,#N/A,TRUE,"Inside";#N/A,#N/A,TRUE,"Contents";#N/A,#N/A,TRUE,"Basis";#N/A,#N/A,TRUE,"Inclusions";#N/A,#N/A,TRUE,"Exclusions";#N/A,#N/A,TRUE,"Areas";#N/A,#N/A,TRUE,"Summary";#N/A,#N/A,TRUE,"Detail"}</definedName>
    <definedName name="___d2" localSheetId="2" hidden="1">{#N/A,#N/A,FALSE,"mgtsum.XLS";#N/A,#N/A,FALSE,"CAPONE";#N/A,#N/A,FALSE,"CAPTWO";#N/A,#N/A,FALSE,"CAPTHREE"}</definedName>
    <definedName name="___d2" hidden="1">{#N/A,#N/A,FALSE,"mgtsum.XLS";#N/A,#N/A,FALSE,"CAPONE";#N/A,#N/A,FALSE,"CAPTWO";#N/A,#N/A,FALSE,"CAPTHREE"}</definedName>
    <definedName name="___fco2" localSheetId="2" hidden="1">{#N/A,#N/A,FALSE,"gc (2)"}</definedName>
    <definedName name="___fco2" hidden="1">{#N/A,#N/A,FALSE,"gc (2)"}</definedName>
    <definedName name="___Feb06" localSheetId="2" hidden="1">{#N/A,#N/A,TRUE,"Front";#N/A,#N/A,TRUE,"Simple Letter";#N/A,#N/A,TRUE,"Inside";#N/A,#N/A,TRUE,"Contents";#N/A,#N/A,TRUE,"Basis";#N/A,#N/A,TRUE,"Inclusions";#N/A,#N/A,TRUE,"Exclusions";#N/A,#N/A,TRUE,"Areas";#N/A,#N/A,TRUE,"Summary";#N/A,#N/A,TRUE,"Detail"}</definedName>
    <definedName name="___Feb06" hidden="1">{#N/A,#N/A,TRUE,"Front";#N/A,#N/A,TRUE,"Simple Letter";#N/A,#N/A,TRUE,"Inside";#N/A,#N/A,TRUE,"Contents";#N/A,#N/A,TRUE,"Basis";#N/A,#N/A,TRUE,"Inclusions";#N/A,#N/A,TRUE,"Exclusions";#N/A,#N/A,TRUE,"Areas";#N/A,#N/A,TRUE,"Summary";#N/A,#N/A,TRUE,"Detail"}</definedName>
    <definedName name="___Feb06_1" localSheetId="2" hidden="1">{#N/A,#N/A,TRUE,"Front";#N/A,#N/A,TRUE,"Simple Letter";#N/A,#N/A,TRUE,"Inside";#N/A,#N/A,TRUE,"Contents";#N/A,#N/A,TRUE,"Basis";#N/A,#N/A,TRUE,"Inclusions";#N/A,#N/A,TRUE,"Exclusions";#N/A,#N/A,TRUE,"Areas";#N/A,#N/A,TRUE,"Summary";#N/A,#N/A,TRUE,"Detail"}</definedName>
    <definedName name="___Feb06_1" hidden="1">{#N/A,#N/A,TRUE,"Front";#N/A,#N/A,TRUE,"Simple Letter";#N/A,#N/A,TRUE,"Inside";#N/A,#N/A,TRUE,"Contents";#N/A,#N/A,TRUE,"Basis";#N/A,#N/A,TRUE,"Inclusions";#N/A,#N/A,TRUE,"Exclusions";#N/A,#N/A,TRUE,"Areas";#N/A,#N/A,TRUE,"Summary";#N/A,#N/A,TRUE,"Detail"}</definedName>
    <definedName name="___HDD1111" localSheetId="2" hidden="1">{#N/A,#N/A,TRUE,"Front";#N/A,#N/A,TRUE,"Simple Letter";#N/A,#N/A,TRUE,"Inside";#N/A,#N/A,TRUE,"Contents";#N/A,#N/A,TRUE,"Basis";#N/A,#N/A,TRUE,"Inclusions";#N/A,#N/A,TRUE,"Exclusions";#N/A,#N/A,TRUE,"Areas";#N/A,#N/A,TRUE,"Summary";#N/A,#N/A,TRUE,"Detail"}</definedName>
    <definedName name="___HDD1111" hidden="1">{#N/A,#N/A,TRUE,"Front";#N/A,#N/A,TRUE,"Simple Letter";#N/A,#N/A,TRUE,"Inside";#N/A,#N/A,TRUE,"Contents";#N/A,#N/A,TRUE,"Basis";#N/A,#N/A,TRUE,"Inclusions";#N/A,#N/A,TRUE,"Exclusions";#N/A,#N/A,TRUE,"Areas";#N/A,#N/A,TRUE,"Summary";#N/A,#N/A,TRUE,"Detail"}</definedName>
    <definedName name="___hp10" localSheetId="2" hidden="1">{#N/A,#N/A,TRUE,"Front";#N/A,#N/A,TRUE,"Simple Letter";#N/A,#N/A,TRUE,"Inside";#N/A,#N/A,TRUE,"Contents";#N/A,#N/A,TRUE,"Basis";#N/A,#N/A,TRUE,"Inclusions";#N/A,#N/A,TRUE,"Exclusions";#N/A,#N/A,TRUE,"Areas";#N/A,#N/A,TRUE,"Summary";#N/A,#N/A,TRUE,"Detail"}</definedName>
    <definedName name="___hp10" hidden="1">{#N/A,#N/A,TRUE,"Front";#N/A,#N/A,TRUE,"Simple Letter";#N/A,#N/A,TRUE,"Inside";#N/A,#N/A,TRUE,"Contents";#N/A,#N/A,TRUE,"Basis";#N/A,#N/A,TRUE,"Inclusions";#N/A,#N/A,TRUE,"Exclusions";#N/A,#N/A,TRUE,"Areas";#N/A,#N/A,TRUE,"Summary";#N/A,#N/A,TRUE,"Detail"}</definedName>
    <definedName name="___key2" hidden="1">#REF!</definedName>
    <definedName name="___ns1" localSheetId="2" hidden="1">{#N/A,#N/A,FALSE,"COVER1.XLS ";#N/A,#N/A,FALSE,"RACT1.XLS";#N/A,#N/A,FALSE,"RACT2.XLS";#N/A,#N/A,FALSE,"ECCMP";#N/A,#N/A,FALSE,"WELDER.XLS"}</definedName>
    <definedName name="___ns1" hidden="1">{#N/A,#N/A,FALSE,"COVER1.XLS ";#N/A,#N/A,FALSE,"RACT1.XLS";#N/A,#N/A,FALSE,"RACT2.XLS";#N/A,#N/A,FALSE,"ECCMP";#N/A,#N/A,FALSE,"WELDER.XLS"}</definedName>
    <definedName name="___PA1" hidden="1">{#N/A,#N/A,TRUE,"Front";#N/A,#N/A,TRUE,"Simple Letter";#N/A,#N/A,TRUE,"Inside";#N/A,#N/A,TRUE,"Contents";#N/A,#N/A,TRUE,"Basis";#N/A,#N/A,TRUE,"Inclusions";#N/A,#N/A,TRUE,"Exclusions";#N/A,#N/A,TRUE,"Areas";#N/A,#N/A,TRUE,"Summary";#N/A,#N/A,TRUE,"Detail"}</definedName>
    <definedName name="___RAB002" localSheetId="2" hidden="1">{#N/A,#N/A,TRUE,"Front";#N/A,#N/A,TRUE,"Simple Letter";#N/A,#N/A,TRUE,"Inside";#N/A,#N/A,TRUE,"Contents";#N/A,#N/A,TRUE,"Basis";#N/A,#N/A,TRUE,"Inclusions";#N/A,#N/A,TRUE,"Exclusions";#N/A,#N/A,TRUE,"Areas";#N/A,#N/A,TRUE,"Summary";#N/A,#N/A,TRUE,"Detail"}</definedName>
    <definedName name="___RAB002" hidden="1">{#N/A,#N/A,TRUE,"Front";#N/A,#N/A,TRUE,"Simple Letter";#N/A,#N/A,TRUE,"Inside";#N/A,#N/A,TRUE,"Contents";#N/A,#N/A,TRUE,"Basis";#N/A,#N/A,TRUE,"Inclusions";#N/A,#N/A,TRUE,"Exclusions";#N/A,#N/A,TRUE,"Areas";#N/A,#N/A,TRUE,"Summary";#N/A,#N/A,TRUE,"Detail"}</definedName>
    <definedName name="___ram1" localSheetId="2" hidden="1">{#N/A,#N/A,FALSE,"gc (2)"}</definedName>
    <definedName name="___ram1" hidden="1">{#N/A,#N/A,FALSE,"gc (2)"}</definedName>
    <definedName name="___sti02" localSheetId="2" hidden="1">{#N/A,#N/A,FALSE,"gc (2)"}</definedName>
    <definedName name="___sti02" hidden="1">{#N/A,#N/A,FALSE,"gc (2)"}</definedName>
    <definedName name="___t1" localSheetId="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2" localSheetId="2" hidden="1">{#N/A,#N/A,TRUE,"Front";#N/A,#N/A,TRUE,"Simple Letter";#N/A,#N/A,TRUE,"Inside";#N/A,#N/A,TRUE,"Contents";#N/A,#N/A,TRUE,"Basis";#N/A,#N/A,TRUE,"Inclusions";#N/A,#N/A,TRUE,"Exclusions";#N/A,#N/A,TRUE,"Areas";#N/A,#N/A,TRUE,"Summary";#N/A,#N/A,TRUE,"Detail"}</definedName>
    <definedName name="___t2" hidden="1">{#N/A,#N/A,TRUE,"Front";#N/A,#N/A,TRUE,"Simple Letter";#N/A,#N/A,TRUE,"Inside";#N/A,#N/A,TRUE,"Contents";#N/A,#N/A,TRUE,"Basis";#N/A,#N/A,TRUE,"Inclusions";#N/A,#N/A,TRUE,"Exclusions";#N/A,#N/A,TRUE,"Areas";#N/A,#N/A,TRUE,"Summary";#N/A,#N/A,TRUE,"Detail"}</definedName>
    <definedName name="___ta1" localSheetId="2" hidden="1">{#N/A,#N/A,TRUE,"Financials";#N/A,#N/A,TRUE,"Operating Statistics";#N/A,#N/A,TRUE,"Capex &amp; Depreciation";#N/A,#N/A,TRUE,"Debt"}</definedName>
    <definedName name="___ta1" hidden="1">{#N/A,#N/A,TRUE,"Financials";#N/A,#N/A,TRUE,"Operating Statistics";#N/A,#N/A,TRUE,"Capex &amp; Depreciation";#N/A,#N/A,TRUE,"Debt"}</definedName>
    <definedName name="___tb1" localSheetId="2" hidden="1">{#N/A,#N/A,FALSE,"One Pager";#N/A,#N/A,FALSE,"Technical"}</definedName>
    <definedName name="___tb1" hidden="1">{#N/A,#N/A,FALSE,"One Pager";#N/A,#N/A,FALSE,"Technical"}</definedName>
    <definedName name="___tem1" localSheetId="2" hidden="1">{#N/A,#N/A,TRUE,"Front";#N/A,#N/A,TRUE,"Simple Letter";#N/A,#N/A,TRUE,"Inside";#N/A,#N/A,TRUE,"Contents";#N/A,#N/A,TRUE,"Basis";#N/A,#N/A,TRUE,"Inclusions";#N/A,#N/A,TRUE,"Exclusions";#N/A,#N/A,TRUE,"Areas";#N/A,#N/A,TRUE,"Summary";#N/A,#N/A,TRUE,"Detail"}</definedName>
    <definedName name="___tem1" hidden="1">{#N/A,#N/A,TRUE,"Front";#N/A,#N/A,TRUE,"Simple Letter";#N/A,#N/A,TRUE,"Inside";#N/A,#N/A,TRUE,"Contents";#N/A,#N/A,TRUE,"Basis";#N/A,#N/A,TRUE,"Inclusions";#N/A,#N/A,TRUE,"Exclusions";#N/A,#N/A,TRUE,"Areas";#N/A,#N/A,TRUE,"Summary";#N/A,#N/A,TRUE,"Detail"}</definedName>
    <definedName name="___tm3" localSheetId="2" hidden="1">{#N/A,#N/A,TRUE,"Front";#N/A,#N/A,TRUE,"Simple Letter";#N/A,#N/A,TRUE,"Inside";#N/A,#N/A,TRUE,"Contents";#N/A,#N/A,TRUE,"Basis";#N/A,#N/A,TRUE,"Inclusions";#N/A,#N/A,TRUE,"Exclusions";#N/A,#N/A,TRUE,"Areas";#N/A,#N/A,TRUE,"Summary";#N/A,#N/A,TRUE,"Detail"}</definedName>
    <definedName name="___tm3" hidden="1">{#N/A,#N/A,TRUE,"Front";#N/A,#N/A,TRUE,"Simple Letter";#N/A,#N/A,TRUE,"Inside";#N/A,#N/A,TRUE,"Contents";#N/A,#N/A,TRUE,"Basis";#N/A,#N/A,TRUE,"Inclusions";#N/A,#N/A,TRUE,"Exclusions";#N/A,#N/A,TRUE,"Areas";#N/A,#N/A,TRUE,"Summary";#N/A,#N/A,TRUE,"Detail"}</definedName>
    <definedName name="___xlfn.BAHTTEXT" hidden="1">#NAME?</definedName>
    <definedName name="__123Graph_A" hidden="1">#REF!</definedName>
    <definedName name="__123Graph_ACURVE" hidden="1">#REF!</definedName>
    <definedName name="__123Graph_AIncome" hidden="1">#REF!</definedName>
    <definedName name="__123Graph_APAY" hidden="1">#REF!</definedName>
    <definedName name="__123Graph_ASummary" hidden="1">#REF!</definedName>
    <definedName name="__123Graph_B" hidden="1">#REF!</definedName>
    <definedName name="__123Graph_BIncome" hidden="1">#REF!</definedName>
    <definedName name="__123Graph_BSummary" hidden="1">#REF!</definedName>
    <definedName name="__123Graph_C" hidden="1">#REF!</definedName>
    <definedName name="__123Graph_D" hidden="1">#REF!</definedName>
    <definedName name="__123Graph_E" hidden="1">#REF!</definedName>
    <definedName name="__123Graph_F" hidden="1">#REF!</definedName>
    <definedName name="__123Graph_LBL_A" hidden="1">#REF!</definedName>
    <definedName name="__123Graph_LBL_B" hidden="1">#REF!</definedName>
    <definedName name="__123Graph_X" hidden="1">#REF!</definedName>
    <definedName name="__123Graph_XCURVE" hidden="1">#REF!</definedName>
    <definedName name="__123Graph_XIncome" hidden="1">#REF!</definedName>
    <definedName name="__123Graph_XPAY" hidden="1">#REF!</definedName>
    <definedName name="__cat12" localSheetId="2" hidden="1">{#N/A,#N/A,TRUE,"Front";#N/A,#N/A,TRUE,"Simple Letter";#N/A,#N/A,TRUE,"Inside";#N/A,#N/A,TRUE,"Contents";#N/A,#N/A,TRUE,"Basis";#N/A,#N/A,TRUE,"Inclusions";#N/A,#N/A,TRUE,"Exclusions";#N/A,#N/A,TRUE,"Areas";#N/A,#N/A,TRUE,"Summary";#N/A,#N/A,TRUE,"Detail"}</definedName>
    <definedName name="__cat12" hidden="1">{#N/A,#N/A,TRUE,"Front";#N/A,#N/A,TRUE,"Simple Letter";#N/A,#N/A,TRUE,"Inside";#N/A,#N/A,TRUE,"Contents";#N/A,#N/A,TRUE,"Basis";#N/A,#N/A,TRUE,"Inclusions";#N/A,#N/A,TRUE,"Exclusions";#N/A,#N/A,TRUE,"Areas";#N/A,#N/A,TRUE,"Summary";#N/A,#N/A,TRUE,"Detail"}</definedName>
    <definedName name="__d2" localSheetId="2" hidden="1">{#N/A,#N/A,FALSE,"mgtsum.XLS";#N/A,#N/A,FALSE,"CAPONE";#N/A,#N/A,FALSE,"CAPTWO";#N/A,#N/A,FALSE,"CAPTHREE"}</definedName>
    <definedName name="__d2" hidden="1">{#N/A,#N/A,FALSE,"mgtsum.XLS";#N/A,#N/A,FALSE,"CAPONE";#N/A,#N/A,FALSE,"CAPTWO";#N/A,#N/A,FALSE,"CAPTHREE"}</definedName>
    <definedName name="__FDS_HYPERLINK_TOGGLE_STATE__" hidden="1">"ON"</definedName>
    <definedName name="__Feb06" localSheetId="2" hidden="1">{#N/A,#N/A,TRUE,"Front";#N/A,#N/A,TRUE,"Simple Letter";#N/A,#N/A,TRUE,"Inside";#N/A,#N/A,TRUE,"Contents";#N/A,#N/A,TRUE,"Basis";#N/A,#N/A,TRUE,"Inclusions";#N/A,#N/A,TRUE,"Exclusions";#N/A,#N/A,TRUE,"Areas";#N/A,#N/A,TRUE,"Summary";#N/A,#N/A,TRUE,"Detail"}</definedName>
    <definedName name="__Feb06" hidden="1">{#N/A,#N/A,TRUE,"Front";#N/A,#N/A,TRUE,"Simple Letter";#N/A,#N/A,TRUE,"Inside";#N/A,#N/A,TRUE,"Contents";#N/A,#N/A,TRUE,"Basis";#N/A,#N/A,TRUE,"Inclusions";#N/A,#N/A,TRUE,"Exclusions";#N/A,#N/A,TRUE,"Areas";#N/A,#N/A,TRUE,"Summary";#N/A,#N/A,TRUE,"Detail"}</definedName>
    <definedName name="__Feb06_1" localSheetId="2" hidden="1">{#N/A,#N/A,TRUE,"Front";#N/A,#N/A,TRUE,"Simple Letter";#N/A,#N/A,TRUE,"Inside";#N/A,#N/A,TRUE,"Contents";#N/A,#N/A,TRUE,"Basis";#N/A,#N/A,TRUE,"Inclusions";#N/A,#N/A,TRUE,"Exclusions";#N/A,#N/A,TRUE,"Areas";#N/A,#N/A,TRUE,"Summary";#N/A,#N/A,TRUE,"Detail"}</definedName>
    <definedName name="__Feb06_1" hidden="1">{#N/A,#N/A,TRUE,"Front";#N/A,#N/A,TRUE,"Simple Letter";#N/A,#N/A,TRUE,"Inside";#N/A,#N/A,TRUE,"Contents";#N/A,#N/A,TRUE,"Basis";#N/A,#N/A,TRUE,"Inclusions";#N/A,#N/A,TRUE,"Exclusions";#N/A,#N/A,TRUE,"Areas";#N/A,#N/A,TRUE,"Summary";#N/A,#N/A,TRUE,"Detail"}</definedName>
    <definedName name="__HDD1111" hidden="1">{#N/A,#N/A,TRUE,"Front";#N/A,#N/A,TRUE,"Simple Letter";#N/A,#N/A,TRUE,"Inside";#N/A,#N/A,TRUE,"Contents";#N/A,#N/A,TRUE,"Basis";#N/A,#N/A,TRUE,"Inclusions";#N/A,#N/A,TRUE,"Exclusions";#N/A,#N/A,TRUE,"Areas";#N/A,#N/A,TRUE,"Summary";#N/A,#N/A,TRUE,"Detail"}</definedName>
    <definedName name="__hp10" localSheetId="2" hidden="1">{#N/A,#N/A,TRUE,"Front";#N/A,#N/A,TRUE,"Simple Letter";#N/A,#N/A,TRUE,"Inside";#N/A,#N/A,TRUE,"Contents";#N/A,#N/A,TRUE,"Basis";#N/A,#N/A,TRUE,"Inclusions";#N/A,#N/A,TRUE,"Exclusions";#N/A,#N/A,TRUE,"Areas";#N/A,#N/A,TRUE,"Summary";#N/A,#N/A,TRUE,"Detail"}</definedName>
    <definedName name="__hp10" hidden="1">{#N/A,#N/A,TRUE,"Front";#N/A,#N/A,TRUE,"Simple Letter";#N/A,#N/A,TRUE,"Inside";#N/A,#N/A,TRUE,"Contents";#N/A,#N/A,TRUE,"Basis";#N/A,#N/A,TRUE,"Inclusions";#N/A,#N/A,TRUE,"Exclusions";#N/A,#N/A,TRUE,"Areas";#N/A,#N/A,TRUE,"Summary";#N/A,#N/A,TRUE,"Detail"}</definedName>
    <definedName name="__IntlFixup" hidden="1">TRUE</definedName>
    <definedName name="__IntlFixupTable" hidden="1">#REF!</definedName>
    <definedName name="__key1" hidden="1">#REF!</definedName>
    <definedName name="__key2" hidden="1">#REF!</definedName>
    <definedName name="__MR10" localSheetId="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MR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PA1" hidden="1">{#N/A,#N/A,TRUE,"Front";#N/A,#N/A,TRUE,"Simple Letter";#N/A,#N/A,TRUE,"Inside";#N/A,#N/A,TRUE,"Contents";#N/A,#N/A,TRUE,"Basis";#N/A,#N/A,TRUE,"Inclusions";#N/A,#N/A,TRUE,"Exclusions";#N/A,#N/A,TRUE,"Areas";#N/A,#N/A,TRUE,"Summary";#N/A,#N/A,TRUE,"Detail"}</definedName>
    <definedName name="__RAB002" localSheetId="2" hidden="1">{#N/A,#N/A,TRUE,"Front";#N/A,#N/A,TRUE,"Simple Letter";#N/A,#N/A,TRUE,"Inside";#N/A,#N/A,TRUE,"Contents";#N/A,#N/A,TRUE,"Basis";#N/A,#N/A,TRUE,"Inclusions";#N/A,#N/A,TRUE,"Exclusions";#N/A,#N/A,TRUE,"Areas";#N/A,#N/A,TRUE,"Summary";#N/A,#N/A,TRUE,"Detail"}</definedName>
    <definedName name="__RAB002" hidden="1">{#N/A,#N/A,TRUE,"Front";#N/A,#N/A,TRUE,"Simple Letter";#N/A,#N/A,TRUE,"Inside";#N/A,#N/A,TRUE,"Contents";#N/A,#N/A,TRUE,"Basis";#N/A,#N/A,TRUE,"Inclusions";#N/A,#N/A,TRUE,"Exclusions";#N/A,#N/A,TRUE,"Areas";#N/A,#N/A,TRUE,"Summary";#N/A,#N/A,TRUE,"Detail"}</definedName>
    <definedName name="__sah3" localSheetId="2" hidden="1">{#N/A,#N/A,TRUE,"Front";#N/A,#N/A,TRUE,"Simple Letter";#N/A,#N/A,TRUE,"Inside";#N/A,#N/A,TRUE,"Contents";#N/A,#N/A,TRUE,"Basis";#N/A,#N/A,TRUE,"Inclusions";#N/A,#N/A,TRUE,"Exclusions";#N/A,#N/A,TRUE,"Areas";#N/A,#N/A,TRUE,"Summary";#N/A,#N/A,TRUE,"Detail"}</definedName>
    <definedName name="__sah3" hidden="1">{#N/A,#N/A,TRUE,"Front";#N/A,#N/A,TRUE,"Simple Letter";#N/A,#N/A,TRUE,"Inside";#N/A,#N/A,TRUE,"Contents";#N/A,#N/A,TRUE,"Basis";#N/A,#N/A,TRUE,"Inclusions";#N/A,#N/A,TRUE,"Exclusions";#N/A,#N/A,TRUE,"Areas";#N/A,#N/A,TRUE,"Summary";#N/A,#N/A,TRUE,"Detail"}</definedName>
    <definedName name="__t1" localSheetId="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2" localSheetId="2" hidden="1">{#N/A,#N/A,TRUE,"Front";#N/A,#N/A,TRUE,"Simple Letter";#N/A,#N/A,TRUE,"Inside";#N/A,#N/A,TRUE,"Contents";#N/A,#N/A,TRUE,"Basis";#N/A,#N/A,TRUE,"Inclusions";#N/A,#N/A,TRUE,"Exclusions";#N/A,#N/A,TRUE,"Areas";#N/A,#N/A,TRUE,"Summary";#N/A,#N/A,TRUE,"Detail"}</definedName>
    <definedName name="__t2" hidden="1">{#N/A,#N/A,TRUE,"Front";#N/A,#N/A,TRUE,"Simple Letter";#N/A,#N/A,TRUE,"Inside";#N/A,#N/A,TRUE,"Contents";#N/A,#N/A,TRUE,"Basis";#N/A,#N/A,TRUE,"Inclusions";#N/A,#N/A,TRUE,"Exclusions";#N/A,#N/A,TRUE,"Areas";#N/A,#N/A,TRUE,"Summary";#N/A,#N/A,TRUE,"Detail"}</definedName>
    <definedName name="__ta1" localSheetId="2" hidden="1">{#N/A,#N/A,TRUE,"Financials";#N/A,#N/A,TRUE,"Operating Statistics";#N/A,#N/A,TRUE,"Capex &amp; Depreciation";#N/A,#N/A,TRUE,"Debt"}</definedName>
    <definedName name="__ta1" hidden="1">{#N/A,#N/A,TRUE,"Financials";#N/A,#N/A,TRUE,"Operating Statistics";#N/A,#N/A,TRUE,"Capex &amp; Depreciation";#N/A,#N/A,TRUE,"Debt"}</definedName>
    <definedName name="__tb1" localSheetId="2" hidden="1">{#N/A,#N/A,FALSE,"One Pager";#N/A,#N/A,FALSE,"Technical"}</definedName>
    <definedName name="__tb1" hidden="1">{#N/A,#N/A,FALSE,"One Pager";#N/A,#N/A,FALSE,"Technical"}</definedName>
    <definedName name="__tem1" localSheetId="2" hidden="1">{#N/A,#N/A,TRUE,"Front";#N/A,#N/A,TRUE,"Simple Letter";#N/A,#N/A,TRUE,"Inside";#N/A,#N/A,TRUE,"Contents";#N/A,#N/A,TRUE,"Basis";#N/A,#N/A,TRUE,"Inclusions";#N/A,#N/A,TRUE,"Exclusions";#N/A,#N/A,TRUE,"Areas";#N/A,#N/A,TRUE,"Summary";#N/A,#N/A,TRUE,"Detail"}</definedName>
    <definedName name="__tem1" hidden="1">{#N/A,#N/A,TRUE,"Front";#N/A,#N/A,TRUE,"Simple Letter";#N/A,#N/A,TRUE,"Inside";#N/A,#N/A,TRUE,"Contents";#N/A,#N/A,TRUE,"Basis";#N/A,#N/A,TRUE,"Inclusions";#N/A,#N/A,TRUE,"Exclusions";#N/A,#N/A,TRUE,"Areas";#N/A,#N/A,TRUE,"Summary";#N/A,#N/A,TRUE,"Detail"}</definedName>
    <definedName name="__tm3" localSheetId="2" hidden="1">{#N/A,#N/A,TRUE,"Front";#N/A,#N/A,TRUE,"Simple Letter";#N/A,#N/A,TRUE,"Inside";#N/A,#N/A,TRUE,"Contents";#N/A,#N/A,TRUE,"Basis";#N/A,#N/A,TRUE,"Inclusions";#N/A,#N/A,TRUE,"Exclusions";#N/A,#N/A,TRUE,"Areas";#N/A,#N/A,TRUE,"Summary";#N/A,#N/A,TRUE,"Detail"}</definedName>
    <definedName name="__tm3" hidden="1">{#N/A,#N/A,TRUE,"Front";#N/A,#N/A,TRUE,"Simple Letter";#N/A,#N/A,TRUE,"Inside";#N/A,#N/A,TRUE,"Contents";#N/A,#N/A,TRUE,"Basis";#N/A,#N/A,TRUE,"Inclusions";#N/A,#N/A,TRUE,"Exclusions";#N/A,#N/A,TRUE,"Areas";#N/A,#N/A,TRUE,"Summary";#N/A,#N/A,TRUE,"Detail"}</definedName>
    <definedName name="__xlfn.BAHTTEXT" hidden="1">#NAME?</definedName>
    <definedName name="_1__123Graph_AAdmin_Expenses" hidden="1">#REF!</definedName>
    <definedName name="_1__123Graph_AChart_1AJ" hidden="1">#REF!</definedName>
    <definedName name="_1__123Graph_ACHART_3" hidden="1">#REF!</definedName>
    <definedName name="_11__123Graph_BCHART_4" hidden="1">#REF!</definedName>
    <definedName name="_1234" hidden="1">#REF!</definedName>
    <definedName name="_15__123Graph_XCHART_3" hidden="1">#REF!</definedName>
    <definedName name="_16__123Graph_XCHART_4" hidden="1">#REF!</definedName>
    <definedName name="_2__123Graph_AChart_1AJ" hidden="1">#REF!</definedName>
    <definedName name="_2__123Graph_AChart_1Q" hidden="1">#REF!</definedName>
    <definedName name="_2__123Graph_ACHART_4" hidden="1">#REF!</definedName>
    <definedName name="_2__123Graph_AService_Expense" hidden="1">#REF!</definedName>
    <definedName name="_21" hidden="1">#REF!</definedName>
    <definedName name="_3__123Graph_AChart_1Q" hidden="1">#REF!</definedName>
    <definedName name="_3__123Graph_BAdmin_Expenses" hidden="1">#REF!</definedName>
    <definedName name="_3__123Graph_BChart_1Q" hidden="1">#REF!</definedName>
    <definedName name="_3__123Graph_BCHART_3" hidden="1">#REF!</definedName>
    <definedName name="_4__123Graph_ACHART_3" hidden="1">#REF!</definedName>
    <definedName name="_4__123Graph_BChart_1Q" hidden="1">#REF!</definedName>
    <definedName name="_4__123Graph_BCHART_4" hidden="1">#REF!</definedName>
    <definedName name="_4__123Graph_BService_Expense" hidden="1">#REF!</definedName>
    <definedName name="_5__123Graph_XAdmin_Expenses" hidden="1">#REF!</definedName>
    <definedName name="_5__123Graph_XCHART_3" hidden="1">#REF!</definedName>
    <definedName name="_6__123Graph_ACHART_4" hidden="1">#REF!</definedName>
    <definedName name="_6__123Graph_XCHART_4" hidden="1">#REF!</definedName>
    <definedName name="_6__123Graph_XService_Expense" hidden="1">#REF!</definedName>
    <definedName name="_9__123Graph_BCHART_3" hidden="1">#REF!</definedName>
    <definedName name="_abs123" localSheetId="2" hidden="1">{#N/A,#N/A,FALSE,"M&amp;B_43A_fab";#N/A,#N/A,FALSE,"M&amp;B_43A_ERE.";#N/A,#N/A,FALSE,"M&amp;B-43A-ALIGN"}</definedName>
    <definedName name="_abs123" hidden="1">{#N/A,#N/A,FALSE,"M&amp;B_43A_fab";#N/A,#N/A,FALSE,"M&amp;B_43A_ERE.";#N/A,#N/A,FALSE,"M&amp;B-43A-ALIGN"}</definedName>
    <definedName name="_ABS2" localSheetId="2" hidden="1">{#N/A,#N/A,FALSE,"M&amp;B_43A_fab";#N/A,#N/A,FALSE,"M&amp;B_43A_ERE.";#N/A,#N/A,FALSE,"M&amp;B-43A-ALIGN"}</definedName>
    <definedName name="_ABS2" hidden="1">{#N/A,#N/A,FALSE,"M&amp;B_43A_fab";#N/A,#N/A,FALSE,"M&amp;B_43A_ERE.";#N/A,#N/A,FALSE,"M&amp;B-43A-ALIGN"}</definedName>
    <definedName name="_AtRisk_SimSetting_AutomaticallyGenerateReports" hidden="1">FALSE</definedName>
    <definedName name="_AtRisk_SimSetting_AutomaticResultsDisplayMode" localSheetId="2" hidden="1">2</definedName>
    <definedName name="_AtRisk_SimSetting_AutomaticResultsDisplayMode" hidden="1">0</definedName>
    <definedName name="_AtRisk_SimSetting_ConvergenceConfidenceLevel" localSheetId="2" hidden="1">0.99</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localSheetId="2" hidden="1">TRUE</definedName>
    <definedName name="_AtRisk_SimSetting_LiveUpdate" hidden="1">FALSE</definedName>
    <definedName name="_AtRisk_SimSetting_LiveUpdatePeriod" hidden="1">-1</definedName>
    <definedName name="_AtRisk_SimSetting_RandomNumberGenerator" hidden="1">0</definedName>
    <definedName name="_AtRisk_SimSetting_ReportsList" hidden="1">1</definedName>
    <definedName name="_AtRisk_SimSetting_SimNameCount" hidden="1">0</definedName>
    <definedName name="_AtRisk_SimSetting_SmartSensitivityAnalysisEnabled" localSheetId="2" hidden="1">FALSE</definedName>
    <definedName name="_AtRisk_SimSetting_SmartSensitivityAnalysisEnabled" hidden="1">TRUE</definedName>
    <definedName name="_AtRisk_SimSetting_StatisticFunctionUpdating" hidden="1">1</definedName>
    <definedName name="_AtRisk_SimSetting_StdRecalcBehavior" localSheetId="2"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cat12" localSheetId="2" hidden="1">{#N/A,#N/A,TRUE,"Front";#N/A,#N/A,TRUE,"Simple Letter";#N/A,#N/A,TRUE,"Inside";#N/A,#N/A,TRUE,"Contents";#N/A,#N/A,TRUE,"Basis";#N/A,#N/A,TRUE,"Inclusions";#N/A,#N/A,TRUE,"Exclusions";#N/A,#N/A,TRUE,"Areas";#N/A,#N/A,TRUE,"Summary";#N/A,#N/A,TRUE,"Detail"}</definedName>
    <definedName name="_cat12" hidden="1">{#N/A,#N/A,TRUE,"Front";#N/A,#N/A,TRUE,"Simple Letter";#N/A,#N/A,TRUE,"Inside";#N/A,#N/A,TRUE,"Contents";#N/A,#N/A,TRUE,"Basis";#N/A,#N/A,TRUE,"Inclusions";#N/A,#N/A,TRUE,"Exclusions";#N/A,#N/A,TRUE,"Areas";#N/A,#N/A,TRUE,"Summary";#N/A,#N/A,TRUE,"Detail"}</definedName>
    <definedName name="_d2" localSheetId="2" hidden="1">{#N/A,#N/A,FALSE,"mgtsum.XLS";#N/A,#N/A,FALSE,"CAPONE";#N/A,#N/A,FALSE,"CAPTWO";#N/A,#N/A,FALSE,"CAPTHREE"}</definedName>
    <definedName name="_d2" hidden="1">{#N/A,#N/A,FALSE,"mgtsum.XLS";#N/A,#N/A,FALSE,"CAPONE";#N/A,#N/A,FALSE,"CAPTWO";#N/A,#N/A,FALSE,"CAPTHREE"}</definedName>
    <definedName name="_Dist_Values" hidden="1">#REF!</definedName>
    <definedName name="_dk1" localSheetId="2" hidden="1">{#N/A,#N/A,FALSE,"COVER.XLS";#N/A,#N/A,FALSE,"RACT1.XLS";#N/A,#N/A,FALSE,"RACT2.XLS";#N/A,#N/A,FALSE,"ECCMP";#N/A,#N/A,FALSE,"WELDER.XLS"}</definedName>
    <definedName name="_dk1" hidden="1">{#N/A,#N/A,FALSE,"COVER.XLS";#N/A,#N/A,FALSE,"RACT1.XLS";#N/A,#N/A,FALSE,"RACT2.XLS";#N/A,#N/A,FALSE,"ECCMP";#N/A,#N/A,FALSE,"WELDER.XLS"}</definedName>
    <definedName name="_f3" localSheetId="2" hidden="1">{#N/A,#N/A,FALSE,"Aging Summary";#N/A,#N/A,FALSE,"Ratio Analysis";#N/A,#N/A,FALSE,"Test 120 Day Accts";#N/A,#N/A,FALSE,"Tickmarks"}</definedName>
    <definedName name="_f3" hidden="1">{#N/A,#N/A,FALSE,"Aging Summary";#N/A,#N/A,FALSE,"Ratio Analysis";#N/A,#N/A,FALSE,"Test 120 Day Accts";#N/A,#N/A,FALSE,"Tickmarks"}</definedName>
    <definedName name="_f4" localSheetId="2" hidden="1">{#N/A,#N/A,FALSE,"Aging Summary";#N/A,#N/A,FALSE,"Ratio Analysis";#N/A,#N/A,FALSE,"Test 120 Day Accts";#N/A,#N/A,FALSE,"Tickmarks"}</definedName>
    <definedName name="_f4" hidden="1">{#N/A,#N/A,FALSE,"Aging Summary";#N/A,#N/A,FALSE,"Ratio Analysis";#N/A,#N/A,FALSE,"Test 120 Day Accts";#N/A,#N/A,FALSE,"Tickmarks"}</definedName>
    <definedName name="_fco2" localSheetId="2" hidden="1">{#N/A,#N/A,FALSE,"gc (2)"}</definedName>
    <definedName name="_fco2" hidden="1">{#N/A,#N/A,FALSE,"gc (2)"}</definedName>
    <definedName name="_Fill" hidden="1">#REF!</definedName>
    <definedName name="_Fill1" hidden="1">#REF!</definedName>
    <definedName name="_xlnm._FilterDatabase" hidden="1">#REF!</definedName>
    <definedName name="_GC" hidden="1">#REF!</definedName>
    <definedName name="_gdygugdw" hidden="1">#REF!</definedName>
    <definedName name="_HDD1111" hidden="1">{#N/A,#N/A,TRUE,"Front";#N/A,#N/A,TRUE,"Simple Letter";#N/A,#N/A,TRUE,"Inside";#N/A,#N/A,TRUE,"Contents";#N/A,#N/A,TRUE,"Basis";#N/A,#N/A,TRUE,"Inclusions";#N/A,#N/A,TRUE,"Exclusions";#N/A,#N/A,TRUE,"Areas";#N/A,#N/A,TRUE,"Summary";#N/A,#N/A,TRUE,"Detail"}</definedName>
    <definedName name="_hp10" localSheetId="2" hidden="1">{#N/A,#N/A,TRUE,"Front";#N/A,#N/A,TRUE,"Simple Letter";#N/A,#N/A,TRUE,"Inside";#N/A,#N/A,TRUE,"Contents";#N/A,#N/A,TRUE,"Basis";#N/A,#N/A,TRUE,"Inclusions";#N/A,#N/A,TRUE,"Exclusions";#N/A,#N/A,TRUE,"Areas";#N/A,#N/A,TRUE,"Summary";#N/A,#N/A,TRUE,"Detail"}</definedName>
    <definedName name="_hp10" hidden="1">{#N/A,#N/A,TRUE,"Front";#N/A,#N/A,TRUE,"Simple Letter";#N/A,#N/A,TRUE,"Inside";#N/A,#N/A,TRUE,"Contents";#N/A,#N/A,TRUE,"Basis";#N/A,#N/A,TRUE,"Inclusions";#N/A,#N/A,TRUE,"Exclusions";#N/A,#N/A,TRUE,"Areas";#N/A,#N/A,TRUE,"Summary";#N/A,#N/A,TRUE,"Detail"}</definedName>
    <definedName name="_hvac" hidden="1">#REF!</definedName>
    <definedName name="_Key1" hidden="1">#REF!</definedName>
    <definedName name="_Key2" hidden="1">#REF!</definedName>
    <definedName name="_kvs1" localSheetId="2" hidden="1">{#N/A,#N/A,FALSE,"COVER1.XLS ";#N/A,#N/A,FALSE,"RACT1.XLS";#N/A,#N/A,FALSE,"RACT2.XLS";#N/A,#N/A,FALSE,"ECCMP";#N/A,#N/A,FALSE,"WELDER.XLS"}</definedName>
    <definedName name="_kvs1" hidden="1">{#N/A,#N/A,FALSE,"COVER1.XLS ";#N/A,#N/A,FALSE,"RACT1.XLS";#N/A,#N/A,FALSE,"RACT2.XLS";#N/A,#N/A,FALSE,"ECCMP";#N/A,#N/A,FALSE,"WELDER.XLS"}</definedName>
    <definedName name="_kvs2" localSheetId="2" hidden="1">{#N/A,#N/A,FALSE,"COVER1.XLS ";#N/A,#N/A,FALSE,"RACT1.XLS";#N/A,#N/A,FALSE,"RACT2.XLS";#N/A,#N/A,FALSE,"ECCMP";#N/A,#N/A,FALSE,"WELDER.XLS"}</definedName>
    <definedName name="_kvs2" hidden="1">{#N/A,#N/A,FALSE,"COVER1.XLS ";#N/A,#N/A,FALSE,"RACT1.XLS";#N/A,#N/A,FALSE,"RACT2.XLS";#N/A,#N/A,FALSE,"ECCMP";#N/A,#N/A,FALSE,"WELDER.XLS"}</definedName>
    <definedName name="_kvs5" localSheetId="2" hidden="1">{#N/A,#N/A,FALSE,"COVER.XLS";#N/A,#N/A,FALSE,"RACT1.XLS";#N/A,#N/A,FALSE,"RACT2.XLS";#N/A,#N/A,FALSE,"ECCMP";#N/A,#N/A,FALSE,"WELDER.XLS"}</definedName>
    <definedName name="_kvs5" hidden="1">{#N/A,#N/A,FALSE,"COVER.XLS";#N/A,#N/A,FALSE,"RACT1.XLS";#N/A,#N/A,FALSE,"RACT2.XLS";#N/A,#N/A,FALSE,"ECCMP";#N/A,#N/A,FALSE,"WELDER.XLS"}</definedName>
    <definedName name="_kvs8" localSheetId="2" hidden="1">{#N/A,#N/A,FALSE,"COVER1.XLS ";#N/A,#N/A,FALSE,"RACT1.XLS";#N/A,#N/A,FALSE,"RACT2.XLS";#N/A,#N/A,FALSE,"ECCMP";#N/A,#N/A,FALSE,"WELDER.XLS"}</definedName>
    <definedName name="_kvs8" hidden="1">{#N/A,#N/A,FALSE,"COVER1.XLS ";#N/A,#N/A,FALSE,"RACT1.XLS";#N/A,#N/A,FALSE,"RACT2.XLS";#N/A,#N/A,FALSE,"ECCMP";#N/A,#N/A,FALSE,"WELDER.XLS"}</definedName>
    <definedName name="_L1" hidden="1">{#N/A,#N/A,FALSE,"mgtsum.XLS";#N/A,#N/A,FALSE,"CAPONE";#N/A,#N/A,FALSE,"CAPTWO";#N/A,#N/A,FALSE,"CAPTHREE"}</definedName>
    <definedName name="_lk1"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MatInverse_In" hidden="1">#REF!</definedName>
    <definedName name="_MR10" localSheetId="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MR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Order1" hidden="1">255</definedName>
    <definedName name="_Order2" localSheetId="2" hidden="1">255</definedName>
    <definedName name="_Order2" hidden="1">0</definedName>
    <definedName name="_PA1" localSheetId="2" hidden="1">{#N/A,#N/A,TRUE,"Front";#N/A,#N/A,TRUE,"Simple Letter";#N/A,#N/A,TRUE,"Inside";#N/A,#N/A,TRUE,"Contents";#N/A,#N/A,TRUE,"Basis";#N/A,#N/A,TRUE,"Inclusions";#N/A,#N/A,TRUE,"Exclusions";#N/A,#N/A,TRUE,"Areas";#N/A,#N/A,TRUE,"Summary";#N/A,#N/A,TRUE,"Detail"}</definedName>
    <definedName name="_PA1" hidden="1">{#N/A,#N/A,TRUE,"Front";#N/A,#N/A,TRUE,"Simple Letter";#N/A,#N/A,TRUE,"Inside";#N/A,#N/A,TRUE,"Contents";#N/A,#N/A,TRUE,"Basis";#N/A,#N/A,TRUE,"Inclusions";#N/A,#N/A,TRUE,"Exclusions";#N/A,#N/A,TRUE,"Areas";#N/A,#N/A,TRUE,"Summary";#N/A,#N/A,TRUE,"Detail"}</definedName>
    <definedName name="_Parse_In" hidden="1">#REF!</definedName>
    <definedName name="_Parse_Out" hidden="1">#REF!</definedName>
    <definedName name="_ppa1" localSheetId="2" hidden="1">{#N/A,#N/A,FALSE,"Aging Summary";#N/A,#N/A,FALSE,"Ratio Analysis";#N/A,#N/A,FALSE,"Test 120 Day Accts";#N/A,#N/A,FALSE,"Tickmarks"}</definedName>
    <definedName name="_ppa1" hidden="1">{#N/A,#N/A,FALSE,"Aging Summary";#N/A,#N/A,FALSE,"Ratio Analysis";#N/A,#N/A,FALSE,"Test 120 Day Accts";#N/A,#N/A,FALSE,"Tickmarks"}</definedName>
    <definedName name="_PRN1" localSheetId="2" hidden="1">{#N/A,#N/A,FALSE,"COVER.XLS";#N/A,#N/A,FALSE,"RACT1.XLS";#N/A,#N/A,FALSE,"RACT2.XLS";#N/A,#N/A,FALSE,"ECCMP";#N/A,#N/A,FALSE,"WELDER.XLS"}</definedName>
    <definedName name="_PRN1" hidden="1">{#N/A,#N/A,FALSE,"COVER.XLS";#N/A,#N/A,FALSE,"RACT1.XLS";#N/A,#N/A,FALSE,"RACT2.XLS";#N/A,#N/A,FALSE,"ECCMP";#N/A,#N/A,FALSE,"WELDER.XLS"}</definedName>
    <definedName name="_RAB002" hidden="1">{#N/A,#N/A,TRUE,"Front";#N/A,#N/A,TRUE,"Simple Letter";#N/A,#N/A,TRUE,"Inside";#N/A,#N/A,TRUE,"Contents";#N/A,#N/A,TRUE,"Basis";#N/A,#N/A,TRUE,"Inclusions";#N/A,#N/A,TRUE,"Exclusions";#N/A,#N/A,TRUE,"Areas";#N/A,#N/A,TRUE,"Summary";#N/A,#N/A,TRUE,"Detail"}</definedName>
    <definedName name="_ram1" localSheetId="2" hidden="1">{#N/A,#N/A,FALSE,"gc (2)"}</definedName>
    <definedName name="_ram1" hidden="1">{#N/A,#N/A,FALSE,"gc (2)"}</definedName>
    <definedName name="_Regression_X" hidden="1">#REF!</definedName>
    <definedName name="_sah3" localSheetId="2" hidden="1">{#N/A,#N/A,TRUE,"Front";#N/A,#N/A,TRUE,"Simple Letter";#N/A,#N/A,TRUE,"Inside";#N/A,#N/A,TRUE,"Contents";#N/A,#N/A,TRUE,"Basis";#N/A,#N/A,TRUE,"Inclusions";#N/A,#N/A,TRUE,"Exclusions";#N/A,#N/A,TRUE,"Areas";#N/A,#N/A,TRUE,"Summary";#N/A,#N/A,TRUE,"Detail"}</definedName>
    <definedName name="_sah3" hidden="1">{#N/A,#N/A,TRUE,"Front";#N/A,#N/A,TRUE,"Simple Letter";#N/A,#N/A,TRUE,"Inside";#N/A,#N/A,TRUE,"Contents";#N/A,#N/A,TRUE,"Basis";#N/A,#N/A,TRUE,"Inclusions";#N/A,#N/A,TRUE,"Exclusions";#N/A,#N/A,TRUE,"Areas";#N/A,#N/A,TRUE,"Summary";#N/A,#N/A,TRUE,"Detail"}</definedName>
    <definedName name="_Sort" hidden="1">#REF!</definedName>
    <definedName name="_sti02" localSheetId="2" hidden="1">{#N/A,#N/A,FALSE,"gc (2)"}</definedName>
    <definedName name="_sti02" hidden="1">{#N/A,#N/A,FALSE,"gc (2)"}</definedName>
    <definedName name="_t1" localSheetId="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2" localSheetId="2" hidden="1">{#N/A,#N/A,TRUE,"Front";#N/A,#N/A,TRUE,"Simple Letter";#N/A,#N/A,TRUE,"Inside";#N/A,#N/A,TRUE,"Contents";#N/A,#N/A,TRUE,"Basis";#N/A,#N/A,TRUE,"Inclusions";#N/A,#N/A,TRUE,"Exclusions";#N/A,#N/A,TRUE,"Areas";#N/A,#N/A,TRUE,"Summary";#N/A,#N/A,TRUE,"Detail"}</definedName>
    <definedName name="_t2" hidden="1">{#N/A,#N/A,TRUE,"Front";#N/A,#N/A,TRUE,"Simple Letter";#N/A,#N/A,TRUE,"Inside";#N/A,#N/A,TRUE,"Contents";#N/A,#N/A,TRUE,"Basis";#N/A,#N/A,TRUE,"Inclusions";#N/A,#N/A,TRUE,"Exclusions";#N/A,#N/A,TRUE,"Areas";#N/A,#N/A,TRUE,"Summary";#N/A,#N/A,TRUE,"Detail"}</definedName>
    <definedName name="_ta1" localSheetId="2" hidden="1">{#N/A,#N/A,TRUE,"Financials";#N/A,#N/A,TRUE,"Operating Statistics";#N/A,#N/A,TRUE,"Capex &amp; Depreciation";#N/A,#N/A,TRUE,"Debt"}</definedName>
    <definedName name="_ta1" hidden="1">{#N/A,#N/A,TRUE,"Financials";#N/A,#N/A,TRUE,"Operating Statistics";#N/A,#N/A,TRUE,"Capex &amp; Depreciation";#N/A,#N/A,TRUE,"Debt"}</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b1" localSheetId="2" hidden="1">{#N/A,#N/A,FALSE,"One Pager";#N/A,#N/A,FALSE,"Technical"}</definedName>
    <definedName name="_tb1" hidden="1">{#N/A,#N/A,FALSE,"One Pager";#N/A,#N/A,FALSE,"Technical"}</definedName>
    <definedName name="_tem1" localSheetId="2" hidden="1">{#N/A,#N/A,TRUE,"Front";#N/A,#N/A,TRUE,"Simple Letter";#N/A,#N/A,TRUE,"Inside";#N/A,#N/A,TRUE,"Contents";#N/A,#N/A,TRUE,"Basis";#N/A,#N/A,TRUE,"Inclusions";#N/A,#N/A,TRUE,"Exclusions";#N/A,#N/A,TRUE,"Areas";#N/A,#N/A,TRUE,"Summary";#N/A,#N/A,TRUE,"Detail"}</definedName>
    <definedName name="_tem1" hidden="1">{#N/A,#N/A,TRUE,"Front";#N/A,#N/A,TRUE,"Simple Letter";#N/A,#N/A,TRUE,"Inside";#N/A,#N/A,TRUE,"Contents";#N/A,#N/A,TRUE,"Basis";#N/A,#N/A,TRUE,"Inclusions";#N/A,#N/A,TRUE,"Exclusions";#N/A,#N/A,TRUE,"Areas";#N/A,#N/A,TRUE,"Summary";#N/A,#N/A,TRUE,"Detail"}</definedName>
    <definedName name="_tm3" localSheetId="2" hidden="1">{#N/A,#N/A,TRUE,"Front";#N/A,#N/A,TRUE,"Simple Letter";#N/A,#N/A,TRUE,"Inside";#N/A,#N/A,TRUE,"Contents";#N/A,#N/A,TRUE,"Basis";#N/A,#N/A,TRUE,"Inclusions";#N/A,#N/A,TRUE,"Exclusions";#N/A,#N/A,TRUE,"Areas";#N/A,#N/A,TRUE,"Summary";#N/A,#N/A,TRUE,"Detail"}</definedName>
    <definedName name="_tm3" hidden="1">{#N/A,#N/A,TRUE,"Front";#N/A,#N/A,TRUE,"Simple Letter";#N/A,#N/A,TRUE,"Inside";#N/A,#N/A,TRUE,"Contents";#N/A,#N/A,TRUE,"Basis";#N/A,#N/A,TRUE,"Inclusions";#N/A,#N/A,TRUE,"Exclusions";#N/A,#N/A,TRUE,"Areas";#N/A,#N/A,TRUE,"Summary";#N/A,#N/A,TRUE,"Detail"}</definedName>
    <definedName name="_tr1"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2" localSheetId="2" hidden="1">{#N/A,#N/A,FALSE,"COVER1.XLS ";#N/A,#N/A,FALSE,"RACT1.XLS";#N/A,#N/A,FALSE,"RACT2.XLS";#N/A,#N/A,FALSE,"ECCMP";#N/A,#N/A,FALSE,"WELDER.XLS"}</definedName>
    <definedName name="_WRN2" hidden="1">{#N/A,#N/A,FALSE,"COVER1.XLS ";#N/A,#N/A,FALSE,"RACT1.XLS";#N/A,#N/A,FALSE,"RACT2.XLS";#N/A,#N/A,FALSE,"ECCMP";#N/A,#N/A,FALSE,"WELDER.XLS"}</definedName>
    <definedName name="_WRN2.P854._.addendum." hidden="1">{#N/A,#N/A,FALSE,"mgtsum.XLS";#N/A,#N/A,FALSE,"CAPONE";#N/A,#N/A,FALSE,"CAPTWO";#N/A,#N/A,FALSE,"CAPTHREE"}</definedName>
    <definedName name="_WRN3" localSheetId="2" hidden="1">{#N/A,#N/A,FALSE,"consu_cover";#N/A,#N/A,FALSE,"consu_strategy";#N/A,#N/A,FALSE,"consu_flow";#N/A,#N/A,FALSE,"Summary_reqmt";#N/A,#N/A,FALSE,"field_ppg";#N/A,#N/A,FALSE,"ppg_shop";#N/A,#N/A,FALSE,"strl";#N/A,#N/A,FALSE,"tankages";#N/A,#N/A,FALSE,"gases"}</definedName>
    <definedName name="_WRN3" hidden="1">{#N/A,#N/A,FALSE,"consu_cover";#N/A,#N/A,FALSE,"consu_strategy";#N/A,#N/A,FALSE,"consu_flow";#N/A,#N/A,FALSE,"Summary_reqmt";#N/A,#N/A,FALSE,"field_ppg";#N/A,#N/A,FALSE,"ppg_shop";#N/A,#N/A,FALSE,"strl";#N/A,#N/A,FALSE,"tankages";#N/A,#N/A,FALSE,"gases"}</definedName>
    <definedName name="_wrn3.p854._.addendum." hidden="1">{#N/A,#N/A,FALSE,"mgtsum.XLS";#N/A,#N/A,FALSE,"CAPONE";#N/A,#N/A,FALSE,"CAPTWO";#N/A,#N/A,FALSE,"CAPTHREE"}</definedName>
    <definedName name="AA.Report.Files" hidden="1">#REF!</definedName>
    <definedName name="AA.Reports.Available"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ffa" localSheetId="2" hidden="1">{#N/A,#N/A,FALSE,"COVER.XLS";#N/A,#N/A,FALSE,"RACT1.XLS";#N/A,#N/A,FALSE,"RACT2.XLS";#N/A,#N/A,FALSE,"ECCMP";#N/A,#N/A,FALSE,"WELDER.XLS"}</definedName>
    <definedName name="aaffa" hidden="1">{#N/A,#N/A,FALSE,"COVER.XLS";#N/A,#N/A,FALSE,"RACT1.XLS";#N/A,#N/A,FALSE,"RACT2.XLS";#N/A,#N/A,FALSE,"ECCMP";#N/A,#N/A,FALSE,"WELDER.XLS"}</definedName>
    <definedName name="aakdf" localSheetId="2" hidden="1">{#N/A,#N/A,FALSE,"mgtsum.XLS";#N/A,#N/A,FALSE,"CAPONE";#N/A,#N/A,FALSE,"CAPTWO";#N/A,#N/A,FALSE,"CAPTHREE"}</definedName>
    <definedName name="aakdf" hidden="1">{#N/A,#N/A,FALSE,"mgtsum.XLS";#N/A,#N/A,FALSE,"CAPONE";#N/A,#N/A,FALSE,"CAPTWO";#N/A,#N/A,FALSE,"CAPTHREE"}</definedName>
    <definedName name="aba" localSheetId="2" hidden="1">{#N/A,#N/A,FALSE,"COVER1.XLS ";#N/A,#N/A,FALSE,"RACT1.XLS";#N/A,#N/A,FALSE,"RACT2.XLS";#N/A,#N/A,FALSE,"ECCMP";#N/A,#N/A,FALSE,"WELDER.XLS"}</definedName>
    <definedName name="aba" hidden="1">{#N/A,#N/A,FALSE,"COVER1.XLS ";#N/A,#N/A,FALSE,"RACT1.XLS";#N/A,#N/A,FALSE,"RACT2.XLS";#N/A,#N/A,FALSE,"ECCMP";#N/A,#N/A,FALSE,"WELDER.XLS"}</definedName>
    <definedName name="abcdefg" localSheetId="2" hidden="1">{#N/A,#N/A,FALSE,"mgtsum.XLS";#N/A,#N/A,FALSE,"CAPONE";#N/A,#N/A,FALSE,"CAPTWO";#N/A,#N/A,FALSE,"CAPTHREE"}</definedName>
    <definedName name="abcdefg" hidden="1">{#N/A,#N/A,FALSE,"mgtsum.XLS";#N/A,#N/A,FALSE,"CAPONE";#N/A,#N/A,FALSE,"CAPTWO";#N/A,#N/A,FALSE,"CAPTHREE"}</definedName>
    <definedName name="abcxyz" localSheetId="2" hidden="1">{#N/A,#N/A,FALSE,"mgtsum.XLS";#N/A,#N/A,FALSE,"CAPONE";#N/A,#N/A,FALSE,"CAPTWO";#N/A,#N/A,FALSE,"CAPTHREE"}</definedName>
    <definedName name="abcxyz" hidden="1">{#N/A,#N/A,FALSE,"mgtsum.XLS";#N/A,#N/A,FALSE,"CAPONE";#N/A,#N/A,FALSE,"CAPTWO";#N/A,#N/A,FALSE,"CAPTHREE"}</definedName>
    <definedName name="Abs" hidden="1">#REF!</definedName>
    <definedName name="abst" hidden="1">{#N/A,#N/A,TRUE,"Front";#N/A,#N/A,TRUE,"Simple Letter";#N/A,#N/A,TRUE,"Inside";#N/A,#N/A,TRUE,"Contents";#N/A,#N/A,TRUE,"Basis";#N/A,#N/A,TRUE,"Inclusions";#N/A,#N/A,TRUE,"Exclusions";#N/A,#N/A,TRUE,"Areas";#N/A,#N/A,TRUE,"Summary";#N/A,#N/A,TRUE,"Detail"}</definedName>
    <definedName name="absth" localSheetId="2" hidden="1">{#N/A,#N/A,TRUE,"Front";#N/A,#N/A,TRUE,"Simple Letter";#N/A,#N/A,TRUE,"Inside";#N/A,#N/A,TRUE,"Contents";#N/A,#N/A,TRUE,"Basis";#N/A,#N/A,TRUE,"Inclusions";#N/A,#N/A,TRUE,"Exclusions";#N/A,#N/A,TRUE,"Areas";#N/A,#N/A,TRUE,"Summary";#N/A,#N/A,TRUE,"Detail"}</definedName>
    <definedName name="absth" hidden="1">{#N/A,#N/A,TRUE,"Front";#N/A,#N/A,TRUE,"Simple Letter";#N/A,#N/A,TRUE,"Inside";#N/A,#N/A,TRUE,"Contents";#N/A,#N/A,TRUE,"Basis";#N/A,#N/A,TRUE,"Inclusions";#N/A,#N/A,TRUE,"Exclusions";#N/A,#N/A,TRUE,"Areas";#N/A,#N/A,TRUE,"Summary";#N/A,#N/A,TRUE,"Detail"}</definedName>
    <definedName name="abstract" localSheetId="2" hidden="1">{#N/A,#N/A,TRUE,"Front";#N/A,#N/A,TRUE,"Simple Letter";#N/A,#N/A,TRUE,"Inside";#N/A,#N/A,TRUE,"Contents";#N/A,#N/A,TRUE,"Basis";#N/A,#N/A,TRUE,"Inclusions";#N/A,#N/A,TRUE,"Exclusions";#N/A,#N/A,TRUE,"Areas";#N/A,#N/A,TRUE,"Summary";#N/A,#N/A,TRUE,"Detail"}</definedName>
    <definedName name="abstract" hidden="1">{#N/A,#N/A,TRUE,"Front";#N/A,#N/A,TRUE,"Simple Letter";#N/A,#N/A,TRUE,"Inside";#N/A,#N/A,TRUE,"Contents";#N/A,#N/A,TRUE,"Basis";#N/A,#N/A,TRUE,"Inclusions";#N/A,#N/A,TRUE,"Exclusions";#N/A,#N/A,TRUE,"Areas";#N/A,#N/A,TRUE,"Summary";#N/A,#N/A,TRUE,"Detail"}</definedName>
    <definedName name="abstractEB" hidden="1">{#N/A,#N/A,TRUE,"Front";#N/A,#N/A,TRUE,"Simple Letter";#N/A,#N/A,TRUE,"Inside";#N/A,#N/A,TRUE,"Contents";#N/A,#N/A,TRUE,"Basis";#N/A,#N/A,TRUE,"Inclusions";#N/A,#N/A,TRUE,"Exclusions";#N/A,#N/A,TRUE,"Areas";#N/A,#N/A,TRUE,"Summary";#N/A,#N/A,TRUE,"Detail"}</definedName>
    <definedName name="AccessDatabase" hidden="1">"D:\MIS\TALLY  31.09.04 sep\AS PER TALLY 31.09.04.mdb"</definedName>
    <definedName name="acckt" localSheetId="2" hidden="1">{#N/A,#N/A,TRUE,"Front";#N/A,#N/A,TRUE,"Simple Letter";#N/A,#N/A,TRUE,"Inside";#N/A,#N/A,TRUE,"Contents";#N/A,#N/A,TRUE,"Basis";#N/A,#N/A,TRUE,"Inclusions";#N/A,#N/A,TRUE,"Exclusions";#N/A,#N/A,TRUE,"Areas";#N/A,#N/A,TRUE,"Summary";#N/A,#N/A,TRUE,"Detail"}</definedName>
    <definedName name="acckt" hidden="1">{#N/A,#N/A,TRUE,"Front";#N/A,#N/A,TRUE,"Simple Letter";#N/A,#N/A,TRUE,"Inside";#N/A,#N/A,TRUE,"Contents";#N/A,#N/A,TRUE,"Basis";#N/A,#N/A,TRUE,"Inclusions";#N/A,#N/A,TRUE,"Exclusions";#N/A,#N/A,TRUE,"Areas";#N/A,#N/A,TRUE,"Summary";#N/A,#N/A,TRUE,"Detail"}</definedName>
    <definedName name="accomation" hidden="1">#REF!</definedName>
    <definedName name="ada" localSheetId="2"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 localSheetId="2" hidden="1">{#N/A,#N/A,TRUE,"Front";#N/A,#N/A,TRUE,"Simple Letter";#N/A,#N/A,TRUE,"Inside";#N/A,#N/A,TRUE,"Contents";#N/A,#N/A,TRUE,"Basis";#N/A,#N/A,TRUE,"Inclusions";#N/A,#N/A,TRUE,"Exclusions";#N/A,#N/A,TRUE,"Areas";#N/A,#N/A,TRUE,"Summary";#N/A,#N/A,TRUE,"Detail"}</definedName>
    <definedName name="adada" hidden="1">{#N/A,#N/A,TRUE,"Front";#N/A,#N/A,TRUE,"Simple Letter";#N/A,#N/A,TRUE,"Inside";#N/A,#N/A,TRUE,"Contents";#N/A,#N/A,TRUE,"Basis";#N/A,#N/A,TRUE,"Inclusions";#N/A,#N/A,TRUE,"Exclusions";#N/A,#N/A,TRUE,"Areas";#N/A,#N/A,TRUE,"Summary";#N/A,#N/A,TRUE,"Detail"}</definedName>
    <definedName name="adadd" localSheetId="2" hidden="1">{#N/A,#N/A,FALSE,"COVER1.XLS ";#N/A,#N/A,FALSE,"RACT1.XLS";#N/A,#N/A,FALSE,"RACT2.XLS";#N/A,#N/A,FALSE,"ECCMP";#N/A,#N/A,FALSE,"WELDER.XLS"}</definedName>
    <definedName name="adadd" hidden="1">{#N/A,#N/A,FALSE,"COVER1.XLS ";#N/A,#N/A,FALSE,"RACT1.XLS";#N/A,#N/A,FALSE,"RACT2.XLS";#N/A,#N/A,FALSE,"ECCMP";#N/A,#N/A,FALSE,"WELDER.XLS"}</definedName>
    <definedName name="adagshdhj" localSheetId="2" hidden="1">{#N/A,#N/A,TRUE,"Front";#N/A,#N/A,TRUE,"Simple Letter";#N/A,#N/A,TRUE,"Inside";#N/A,#N/A,TRUE,"Contents";#N/A,#N/A,TRUE,"Basis";#N/A,#N/A,TRUE,"Inclusions";#N/A,#N/A,TRUE,"Exclusions";#N/A,#N/A,TRUE,"Areas";#N/A,#N/A,TRUE,"Summary";#N/A,#N/A,TRUE,"Detail"}</definedName>
    <definedName name="adagshdhj" hidden="1">{#N/A,#N/A,TRUE,"Front";#N/A,#N/A,TRUE,"Simple Letter";#N/A,#N/A,TRUE,"Inside";#N/A,#N/A,TRUE,"Contents";#N/A,#N/A,TRUE,"Basis";#N/A,#N/A,TRUE,"Inclusions";#N/A,#N/A,TRUE,"Exclusions";#N/A,#N/A,TRUE,"Areas";#N/A,#N/A,TRUE,"Summary";#N/A,#N/A,TRUE,"Detail"}</definedName>
    <definedName name="add_BOQ" localSheetId="2" hidden="1">{#N/A,#N/A,TRUE,"Front";#N/A,#N/A,TRUE,"Simple Letter";#N/A,#N/A,TRUE,"Inside";#N/A,#N/A,TRUE,"Contents";#N/A,#N/A,TRUE,"Basis";#N/A,#N/A,TRUE,"Inclusions";#N/A,#N/A,TRUE,"Exclusions";#N/A,#N/A,TRUE,"Areas";#N/A,#N/A,TRUE,"Summary";#N/A,#N/A,TRUE,"Detail"}</definedName>
    <definedName name="add_BOQ" hidden="1">{#N/A,#N/A,TRUE,"Front";#N/A,#N/A,TRUE,"Simple Letter";#N/A,#N/A,TRUE,"Inside";#N/A,#N/A,TRUE,"Contents";#N/A,#N/A,TRUE,"Basis";#N/A,#N/A,TRUE,"Inclusions";#N/A,#N/A,TRUE,"Exclusions";#N/A,#N/A,TRUE,"Areas";#N/A,#N/A,TRUE,"Summary";#N/A,#N/A,TRUE,"Detail"}</definedName>
    <definedName name="adf" localSheetId="2" hidden="1">{#N/A,#N/A,FALSE,"COVER1.XLS ";#N/A,#N/A,FALSE,"RACT1.XLS";#N/A,#N/A,FALSE,"RACT2.XLS";#N/A,#N/A,FALSE,"ECCMP";#N/A,#N/A,FALSE,"WELDER.XLS"}</definedName>
    <definedName name="adf" hidden="1">{#N/A,#N/A,FALSE,"COVER1.XLS ";#N/A,#N/A,FALSE,"RACT1.XLS";#N/A,#N/A,FALSE,"RACT2.XLS";#N/A,#N/A,FALSE,"ECCMP";#N/A,#N/A,FALSE,"WELDER.XLS"}</definedName>
    <definedName name="aditya" localSheetId="2" hidden="1">{#N/A,#N/A,TRUE,"Front";#N/A,#N/A,TRUE,"Simple Letter";#N/A,#N/A,TRUE,"Inside";#N/A,#N/A,TRUE,"Contents";#N/A,#N/A,TRUE,"Basis";#N/A,#N/A,TRUE,"Inclusions";#N/A,#N/A,TRUE,"Exclusions";#N/A,#N/A,TRUE,"Areas";#N/A,#N/A,TRUE,"Summary";#N/A,#N/A,TRUE,"Detail"}</definedName>
    <definedName name="aditya" hidden="1">{#N/A,#N/A,TRUE,"Front";#N/A,#N/A,TRUE,"Simple Letter";#N/A,#N/A,TRUE,"Inside";#N/A,#N/A,TRUE,"Contents";#N/A,#N/A,TRUE,"Basis";#N/A,#N/A,TRUE,"Inclusions";#N/A,#N/A,TRUE,"Exclusions";#N/A,#N/A,TRUE,"Areas";#N/A,#N/A,TRUE,"Summary";#N/A,#N/A,TRUE,"Detail"}</definedName>
    <definedName name="afewyeryer" localSheetId="2" hidden="1">{#N/A,#N/A,TRUE,"Front";#N/A,#N/A,TRUE,"Simple Letter";#N/A,#N/A,TRUE,"Inside";#N/A,#N/A,TRUE,"Contents";#N/A,#N/A,TRUE,"Basis";#N/A,#N/A,TRUE,"Inclusions";#N/A,#N/A,TRUE,"Exclusions";#N/A,#N/A,TRUE,"Areas";#N/A,#N/A,TRUE,"Summary";#N/A,#N/A,TRUE,"Detail"}</definedName>
    <definedName name="afewyeryer" hidden="1">{#N/A,#N/A,TRUE,"Front";#N/A,#N/A,TRUE,"Simple Letter";#N/A,#N/A,TRUE,"Inside";#N/A,#N/A,TRUE,"Contents";#N/A,#N/A,TRUE,"Basis";#N/A,#N/A,TRUE,"Inclusions";#N/A,#N/A,TRUE,"Exclusions";#N/A,#N/A,TRUE,"Areas";#N/A,#N/A,TRUE,"Summary";#N/A,#N/A,TRUE,"Detail"}</definedName>
    <definedName name="AFGHANISTAN" localSheetId="2" hidden="1">{#N/A,#N/A,TRUE,"Front";#N/A,#N/A,TRUE,"Simple Letter";#N/A,#N/A,TRUE,"Inside";#N/A,#N/A,TRUE,"Contents";#N/A,#N/A,TRUE,"Basis";#N/A,#N/A,TRUE,"Inclusions";#N/A,#N/A,TRUE,"Exclusions";#N/A,#N/A,TRUE,"Areas";#N/A,#N/A,TRUE,"Summary";#N/A,#N/A,TRUE,"Detail"}</definedName>
    <definedName name="AFGHANISTAN" hidden="1">{#N/A,#N/A,TRUE,"Front";#N/A,#N/A,TRUE,"Simple Letter";#N/A,#N/A,TRUE,"Inside";#N/A,#N/A,TRUE,"Contents";#N/A,#N/A,TRUE,"Basis";#N/A,#N/A,TRUE,"Inclusions";#N/A,#N/A,TRUE,"Exclusions";#N/A,#N/A,TRUE,"Areas";#N/A,#N/A,TRUE,"Summary";#N/A,#N/A,TRUE,"Detail"}</definedName>
    <definedName name="ALLLLLLLLL" localSheetId="2" hidden="1">{#N/A,#N/A,TRUE,"Front";#N/A,#N/A,TRUE,"Simple Letter";#N/A,#N/A,TRUE,"Inside";#N/A,#N/A,TRUE,"Contents";#N/A,#N/A,TRUE,"Basis";#N/A,#N/A,TRUE,"Inclusions";#N/A,#N/A,TRUE,"Exclusions";#N/A,#N/A,TRUE,"Areas";#N/A,#N/A,TRUE,"Summary";#N/A,#N/A,TRUE,"Detail"}</definedName>
    <definedName name="ALLLLLLLLL" hidden="1">{#N/A,#N/A,TRUE,"Front";#N/A,#N/A,TRUE,"Simple Letter";#N/A,#N/A,TRUE,"Inside";#N/A,#N/A,TRUE,"Contents";#N/A,#N/A,TRUE,"Basis";#N/A,#N/A,TRUE,"Inclusions";#N/A,#N/A,TRUE,"Exclusions";#N/A,#N/A,TRUE,"Areas";#N/A,#N/A,TRUE,"Summary";#N/A,#N/A,TRUE,"Detail"}</definedName>
    <definedName name="am" hidden="1">{#N/A,#N/A,FALSE,"mgtsum.XLS";#N/A,#N/A,FALSE,"CAPONE";#N/A,#N/A,FALSE,"CAPTWO";#N/A,#N/A,FALSE,"CAPTHREE"}</definedName>
    <definedName name="amit" localSheetId="2" hidden="1">{#N/A,#N/A,TRUE,"Front";#N/A,#N/A,TRUE,"Simple Letter";#N/A,#N/A,TRUE,"Inside";#N/A,#N/A,TRUE,"Contents";#N/A,#N/A,TRUE,"Basis";#N/A,#N/A,TRUE,"Inclusions";#N/A,#N/A,TRUE,"Exclusions";#N/A,#N/A,TRUE,"Areas";#N/A,#N/A,TRUE,"Summary";#N/A,#N/A,TRUE,"Detail"}</definedName>
    <definedName name="amit" hidden="1">{#N/A,#N/A,TRUE,"Front";#N/A,#N/A,TRUE,"Simple Letter";#N/A,#N/A,TRUE,"Inside";#N/A,#N/A,TRUE,"Contents";#N/A,#N/A,TRUE,"Basis";#N/A,#N/A,TRUE,"Inclusions";#N/A,#N/A,TRUE,"Exclusions";#N/A,#N/A,TRUE,"Areas";#N/A,#N/A,TRUE,"Summary";#N/A,#N/A,TRUE,"Detail"}</definedName>
    <definedName name="anscount" hidden="1">1</definedName>
    <definedName name="AQWE" localSheetId="2" hidden="1">{#N/A,#N/A,FALSE,"mpph1";#N/A,#N/A,FALSE,"mpmseb";#N/A,#N/A,FALSE,"mpph2"}</definedName>
    <definedName name="AQWE" hidden="1">{#N/A,#N/A,FALSE,"mpph1";#N/A,#N/A,FALSE,"mpmseb";#N/A,#N/A,FALSE,"mpph2"}</definedName>
    <definedName name="art" localSheetId="2" hidden="1">{"COM",#N/A,FALSE,"800 10th"}</definedName>
    <definedName name="art" hidden="1">{"COM",#N/A,FALSE,"800 10th"}</definedName>
    <definedName name="ARUN" hidden="1">#REF!</definedName>
    <definedName name="AS2DocOpenMode" hidden="1">"AS2DocumentEdit"</definedName>
    <definedName name="asa" localSheetId="2" hidden="1">{#N/A,#N/A,FALSE,"COVER1.XLS ";#N/A,#N/A,FALSE,"RACT1.XLS";#N/A,#N/A,FALSE,"RACT2.XLS";#N/A,#N/A,FALSE,"ECCMP";#N/A,#N/A,FALSE,"WELDER.XLS"}</definedName>
    <definedName name="asa" hidden="1">{#N/A,#N/A,FALSE,"COVER1.XLS ";#N/A,#N/A,FALSE,"RACT1.XLS";#N/A,#N/A,FALSE,"RACT2.XLS";#N/A,#N/A,FALSE,"ECCMP";#N/A,#N/A,FALSE,"WELDER.XLS"}</definedName>
    <definedName name="asad" localSheetId="2" hidden="1">{#N/A,#N/A,FALSE,"str_title";#N/A,#N/A,FALSE,"SUM";#N/A,#N/A,FALSE,"Scope";#N/A,#N/A,FALSE,"PIE-Jn";#N/A,#N/A,FALSE,"PIE-Jn_Hz";#N/A,#N/A,FALSE,"Liq_Plan";#N/A,#N/A,FALSE,"S_Curve";#N/A,#N/A,FALSE,"Liq_Prof";#N/A,#N/A,FALSE,"Man_Pwr";#N/A,#N/A,FALSE,"Man_Prof"}</definedName>
    <definedName name="asad" hidden="1">{#N/A,#N/A,FALSE,"str_title";#N/A,#N/A,FALSE,"SUM";#N/A,#N/A,FALSE,"Scope";#N/A,#N/A,FALSE,"PIE-Jn";#N/A,#N/A,FALSE,"PIE-Jn_Hz";#N/A,#N/A,FALSE,"Liq_Plan";#N/A,#N/A,FALSE,"S_Curve";#N/A,#N/A,FALSE,"Liq_Prof";#N/A,#N/A,FALSE,"Man_Pwr";#N/A,#N/A,FALSE,"Man_Prof"}</definedName>
    <definedName name="ASDASD" hidden="1">{#N/A,#N/A,TRUE,"Front";#N/A,#N/A,TRUE,"Simple Letter";#N/A,#N/A,TRUE,"Inside";#N/A,#N/A,TRUE,"Contents";#N/A,#N/A,TRUE,"Basis";#N/A,#N/A,TRUE,"Inclusions";#N/A,#N/A,TRUE,"Exclusions";#N/A,#N/A,TRUE,"Areas";#N/A,#N/A,TRUE,"Summary";#N/A,#N/A,TRUE,"Detail"}</definedName>
    <definedName name="asdasddfguer" hidden="1">#N/A</definedName>
    <definedName name="asdfsa" hidden="1">#REF!</definedName>
    <definedName name="asdfsadf" hidden="1">#REF!</definedName>
    <definedName name="ASDFSDFF" localSheetId="2" hidden="1">{#N/A,#N/A,FALSE,"mgtsum.XLS";#N/A,#N/A,FALSE,"CAPONE";#N/A,#N/A,FALSE,"CAPTWO";#N/A,#N/A,FALSE,"CAPTHREE"}</definedName>
    <definedName name="ASDFSDFF" hidden="1">{#N/A,#N/A,FALSE,"mgtsum.XLS";#N/A,#N/A,FALSE,"CAPONE";#N/A,#N/A,FALSE,"CAPTWO";#N/A,#N/A,FALSE,"CAPTHREE"}</definedName>
    <definedName name="ASFS" hidden="1">{#N/A,#N/A,FALSE,"mgtsum.XLS";#N/A,#N/A,FALSE,"CAPONE";#N/A,#N/A,FALSE,"CAPTWO";#N/A,#N/A,FALSE,"CAPTHREE"}</definedName>
    <definedName name="assa"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dg" hidden="1">#REF!</definedName>
    <definedName name="assal"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ANAND" localSheetId="2" hidden="1">{#N/A,#N/A,TRUE,"Front";#N/A,#N/A,TRUE,"Simple Letter";#N/A,#N/A,TRUE,"Inside";#N/A,#N/A,TRUE,"Contents";#N/A,#N/A,TRUE,"Basis";#N/A,#N/A,TRUE,"Inclusions";#N/A,#N/A,TRUE,"Exclusions";#N/A,#N/A,TRUE,"Areas";#N/A,#N/A,TRUE,"Summary";#N/A,#N/A,TRUE,"Detail"}</definedName>
    <definedName name="b.ANAND" hidden="1">{#N/A,#N/A,TRUE,"Front";#N/A,#N/A,TRUE,"Simple Letter";#N/A,#N/A,TRUE,"Inside";#N/A,#N/A,TRUE,"Contents";#N/A,#N/A,TRUE,"Basis";#N/A,#N/A,TRUE,"Inclusions";#N/A,#N/A,TRUE,"Exclusions";#N/A,#N/A,TRUE,"Areas";#N/A,#N/A,TRUE,"Summary";#N/A,#N/A,TRUE,"Detail"}</definedName>
    <definedName name="BADWE" localSheetId="2" hidden="1">{#N/A,#N/A,FALSE,"mpph1";#N/A,#N/A,FALSE,"mpmseb";#N/A,#N/A,FALSE,"mpph2"}</definedName>
    <definedName name="BADWE" hidden="1">{#N/A,#N/A,FALSE,"mpph1";#N/A,#N/A,FALSE,"mpmseb";#N/A,#N/A,FALSE,"mpph2"}</definedName>
    <definedName name="BALOCHISTAN" localSheetId="2" hidden="1">{#N/A,#N/A,TRUE,"Front";#N/A,#N/A,TRUE,"Simple Letter";#N/A,#N/A,TRUE,"Inside";#N/A,#N/A,TRUE,"Contents";#N/A,#N/A,TRUE,"Basis";#N/A,#N/A,TRUE,"Inclusions";#N/A,#N/A,TRUE,"Exclusions";#N/A,#N/A,TRUE,"Areas";#N/A,#N/A,TRUE,"Summary";#N/A,#N/A,TRUE,"Detail"}</definedName>
    <definedName name="BALOCHISTAN" hidden="1">{#N/A,#N/A,TRUE,"Front";#N/A,#N/A,TRUE,"Simple Letter";#N/A,#N/A,TRUE,"Inside";#N/A,#N/A,TRUE,"Contents";#N/A,#N/A,TRUE,"Basis";#N/A,#N/A,TRUE,"Inclusions";#N/A,#N/A,TRUE,"Exclusions";#N/A,#N/A,TRUE,"Areas";#N/A,#N/A,TRUE,"Summary";#N/A,#N/A,TRUE,"Detail"}</definedName>
    <definedName name="ban" localSheetId="2" hidden="1">{#N/A,#N/A,FALSE,"5YRASSPl - consol'd";#N/A,#N/A,FALSE,"5YRASSPl - hotel";#N/A,#N/A,FALSE,"5YRASSPl - excl htl";#N/A,#N/A,FALSE,"VarReport";#N/A,#N/A,FALSE,"Sensitivity";#N/A,#N/A,FALSE,"House View ";#N/A,#N/A,FALSE,"KPI"}</definedName>
    <definedName name="ban" hidden="1">{#N/A,#N/A,FALSE,"5YRASSPl - consol'd";#N/A,#N/A,FALSE,"5YRASSPl - hotel";#N/A,#N/A,FALSE,"5YRASSPl - excl htl";#N/A,#N/A,FALSE,"VarReport";#N/A,#N/A,FALSE,"Sensitivity";#N/A,#N/A,FALSE,"House View ";#N/A,#N/A,FALSE,"KPI"}</definedName>
    <definedName name="BB" hidden="1">#REF!</definedName>
    <definedName name="bbbbbbbbbb" hidden="1">#REF!</definedName>
    <definedName name="BC" hidden="1">#REF!</definedName>
    <definedName name="BD" hidden="1">#REF!</definedName>
    <definedName name="BE" hidden="1">#REF!</definedName>
    <definedName name="Beijing" localSheetId="2" hidden="1">{"All Except Totals",#N/A,TRUE,"Recap";"Totals Page",#N/A,TRUE,"Recap"}</definedName>
    <definedName name="Beijing" hidden="1">{"All Except Totals",#N/A,TRUE,"Recap";"Totals Page",#N/A,TRUE,"Recap"}</definedName>
    <definedName name="Beijing_1" localSheetId="2" hidden="1">{"All Except Totals",#N/A,TRUE,"Recap";"Totals Page",#N/A,TRUE,"Recap"}</definedName>
    <definedName name="Beijing_1" hidden="1">{"All Except Totals",#N/A,TRUE,"Recap";"Totals Page",#N/A,TRUE,"Recap"}</definedName>
    <definedName name="BF" hidden="1">#REF!</definedName>
    <definedName name="BG" hidden="1">#REF!</definedName>
    <definedName name="BH" hidden="1">#REF!</definedName>
    <definedName name="biiiiiiiiii" hidden="1">{#N/A,#N/A,TRUE,"Front";#N/A,#N/A,TRUE,"Simple Letter";#N/A,#N/A,TRUE,"Inside";#N/A,#N/A,TRUE,"Contents";#N/A,#N/A,TRUE,"Basis";#N/A,#N/A,TRUE,"Inclusions";#N/A,#N/A,TRUE,"Exclusions";#N/A,#N/A,TRUE,"Areas";#N/A,#N/A,TRUE,"Summary";#N/A,#N/A,TRUE,"Detail"}</definedName>
    <definedName name="bijalpur2" localSheetId="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bijalpur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BJ" hidden="1">#REF!</definedName>
    <definedName name="Blank3" hidden="1">#REF!</definedName>
    <definedName name="Blank4" hidden="1">#REF!</definedName>
    <definedName name="Blank5" hidden="1">#REF!</definedName>
    <definedName name="Blank6" hidden="1">#REF!</definedName>
    <definedName name="Blank7" hidden="1">#REF!</definedName>
    <definedName name="Blank8" hidden="1">#REF!</definedName>
    <definedName name="bny" localSheetId="2" hidden="1">{#N/A,#N/A,TRUE,"Front";#N/A,#N/A,TRUE,"Simple Letter";#N/A,#N/A,TRUE,"Inside";#N/A,#N/A,TRUE,"Contents";#N/A,#N/A,TRUE,"Basis";#N/A,#N/A,TRUE,"Inclusions";#N/A,#N/A,TRUE,"Exclusions";#N/A,#N/A,TRUE,"Areas";#N/A,#N/A,TRUE,"Summary";#N/A,#N/A,TRUE,"Detail"}</definedName>
    <definedName name="bny" hidden="1">{#N/A,#N/A,TRUE,"Front";#N/A,#N/A,TRUE,"Simple Letter";#N/A,#N/A,TRUE,"Inside";#N/A,#N/A,TRUE,"Contents";#N/A,#N/A,TRUE,"Basis";#N/A,#N/A,TRUE,"Inclusions";#N/A,#N/A,TRUE,"Exclusions";#N/A,#N/A,TRUE,"Areas";#N/A,#N/A,TRUE,"Summary";#N/A,#N/A,TRUE,"Detail"}</definedName>
    <definedName name="boq" hidden="1">{#N/A,#N/A,TRUE,"Front";#N/A,#N/A,TRUE,"Simple Letter";#N/A,#N/A,TRUE,"Inside";#N/A,#N/A,TRUE,"Contents";#N/A,#N/A,TRUE,"Basis";#N/A,#N/A,TRUE,"Inclusions";#N/A,#N/A,TRUE,"Exclusions";#N/A,#N/A,TRUE,"Areas";#N/A,#N/A,TRUE,"Summary";#N/A,#N/A,TRUE,"Detail"}</definedName>
    <definedName name="BOQ_New" localSheetId="2" hidden="1">{#N/A,#N/A,TRUE,"Front";#N/A,#N/A,TRUE,"Simple Letter";#N/A,#N/A,TRUE,"Inside";#N/A,#N/A,TRUE,"Contents";#N/A,#N/A,TRUE,"Basis";#N/A,#N/A,TRUE,"Inclusions";#N/A,#N/A,TRUE,"Exclusions";#N/A,#N/A,TRUE,"Areas";#N/A,#N/A,TRUE,"Summary";#N/A,#N/A,TRUE,"Detail"}</definedName>
    <definedName name="BOQ_New" hidden="1">{#N/A,#N/A,TRUE,"Front";#N/A,#N/A,TRUE,"Simple Letter";#N/A,#N/A,TRUE,"Inside";#N/A,#N/A,TRUE,"Contents";#N/A,#N/A,TRUE,"Basis";#N/A,#N/A,TRUE,"Inclusions";#N/A,#N/A,TRUE,"Exclusions";#N/A,#N/A,TRUE,"Areas";#N/A,#N/A,TRUE,"Summary";#N/A,#N/A,TRUE,"Detail"}</definedName>
    <definedName name="BSIWhichPageSetup" hidden="1">1</definedName>
    <definedName name="BSIWhichPageSetup_0" hidden="1">"0þ"</definedName>
    <definedName name="c.b" localSheetId="2" hidden="1">{#N/A,#N/A,TRUE,"Front";#N/A,#N/A,TRUE,"Simple Letter";#N/A,#N/A,TRUE,"Inside";#N/A,#N/A,TRUE,"Contents";#N/A,#N/A,TRUE,"Basis";#N/A,#N/A,TRUE,"Inclusions";#N/A,#N/A,TRUE,"Exclusions";#N/A,#N/A,TRUE,"Areas";#N/A,#N/A,TRUE,"Summary";#N/A,#N/A,TRUE,"Detail"}</definedName>
    <definedName name="c.b" hidden="1">{#N/A,#N/A,TRUE,"Front";#N/A,#N/A,TRUE,"Simple Letter";#N/A,#N/A,TRUE,"Inside";#N/A,#N/A,TRUE,"Contents";#N/A,#N/A,TRUE,"Basis";#N/A,#N/A,TRUE,"Inclusions";#N/A,#N/A,TRUE,"Exclusions";#N/A,#N/A,TRUE,"Areas";#N/A,#N/A,TRUE,"Summary";#N/A,#N/A,TRUE,"Detail"}</definedName>
    <definedName name="cadcd" localSheetId="2" hidden="1">{#N/A,#N/A,TRUE,"Front";#N/A,#N/A,TRUE,"Simple Letter";#N/A,#N/A,TRUE,"Inside";#N/A,#N/A,TRUE,"Contents";#N/A,#N/A,TRUE,"Basis";#N/A,#N/A,TRUE,"Inclusions";#N/A,#N/A,TRUE,"Exclusions";#N/A,#N/A,TRUE,"Areas";#N/A,#N/A,TRUE,"Summary";#N/A,#N/A,TRUE,"Detail"}</definedName>
    <definedName name="cadcd" hidden="1">{#N/A,#N/A,TRUE,"Front";#N/A,#N/A,TRUE,"Simple Letter";#N/A,#N/A,TRUE,"Inside";#N/A,#N/A,TRUE,"Contents";#N/A,#N/A,TRUE,"Basis";#N/A,#N/A,TRUE,"Inclusions";#N/A,#N/A,TRUE,"Exclusions";#N/A,#N/A,TRUE,"Areas";#N/A,#N/A,TRUE,"Summary";#N/A,#N/A,TRUE,"Detail"}</definedName>
    <definedName name="caln" localSheetId="2" hidden="1">{#N/A,#N/A,TRUE,"Front";#N/A,#N/A,TRUE,"Simple Letter";#N/A,#N/A,TRUE,"Inside";#N/A,#N/A,TRUE,"Contents";#N/A,#N/A,TRUE,"Basis";#N/A,#N/A,TRUE,"Inclusions";#N/A,#N/A,TRUE,"Exclusions";#N/A,#N/A,TRUE,"Areas";#N/A,#N/A,TRUE,"Summary";#N/A,#N/A,TRUE,"Detail"}</definedName>
    <definedName name="caln" hidden="1">{#N/A,#N/A,TRUE,"Front";#N/A,#N/A,TRUE,"Simple Letter";#N/A,#N/A,TRUE,"Inside";#N/A,#N/A,TRUE,"Contents";#N/A,#N/A,TRUE,"Basis";#N/A,#N/A,TRUE,"Inclusions";#N/A,#N/A,TRUE,"Exclusions";#N/A,#N/A,TRUE,"Areas";#N/A,#N/A,TRUE,"Summary";#N/A,#N/A,TRUE,"Detail"}</definedName>
    <definedName name="cam" localSheetId="2" hidden="1">{"process graphs",#N/A,FALSE,"graphs&amp;data"}</definedName>
    <definedName name="cam" hidden="1">{"process graphs",#N/A,FALSE,"graphs&amp;data"}</definedName>
    <definedName name="carp" hidden="1">{#N/A,#N/A,TRUE,"Front";#N/A,#N/A,TRUE,"Simple Letter";#N/A,#N/A,TRUE,"Inside";#N/A,#N/A,TRUE,"Contents";#N/A,#N/A,TRUE,"Basis";#N/A,#N/A,TRUE,"Inclusions";#N/A,#N/A,TRUE,"Exclusions";#N/A,#N/A,TRUE,"Areas";#N/A,#N/A,TRUE,"Summary";#N/A,#N/A,TRUE,"Detail"}</definedName>
    <definedName name="carpg" localSheetId="2" hidden="1">{#N/A,#N/A,TRUE,"Front";#N/A,#N/A,TRUE,"Simple Letter";#N/A,#N/A,TRUE,"Inside";#N/A,#N/A,TRUE,"Contents";#N/A,#N/A,TRUE,"Basis";#N/A,#N/A,TRUE,"Inclusions";#N/A,#N/A,TRUE,"Exclusions";#N/A,#N/A,TRUE,"Areas";#N/A,#N/A,TRUE,"Summary";#N/A,#N/A,TRUE,"Detail"}</definedName>
    <definedName name="carpg" hidden="1">{#N/A,#N/A,TRUE,"Front";#N/A,#N/A,TRUE,"Simple Letter";#N/A,#N/A,TRUE,"Inside";#N/A,#N/A,TRUE,"Contents";#N/A,#N/A,TRUE,"Basis";#N/A,#N/A,TRUE,"Inclusions";#N/A,#N/A,TRUE,"Exclusions";#N/A,#N/A,TRUE,"Areas";#N/A,#N/A,TRUE,"Summary";#N/A,#N/A,TRUE,"Detail"}</definedName>
    <definedName name="carpnm" localSheetId="2" hidden="1">{#N/A,#N/A,TRUE,"Front";#N/A,#N/A,TRUE,"Simple Letter";#N/A,#N/A,TRUE,"Inside";#N/A,#N/A,TRUE,"Contents";#N/A,#N/A,TRUE,"Basis";#N/A,#N/A,TRUE,"Inclusions";#N/A,#N/A,TRUE,"Exclusions";#N/A,#N/A,TRUE,"Areas";#N/A,#N/A,TRUE,"Summary";#N/A,#N/A,TRUE,"Detail"}</definedName>
    <definedName name="carpnm" hidden="1">{#N/A,#N/A,TRUE,"Front";#N/A,#N/A,TRUE,"Simple Letter";#N/A,#N/A,TRUE,"Inside";#N/A,#N/A,TRUE,"Contents";#N/A,#N/A,TRUE,"Basis";#N/A,#N/A,TRUE,"Inclusions";#N/A,#N/A,TRUE,"Exclusions";#N/A,#N/A,TRUE,"Areas";#N/A,#N/A,TRUE,"Summary";#N/A,#N/A,TRUE,"Detail"}</definedName>
    <definedName name="Casual" hidden="1">#REF!</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cccc" localSheetId="2" hidden="1">{#N/A,#N/A,FALSE,"mpph1";#N/A,#N/A,FALSE,"mpmseb";#N/A,#N/A,FALSE,"mpph2"}</definedName>
    <definedName name="ccccc" hidden="1">{#N/A,#N/A,FALSE,"mpph1";#N/A,#N/A,FALSE,"mpmseb";#N/A,#N/A,FALSE,"mpph2"}</definedName>
    <definedName name="cdu" localSheetId="2" hidden="1">{#N/A,#N/A,FALSE,"COVER.XLS";#N/A,#N/A,FALSE,"RACT1.XLS";#N/A,#N/A,FALSE,"RACT2.XLS";#N/A,#N/A,FALSE,"ECCMP";#N/A,#N/A,FALSE,"WELDER.XLS"}</definedName>
    <definedName name="cdu" hidden="1">{#N/A,#N/A,FALSE,"COVER.XLS";#N/A,#N/A,FALSE,"RACT1.XLS";#N/A,#N/A,FALSE,"RACT2.XLS";#N/A,#N/A,FALSE,"ECCMP";#N/A,#N/A,FALSE,"WELDER.XLS"}</definedName>
    <definedName name="cement1" localSheetId="2" hidden="1">{#N/A,#N/A,TRUE,"Front";#N/A,#N/A,TRUE,"Simple Letter";#N/A,#N/A,TRUE,"Inside";#N/A,#N/A,TRUE,"Contents";#N/A,#N/A,TRUE,"Basis";#N/A,#N/A,TRUE,"Inclusions";#N/A,#N/A,TRUE,"Exclusions";#N/A,#N/A,TRUE,"Areas";#N/A,#N/A,TRUE,"Summary";#N/A,#N/A,TRUE,"Detail"}</definedName>
    <definedName name="cement1" hidden="1">{#N/A,#N/A,TRUE,"Front";#N/A,#N/A,TRUE,"Simple Letter";#N/A,#N/A,TRUE,"Inside";#N/A,#N/A,TRUE,"Contents";#N/A,#N/A,TRUE,"Basis";#N/A,#N/A,TRUE,"Inclusions";#N/A,#N/A,TRUE,"Exclusions";#N/A,#N/A,TRUE,"Areas";#N/A,#N/A,TRUE,"Summary";#N/A,#N/A,TRUE,"Detail"}</definedName>
    <definedName name="CENTER" hidden="1">#REF!</definedName>
    <definedName name="cer" localSheetId="2" hidden="1">{#N/A,#N/A,TRUE,"Front";#N/A,#N/A,TRUE,"Simple Letter";#N/A,#N/A,TRUE,"Inside";#N/A,#N/A,TRUE,"Contents";#N/A,#N/A,TRUE,"Basis";#N/A,#N/A,TRUE,"Inclusions";#N/A,#N/A,TRUE,"Exclusions";#N/A,#N/A,TRUE,"Areas";#N/A,#N/A,TRUE,"Summary";#N/A,#N/A,TRUE,"Detail"}</definedName>
    <definedName name="cer" hidden="1">{#N/A,#N/A,TRUE,"Front";#N/A,#N/A,TRUE,"Simple Letter";#N/A,#N/A,TRUE,"Inside";#N/A,#N/A,TRUE,"Contents";#N/A,#N/A,TRUE,"Basis";#N/A,#N/A,TRUE,"Inclusions";#N/A,#N/A,TRUE,"Exclusions";#N/A,#N/A,TRUE,"Areas";#N/A,#N/A,TRUE,"Summary";#N/A,#N/A,TRUE,"Detail"}</definedName>
    <definedName name="Cert2" localSheetId="2" hidden="1">{#N/A,#N/A,TRUE,"Front";#N/A,#N/A,TRUE,"Simple Letter";#N/A,#N/A,TRUE,"Inside";#N/A,#N/A,TRUE,"Contents";#N/A,#N/A,TRUE,"Basis";#N/A,#N/A,TRUE,"Inclusions";#N/A,#N/A,TRUE,"Exclusions";#N/A,#N/A,TRUE,"Areas";#N/A,#N/A,TRUE,"Summary";#N/A,#N/A,TRUE,"Detail"}</definedName>
    <definedName name="Cert2" hidden="1">{#N/A,#N/A,TRUE,"Front";#N/A,#N/A,TRUE,"Simple Letter";#N/A,#N/A,TRUE,"Inside";#N/A,#N/A,TRUE,"Contents";#N/A,#N/A,TRUE,"Basis";#N/A,#N/A,TRUE,"Inclusions";#N/A,#N/A,TRUE,"Exclusions";#N/A,#N/A,TRUE,"Areas";#N/A,#N/A,TRUE,"Summary";#N/A,#N/A,TRUE,"Detail"}</definedName>
    <definedName name="Cha" localSheetId="2" hidden="1">{#N/A,#N/A,FALSE,"gc (2)"}</definedName>
    <definedName name="Cha" hidden="1">{#N/A,#N/A,FALSE,"gc (2)"}</definedName>
    <definedName name="charh" localSheetId="2"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arh"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 localSheetId="2"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2" localSheetId="2"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2"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IRCUITMAINS" hidden="1">#REF!</definedName>
    <definedName name="civ" localSheetId="2" hidden="1">{#N/A,#N/A,TRUE,"Front";#N/A,#N/A,TRUE,"Simple Letter";#N/A,#N/A,TRUE,"Inside";#N/A,#N/A,TRUE,"Contents";#N/A,#N/A,TRUE,"Basis";#N/A,#N/A,TRUE,"Inclusions";#N/A,#N/A,TRUE,"Exclusions";#N/A,#N/A,TRUE,"Areas";#N/A,#N/A,TRUE,"Summary";#N/A,#N/A,TRUE,"Detail"}</definedName>
    <definedName name="civ" hidden="1">{#N/A,#N/A,TRUE,"Front";#N/A,#N/A,TRUE,"Simple Letter";#N/A,#N/A,TRUE,"Inside";#N/A,#N/A,TRUE,"Contents";#N/A,#N/A,TRUE,"Basis";#N/A,#N/A,TRUE,"Inclusions";#N/A,#N/A,TRUE,"Exclusions";#N/A,#N/A,TRUE,"Areas";#N/A,#N/A,TRUE,"Summary";#N/A,#N/A,TRUE,"Detail"}</definedName>
    <definedName name="civil" hidden="1">{#N/A,#N/A,TRUE,"Front";#N/A,#N/A,TRUE,"Simple Letter";#N/A,#N/A,TRUE,"Inside";#N/A,#N/A,TRUE,"Contents";#N/A,#N/A,TRUE,"Basis";#N/A,#N/A,TRUE,"Inclusions";#N/A,#N/A,TRUE,"Exclusions";#N/A,#N/A,TRUE,"Areas";#N/A,#N/A,TRUE,"Summary";#N/A,#N/A,TRUE,"Detail"}</definedName>
    <definedName name="Code" hidden="1">#REF!</definedName>
    <definedName name="com" hidden="1">{#N/A,#N/A,TRUE,"Front";#N/A,#N/A,TRUE,"Simple Letter";#N/A,#N/A,TRUE,"Inside";#N/A,#N/A,TRUE,"Contents";#N/A,#N/A,TRUE,"Basis";#N/A,#N/A,TRUE,"Inclusions";#N/A,#N/A,TRUE,"Exclusions";#N/A,#N/A,TRUE,"Areas";#N/A,#N/A,TRUE,"Summary";#N/A,#N/A,TRUE,"Detail"}</definedName>
    <definedName name="COMP" hidden="1">#REF!</definedName>
    <definedName name="CompanyName2" hidden="1">#REF!</definedName>
    <definedName name="COMPARISON" localSheetId="2" hidden="1">{#N/A,#N/A,FALSE,"mpph1";#N/A,#N/A,FALSE,"mpmseb";#N/A,#N/A,FALSE,"mpph2"}</definedName>
    <definedName name="COMPARISON" hidden="1">{#N/A,#N/A,FALSE,"mpph1";#N/A,#N/A,FALSE,"mpmseb";#N/A,#N/A,FALSE,"mpph2"}</definedName>
    <definedName name="CompRange1Main" hidden="1">#REF!</definedName>
    <definedName name="CompRange2Main" hidden="1">#REF!</definedName>
    <definedName name="conanalysis" localSheetId="2" hidden="1">{#N/A,#N/A,TRUE,"Front";#N/A,#N/A,TRUE,"Simple Letter";#N/A,#N/A,TRUE,"Inside";#N/A,#N/A,TRUE,"Contents";#N/A,#N/A,TRUE,"Basis";#N/A,#N/A,TRUE,"Inclusions";#N/A,#N/A,TRUE,"Exclusions";#N/A,#N/A,TRUE,"Areas";#N/A,#N/A,TRUE,"Summary";#N/A,#N/A,TRUE,"Detail"}</definedName>
    <definedName name="conanalysis" hidden="1">{#N/A,#N/A,TRUE,"Front";#N/A,#N/A,TRUE,"Simple Letter";#N/A,#N/A,TRUE,"Inside";#N/A,#N/A,TRUE,"Contents";#N/A,#N/A,TRUE,"Basis";#N/A,#N/A,TRUE,"Inclusions";#N/A,#N/A,TRUE,"Exclusions";#N/A,#N/A,TRUE,"Areas";#N/A,#N/A,TRUE,"Summary";#N/A,#N/A,TRUE,"Detail"}</definedName>
    <definedName name="copy2" hidden="1">#REF!</definedName>
    <definedName name="crce" localSheetId="2" hidden="1">{#N/A,#N/A,TRUE,"Front";#N/A,#N/A,TRUE,"Simple Letter";#N/A,#N/A,TRUE,"Inside";#N/A,#N/A,TRUE,"Contents";#N/A,#N/A,TRUE,"Basis";#N/A,#N/A,TRUE,"Inclusions";#N/A,#N/A,TRUE,"Exclusions";#N/A,#N/A,TRUE,"Areas";#N/A,#N/A,TRUE,"Summary";#N/A,#N/A,TRUE,"Detail"}</definedName>
    <definedName name="crce" hidden="1">{#N/A,#N/A,TRUE,"Front";#N/A,#N/A,TRUE,"Simple Letter";#N/A,#N/A,TRUE,"Inside";#N/A,#N/A,TRUE,"Contents";#N/A,#N/A,TRUE,"Basis";#N/A,#N/A,TRUE,"Inclusions";#N/A,#N/A,TRUE,"Exclusions";#N/A,#N/A,TRUE,"Areas";#N/A,#N/A,TRUE,"Summary";#N/A,#N/A,TRUE,"Detail"}</definedName>
    <definedName name="CRIT" localSheetId="2" hidden="1">{#N/A,#N/A,FALSE,"consu_cover";#N/A,#N/A,FALSE,"consu_strategy";#N/A,#N/A,FALSE,"consu_flow";#N/A,#N/A,FALSE,"Summary_reqmt";#N/A,#N/A,FALSE,"field_ppg";#N/A,#N/A,FALSE,"ppg_shop";#N/A,#N/A,FALSE,"strl";#N/A,#N/A,FALSE,"tankages";#N/A,#N/A,FALSE,"gases"}</definedName>
    <definedName name="CRIT" hidden="1">{#N/A,#N/A,FALSE,"consu_cover";#N/A,#N/A,FALSE,"consu_strategy";#N/A,#N/A,FALSE,"consu_flow";#N/A,#N/A,FALSE,"Summary_reqmt";#N/A,#N/A,FALSE,"field_ppg";#N/A,#N/A,FALSE,"ppg_shop";#N/A,#N/A,FALSE,"strl";#N/A,#N/A,FALSE,"tankages";#N/A,#N/A,FALSE,"gases"}</definedName>
    <definedName name="CRITICAL" localSheetId="2" hidden="1">{#N/A,#N/A,FALSE,"consu_cover";#N/A,#N/A,FALSE,"consu_strategy";#N/A,#N/A,FALSE,"consu_flow";#N/A,#N/A,FALSE,"Summary_reqmt";#N/A,#N/A,FALSE,"field_ppg";#N/A,#N/A,FALSE,"ppg_shop";#N/A,#N/A,FALSE,"strl";#N/A,#N/A,FALSE,"tankages";#N/A,#N/A,FALSE,"gases"}</definedName>
    <definedName name="CRITICAL" hidden="1">{#N/A,#N/A,FALSE,"consu_cover";#N/A,#N/A,FALSE,"consu_strategy";#N/A,#N/A,FALSE,"consu_flow";#N/A,#N/A,FALSE,"Summary_reqmt";#N/A,#N/A,FALSE,"field_ppg";#N/A,#N/A,FALSE,"ppg_shop";#N/A,#N/A,FALSE,"strl";#N/A,#N/A,FALSE,"tankages";#N/A,#N/A,FALSE,"gases"}</definedName>
    <definedName name="crsr" hidden="1">#REF!</definedName>
    <definedName name="crsr1" hidden="1">#REF!</definedName>
    <definedName name="crsr2" hidden="1">#REF!</definedName>
    <definedName name="crsr3" hidden="1">#REF!</definedName>
    <definedName name="CSDCSDSAS" hidden="1">#REF!</definedName>
    <definedName name="CURVE" localSheetId="2" hidden="1">{#N/A,#N/A,FALSE,"COVER1.XLS ";#N/A,#N/A,FALSE,"RACT1.XLS";#N/A,#N/A,FALSE,"RACT2.XLS";#N/A,#N/A,FALSE,"ECCMP";#N/A,#N/A,FALSE,"WELDER.XLS"}</definedName>
    <definedName name="CURVE" hidden="1">{#N/A,#N/A,FALSE,"COVER1.XLS ";#N/A,#N/A,FALSE,"RACT1.XLS";#N/A,#N/A,FALSE,"RACT2.XLS";#N/A,#N/A,FALSE,"ECCMP";#N/A,#N/A,FALSE,"WELDER.XLS"}</definedName>
    <definedName name="CV" hidden="1">#NAME?</definedName>
    <definedName name="d" hidden="1">#REF!</definedName>
    <definedName name="d31z" localSheetId="2" hidden="1">{#N/A,#N/A,FALSE,"mgtsum.XLS";#N/A,#N/A,FALSE,"CAPONE";#N/A,#N/A,FALSE,"CAPTWO";#N/A,#N/A,FALSE,"CAPTHREE"}</definedName>
    <definedName name="d31z" hidden="1">{#N/A,#N/A,FALSE,"mgtsum.XLS";#N/A,#N/A,FALSE,"CAPONE";#N/A,#N/A,FALSE,"CAPTWO";#N/A,#N/A,FALSE,"CAPTHREE"}</definedName>
    <definedName name="data1" hidden="1">#REF!</definedName>
    <definedName name="data2" hidden="1">#REF!</definedName>
    <definedName name="data3" hidden="1">#REF!</definedName>
    <definedName name="Database.File" hidden="1">#REF!</definedName>
    <definedName name="DateRangeCompMain" hidden="1">#REF!</definedName>
    <definedName name="DCI" localSheetId="2" hidden="1">{#N/A,#N/A,TRUE,"Front";#N/A,#N/A,TRUE,"Simple Letter";#N/A,#N/A,TRUE,"Inside";#N/A,#N/A,TRUE,"Contents";#N/A,#N/A,TRUE,"Basis";#N/A,#N/A,TRUE,"Inclusions";#N/A,#N/A,TRUE,"Exclusions";#N/A,#N/A,TRUE,"Areas";#N/A,#N/A,TRUE,"Summary";#N/A,#N/A,TRUE,"Detail"}</definedName>
    <definedName name="DCI" hidden="1">{#N/A,#N/A,TRUE,"Front";#N/A,#N/A,TRUE,"Simple Letter";#N/A,#N/A,TRUE,"Inside";#N/A,#N/A,TRUE,"Contents";#N/A,#N/A,TRUE,"Basis";#N/A,#N/A,TRUE,"Inclusions";#N/A,#N/A,TRUE,"Exclusions";#N/A,#N/A,TRUE,"Areas";#N/A,#N/A,TRUE,"Summary";#N/A,#N/A,TRUE,"Detail"}</definedName>
    <definedName name="DCI_1" localSheetId="2" hidden="1">{#N/A,#N/A,TRUE,"Front";#N/A,#N/A,TRUE,"Simple Letter";#N/A,#N/A,TRUE,"Inside";#N/A,#N/A,TRUE,"Contents";#N/A,#N/A,TRUE,"Basis";#N/A,#N/A,TRUE,"Inclusions";#N/A,#N/A,TRUE,"Exclusions";#N/A,#N/A,TRUE,"Areas";#N/A,#N/A,TRUE,"Summary";#N/A,#N/A,TRUE,"Detail"}</definedName>
    <definedName name="DCI_1" hidden="1">{#N/A,#N/A,TRUE,"Front";#N/A,#N/A,TRUE,"Simple Letter";#N/A,#N/A,TRUE,"Inside";#N/A,#N/A,TRUE,"Contents";#N/A,#N/A,TRUE,"Basis";#N/A,#N/A,TRUE,"Inclusions";#N/A,#N/A,TRUE,"Exclusions";#N/A,#N/A,TRUE,"Areas";#N/A,#N/A,TRUE,"Summary";#N/A,#N/A,TRUE,"Detail"}</definedName>
    <definedName name="dcit" localSheetId="2" hidden="1">{#N/A,#N/A,TRUE,"Front";#N/A,#N/A,TRUE,"Simple Letter";#N/A,#N/A,TRUE,"Inside";#N/A,#N/A,TRUE,"Contents";#N/A,#N/A,TRUE,"Basis";#N/A,#N/A,TRUE,"Inclusions";#N/A,#N/A,TRUE,"Exclusions";#N/A,#N/A,TRUE,"Areas";#N/A,#N/A,TRUE,"Summary";#N/A,#N/A,TRUE,"Detail"}</definedName>
    <definedName name="dcit" hidden="1">{#N/A,#N/A,TRUE,"Front";#N/A,#N/A,TRUE,"Simple Letter";#N/A,#N/A,TRUE,"Inside";#N/A,#N/A,TRUE,"Contents";#N/A,#N/A,TRUE,"Basis";#N/A,#N/A,TRUE,"Inclusions";#N/A,#N/A,TRUE,"Exclusions";#N/A,#N/A,TRUE,"Areas";#N/A,#N/A,TRUE,"Summary";#N/A,#N/A,TRUE,"Detail"}</definedName>
    <definedName name="DCLAB" localSheetId="2" hidden="1">{#N/A,#N/A,TRUE,"Front";#N/A,#N/A,TRUE,"Simple Letter";#N/A,#N/A,TRUE,"Inside";#N/A,#N/A,TRUE,"Contents";#N/A,#N/A,TRUE,"Basis";#N/A,#N/A,TRUE,"Inclusions";#N/A,#N/A,TRUE,"Exclusions";#N/A,#N/A,TRUE,"Areas";#N/A,#N/A,TRUE,"Summary";#N/A,#N/A,TRUE,"Detail"}</definedName>
    <definedName name="DCLAB" hidden="1">{#N/A,#N/A,TRUE,"Front";#N/A,#N/A,TRUE,"Simple Letter";#N/A,#N/A,TRUE,"Inside";#N/A,#N/A,TRUE,"Contents";#N/A,#N/A,TRUE,"Basis";#N/A,#N/A,TRUE,"Inclusions";#N/A,#N/A,TRUE,"Exclusions";#N/A,#N/A,TRUE,"Areas";#N/A,#N/A,TRUE,"Summary";#N/A,#N/A,TRUE,"Detail"}</definedName>
    <definedName name="dclabc" localSheetId="2" hidden="1">{#N/A,#N/A,TRUE,"Front";#N/A,#N/A,TRUE,"Simple Letter";#N/A,#N/A,TRUE,"Inside";#N/A,#N/A,TRUE,"Contents";#N/A,#N/A,TRUE,"Basis";#N/A,#N/A,TRUE,"Inclusions";#N/A,#N/A,TRUE,"Exclusions";#N/A,#N/A,TRUE,"Areas";#N/A,#N/A,TRUE,"Summary";#N/A,#N/A,TRUE,"Detail"}</definedName>
    <definedName name="dclabc" hidden="1">{#N/A,#N/A,TRUE,"Front";#N/A,#N/A,TRUE,"Simple Letter";#N/A,#N/A,TRUE,"Inside";#N/A,#N/A,TRUE,"Contents";#N/A,#N/A,TRUE,"Basis";#N/A,#N/A,TRUE,"Inclusions";#N/A,#N/A,TRUE,"Exclusions";#N/A,#N/A,TRUE,"Areas";#N/A,#N/A,TRUE,"Summary";#N/A,#N/A,TRUE,"Detail"}</definedName>
    <definedName name="de" hidden="1">{#N/A,#N/A,TRUE,"Front";#N/A,#N/A,TRUE,"Simple Letter";#N/A,#N/A,TRUE,"Inside";#N/A,#N/A,TRUE,"Contents";#N/A,#N/A,TRUE,"Basis";#N/A,#N/A,TRUE,"Inclusions";#N/A,#N/A,TRUE,"Exclusions";#N/A,#N/A,TRUE,"Areas";#N/A,#N/A,TRUE,"Summary";#N/A,#N/A,TRUE,"Detail"}</definedName>
    <definedName name="dear" localSheetId="2" hidden="1">{#N/A,#N/A,TRUE,"Front";#N/A,#N/A,TRUE,"Simple Letter";#N/A,#N/A,TRUE,"Inside";#N/A,#N/A,TRUE,"Contents";#N/A,#N/A,TRUE,"Basis";#N/A,#N/A,TRUE,"Inclusions";#N/A,#N/A,TRUE,"Exclusions";#N/A,#N/A,TRUE,"Areas";#N/A,#N/A,TRUE,"Summary";#N/A,#N/A,TRUE,"Detail"}</definedName>
    <definedName name="dear" hidden="1">{#N/A,#N/A,TRUE,"Front";#N/A,#N/A,TRUE,"Simple Letter";#N/A,#N/A,TRUE,"Inside";#N/A,#N/A,TRUE,"Contents";#N/A,#N/A,TRUE,"Basis";#N/A,#N/A,TRUE,"Inclusions";#N/A,#N/A,TRUE,"Exclusions";#N/A,#N/A,TRUE,"Areas";#N/A,#N/A,TRUE,"Summary";#N/A,#N/A,TRUE,"Detail"}</definedName>
    <definedName name="deer" localSheetId="2" hidden="1">{#N/A,#N/A,TRUE,"Front";#N/A,#N/A,TRUE,"Simple Letter";#N/A,#N/A,TRUE,"Inside";#N/A,#N/A,TRUE,"Contents";#N/A,#N/A,TRUE,"Basis";#N/A,#N/A,TRUE,"Inclusions";#N/A,#N/A,TRUE,"Exclusions";#N/A,#N/A,TRUE,"Areas";#N/A,#N/A,TRUE,"Summary";#N/A,#N/A,TRUE,"Detail"}</definedName>
    <definedName name="deer" hidden="1">{#N/A,#N/A,TRUE,"Front";#N/A,#N/A,TRUE,"Simple Letter";#N/A,#N/A,TRUE,"Inside";#N/A,#N/A,TRUE,"Contents";#N/A,#N/A,TRUE,"Basis";#N/A,#N/A,TRUE,"Inclusions";#N/A,#N/A,TRUE,"Exclusions";#N/A,#N/A,TRUE,"Areas";#N/A,#N/A,TRUE,"Summary";#N/A,#N/A,TRUE,"Detail"}</definedName>
    <definedName name="def" localSheetId="2" hidden="1">{#N/A,#N/A,TRUE,"Front";#N/A,#N/A,TRUE,"Simple Letter";#N/A,#N/A,TRUE,"Inside";#N/A,#N/A,TRUE,"Contents";#N/A,#N/A,TRUE,"Basis";#N/A,#N/A,TRUE,"Inclusions";#N/A,#N/A,TRUE,"Exclusions";#N/A,#N/A,TRUE,"Areas";#N/A,#N/A,TRUE,"Summary";#N/A,#N/A,TRUE,"Detail"}</definedName>
    <definedName name="def" hidden="1">{#N/A,#N/A,TRUE,"Front";#N/A,#N/A,TRUE,"Simple Letter";#N/A,#N/A,TRUE,"Inside";#N/A,#N/A,TRUE,"Contents";#N/A,#N/A,TRUE,"Basis";#N/A,#N/A,TRUE,"Inclusions";#N/A,#N/A,TRUE,"Exclusions";#N/A,#N/A,TRUE,"Areas";#N/A,#N/A,TRUE,"Summary";#N/A,#N/A,TRUE,"Detail"}</definedName>
    <definedName name="Dell" hidden="1">{#N/A,#N/A,TRUE,"Front";#N/A,#N/A,TRUE,"Simple Letter";#N/A,#N/A,TRUE,"Inside";#N/A,#N/A,TRUE,"Contents";#N/A,#N/A,TRUE,"Basis";#N/A,#N/A,TRUE,"Inclusions";#N/A,#N/A,TRUE,"Exclusions";#N/A,#N/A,TRUE,"Areas";#N/A,#N/A,TRUE,"Summary";#N/A,#N/A,TRUE,"Detail"}</definedName>
    <definedName name="Denomination" hidden="1">1</definedName>
    <definedName name="dfd" hidden="1">{#N/A,#N/A,TRUE,"Front";#N/A,#N/A,TRUE,"Simple Letter";#N/A,#N/A,TRUE,"Inside";#N/A,#N/A,TRUE,"Contents";#N/A,#N/A,TRUE,"Basis";#N/A,#N/A,TRUE,"Inclusions";#N/A,#N/A,TRUE,"Exclusions";#N/A,#N/A,TRUE,"Areas";#N/A,#N/A,TRUE,"Summary";#N/A,#N/A,TRUE,"Detail"}</definedName>
    <definedName name="DFF" hidden="1">#REF!</definedName>
    <definedName name="DFG" hidden="1">#REF!</definedName>
    <definedName name="dfgg" localSheetId="2" hidden="1">{#N/A,#N/A,FALSE,"gc (2)"}</definedName>
    <definedName name="dfgg" hidden="1">{#N/A,#N/A,FALSE,"gc (2)"}</definedName>
    <definedName name="dfhfh" localSheetId="2" hidden="1">{#N/A,#N/A,TRUE,"Front";#N/A,#N/A,TRUE,"Simple Letter";#N/A,#N/A,TRUE,"Inside";#N/A,#N/A,TRUE,"Contents";#N/A,#N/A,TRUE,"Basis";#N/A,#N/A,TRUE,"Inclusions";#N/A,#N/A,TRUE,"Exclusions";#N/A,#N/A,TRUE,"Areas";#N/A,#N/A,TRUE,"Summary";#N/A,#N/A,TRUE,"Detail"}</definedName>
    <definedName name="dfhfh" hidden="1">{#N/A,#N/A,TRUE,"Front";#N/A,#N/A,TRUE,"Simple Letter";#N/A,#N/A,TRUE,"Inside";#N/A,#N/A,TRUE,"Contents";#N/A,#N/A,TRUE,"Basis";#N/A,#N/A,TRUE,"Inclusions";#N/A,#N/A,TRUE,"Exclusions";#N/A,#N/A,TRUE,"Areas";#N/A,#N/A,TRUE,"Summary";#N/A,#N/A,TRUE,"Detail"}</definedName>
    <definedName name="DFL" localSheetId="2" hidden="1">{#N/A,#N/A,TRUE,"Capex Summ";#N/A,#N/A,TRUE,"Essential Works.tw";#N/A,#N/A,TRUE,"Desirable Works.tw";#N/A,#N/A,TRUE,"Essential Works.rt";#N/A,#N/A,TRUE,"Desirable Works.rt";#N/A,#N/A,TRUE,"Mthly";#N/A,#N/A,TRUE,"Essential Works.ht";#N/A,#N/A,TRUE,"Desirable Works.ht";#N/A,#N/A,TRUE,"Incentives"}</definedName>
    <definedName name="DFL" hidden="1">{#N/A,#N/A,TRUE,"Capex Summ";#N/A,#N/A,TRUE,"Essential Works.tw";#N/A,#N/A,TRUE,"Desirable Works.tw";#N/A,#N/A,TRUE,"Essential Works.rt";#N/A,#N/A,TRUE,"Desirable Works.rt";#N/A,#N/A,TRUE,"Mthly";#N/A,#N/A,TRUE,"Essential Works.ht";#N/A,#N/A,TRUE,"Desirable Works.ht";#N/A,#N/A,TRUE,"Incentives"}</definedName>
    <definedName name="dfsf" hidden="1">{#N/A,#N/A,TRUE,"Front";#N/A,#N/A,TRUE,"Simple Letter";#N/A,#N/A,TRUE,"Inside";#N/A,#N/A,TRUE,"Contents";#N/A,#N/A,TRUE,"Basis";#N/A,#N/A,TRUE,"Inclusions";#N/A,#N/A,TRUE,"Exclusions";#N/A,#N/A,TRUE,"Areas";#N/A,#N/A,TRUE,"Summary";#N/A,#N/A,TRUE,"Detail"}</definedName>
    <definedName name="dgfgfd" localSheetId="2" hidden="1">{#N/A,#N/A,FALSE,"COVER.XLS";#N/A,#N/A,FALSE,"RACT1.XLS";#N/A,#N/A,FALSE,"RACT2.XLS";#N/A,#N/A,FALSE,"ECCMP";#N/A,#N/A,FALSE,"WELDER.XLS"}</definedName>
    <definedName name="dgfgfd" hidden="1">{#N/A,#N/A,FALSE,"COVER.XLS";#N/A,#N/A,FALSE,"RACT1.XLS";#N/A,#N/A,FALSE,"RACT2.XLS";#N/A,#N/A,FALSE,"ECCMP";#N/A,#N/A,FALSE,"WELDER.XLS"}</definedName>
    <definedName name="dgk" localSheetId="2" hidden="1">{#N/A,#N/A,TRUE,"Front";#N/A,#N/A,TRUE,"Simple Letter";#N/A,#N/A,TRUE,"Inside";#N/A,#N/A,TRUE,"Contents";#N/A,#N/A,TRUE,"Basis";#N/A,#N/A,TRUE,"Inclusions";#N/A,#N/A,TRUE,"Exclusions";#N/A,#N/A,TRUE,"Areas";#N/A,#N/A,TRUE,"Summary";#N/A,#N/A,TRUE,"Detail"}</definedName>
    <definedName name="dgk" hidden="1">{#N/A,#N/A,TRUE,"Front";#N/A,#N/A,TRUE,"Simple Letter";#N/A,#N/A,TRUE,"Inside";#N/A,#N/A,TRUE,"Contents";#N/A,#N/A,TRUE,"Basis";#N/A,#N/A,TRUE,"Inclusions";#N/A,#N/A,TRUE,"Exclusions";#N/A,#N/A,TRUE,"Areas";#N/A,#N/A,TRUE,"Summary";#N/A,#N/A,TRUE,"Detail"}</definedName>
    <definedName name="DHTML" localSheetId="2" hidden="1">{"'Sheet1'!$A$4386:$N$4591"}</definedName>
    <definedName name="DHTML" hidden="1">{"'Sheet1'!$A$4386:$N$4591"}</definedName>
    <definedName name="Discount" hidden="1">#REF!</definedName>
    <definedName name="display_area_2" hidden="1">#REF!</definedName>
    <definedName name="djfghf" hidden="1">{#N/A,#N/A,TRUE,"Front";#N/A,#N/A,TRUE,"Simple Letter";#N/A,#N/A,TRUE,"Inside";#N/A,#N/A,TRUE,"Contents";#N/A,#N/A,TRUE,"Basis";#N/A,#N/A,TRUE,"Inclusions";#N/A,#N/A,TRUE,"Exclusions";#N/A,#N/A,TRUE,"Areas";#N/A,#N/A,TRUE,"Summary";#N/A,#N/A,TRUE,"Detail"}</definedName>
    <definedName name="dn" localSheetId="2" hidden="1">{#N/A,#N/A,FALSE,"COVER1.XLS ";#N/A,#N/A,FALSE,"RACT1.XLS";#N/A,#N/A,FALSE,"RACT2.XLS";#N/A,#N/A,FALSE,"ECCMP";#N/A,#N/A,FALSE,"WELDER.XLS"}</definedName>
    <definedName name="dn" hidden="1">{#N/A,#N/A,FALSE,"COVER1.XLS ";#N/A,#N/A,FALSE,"RACT1.XLS";#N/A,#N/A,FALSE,"RACT2.XLS";#N/A,#N/A,FALSE,"ECCMP";#N/A,#N/A,FALSE,"WELDER.XLS"}</definedName>
    <definedName name="doitg" localSheetId="2" hidden="1">{#N/A,#N/A,TRUE,"Front";#N/A,#N/A,TRUE,"Simple Letter";#N/A,#N/A,TRUE,"Inside";#N/A,#N/A,TRUE,"Contents";#N/A,#N/A,TRUE,"Basis";#N/A,#N/A,TRUE,"Inclusions";#N/A,#N/A,TRUE,"Exclusions";#N/A,#N/A,TRUE,"Areas";#N/A,#N/A,TRUE,"Summary";#N/A,#N/A,TRUE,"Detail"}</definedName>
    <definedName name="doitg" hidden="1">{#N/A,#N/A,TRUE,"Front";#N/A,#N/A,TRUE,"Simple Letter";#N/A,#N/A,TRUE,"Inside";#N/A,#N/A,TRUE,"Contents";#N/A,#N/A,TRUE,"Basis";#N/A,#N/A,TRUE,"Inclusions";#N/A,#N/A,TRUE,"Exclusions";#N/A,#N/A,TRUE,"Areas";#N/A,#N/A,TRUE,"Summary";#N/A,#N/A,TRUE,"Detail"}</definedName>
    <definedName name="dover" localSheetId="2" hidden="1">{#N/A,#N/A,FALSE,"mpph1";#N/A,#N/A,FALSE,"mpmseb";#N/A,#N/A,FALSE,"mpph2"}</definedName>
    <definedName name="dover" hidden="1">{#N/A,#N/A,FALSE,"mpph1";#N/A,#N/A,FALSE,"mpmseb";#N/A,#N/A,FALSE,"mpph2"}</definedName>
    <definedName name="DPFLSDPFL" localSheetId="2"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PFLSDPFL"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qw" hidden="1">#REF!</definedName>
    <definedName name="drhhjgjgjgrj" localSheetId="2" hidden="1">{#N/A,#N/A,TRUE,"Front";#N/A,#N/A,TRUE,"Simple Letter";#N/A,#N/A,TRUE,"Inside";#N/A,#N/A,TRUE,"Contents";#N/A,#N/A,TRUE,"Basis";#N/A,#N/A,TRUE,"Inclusions";#N/A,#N/A,TRUE,"Exclusions";#N/A,#N/A,TRUE,"Areas";#N/A,#N/A,TRUE,"Summary";#N/A,#N/A,TRUE,"Detail"}</definedName>
    <definedName name="drhhjgjgjgrj" hidden="1">{#N/A,#N/A,TRUE,"Front";#N/A,#N/A,TRUE,"Simple Letter";#N/A,#N/A,TRUE,"Inside";#N/A,#N/A,TRUE,"Contents";#N/A,#N/A,TRUE,"Basis";#N/A,#N/A,TRUE,"Inclusions";#N/A,#N/A,TRUE,"Exclusions";#N/A,#N/A,TRUE,"Areas";#N/A,#N/A,TRUE,"Summary";#N/A,#N/A,TRUE,"Detail"}</definedName>
    <definedName name="dsadaD" localSheetId="2" hidden="1">{#N/A,#N/A,FALSE,"COVER1.XLS ";#N/A,#N/A,FALSE,"RACT1.XLS";#N/A,#N/A,FALSE,"RACT2.XLS";#N/A,#N/A,FALSE,"ECCMP";#N/A,#N/A,FALSE,"WELDER.XLS"}</definedName>
    <definedName name="dsadaD" hidden="1">{#N/A,#N/A,FALSE,"COVER1.XLS ";#N/A,#N/A,FALSE,"RACT1.XLS";#N/A,#N/A,FALSE,"RACT2.XLS";#N/A,#N/A,FALSE,"ECCMP";#N/A,#N/A,FALSE,"WELDER.XLS"}</definedName>
    <definedName name="dsfdff" hidden="1">#REF!</definedName>
    <definedName name="dsfj" hidden="1">#REF!</definedName>
    <definedName name="dsfkljsd" localSheetId="2" hidden="1">{#N/A,#N/A,TRUE,"Capex Summ";#N/A,#N/A,TRUE,"Essential Works.tw";#N/A,#N/A,TRUE,"Desirable Works.tw";#N/A,#N/A,TRUE,"Essential Works.rt";#N/A,#N/A,TRUE,"Desirable Works.rt";#N/A,#N/A,TRUE,"Mthly";#N/A,#N/A,TRUE,"Essential Works.ht";#N/A,#N/A,TRUE,"Desirable Works.ht";#N/A,#N/A,TRUE,"Incentives"}</definedName>
    <definedName name="dsfkljsd" hidden="1">{#N/A,#N/A,TRUE,"Capex Summ";#N/A,#N/A,TRUE,"Essential Works.tw";#N/A,#N/A,TRUE,"Desirable Works.tw";#N/A,#N/A,TRUE,"Essential Works.rt";#N/A,#N/A,TRUE,"Desirable Works.rt";#N/A,#N/A,TRUE,"Mthly";#N/A,#N/A,TRUE,"Essential Works.ht";#N/A,#N/A,TRUE,"Desirable Works.ht";#N/A,#N/A,TRUE,"Incentives"}</definedName>
    <definedName name="dsgsdgsd" localSheetId="2" hidden="1">{#N/A,#N/A,FALSE,"5YRASSPl - consol'd";#N/A,#N/A,FALSE,"5YRASSPl - hotel";#N/A,#N/A,FALSE,"5YRASSPl - excl htl";#N/A,#N/A,FALSE,"VarReport";#N/A,#N/A,FALSE,"Sensitivity";#N/A,#N/A,FALSE,"House View ";#N/A,#N/A,FALSE,"KPI"}</definedName>
    <definedName name="dsgsdgsd" hidden="1">{#N/A,#N/A,FALSE,"5YRASSPl - consol'd";#N/A,#N/A,FALSE,"5YRASSPl - hotel";#N/A,#N/A,FALSE,"5YRASSPl - excl htl";#N/A,#N/A,FALSE,"VarReport";#N/A,#N/A,FALSE,"Sensitivity";#N/A,#N/A,FALSE,"House View ";#N/A,#N/A,FALSE,"KPI"}</definedName>
    <definedName name="dty" localSheetId="2" hidden="1">{#N/A,#N/A,TRUE,"Front";#N/A,#N/A,TRUE,"Simple Letter";#N/A,#N/A,TRUE,"Inside";#N/A,#N/A,TRUE,"Contents";#N/A,#N/A,TRUE,"Basis";#N/A,#N/A,TRUE,"Inclusions";#N/A,#N/A,TRUE,"Exclusions";#N/A,#N/A,TRUE,"Areas";#N/A,#N/A,TRUE,"Summary";#N/A,#N/A,TRUE,"Detail"}</definedName>
    <definedName name="dty" hidden="1">{#N/A,#N/A,TRUE,"Front";#N/A,#N/A,TRUE,"Simple Letter";#N/A,#N/A,TRUE,"Inside";#N/A,#N/A,TRUE,"Contents";#N/A,#N/A,TRUE,"Basis";#N/A,#N/A,TRUE,"Inclusions";#N/A,#N/A,TRUE,"Exclusions";#N/A,#N/A,TRUE,"Areas";#N/A,#N/A,TRUE,"Summary";#N/A,#N/A,TRUE,"Detail"}</definedName>
    <definedName name="DUBAI" localSheetId="2" hidden="1">{#N/A,#N/A,TRUE,"Front";#N/A,#N/A,TRUE,"Simple Letter";#N/A,#N/A,TRUE,"Inside";#N/A,#N/A,TRUE,"Contents";#N/A,#N/A,TRUE,"Basis";#N/A,#N/A,TRUE,"Inclusions";#N/A,#N/A,TRUE,"Exclusions";#N/A,#N/A,TRUE,"Areas";#N/A,#N/A,TRUE,"Summary";#N/A,#N/A,TRUE,"Detail"}</definedName>
    <definedName name="DUBAI" hidden="1">{#N/A,#N/A,TRUE,"Front";#N/A,#N/A,TRUE,"Simple Letter";#N/A,#N/A,TRUE,"Inside";#N/A,#N/A,TRUE,"Contents";#N/A,#N/A,TRUE,"Basis";#N/A,#N/A,TRUE,"Inclusions";#N/A,#N/A,TRUE,"Exclusions";#N/A,#N/A,TRUE,"Areas";#N/A,#N/A,TRUE,"Summary";#N/A,#N/A,TRUE,"Detail"}</definedName>
    <definedName name="dvc" hidden="1">{#N/A,#N/A,TRUE,"Front";#N/A,#N/A,TRUE,"Simple Letter";#N/A,#N/A,TRUE,"Inside";#N/A,#N/A,TRUE,"Contents";#N/A,#N/A,TRUE,"Basis";#N/A,#N/A,TRUE,"Inclusions";#N/A,#N/A,TRUE,"Exclusions";#N/A,#N/A,TRUE,"Areas";#N/A,#N/A,TRUE,"Summary";#N/A,#N/A,TRUE,"Detail"}</definedName>
    <definedName name="DWE" hidden="1">#REF!</definedName>
    <definedName name="dwgyg" hidden="1">{#N/A,#N/A,TRUE,"Front";#N/A,#N/A,TRUE,"Simple Letter";#N/A,#N/A,TRUE,"Inside";#N/A,#N/A,TRUE,"Contents";#N/A,#N/A,TRUE,"Basis";#N/A,#N/A,TRUE,"Inclusions";#N/A,#N/A,TRUE,"Exclusions";#N/A,#N/A,TRUE,"Areas";#N/A,#N/A,TRUE,"Summary";#N/A,#N/A,TRUE,"Detail"}</definedName>
    <definedName name="DWPRICE" hidden="1">#REF!</definedName>
    <definedName name="e" hidden="1">#REF!</definedName>
    <definedName name="edd" localSheetId="2" hidden="1">{#N/A,#N/A,FALSE,"견적대비-2"}</definedName>
    <definedName name="edd" hidden="1">{#N/A,#N/A,FALSE,"견적대비-2"}</definedName>
    <definedName name="eletrical" hidden="1">#REF!</definedName>
    <definedName name="erer" localSheetId="2" hidden="1">{#N/A,#N/A,TRUE,"Front";#N/A,#N/A,TRUE,"Simple Letter";#N/A,#N/A,TRUE,"Inside";#N/A,#N/A,TRUE,"Contents";#N/A,#N/A,TRUE,"Basis";#N/A,#N/A,TRUE,"Inclusions";#N/A,#N/A,TRUE,"Exclusions";#N/A,#N/A,TRUE,"Areas";#N/A,#N/A,TRUE,"Summary";#N/A,#N/A,TRUE,"Detail"}</definedName>
    <definedName name="erer" hidden="1">{#N/A,#N/A,TRUE,"Front";#N/A,#N/A,TRUE,"Simple Letter";#N/A,#N/A,TRUE,"Inside";#N/A,#N/A,TRUE,"Contents";#N/A,#N/A,TRUE,"Basis";#N/A,#N/A,TRUE,"Inclusions";#N/A,#N/A,TRUE,"Exclusions";#N/A,#N/A,TRUE,"Areas";#N/A,#N/A,TRUE,"Summary";#N/A,#N/A,TRUE,"Detail"}</definedName>
    <definedName name="ererer" localSheetId="2" hidden="1">{#N/A,#N/A,TRUE,"Front";#N/A,#N/A,TRUE,"Simple Letter";#N/A,#N/A,TRUE,"Inside";#N/A,#N/A,TRUE,"Contents";#N/A,#N/A,TRUE,"Basis";#N/A,#N/A,TRUE,"Inclusions";#N/A,#N/A,TRUE,"Exclusions";#N/A,#N/A,TRUE,"Areas";#N/A,#N/A,TRUE,"Summary";#N/A,#N/A,TRUE,"Detail"}</definedName>
    <definedName name="ererer" hidden="1">{#N/A,#N/A,TRUE,"Front";#N/A,#N/A,TRUE,"Simple Letter";#N/A,#N/A,TRUE,"Inside";#N/A,#N/A,TRUE,"Contents";#N/A,#N/A,TRUE,"Basis";#N/A,#N/A,TRUE,"Inclusions";#N/A,#N/A,TRUE,"Exclusions";#N/A,#N/A,TRUE,"Areas";#N/A,#N/A,TRUE,"Summary";#N/A,#N/A,TRUE,"Detail"}</definedName>
    <definedName name="err" localSheetId="2" hidden="1">{#N/A,#N/A,TRUE,"Front";#N/A,#N/A,TRUE,"Simple Letter";#N/A,#N/A,TRUE,"Inside";#N/A,#N/A,TRUE,"Contents";#N/A,#N/A,TRUE,"Basis";#N/A,#N/A,TRUE,"Inclusions";#N/A,#N/A,TRUE,"Exclusions";#N/A,#N/A,TRUE,"Areas";#N/A,#N/A,TRUE,"Summary";#N/A,#N/A,TRUE,"Detail"}</definedName>
    <definedName name="err" hidden="1">{#N/A,#N/A,TRUE,"Front";#N/A,#N/A,TRUE,"Simple Letter";#N/A,#N/A,TRUE,"Inside";#N/A,#N/A,TRUE,"Contents";#N/A,#N/A,TRUE,"Basis";#N/A,#N/A,TRUE,"Inclusions";#N/A,#N/A,TRUE,"Exclusions";#N/A,#N/A,TRUE,"Areas";#N/A,#N/A,TRUE,"Summary";#N/A,#N/A,TRUE,"Detail"}</definedName>
    <definedName name="esf" hidden="1">#REF!</definedName>
    <definedName name="euro" hidden="1">{#N/A,#N/A,TRUE,"Front";#N/A,#N/A,TRUE,"Simple Letter";#N/A,#N/A,TRUE,"Inside";#N/A,#N/A,TRUE,"Contents";#N/A,#N/A,TRUE,"Basis";#N/A,#N/A,TRUE,"Inclusions";#N/A,#N/A,TRUE,"Exclusions";#N/A,#N/A,TRUE,"Areas";#N/A,#N/A,TRUE,"Summary";#N/A,#N/A,TRUE,"Detail"}</definedName>
    <definedName name="euronet" hidden="1">{#N/A,#N/A,TRUE,"Front";#N/A,#N/A,TRUE,"Simple Letter";#N/A,#N/A,TRUE,"Inside";#N/A,#N/A,TRUE,"Contents";#N/A,#N/A,TRUE,"Basis";#N/A,#N/A,TRUE,"Inclusions";#N/A,#N/A,TRUE,"Exclusions";#N/A,#N/A,TRUE,"Areas";#N/A,#N/A,TRUE,"Summary";#N/A,#N/A,TRUE,"Detail"}</definedName>
    <definedName name="EWTEYRYRYER" hidden="1">{#N/A,#N/A,TRUE,"Front";#N/A,#N/A,TRUE,"Simple Letter";#N/A,#N/A,TRUE,"Inside";#N/A,#N/A,TRUE,"Contents";#N/A,#N/A,TRUE,"Basis";#N/A,#N/A,TRUE,"Inclusions";#N/A,#N/A,TRUE,"Exclusions";#N/A,#N/A,TRUE,"Areas";#N/A,#N/A,TRUE,"Summary";#N/A,#N/A,TRUE,"Detail"}</definedName>
    <definedName name="Familywelfare" hidden="1">{"'Sheet1'!$A$4386:$N$4591"}</definedName>
    <definedName name="fchk" localSheetId="2" hidden="1">{#N/A,#N/A,TRUE,"Front";#N/A,#N/A,TRUE,"Simple Letter";#N/A,#N/A,TRUE,"Inside";#N/A,#N/A,TRUE,"Contents";#N/A,#N/A,TRUE,"Basis";#N/A,#N/A,TRUE,"Inclusions";#N/A,#N/A,TRUE,"Exclusions";#N/A,#N/A,TRUE,"Areas";#N/A,#N/A,TRUE,"Summary";#N/A,#N/A,TRUE,"Detail"}</definedName>
    <definedName name="fchk" hidden="1">{#N/A,#N/A,TRUE,"Front";#N/A,#N/A,TRUE,"Simple Letter";#N/A,#N/A,TRUE,"Inside";#N/A,#N/A,TRUE,"Contents";#N/A,#N/A,TRUE,"Basis";#N/A,#N/A,TRUE,"Inclusions";#N/A,#N/A,TRUE,"Exclusions";#N/A,#N/A,TRUE,"Areas";#N/A,#N/A,TRUE,"Summary";#N/A,#N/A,TRUE,"Detail"}</definedName>
    <definedName name="FCode" hidden="1">#REF!</definedName>
    <definedName name="fdasdfa" hidden="1">{#N/A,#N/A,TRUE,"Front";#N/A,#N/A,TRUE,"Simple Letter";#N/A,#N/A,TRUE,"Inside";#N/A,#N/A,TRUE,"Contents";#N/A,#N/A,TRUE,"Basis";#N/A,#N/A,TRUE,"Inclusions";#N/A,#N/A,TRUE,"Exclusions";#N/A,#N/A,TRUE,"Areas";#N/A,#N/A,TRUE,"Summary";#N/A,#N/A,TRUE,"Detail"}</definedName>
    <definedName name="fdgd" localSheetId="2" hidden="1">{#N/A,#N/A,TRUE,"Front";#N/A,#N/A,TRUE,"Simple Letter";#N/A,#N/A,TRUE,"Inside";#N/A,#N/A,TRUE,"Contents";#N/A,#N/A,TRUE,"Basis";#N/A,#N/A,TRUE,"Inclusions";#N/A,#N/A,TRUE,"Exclusions";#N/A,#N/A,TRUE,"Areas";#N/A,#N/A,TRUE,"Summary";#N/A,#N/A,TRUE,"Detail"}</definedName>
    <definedName name="fdgd" hidden="1">{#N/A,#N/A,TRUE,"Front";#N/A,#N/A,TRUE,"Simple Letter";#N/A,#N/A,TRUE,"Inside";#N/A,#N/A,TRUE,"Contents";#N/A,#N/A,TRUE,"Basis";#N/A,#N/A,TRUE,"Inclusions";#N/A,#N/A,TRUE,"Exclusions";#N/A,#N/A,TRUE,"Areas";#N/A,#N/A,TRUE,"Summary";#N/A,#N/A,TRUE,"Detail"}</definedName>
    <definedName name="fdgdr" localSheetId="2" hidden="1">{#N/A,#N/A,TRUE,"Front";#N/A,#N/A,TRUE,"Simple Letter";#N/A,#N/A,TRUE,"Inside";#N/A,#N/A,TRUE,"Contents";#N/A,#N/A,TRUE,"Basis";#N/A,#N/A,TRUE,"Inclusions";#N/A,#N/A,TRUE,"Exclusions";#N/A,#N/A,TRUE,"Areas";#N/A,#N/A,TRUE,"Summary";#N/A,#N/A,TRUE,"Detail"}</definedName>
    <definedName name="fdgdr" hidden="1">{#N/A,#N/A,TRUE,"Front";#N/A,#N/A,TRUE,"Simple Letter";#N/A,#N/A,TRUE,"Inside";#N/A,#N/A,TRUE,"Contents";#N/A,#N/A,TRUE,"Basis";#N/A,#N/A,TRUE,"Inclusions";#N/A,#N/A,TRUE,"Exclusions";#N/A,#N/A,TRUE,"Areas";#N/A,#N/A,TRUE,"Summary";#N/A,#N/A,TRUE,"Detail"}</definedName>
    <definedName name="fdherjtjjtrrtjtrj" localSheetId="2" hidden="1">{#N/A,#N/A,TRUE,"Front";#N/A,#N/A,TRUE,"Simple Letter";#N/A,#N/A,TRUE,"Inside";#N/A,#N/A,TRUE,"Contents";#N/A,#N/A,TRUE,"Basis";#N/A,#N/A,TRUE,"Inclusions";#N/A,#N/A,TRUE,"Exclusions";#N/A,#N/A,TRUE,"Areas";#N/A,#N/A,TRUE,"Summary";#N/A,#N/A,TRUE,"Detail"}</definedName>
    <definedName name="fdherjtjjtrrtjtrj" hidden="1">{#N/A,#N/A,TRUE,"Front";#N/A,#N/A,TRUE,"Simple Letter";#N/A,#N/A,TRUE,"Inside";#N/A,#N/A,TRUE,"Contents";#N/A,#N/A,TRUE,"Basis";#N/A,#N/A,TRUE,"Inclusions";#N/A,#N/A,TRUE,"Exclusions";#N/A,#N/A,TRUE,"Areas";#N/A,#N/A,TRUE,"Summary";#N/A,#N/A,TRUE,"Detail"}</definedName>
    <definedName name="fdhfdjjgjgrjtrj" localSheetId="2" hidden="1">{#N/A,#N/A,TRUE,"Front";#N/A,#N/A,TRUE,"Simple Letter";#N/A,#N/A,TRUE,"Inside";#N/A,#N/A,TRUE,"Contents";#N/A,#N/A,TRUE,"Basis";#N/A,#N/A,TRUE,"Inclusions";#N/A,#N/A,TRUE,"Exclusions";#N/A,#N/A,TRUE,"Areas";#N/A,#N/A,TRUE,"Summary";#N/A,#N/A,TRUE,"Detail"}</definedName>
    <definedName name="fdhfdjjgjgrjtrj" hidden="1">{#N/A,#N/A,TRUE,"Front";#N/A,#N/A,TRUE,"Simple Letter";#N/A,#N/A,TRUE,"Inside";#N/A,#N/A,TRUE,"Contents";#N/A,#N/A,TRUE,"Basis";#N/A,#N/A,TRUE,"Inclusions";#N/A,#N/A,TRUE,"Exclusions";#N/A,#N/A,TRUE,"Areas";#N/A,#N/A,TRUE,"Summary";#N/A,#N/A,TRUE,"Detail"}</definedName>
    <definedName name="fdsf" hidden="1">#REF!</definedName>
    <definedName name="fere" localSheetId="2" hidden="1">{#N/A,#N/A,TRUE,"Front";#N/A,#N/A,TRUE,"Simple Letter";#N/A,#N/A,TRUE,"Inside";#N/A,#N/A,TRUE,"Contents";#N/A,#N/A,TRUE,"Basis";#N/A,#N/A,TRUE,"Inclusions";#N/A,#N/A,TRUE,"Exclusions";#N/A,#N/A,TRUE,"Areas";#N/A,#N/A,TRUE,"Summary";#N/A,#N/A,TRUE,"Detail"}</definedName>
    <definedName name="fere" hidden="1">{#N/A,#N/A,TRUE,"Front";#N/A,#N/A,TRUE,"Simple Letter";#N/A,#N/A,TRUE,"Inside";#N/A,#N/A,TRUE,"Contents";#N/A,#N/A,TRUE,"Basis";#N/A,#N/A,TRUE,"Inclusions";#N/A,#N/A,TRUE,"Exclusions";#N/A,#N/A,TRUE,"Areas";#N/A,#N/A,TRUE,"Summary";#N/A,#N/A,TRUE,"Detail"}</definedName>
    <definedName name="ffff" hidden="1">{#N/A,#N/A,TRUE,"Front";#N/A,#N/A,TRUE,"Simple Letter";#N/A,#N/A,TRUE,"Inside";#N/A,#N/A,TRUE,"Contents";#N/A,#N/A,TRUE,"Basis";#N/A,#N/A,TRUE,"Inclusions";#N/A,#N/A,TRUE,"Exclusions";#N/A,#N/A,TRUE,"Areas";#N/A,#N/A,TRUE,"Summary";#N/A,#N/A,TRUE,"Detail"}</definedName>
    <definedName name="ffjfjfjfj" hidden="1">#REF!</definedName>
    <definedName name="FFWW" localSheetId="2" hidden="1">{#N/A,#N/A,TRUE,"Front";#N/A,#N/A,TRUE,"Simple Letter";#N/A,#N/A,TRUE,"Inside";#N/A,#N/A,TRUE,"Contents";#N/A,#N/A,TRUE,"Basis";#N/A,#N/A,TRUE,"Inclusions";#N/A,#N/A,TRUE,"Exclusions";#N/A,#N/A,TRUE,"Areas";#N/A,#N/A,TRUE,"Summary";#N/A,#N/A,TRUE,"Detail"}</definedName>
    <definedName name="FFWW" hidden="1">{#N/A,#N/A,TRUE,"Front";#N/A,#N/A,TRUE,"Simple Letter";#N/A,#N/A,TRUE,"Inside";#N/A,#N/A,TRUE,"Contents";#N/A,#N/A,TRUE,"Basis";#N/A,#N/A,TRUE,"Inclusions";#N/A,#N/A,TRUE,"Exclusions";#N/A,#N/A,TRUE,"Areas";#N/A,#N/A,TRUE,"Summary";#N/A,#N/A,TRUE,"Detail"}</definedName>
    <definedName name="fgfdg" hidden="1">#REF!</definedName>
    <definedName name="fgfg" localSheetId="2" hidden="1">{#N/A,#N/A,TRUE,"Front";#N/A,#N/A,TRUE,"Simple Letter";#N/A,#N/A,TRUE,"Inside";#N/A,#N/A,TRUE,"Contents";#N/A,#N/A,TRUE,"Basis";#N/A,#N/A,TRUE,"Inclusions";#N/A,#N/A,TRUE,"Exclusions";#N/A,#N/A,TRUE,"Areas";#N/A,#N/A,TRUE,"Summary";#N/A,#N/A,TRUE,"Detail"}</definedName>
    <definedName name="fgfg" hidden="1">{#N/A,#N/A,TRUE,"Front";#N/A,#N/A,TRUE,"Simple Letter";#N/A,#N/A,TRUE,"Inside";#N/A,#N/A,TRUE,"Contents";#N/A,#N/A,TRUE,"Basis";#N/A,#N/A,TRUE,"Inclusions";#N/A,#N/A,TRUE,"Exclusions";#N/A,#N/A,TRUE,"Areas";#N/A,#N/A,TRUE,"Summary";#N/A,#N/A,TRUE,"Detail"}</definedName>
    <definedName name="fgfghh" localSheetId="2" hidden="1">{#N/A,#N/A,TRUE,"Front";#N/A,#N/A,TRUE,"Simple Letter";#N/A,#N/A,TRUE,"Inside";#N/A,#N/A,TRUE,"Contents";#N/A,#N/A,TRUE,"Basis";#N/A,#N/A,TRUE,"Inclusions";#N/A,#N/A,TRUE,"Exclusions";#N/A,#N/A,TRUE,"Areas";#N/A,#N/A,TRUE,"Summary";#N/A,#N/A,TRUE,"Detail"}</definedName>
    <definedName name="fgfghh" hidden="1">{#N/A,#N/A,TRUE,"Front";#N/A,#N/A,TRUE,"Simple Letter";#N/A,#N/A,TRUE,"Inside";#N/A,#N/A,TRUE,"Contents";#N/A,#N/A,TRUE,"Basis";#N/A,#N/A,TRUE,"Inclusions";#N/A,#N/A,TRUE,"Exclusions";#N/A,#N/A,TRUE,"Areas";#N/A,#N/A,TRUE,"Summary";#N/A,#N/A,TRUE,"Detail"}</definedName>
    <definedName name="fhhhh" localSheetId="2"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il" hidden="1">#REF!</definedName>
    <definedName name="File.Type" hidden="1">#REF!</definedName>
    <definedName name="fill" hidden="1">#REF!</definedName>
    <definedName name="formworkl" localSheetId="2" hidden="1">{#N/A,#N/A,TRUE,"Front";#N/A,#N/A,TRUE,"Simple Letter";#N/A,#N/A,TRUE,"Inside";#N/A,#N/A,TRUE,"Contents";#N/A,#N/A,TRUE,"Basis";#N/A,#N/A,TRUE,"Inclusions";#N/A,#N/A,TRUE,"Exclusions";#N/A,#N/A,TRUE,"Areas";#N/A,#N/A,TRUE,"Summary";#N/A,#N/A,TRUE,"Detail"}</definedName>
    <definedName name="formworkl" hidden="1">{#N/A,#N/A,TRUE,"Front";#N/A,#N/A,TRUE,"Simple Letter";#N/A,#N/A,TRUE,"Inside";#N/A,#N/A,TRUE,"Contents";#N/A,#N/A,TRUE,"Basis";#N/A,#N/A,TRUE,"Inclusions";#N/A,#N/A,TRUE,"Exclusions";#N/A,#N/A,TRUE,"Areas";#N/A,#N/A,TRUE,"Summary";#N/A,#N/A,TRUE,"Detail"}</definedName>
    <definedName name="FOXC" localSheetId="2" hidden="1">{#N/A,#N/A,TRUE,"Front";#N/A,#N/A,TRUE,"Simple Letter";#N/A,#N/A,TRUE,"Inside";#N/A,#N/A,TRUE,"Contents";#N/A,#N/A,TRUE,"Basis";#N/A,#N/A,TRUE,"Inclusions";#N/A,#N/A,TRUE,"Exclusions";#N/A,#N/A,TRUE,"Areas";#N/A,#N/A,TRUE,"Summary";#N/A,#N/A,TRUE,"Detail"}</definedName>
    <definedName name="FOXC" hidden="1">{#N/A,#N/A,TRUE,"Front";#N/A,#N/A,TRUE,"Simple Letter";#N/A,#N/A,TRUE,"Inside";#N/A,#N/A,TRUE,"Contents";#N/A,#N/A,TRUE,"Basis";#N/A,#N/A,TRUE,"Inclusions";#N/A,#N/A,TRUE,"Exclusions";#N/A,#N/A,TRUE,"Areas";#N/A,#N/A,TRUE,"Summary";#N/A,#N/A,TRUE,"Detail"}</definedName>
    <definedName name="frgrr" localSheetId="2" hidden="1">{#N/A,#N/A,TRUE,"Front";#N/A,#N/A,TRUE,"Simple Letter";#N/A,#N/A,TRUE,"Inside";#N/A,#N/A,TRUE,"Contents";#N/A,#N/A,TRUE,"Basis";#N/A,#N/A,TRUE,"Inclusions";#N/A,#N/A,TRUE,"Exclusions";#N/A,#N/A,TRUE,"Areas";#N/A,#N/A,TRUE,"Summary";#N/A,#N/A,TRUE,"Detail"}</definedName>
    <definedName name="frgrr" hidden="1">{#N/A,#N/A,TRUE,"Front";#N/A,#N/A,TRUE,"Simple Letter";#N/A,#N/A,TRUE,"Inside";#N/A,#N/A,TRUE,"Contents";#N/A,#N/A,TRUE,"Basis";#N/A,#N/A,TRUE,"Inclusions";#N/A,#N/A,TRUE,"Exclusions";#N/A,#N/A,TRUE,"Areas";#N/A,#N/A,TRUE,"Summary";#N/A,#N/A,TRUE,"Detail"}</definedName>
    <definedName name="FS" hidden="1">{#N/A,#N/A,TRUE,"Front";#N/A,#N/A,TRUE,"Simple Letter";#N/A,#N/A,TRUE,"Inside";#N/A,#N/A,TRUE,"Contents";#N/A,#N/A,TRUE,"Basis";#N/A,#N/A,TRUE,"Inclusions";#N/A,#N/A,TRUE,"Exclusions";#N/A,#N/A,TRUE,"Areas";#N/A,#N/A,TRUE,"Summary";#N/A,#N/A,TRUE,"Detail"}</definedName>
    <definedName name="fsa" hidden="1">{#N/A,#N/A,TRUE,"Front";#N/A,#N/A,TRUE,"Simple Letter";#N/A,#N/A,TRUE,"Inside";#N/A,#N/A,TRUE,"Contents";#N/A,#N/A,TRUE,"Basis";#N/A,#N/A,TRUE,"Inclusions";#N/A,#N/A,TRUE,"Exclusions";#N/A,#N/A,TRUE,"Areas";#N/A,#N/A,TRUE,"Summary";#N/A,#N/A,TRUE,"Detail"}</definedName>
    <definedName name="fsadfsdaf" localSheetId="2" hidden="1">{#N/A,#N/A,TRUE,"Vergabe-Regeln";#N/A,#N/A,TRUE,"Baugruppen";#N/A,#N/A,TRUE,"Geräte";#N/A,#N/A,TRUE,"PC-Software";#N/A,#N/A,TRUE,"Software";#N/A,#N/A,TRUE,"SW-Reg";#N/A,#N/A,TRUE,"Dokumentation"}</definedName>
    <definedName name="fsadfsdaf" hidden="1">{#N/A,#N/A,TRUE,"Vergabe-Regeln";#N/A,#N/A,TRUE,"Baugruppen";#N/A,#N/A,TRUE,"Geräte";#N/A,#N/A,TRUE,"PC-Software";#N/A,#N/A,TRUE,"Software";#N/A,#N/A,TRUE,"SW-Reg";#N/A,#N/A,TRUE,"Dokumentation"}</definedName>
    <definedName name="fsd" localSheetId="2" hidden="1">{#N/A,#N/A,FALSE,"mgtsum.XLS";#N/A,#N/A,FALSE,"CAPONE";#N/A,#N/A,FALSE,"CAPTWO";#N/A,#N/A,FALSE,"CAPTHREE"}</definedName>
    <definedName name="fsd" hidden="1">{#N/A,#N/A,FALSE,"mgtsum.XLS";#N/A,#N/A,FALSE,"CAPONE";#N/A,#N/A,FALSE,"CAPTWO";#N/A,#N/A,FALSE,"CAPTHREE"}</definedName>
    <definedName name="fsdfd" hidden="1">#REF!</definedName>
    <definedName name="fsdff" hidden="1">#REF!</definedName>
    <definedName name="fsds" localSheetId="2" hidden="1">{#N/A,#N/A,FALSE,"mgtsum.XLS";#N/A,#N/A,FALSE,"CAPONE";#N/A,#N/A,FALSE,"CAPTWO";#N/A,#N/A,FALSE,"CAPTHREE"}</definedName>
    <definedName name="fsds" hidden="1">{#N/A,#N/A,FALSE,"mgtsum.XLS";#N/A,#N/A,FALSE,"CAPONE";#N/A,#N/A,FALSE,"CAPTWO";#N/A,#N/A,FALSE,"CAPTHREE"}</definedName>
    <definedName name="full" localSheetId="2" hidden="1">{#N/A,#N/A,TRUE,"Front";#N/A,#N/A,TRUE,"Simple Letter";#N/A,#N/A,TRUE,"Inside";#N/A,#N/A,TRUE,"Contents";#N/A,#N/A,TRUE,"Basis";#N/A,#N/A,TRUE,"Inclusions";#N/A,#N/A,TRUE,"Exclusions";#N/A,#N/A,TRUE,"Areas";#N/A,#N/A,TRUE,"Summary";#N/A,#N/A,TRUE,"Detail"}</definedName>
    <definedName name="full" hidden="1">{#N/A,#N/A,TRUE,"Front";#N/A,#N/A,TRUE,"Simple Letter";#N/A,#N/A,TRUE,"Inside";#N/A,#N/A,TRUE,"Contents";#N/A,#N/A,TRUE,"Basis";#N/A,#N/A,TRUE,"Inclusions";#N/A,#N/A,TRUE,"Exclusions";#N/A,#N/A,TRUE,"Areas";#N/A,#N/A,TRUE,"Summary";#N/A,#N/A,TRUE,"Detail"}</definedName>
    <definedName name="ggg" hidden="1">#REF!</definedName>
    <definedName name="GHFGHHF" localSheetId="2" hidden="1">{#N/A,#N/A,TRUE,"Front";#N/A,#N/A,TRUE,"Simple Letter";#N/A,#N/A,TRUE,"Inside";#N/A,#N/A,TRUE,"Contents";#N/A,#N/A,TRUE,"Basis";#N/A,#N/A,TRUE,"Inclusions";#N/A,#N/A,TRUE,"Exclusions";#N/A,#N/A,TRUE,"Areas";#N/A,#N/A,TRUE,"Summary";#N/A,#N/A,TRUE,"Detail"}</definedName>
    <definedName name="GHFGHHF" hidden="1">{#N/A,#N/A,TRUE,"Front";#N/A,#N/A,TRUE,"Simple Letter";#N/A,#N/A,TRUE,"Inside";#N/A,#N/A,TRUE,"Contents";#N/A,#N/A,TRUE,"Basis";#N/A,#N/A,TRUE,"Inclusions";#N/A,#N/A,TRUE,"Exclusions";#N/A,#N/A,TRUE,"Areas";#N/A,#N/A,TRUE,"Summary";#N/A,#N/A,TRUE,"Detail"}</definedName>
    <definedName name="ghj" localSheetId="2" hidden="1">{#N/A,#N/A,FALSE,"gc (2)"}</definedName>
    <definedName name="ghj" hidden="1">{#N/A,#N/A,FALSE,"gc (2)"}</definedName>
    <definedName name="ghnjgf" localSheetId="2" hidden="1">{#N/A,#N/A,TRUE,"Front";#N/A,#N/A,TRUE,"Simple Letter";#N/A,#N/A,TRUE,"Inside";#N/A,#N/A,TRUE,"Contents";#N/A,#N/A,TRUE,"Basis";#N/A,#N/A,TRUE,"Inclusions";#N/A,#N/A,TRUE,"Exclusions";#N/A,#N/A,TRUE,"Areas";#N/A,#N/A,TRUE,"Summary";#N/A,#N/A,TRUE,"Detail"}</definedName>
    <definedName name="ghnjgf" hidden="1">{#N/A,#N/A,TRUE,"Front";#N/A,#N/A,TRUE,"Simple Letter";#N/A,#N/A,TRUE,"Inside";#N/A,#N/A,TRUE,"Contents";#N/A,#N/A,TRUE,"Basis";#N/A,#N/A,TRUE,"Inclusions";#N/A,#N/A,TRUE,"Exclusions";#N/A,#N/A,TRUE,"Areas";#N/A,#N/A,TRUE,"Summary";#N/A,#N/A,TRUE,"Detail"}</definedName>
    <definedName name="GJMHM" localSheetId="2" hidden="1">{#N/A,#N/A,TRUE,"Front";#N/A,#N/A,TRUE,"Simple Letter";#N/A,#N/A,TRUE,"Inside";#N/A,#N/A,TRUE,"Contents";#N/A,#N/A,TRUE,"Basis";#N/A,#N/A,TRUE,"Inclusions";#N/A,#N/A,TRUE,"Exclusions";#N/A,#N/A,TRUE,"Areas";#N/A,#N/A,TRUE,"Summary";#N/A,#N/A,TRUE,"Detail"}</definedName>
    <definedName name="GJMHM" hidden="1">{#N/A,#N/A,TRUE,"Front";#N/A,#N/A,TRUE,"Simple Letter";#N/A,#N/A,TRUE,"Inside";#N/A,#N/A,TRUE,"Contents";#N/A,#N/A,TRUE,"Basis";#N/A,#N/A,TRUE,"Inclusions";#N/A,#N/A,TRUE,"Exclusions";#N/A,#N/A,TRUE,"Areas";#N/A,#N/A,TRUE,"Summary";#N/A,#N/A,TRUE,"Detail"}</definedName>
    <definedName name="glbalances_1" localSheetId="2" hidden="1">{#N/A,#N/A,FALSE,"Aging Summary";#N/A,#N/A,FALSE,"Ratio Analysis";#N/A,#N/A,FALSE,"Test 120 Day Accts";#N/A,#N/A,FALSE,"Tickmarks"}</definedName>
    <definedName name="glbalances_1" hidden="1">{#N/A,#N/A,FALSE,"Aging Summary";#N/A,#N/A,FALSE,"Ratio Analysis";#N/A,#N/A,FALSE,"Test 120 Day Accts";#N/A,#N/A,FALSE,"Tickmarks"}</definedName>
    <definedName name="GMN" localSheetId="2" hidden="1">{"'Sheet1'!$A$4386:$N$4591"}</definedName>
    <definedName name="GMN" hidden="1">{"'Sheet1'!$A$4386:$N$4591"}</definedName>
    <definedName name="grtr" localSheetId="2" hidden="1">{#N/A,#N/A,TRUE,"Front";#N/A,#N/A,TRUE,"Simple Letter";#N/A,#N/A,TRUE,"Inside";#N/A,#N/A,TRUE,"Contents";#N/A,#N/A,TRUE,"Basis";#N/A,#N/A,TRUE,"Inclusions";#N/A,#N/A,TRUE,"Exclusions";#N/A,#N/A,TRUE,"Areas";#N/A,#N/A,TRUE,"Summary";#N/A,#N/A,TRUE,"Detail"}</definedName>
    <definedName name="grtr" hidden="1">{#N/A,#N/A,TRUE,"Front";#N/A,#N/A,TRUE,"Simple Letter";#N/A,#N/A,TRUE,"Inside";#N/A,#N/A,TRUE,"Contents";#N/A,#N/A,TRUE,"Basis";#N/A,#N/A,TRUE,"Inclusions";#N/A,#N/A,TRUE,"Exclusions";#N/A,#N/A,TRUE,"Areas";#N/A,#N/A,TRUE,"Summary";#N/A,#N/A,TRUE,"Detail"}</definedName>
    <definedName name="gthh" localSheetId="2" hidden="1">{#N/A,#N/A,TRUE,"Front";#N/A,#N/A,TRUE,"Simple Letter";#N/A,#N/A,TRUE,"Inside";#N/A,#N/A,TRUE,"Contents";#N/A,#N/A,TRUE,"Basis";#N/A,#N/A,TRUE,"Inclusions";#N/A,#N/A,TRUE,"Exclusions";#N/A,#N/A,TRUE,"Areas";#N/A,#N/A,TRUE,"Summary";#N/A,#N/A,TRUE,"Detail"}</definedName>
    <definedName name="gthh" hidden="1">{#N/A,#N/A,TRUE,"Front";#N/A,#N/A,TRUE,"Simple Letter";#N/A,#N/A,TRUE,"Inside";#N/A,#N/A,TRUE,"Contents";#N/A,#N/A,TRUE,"Basis";#N/A,#N/A,TRUE,"Inclusions";#N/A,#N/A,TRUE,"Exclusions";#N/A,#N/A,TRUE,"Areas";#N/A,#N/A,TRUE,"Summary";#N/A,#N/A,TRUE,"Detail"}</definedName>
    <definedName name="gupta" localSheetId="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gupta"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gyt" localSheetId="2" hidden="1">{#N/A,#N/A,TRUE,"Front";#N/A,#N/A,TRUE,"Simple Letter";#N/A,#N/A,TRUE,"Inside";#N/A,#N/A,TRUE,"Contents";#N/A,#N/A,TRUE,"Basis";#N/A,#N/A,TRUE,"Inclusions";#N/A,#N/A,TRUE,"Exclusions";#N/A,#N/A,TRUE,"Areas";#N/A,#N/A,TRUE,"Summary";#N/A,#N/A,TRUE,"Detail"}</definedName>
    <definedName name="gyt" hidden="1">{#N/A,#N/A,TRUE,"Front";#N/A,#N/A,TRUE,"Simple Letter";#N/A,#N/A,TRUE,"Inside";#N/A,#N/A,TRUE,"Contents";#N/A,#N/A,TRUE,"Basis";#N/A,#N/A,TRUE,"Inclusions";#N/A,#N/A,TRUE,"Exclusions";#N/A,#N/A,TRUE,"Areas";#N/A,#N/A,TRUE,"Summary";#N/A,#N/A,TRUE,"Detail"}</definedName>
    <definedName name="haha" localSheetId="2" hidden="1">{#N/A,#N/A,FALSE,"asset plan";#N/A,#N/A,FALSE,"Mgmt Report";#N/A,#N/A,FALSE,"sensitivities (2)";#N/A,#N/A,FALSE,"sensitivities";#N/A,#N/A,FALSE,"let up 10  Mort";#N/A,#N/A,FALSE,"let up 12 Mort";#N/A,#N/A,FALSE,"Capex";#N/A,#N/A,FALSE,"Capex Cashflow (2)";#N/A,#N/A,FALSE,"Capex Cashflow (3)";#N/A,#N/A,FALSE,"House View";#N/A,#N/A,FALSE,"kpi"}</definedName>
    <definedName name="haha" hidden="1">{#N/A,#N/A,FALSE,"asset plan";#N/A,#N/A,FALSE,"Mgmt Report";#N/A,#N/A,FALSE,"sensitivities (2)";#N/A,#N/A,FALSE,"sensitivities";#N/A,#N/A,FALSE,"let up 10  Mort";#N/A,#N/A,FALSE,"let up 12 Mort";#N/A,#N/A,FALSE,"Capex";#N/A,#N/A,FALSE,"Capex Cashflow (2)";#N/A,#N/A,FALSE,"Capex Cashflow (3)";#N/A,#N/A,FALSE,"House View";#N/A,#N/A,FALSE,"kpi"}</definedName>
    <definedName name="hap" localSheetId="2" hidden="1">{#N/A,#N/A,FALSE,"COVER1.XLS ";#N/A,#N/A,FALSE,"RACT1.XLS";#N/A,#N/A,FALSE,"RACT2.XLS";#N/A,#N/A,FALSE,"ECCMP";#N/A,#N/A,FALSE,"WELDER.XLS"}</definedName>
    <definedName name="hap" hidden="1">{#N/A,#N/A,FALSE,"COVER1.XLS ";#N/A,#N/A,FALSE,"RACT1.XLS";#N/A,#N/A,FALSE,"RACT2.XLS";#N/A,#N/A,FALSE,"ECCMP";#N/A,#N/A,FALSE,"WELDER.XLS"}</definedName>
    <definedName name="HBVIFAOI" localSheetId="2" hidden="1">{#N/A,#N/A,FALSE,"견적대비-2"}</definedName>
    <definedName name="HBVIFAOI" hidden="1">{#N/A,#N/A,FALSE,"견적대비-2"}</definedName>
    <definedName name="hdgfjdhkh" localSheetId="2" hidden="1">{#N/A,#N/A,TRUE,"Front";#N/A,#N/A,TRUE,"Simple Letter";#N/A,#N/A,TRUE,"Inside";#N/A,#N/A,TRUE,"Contents";#N/A,#N/A,TRUE,"Basis";#N/A,#N/A,TRUE,"Inclusions";#N/A,#N/A,TRUE,"Exclusions";#N/A,#N/A,TRUE,"Areas";#N/A,#N/A,TRUE,"Summary";#N/A,#N/A,TRUE,"Detail"}</definedName>
    <definedName name="hdgfjdhkh" hidden="1">{#N/A,#N/A,TRUE,"Front";#N/A,#N/A,TRUE,"Simple Letter";#N/A,#N/A,TRUE,"Inside";#N/A,#N/A,TRUE,"Contents";#N/A,#N/A,TRUE,"Basis";#N/A,#N/A,TRUE,"Inclusions";#N/A,#N/A,TRUE,"Exclusions";#N/A,#N/A,TRUE,"Areas";#N/A,#N/A,TRUE,"Summary";#N/A,#N/A,TRUE,"Detail"}</definedName>
    <definedName name="hhhh" localSheetId="2" hidden="1">{#N/A,#N/A,TRUE,"Front";#N/A,#N/A,TRUE,"Simple Letter";#N/A,#N/A,TRUE,"Inside";#N/A,#N/A,TRUE,"Contents";#N/A,#N/A,TRUE,"Basis";#N/A,#N/A,TRUE,"Inclusions";#N/A,#N/A,TRUE,"Exclusions";#N/A,#N/A,TRUE,"Areas";#N/A,#N/A,TRUE,"Summary";#N/A,#N/A,TRUE,"Detail"}</definedName>
    <definedName name="hhhh" hidden="1">{#N/A,#N/A,TRUE,"Front";#N/A,#N/A,TRUE,"Simple Letter";#N/A,#N/A,TRUE,"Inside";#N/A,#N/A,TRUE,"Contents";#N/A,#N/A,TRUE,"Basis";#N/A,#N/A,TRUE,"Inclusions";#N/A,#N/A,TRUE,"Exclusions";#N/A,#N/A,TRUE,"Areas";#N/A,#N/A,TRUE,"Summary";#N/A,#N/A,TRUE,"Detail"}</definedName>
    <definedName name="HiddenRows" hidden="1">#REF!</definedName>
    <definedName name="hjuj" hidden="1">#REF!</definedName>
    <definedName name="HLKHLHFSD" localSheetId="2" hidden="1">{#N/A,#N/A,TRUE,"Front";#N/A,#N/A,TRUE,"Simple Letter";#N/A,#N/A,TRUE,"Inside";#N/A,#N/A,TRUE,"Contents";#N/A,#N/A,TRUE,"Basis";#N/A,#N/A,TRUE,"Inclusions";#N/A,#N/A,TRUE,"Exclusions";#N/A,#N/A,TRUE,"Areas";#N/A,#N/A,TRUE,"Summary";#N/A,#N/A,TRUE,"Detail"}</definedName>
    <definedName name="HLKHLHFSD" hidden="1">{#N/A,#N/A,TRUE,"Front";#N/A,#N/A,TRUE,"Simple Letter";#N/A,#N/A,TRUE,"Inside";#N/A,#N/A,TRUE,"Contents";#N/A,#N/A,TRUE,"Basis";#N/A,#N/A,TRUE,"Inclusions";#N/A,#N/A,TRUE,"Exclusions";#N/A,#N/A,TRUE,"Areas";#N/A,#N/A,TRUE,"Summary";#N/A,#N/A,TRUE,"Detail"}</definedName>
    <definedName name="HR" hidden="1">#REF!</definedName>
    <definedName name="HTML_CodePage" localSheetId="2" hidden="1">950</definedName>
    <definedName name="HTML_CodePage" hidden="1">1252</definedName>
    <definedName name="HTML_Control" localSheetId="2" hidden="1">{"'Sheet1'!$L$16"}</definedName>
    <definedName name="HTML_Control" hidden="1">{"'Sheet1'!$A$4386:$N$4591"}</definedName>
    <definedName name="HTML_Description" hidden="1">""</definedName>
    <definedName name="HTML_Email" hidden="1">""</definedName>
    <definedName name="HTML_Header" hidden="1">"Sheet1"</definedName>
    <definedName name="HTML_LastUpdate" localSheetId="2" hidden="1">"2000/9/14"</definedName>
    <definedName name="HTML_LastUpdate" hidden="1">"7/1/03"</definedName>
    <definedName name="HTML_LineAfter" hidden="1">FALSE</definedName>
    <definedName name="HTML_LineBefore" hidden="1">FALSE</definedName>
    <definedName name="HTML_Name" localSheetId="2" hidden="1">"J.C.WONG"</definedName>
    <definedName name="HTML_Name" hidden="1">"m.p.raval"</definedName>
    <definedName name="HTML_OBDlg2" hidden="1">TRUE</definedName>
    <definedName name="HTML_OBDlg4" hidden="1">TRUE</definedName>
    <definedName name="HTML_OS" hidden="1">0</definedName>
    <definedName name="HTML_PathFile" localSheetId="2" hidden="1">"C:\2689\Q\國內\00q3961台化龍德PTA3建造\MyHTML.htm"</definedName>
    <definedName name="HTML_PathFile" hidden="1">"A:\MyHTML.htm"</definedName>
    <definedName name="HTML_Title" localSheetId="2" hidden="1">"00Q3961-SUM"</definedName>
    <definedName name="HTML_Title" hidden="1">"SGSDaily Progress Report Piyaj toDharoi Pipeline"</definedName>
    <definedName name="HTML1_1" hidden="1">"[CPATIME.xls]Schedule!$B$3:$E$39"</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10_1" hidden="1">"'[SETTLE.XLS]Settlement Summary'!$A$3:$Q$80"</definedName>
    <definedName name="HTML10_10" hidden="1">""</definedName>
    <definedName name="HTML10_11" hidden="1">1</definedName>
    <definedName name="HTML10_12" hidden="1">"G:\INTRANET\settle.htm"</definedName>
    <definedName name="HTML10_2" hidden="1">1</definedName>
    <definedName name="HTML10_3" hidden="1">""</definedName>
    <definedName name="HTML10_4" hidden="1">"Settlement Summary"</definedName>
    <definedName name="HTML10_5" hidden="1">""</definedName>
    <definedName name="HTML10_6" hidden="1">-4146</definedName>
    <definedName name="HTML10_7" hidden="1">-4146</definedName>
    <definedName name="HTML10_8" hidden="1">"6/24/97"</definedName>
    <definedName name="HTML10_9" hidden="1">"Delta Air Lines, Inc."</definedName>
    <definedName name="HTML2_1" hidden="1">"[LOG.XLS]Log!$A$2:$L$38"</definedName>
    <definedName name="HTML2_10" hidden="1">""</definedName>
    <definedName name="HTML2_11" hidden="1">1</definedName>
    <definedName name="HTML2_12" hidden="1">"G:\MIKEH\Risklog.htm"</definedName>
    <definedName name="HTML2_2" hidden="1">1</definedName>
    <definedName name="HTML2_3" hidden="1">""</definedName>
    <definedName name="HTML2_4" hidden="1">"Risk Management Transaction Log"</definedName>
    <definedName name="HTML2_5" hidden="1">""</definedName>
    <definedName name="HTML2_6" hidden="1">1</definedName>
    <definedName name="HTML2_7" hidden="1">1</definedName>
    <definedName name="HTML2_8" hidden="1">"3/6/97"</definedName>
    <definedName name="HTML2_9" hidden="1">"Delta Air Lines, Inc."</definedName>
    <definedName name="HTML3_1" hidden="1">"[LOG.XLS]Log!$A$2:$L$37"</definedName>
    <definedName name="HTML3_10" hidden="1">""</definedName>
    <definedName name="HTML3_11" hidden="1">1</definedName>
    <definedName name="HTML3_12" hidden="1">"G:\MIKEH\risklog.htm"</definedName>
    <definedName name="HTML3_2" hidden="1">1</definedName>
    <definedName name="HTML3_3" hidden="1">""</definedName>
    <definedName name="HTML3_4" hidden="1">"Risk Management Transaction Log"</definedName>
    <definedName name="HTML3_5" hidden="1">""</definedName>
    <definedName name="HTML3_6" hidden="1">1</definedName>
    <definedName name="HTML3_7" hidden="1">1</definedName>
    <definedName name="HTML3_8" hidden="1">"3/6/97"</definedName>
    <definedName name="HTML3_9" hidden="1">"Delta Air Lines, Inc."</definedName>
    <definedName name="HTML4_1" hidden="1">"[LOG.XLS]Log!$A$1:$L$37"</definedName>
    <definedName name="HTML4_10" hidden="1">""</definedName>
    <definedName name="HTML4_11" hidden="1">1</definedName>
    <definedName name="HTML4_12" hidden="1">"G:\MIKEH\Risklog.htm"</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"3/11/97"</definedName>
    <definedName name="HTML4_9" hidden="1">"Delta Air Lines, Inc."</definedName>
    <definedName name="HTML5_1" hidden="1">"[LOG.XLS]Log!$A$1:$M$34"</definedName>
    <definedName name="HTML5_10" hidden="1">""</definedName>
    <definedName name="HTML5_11" hidden="1">1</definedName>
    <definedName name="HTML5_12" hidden="1">"G:\MIKEH\Risklog.htm"</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"3/11/97"</definedName>
    <definedName name="HTML5_9" hidden="1">"Delta Air Lines, Inc."</definedName>
    <definedName name="HTML6_1" hidden="1">"[LOG.XLS]Log!$A$1:$L$34"</definedName>
    <definedName name="HTML6_10" hidden="1">""</definedName>
    <definedName name="HTML6_11" hidden="1">1</definedName>
    <definedName name="HTML6_12" hidden="1">"G:\MIKEH\risklog.htm"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"3/11/97"</definedName>
    <definedName name="HTML6_9" hidden="1">"Delta Air Lines, Inc."</definedName>
    <definedName name="HTML7_1" hidden="1">"[LOG.XLS]Log!$A$1:$M$37"</definedName>
    <definedName name="HTML7_10" hidden="1">""</definedName>
    <definedName name="HTML7_11" hidden="1">1</definedName>
    <definedName name="HTML7_12" hidden="1">"G:\MIKEH\risklog.htm"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"3/11/97"</definedName>
    <definedName name="HTML7_9" hidden="1">"Delta Air Lines, Inc."</definedName>
    <definedName name="HTML8_1" hidden="1">"[LOG.XLS]Log!$A$1:$M$35"</definedName>
    <definedName name="HTML8_10" hidden="1">""</definedName>
    <definedName name="HTML8_11" hidden="1">1</definedName>
    <definedName name="HTML8_12" hidden="1">"G:\MIKEH\risklog.htm"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"3/11/97"</definedName>
    <definedName name="HTML8_9" hidden="1">"Delta Air Lines, Inc."</definedName>
    <definedName name="HTML9_1" hidden="1">"[LOG.XLS]sr120798!$A$1:$K$21"</definedName>
    <definedName name="HTML9_10" hidden="1">""</definedName>
    <definedName name="HTML9_11" hidden="1">1</definedName>
    <definedName name="HTML9_12" hidden="1">"G:\INTRANET\Risklog.htm"</definedName>
    <definedName name="HTML9_2" hidden="1">1</definedName>
    <definedName name="HTML9_3" hidden="1">"LOG"</definedName>
    <definedName name="HTML9_4" hidden="1">"sr120798"</definedName>
    <definedName name="HTML9_5" hidden="1">""</definedName>
    <definedName name="HTML9_6" hidden="1">1</definedName>
    <definedName name="HTML9_7" hidden="1">1</definedName>
    <definedName name="HTML9_8" hidden="1">"12/9/98"</definedName>
    <definedName name="HTML9_9" hidden="1">"Delta Air Lines, Inc."</definedName>
    <definedName name="HTMLCount" hidden="1">1</definedName>
    <definedName name="huy" localSheetId="2" hidden="1">{"'Sheet1'!$L$16"}</definedName>
    <definedName name="huy" hidden="1">{"'Sheet1'!$L$16"}</definedName>
    <definedName name="HVAC_BOQ" hidden="1">{#N/A,#N/A,TRUE,"Front";#N/A,#N/A,TRUE,"Simple Letter";#N/A,#N/A,TRUE,"Inside";#N/A,#N/A,TRUE,"Contents";#N/A,#N/A,TRUE,"Basis";#N/A,#N/A,TRUE,"Inclusions";#N/A,#N/A,TRUE,"Exclusions";#N/A,#N/A,TRUE,"Areas";#N/A,#N/A,TRUE,"Summary";#N/A,#N/A,TRUE,"Detail"}</definedName>
    <definedName name="hy" hidden="1">{#N/A,#N/A,TRUE,"Front";#N/A,#N/A,TRUE,"Simple Letter";#N/A,#N/A,TRUE,"Inside";#N/A,#N/A,TRUE,"Contents";#N/A,#N/A,TRUE,"Basis";#N/A,#N/A,TRUE,"Inclusions";#N/A,#N/A,TRUE,"Exclusions";#N/A,#N/A,TRUE,"Areas";#N/A,#N/A,TRUE,"Summary";#N/A,#N/A,TRUE,"Detail"}</definedName>
    <definedName name="hytuj" localSheetId="2" hidden="1">{#N/A,#N/A,TRUE,"Front";#N/A,#N/A,TRUE,"Simple Letter";#N/A,#N/A,TRUE,"Inside";#N/A,#N/A,TRUE,"Contents";#N/A,#N/A,TRUE,"Basis";#N/A,#N/A,TRUE,"Inclusions";#N/A,#N/A,TRUE,"Exclusions";#N/A,#N/A,TRUE,"Areas";#N/A,#N/A,TRUE,"Summary";#N/A,#N/A,TRUE,"Detail"}</definedName>
    <definedName name="hytuj" hidden="1">{#N/A,#N/A,TRUE,"Front";#N/A,#N/A,TRUE,"Simple Letter";#N/A,#N/A,TRUE,"Inside";#N/A,#N/A,TRUE,"Contents";#N/A,#N/A,TRUE,"Basis";#N/A,#N/A,TRUE,"Inclusions";#N/A,#N/A,TRUE,"Exclusions";#N/A,#N/A,TRUE,"Areas";#N/A,#N/A,TRUE,"Summary";#N/A,#N/A,TRUE,"Detail"}</definedName>
    <definedName name="idc" localSheetId="2" hidden="1">{#N/A,#N/A,TRUE,"Front";#N/A,#N/A,TRUE,"Simple Letter";#N/A,#N/A,TRUE,"Inside";#N/A,#N/A,TRUE,"Contents";#N/A,#N/A,TRUE,"Basis";#N/A,#N/A,TRUE,"Inclusions";#N/A,#N/A,TRUE,"Exclusions";#N/A,#N/A,TRUE,"Areas";#N/A,#N/A,TRUE,"Summary";#N/A,#N/A,TRUE,"Detail"}</definedName>
    <definedName name="idc" hidden="1">{#N/A,#N/A,TRUE,"Front";#N/A,#N/A,TRUE,"Simple Letter";#N/A,#N/A,TRUE,"Inside";#N/A,#N/A,TRUE,"Contents";#N/A,#N/A,TRUE,"Basis";#N/A,#N/A,TRUE,"Inclusions";#N/A,#N/A,TRUE,"Exclusions";#N/A,#N/A,TRUE,"Areas";#N/A,#N/A,TRUE,"Summary";#N/A,#N/A,TRUE,"Detail"}</definedName>
    <definedName name="idiot" localSheetId="2" hidden="1">{"dep. full detail",#N/A,FALSE,"annex";"3cd annex",#N/A,FALSE,"annex";"co. dep.",#N/A,FALSE,"annex"}</definedName>
    <definedName name="idiot" hidden="1">{"dep. full detail",#N/A,FALSE,"annex";"3cd annex",#N/A,FALSE,"annex";"co. dep.",#N/A,FALSE,"annex"}</definedName>
    <definedName name="In" hidden="1">{#N/A,#N/A,FALSE,"gc (2)"}</definedName>
    <definedName name="Incurr" localSheetId="2" hidden="1">{#N/A,#N/A,FALSE,"gc (2)"}</definedName>
    <definedName name="Incurr" hidden="1">{#N/A,#N/A,FALSE,"gc (2)"}</definedName>
    <definedName name="ING" localSheetId="2" hidden="1">{#N/A,#N/A,TRUE,"Front";#N/A,#N/A,TRUE,"Simple Letter";#N/A,#N/A,TRUE,"Inside";#N/A,#N/A,TRUE,"Contents";#N/A,#N/A,TRUE,"Basis";#N/A,#N/A,TRUE,"Inclusions";#N/A,#N/A,TRUE,"Exclusions";#N/A,#N/A,TRUE,"Areas";#N/A,#N/A,TRUE,"Summary";#N/A,#N/A,TRUE,"Detail"}</definedName>
    <definedName name="ING" hidden="1">{#N/A,#N/A,TRUE,"Front";#N/A,#N/A,TRUE,"Simple Letter";#N/A,#N/A,TRUE,"Inside";#N/A,#N/A,TRUE,"Contents";#N/A,#N/A,TRUE,"Basis";#N/A,#N/A,TRUE,"Inclusions";#N/A,#N/A,TRUE,"Exclusions";#N/A,#N/A,TRUE,"Areas";#N/A,#N/A,TRUE,"Summary";#N/A,#N/A,TRUE,"Detail"}</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XCL_SBC" hidden="1">"c3081"</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 hidden="1">"c1635"</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PAYOUT_RATIO" hidden="1">"c3492"</definedName>
    <definedName name="IQ_FFO_STDDEV_EST" hidden="1">"c422"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39125.8198842593</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MA" localSheetId="2" hidden="1">{"process graphs",#N/A,FALSE,"graphs&amp;data"}</definedName>
    <definedName name="IRMA" hidden="1">{"process graphs",#N/A,FALSE,"graphs&amp;data"}</definedName>
    <definedName name="Jay" localSheetId="2" hidden="1">{#N/A,#N/A,FALSE,"gc (2)"}</definedName>
    <definedName name="Jay" hidden="1">{#N/A,#N/A,FALSE,"gc (2)"}</definedName>
    <definedName name="jjyjy" localSheetId="2" hidden="1">{#N/A,#N/A,FALSE,"PSU"}</definedName>
    <definedName name="jjyjy" hidden="1">{#N/A,#N/A,FALSE,"PSU"}</definedName>
    <definedName name="jpg" localSheetId="2" hidden="1">{#N/A,#N/A,TRUE,"Front";#N/A,#N/A,TRUE,"Simple Letter";#N/A,#N/A,TRUE,"Inside";#N/A,#N/A,TRUE,"Contents";#N/A,#N/A,TRUE,"Basis";#N/A,#N/A,TRUE,"Inclusions";#N/A,#N/A,TRUE,"Exclusions";#N/A,#N/A,TRUE,"Areas";#N/A,#N/A,TRUE,"Summary";#N/A,#N/A,TRUE,"Detail"}</definedName>
    <definedName name="jpg" hidden="1">{#N/A,#N/A,TRUE,"Front";#N/A,#N/A,TRUE,"Simple Letter";#N/A,#N/A,TRUE,"Inside";#N/A,#N/A,TRUE,"Contents";#N/A,#N/A,TRUE,"Basis";#N/A,#N/A,TRUE,"Inclusions";#N/A,#N/A,TRUE,"Exclusions";#N/A,#N/A,TRUE,"Areas";#N/A,#N/A,TRUE,"Summary";#N/A,#N/A,TRUE,"Detail"}</definedName>
    <definedName name="JT" localSheetId="2" hidden="1">{#N/A,#N/A,TRUE,"Flooring "}</definedName>
    <definedName name="JT" hidden="1">{#N/A,#N/A,TRUE,"Flooring "}</definedName>
    <definedName name="ju" localSheetId="2" hidden="1">{#N/A,#N/A,TRUE,"Front";#N/A,#N/A,TRUE,"Simple Letter";#N/A,#N/A,TRUE,"Inside";#N/A,#N/A,TRUE,"Contents";#N/A,#N/A,TRUE,"Basis";#N/A,#N/A,TRUE,"Inclusions";#N/A,#N/A,TRUE,"Exclusions";#N/A,#N/A,TRUE,"Areas";#N/A,#N/A,TRUE,"Summary";#N/A,#N/A,TRUE,"Detail"}</definedName>
    <definedName name="ju" hidden="1">{#N/A,#N/A,TRUE,"Front";#N/A,#N/A,TRUE,"Simple Letter";#N/A,#N/A,TRUE,"Inside";#N/A,#N/A,TRUE,"Contents";#N/A,#N/A,TRUE,"Basis";#N/A,#N/A,TRUE,"Inclusions";#N/A,#N/A,TRUE,"Exclusions";#N/A,#N/A,TRUE,"Areas";#N/A,#N/A,TRUE,"Summary";#N/A,#N/A,TRUE,"Detail"}</definedName>
    <definedName name="JWM" localSheetId="2" hidden="1">{#N/A,#N/A,TRUE,"Front";#N/A,#N/A,TRUE,"Simple Letter";#N/A,#N/A,TRUE,"Inside";#N/A,#N/A,TRUE,"Contents";#N/A,#N/A,TRUE,"Basis";#N/A,#N/A,TRUE,"Inclusions";#N/A,#N/A,TRUE,"Exclusions";#N/A,#N/A,TRUE,"Areas";#N/A,#N/A,TRUE,"Summary";#N/A,#N/A,TRUE,"Detail"}</definedName>
    <definedName name="JWM" hidden="1">{#N/A,#N/A,TRUE,"Front";#N/A,#N/A,TRUE,"Simple Letter";#N/A,#N/A,TRUE,"Inside";#N/A,#N/A,TRUE,"Contents";#N/A,#N/A,TRUE,"Basis";#N/A,#N/A,TRUE,"Inclusions";#N/A,#N/A,TRUE,"Exclusions";#N/A,#N/A,TRUE,"Areas";#N/A,#N/A,TRUE,"Summary";#N/A,#N/A,TRUE,"Detail"}</definedName>
    <definedName name="JWM_1" localSheetId="2" hidden="1">{#N/A,#N/A,TRUE,"Front";#N/A,#N/A,TRUE,"Simple Letter";#N/A,#N/A,TRUE,"Inside";#N/A,#N/A,TRUE,"Contents";#N/A,#N/A,TRUE,"Basis";#N/A,#N/A,TRUE,"Inclusions";#N/A,#N/A,TRUE,"Exclusions";#N/A,#N/A,TRUE,"Areas";#N/A,#N/A,TRUE,"Summary";#N/A,#N/A,TRUE,"Detail"}</definedName>
    <definedName name="JWM_1" hidden="1">{#N/A,#N/A,TRUE,"Front";#N/A,#N/A,TRUE,"Simple Letter";#N/A,#N/A,TRUE,"Inside";#N/A,#N/A,TRUE,"Contents";#N/A,#N/A,TRUE,"Basis";#N/A,#N/A,TRUE,"Inclusions";#N/A,#N/A,TRUE,"Exclusions";#N/A,#N/A,TRUE,"Areas";#N/A,#N/A,TRUE,"Summary";#N/A,#N/A,TRUE,"Detail"}</definedName>
    <definedName name="jyoti" localSheetId="2" hidden="1">{#N/A,#N/A,FALSE,"mpph1";#N/A,#N/A,FALSE,"mpmseb";#N/A,#N/A,FALSE,"mpph2"}</definedName>
    <definedName name="jyoti" hidden="1">{#N/A,#N/A,FALSE,"mpph1";#N/A,#N/A,FALSE,"mpmseb";#N/A,#N/A,FALSE,"mpph2"}</definedName>
    <definedName name="kadam" localSheetId="2" hidden="1">{#N/A,#N/A,TRUE,"Front";#N/A,#N/A,TRUE,"Simple Letter";#N/A,#N/A,TRUE,"Inside";#N/A,#N/A,TRUE,"Contents";#N/A,#N/A,TRUE,"Basis";#N/A,#N/A,TRUE,"Inclusions";#N/A,#N/A,TRUE,"Exclusions";#N/A,#N/A,TRUE,"Areas";#N/A,#N/A,TRUE,"Summary";#N/A,#N/A,TRUE,"Detail"}</definedName>
    <definedName name="kadam" hidden="1">{#N/A,#N/A,TRUE,"Front";#N/A,#N/A,TRUE,"Simple Letter";#N/A,#N/A,TRUE,"Inside";#N/A,#N/A,TRUE,"Contents";#N/A,#N/A,TRUE,"Basis";#N/A,#N/A,TRUE,"Inclusions";#N/A,#N/A,TRUE,"Exclusions";#N/A,#N/A,TRUE,"Areas";#N/A,#N/A,TRUE,"Summary";#N/A,#N/A,TRUE,"Detail"}</definedName>
    <definedName name="karthick" hidden="1">{#N/A,#N/A,TRUE,"Front";#N/A,#N/A,TRUE,"Simple Letter";#N/A,#N/A,TRUE,"Inside";#N/A,#N/A,TRUE,"Contents";#N/A,#N/A,TRUE,"Basis";#N/A,#N/A,TRUE,"Inclusions";#N/A,#N/A,TRUE,"Exclusions";#N/A,#N/A,TRUE,"Areas";#N/A,#N/A,TRUE,"Summary";#N/A,#N/A,TRUE,"Detail"}</definedName>
    <definedName name="kil" localSheetId="2" hidden="1">{#N/A,#N/A,TRUE,"Front";#N/A,#N/A,TRUE,"Simple Letter";#N/A,#N/A,TRUE,"Inside";#N/A,#N/A,TRUE,"Contents";#N/A,#N/A,TRUE,"Basis";#N/A,#N/A,TRUE,"Inclusions";#N/A,#N/A,TRUE,"Exclusions";#N/A,#N/A,TRUE,"Areas";#N/A,#N/A,TRUE,"Summary";#N/A,#N/A,TRUE,"Detail"}</definedName>
    <definedName name="kil" hidden="1">{#N/A,#N/A,TRUE,"Front";#N/A,#N/A,TRUE,"Simple Letter";#N/A,#N/A,TRUE,"Inside";#N/A,#N/A,TRUE,"Contents";#N/A,#N/A,TRUE,"Basis";#N/A,#N/A,TRUE,"Inclusions";#N/A,#N/A,TRUE,"Exclusions";#N/A,#N/A,TRUE,"Areas";#N/A,#N/A,TRUE,"Summary";#N/A,#N/A,TRUE,"Detail"}</definedName>
    <definedName name="kju" localSheetId="2" hidden="1">{#N/A,#N/A,TRUE,"Front";#N/A,#N/A,TRUE,"Simple Letter";#N/A,#N/A,TRUE,"Inside";#N/A,#N/A,TRUE,"Contents";#N/A,#N/A,TRUE,"Basis";#N/A,#N/A,TRUE,"Inclusions";#N/A,#N/A,TRUE,"Exclusions";#N/A,#N/A,TRUE,"Areas";#N/A,#N/A,TRUE,"Summary";#N/A,#N/A,TRUE,"Detail"}</definedName>
    <definedName name="kju" hidden="1">{#N/A,#N/A,TRUE,"Front";#N/A,#N/A,TRUE,"Simple Letter";#N/A,#N/A,TRUE,"Inside";#N/A,#N/A,TRUE,"Contents";#N/A,#N/A,TRUE,"Basis";#N/A,#N/A,TRUE,"Inclusions";#N/A,#N/A,TRUE,"Exclusions";#N/A,#N/A,TRUE,"Areas";#N/A,#N/A,TRUE,"Summary";#N/A,#N/A,TRUE,"Detail"}</definedName>
    <definedName name="kk" hidden="1">{#N/A,#N/A,FALSE,"견적대비-2"}</definedName>
    <definedName name="kkk" localSheetId="2" hidden="1">{#N/A,#N/A,FALSE,"COVER1.XLS ";#N/A,#N/A,FALSE,"RACT1.XLS";#N/A,#N/A,FALSE,"RACT2.XLS";#N/A,#N/A,FALSE,"ECCMP";#N/A,#N/A,FALSE,"WELDER.XLS"}</definedName>
    <definedName name="kkk" hidden="1">{#N/A,#N/A,FALSE,"COVER1.XLS ";#N/A,#N/A,FALSE,"RACT1.XLS";#N/A,#N/A,FALSE,"RACT2.XLS";#N/A,#N/A,FALSE,"ECCMP";#N/A,#N/A,FALSE,"WELDER.XLS"}</definedName>
    <definedName name="kl" localSheetId="2" hidden="1">{#N/A,#N/A,TRUE,"Front";#N/A,#N/A,TRUE,"Simple Letter";#N/A,#N/A,TRUE,"Inside";#N/A,#N/A,TRUE,"Contents";#N/A,#N/A,TRUE,"Basis";#N/A,#N/A,TRUE,"Inclusions";#N/A,#N/A,TRUE,"Exclusions";#N/A,#N/A,TRUE,"Areas";#N/A,#N/A,TRUE,"Summary";#N/A,#N/A,TRUE,"Detail"}</definedName>
    <definedName name="kl" hidden="1">{#N/A,#N/A,TRUE,"Front";#N/A,#N/A,TRUE,"Simple Letter";#N/A,#N/A,TRUE,"Inside";#N/A,#N/A,TRUE,"Contents";#N/A,#N/A,TRUE,"Basis";#N/A,#N/A,TRUE,"Inclusions";#N/A,#N/A,TRUE,"Exclusions";#N/A,#N/A,TRUE,"Areas";#N/A,#N/A,TRUE,"Summary";#N/A,#N/A,TRUE,"Detail"}</definedName>
    <definedName name="KLDNG" localSheetId="2" hidden="1">{#N/A,#N/A,TRUE,"Front";#N/A,#N/A,TRUE,"Simple Letter";#N/A,#N/A,TRUE,"Inside";#N/A,#N/A,TRUE,"Contents";#N/A,#N/A,TRUE,"Basis";#N/A,#N/A,TRUE,"Inclusions";#N/A,#N/A,TRUE,"Exclusions";#N/A,#N/A,TRUE,"Areas";#N/A,#N/A,TRUE,"Summary";#N/A,#N/A,TRUE,"Detail"}</definedName>
    <definedName name="KLDNG" hidden="1">{#N/A,#N/A,TRUE,"Front";#N/A,#N/A,TRUE,"Simple Letter";#N/A,#N/A,TRUE,"Inside";#N/A,#N/A,TRUE,"Contents";#N/A,#N/A,TRUE,"Basis";#N/A,#N/A,TRUE,"Inclusions";#N/A,#N/A,TRUE,"Exclusions";#N/A,#N/A,TRUE,"Areas";#N/A,#N/A,TRUE,"Summary";#N/A,#N/A,TRUE,"Detail"}</definedName>
    <definedName name="Kondhwa.wrn.clientcopy." localSheetId="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Kondhwa.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Kondhwa_Div" localSheetId="2" hidden="1">{#N/A,#N/A,FALSE,"Occ and Rate";#N/A,#N/A,FALSE,"PF Input";#N/A,#N/A,FALSE,"Capital Input";#N/A,#N/A,FALSE,"Proforma Five Yr";#N/A,#N/A,FALSE,"Calculations";#N/A,#N/A,FALSE,"Transaction Summary-DTW"}</definedName>
    <definedName name="Kondhwa_Div" hidden="1">{#N/A,#N/A,FALSE,"Occ and Rate";#N/A,#N/A,FALSE,"PF Input";#N/A,#N/A,FALSE,"Capital Input";#N/A,#N/A,FALSE,"Proforma Five Yr";#N/A,#N/A,FALSE,"Calculations";#N/A,#N/A,FALSE,"Transaction Summary-DTW"}</definedName>
    <definedName name="Kondhwa_O" localSheetId="2" hidden="1">{#N/A,#N/A,FALSE,"New Depr Sch-150% DB";#N/A,#N/A,FALSE,"Cash Flows RLP";#N/A,#N/A,FALSE,"IRR";#N/A,#N/A,FALSE,"Proforma IS";#N/A,#N/A,FALSE,"Assumptions"}</definedName>
    <definedName name="Kondhwa_O" hidden="1">{#N/A,#N/A,FALSE,"New Depr Sch-150% DB";#N/A,#N/A,FALSE,"Cash Flows RLP";#N/A,#N/A,FALSE,"IRR";#N/A,#N/A,FALSE,"Proforma IS";#N/A,#N/A,FALSE,"Assumptions"}</definedName>
    <definedName name="Kondhwa_wrn.Aging._.and._.Trend._.Analysis." localSheetId="2" hidden="1">{#N/A,#N/A,FALSE,"Aging Summary";#N/A,#N/A,FALSE,"Ratio Analysis";#N/A,#N/A,FALSE,"Test 120 Day Accts";#N/A,#N/A,FALSE,"Tickmarks"}</definedName>
    <definedName name="Kondhwa_wrn.Aging._.and._.Trend._.Analysis." hidden="1">{#N/A,#N/A,FALSE,"Aging Summary";#N/A,#N/A,FALSE,"Ratio Analysis";#N/A,#N/A,FALSE,"Test 120 Day Accts";#N/A,#N/A,FALSE,"Tickmarks"}</definedName>
    <definedName name="Kondhwa_wrn.ALL." localSheetId="2" hidden="1">{#N/A,#N/A,FALSE,"מאזן";#N/A,#N/A,FALSE,"רווהפ";#N/A,#N/A,FALSE,"שינויים בהון";#N/A,#N/A,FALSE,"תזרים";#N/A,#N/A,FALSE,"נספח - התאמות";#N/A,#N/A,FALSE,"ני""ע לתזרים";#N/A,#N/A,FALSE,"פירוטים לדוחות"}</definedName>
    <definedName name="Kondhwa_wrn.ALL." hidden="1">{#N/A,#N/A,FALSE,"מאזן";#N/A,#N/A,FALSE,"רווהפ";#N/A,#N/A,FALSE,"שינויים בהון";#N/A,#N/A,FALSE,"תזרים";#N/A,#N/A,FALSE,"נספח - התאמות";#N/A,#N/A,FALSE,"ני""ע לתזרים";#N/A,#N/A,FALSE,"פירוטים לדוחות"}</definedName>
    <definedName name="Kondhwa_wrn.Basic._.Report." localSheetId="2" hidden="1">{#N/A,#N/A,FALSE,"New Depr Sch-150% DB";#N/A,#N/A,FALSE,"Cash Flows RLP";#N/A,#N/A,FALSE,"IRR";#N/A,#N/A,FALSE,"Proforma IS";#N/A,#N/A,FALSE,"Assumptions"}</definedName>
    <definedName name="Kondhwa_wrn.Basic._.Report." hidden="1">{#N/A,#N/A,FALSE,"New Depr Sch-150% DB";#N/A,#N/A,FALSE,"Cash Flows RLP";#N/A,#N/A,FALSE,"IRR";#N/A,#N/A,FALSE,"Proforma IS";#N/A,#N/A,FALSE,"Assumptions"}</definedName>
    <definedName name="Kondhwa_wrn.Complete._.Report." localSheetId="2" hidden="1">{#N/A,#N/A,FALSE,"Assumptions";#N/A,#N/A,FALSE,"Proforma IS";#N/A,#N/A,FALSE,"Cash Flows RLP";#N/A,#N/A,FALSE,"IRR";#N/A,#N/A,FALSE,"New Depr Sch-150% DB";#N/A,#N/A,FALSE,"Comments"}</definedName>
    <definedName name="Kondhwa_wrn.Complete._.Report." hidden="1">{#N/A,#N/A,FALSE,"Assumptions";#N/A,#N/A,FALSE,"Proforma IS";#N/A,#N/A,FALSE,"Cash Flows RLP";#N/A,#N/A,FALSE,"IRR";#N/A,#N/A,FALSE,"New Depr Sch-150% DB";#N/A,#N/A,FALSE,"Comments"}</definedName>
    <definedName name="Kondhwa_wrn.Complete._.Review." localSheetId="2" hidden="1">{#N/A,#N/A,FALSE,"Occ and Rate";#N/A,#N/A,FALSE,"PF Input";#N/A,#N/A,FALSE,"Capital Input";#N/A,#N/A,FALSE,"Proforma Five Yr";#N/A,#N/A,FALSE,"Calculations";#N/A,#N/A,FALSE,"Transaction Summary-DTW"}</definedName>
    <definedName name="Kondhwa_wrn.Complete._.Review." hidden="1">{#N/A,#N/A,FALSE,"Occ and Rate";#N/A,#N/A,FALSE,"PF Input";#N/A,#N/A,FALSE,"Capital Input";#N/A,#N/A,FALSE,"Proforma Five Yr";#N/A,#N/A,FALSE,"Calculations";#N/A,#N/A,FALSE,"Transaction Summary-DTW"}</definedName>
    <definedName name="Kondhwa_wrn.filecopy." localSheetId="2"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Kondhwa_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Kondhwa_wrn.Investment._.Review." localSheetId="2" hidden="1">{#N/A,#N/A,FALSE,"Proforma Five Yr";#N/A,#N/A,FALSE,"Capital Input";#N/A,#N/A,FALSE,"Calculations";#N/A,#N/A,FALSE,"Transaction Summary-DTW"}</definedName>
    <definedName name="Kondhwa_wrn.Investment._.Review." hidden="1">{#N/A,#N/A,FALSE,"Proforma Five Yr";#N/A,#N/A,FALSE,"Capital Input";#N/A,#N/A,FALSE,"Calculations";#N/A,#N/A,FALSE,"Transaction Summary-DTW"}</definedName>
    <definedName name="Kondhwa_wrn.Operation._.Review." localSheetId="2" hidden="1">{#N/A,#N/A,FALSE,"Proforma Five Yr";#N/A,#N/A,FALSE,"Occ and Rate";#N/A,#N/A,FALSE,"PF Input";#N/A,#N/A,FALSE,"Hotcomps"}</definedName>
    <definedName name="Kondhwa_wrn.Operation._.Review." hidden="1">{#N/A,#N/A,FALSE,"Proforma Five Yr";#N/A,#N/A,FALSE,"Occ and Rate";#N/A,#N/A,FALSE,"PF Input";#N/A,#N/A,FALSE,"Hotcomps"}</definedName>
    <definedName name="Kondhwa_wrn.Phase._.I." localSheetId="2" hidden="1">{#N/A,#N/A,FALSE,"Transaction Summary-DTW";#N/A,#N/A,FALSE,"Proforma Five Yr";#N/A,#N/A,FALSE,"Occ and Rate"}</definedName>
    <definedName name="Kondhwa_wrn.Phase._.I." hidden="1">{#N/A,#N/A,FALSE,"Transaction Summary-DTW";#N/A,#N/A,FALSE,"Proforma Five Yr";#N/A,#N/A,FALSE,"Occ and Rate"}</definedName>
    <definedName name="Kondhwa_wrn.print" localSheetId="2" hidden="1">{#N/A,#N/A,FALSE,"Japan 2003";#N/A,#N/A,FALSE,"Sheet2"}</definedName>
    <definedName name="Kondhwa_wrn.print" hidden="1">{#N/A,#N/A,FALSE,"Japan 2003";#N/A,#N/A,FALSE,"Sheet2"}</definedName>
    <definedName name="Kondhwa_wrn.Proforma._.Review" localSheetId="2" hidden="1">{#N/A,#N/A,FALSE,"Occ and Rate";#N/A,#N/A,FALSE,"PF Input";#N/A,#N/A,FALSE,"Proforma Five Yr";#N/A,#N/A,FALSE,"Hotcomps"}</definedName>
    <definedName name="Kondhwa_wrn.Proforma._.Review" hidden="1">{#N/A,#N/A,FALSE,"Occ and Rate";#N/A,#N/A,FALSE,"PF Input";#N/A,#N/A,FALSE,"Proforma Five Yr";#N/A,#N/A,FALSE,"Hotcomps"}</definedName>
    <definedName name="kp" hidden="1">{#N/A,#N/A,TRUE,"Front";#N/A,#N/A,TRUE,"Simple Letter";#N/A,#N/A,TRUE,"Inside";#N/A,#N/A,TRUE,"Contents";#N/A,#N/A,TRUE,"Basis";#N/A,#N/A,TRUE,"Inclusions";#N/A,#N/A,TRUE,"Exclusions";#N/A,#N/A,TRUE,"Areas";#N/A,#N/A,TRUE,"Summary";#N/A,#N/A,TRUE,"Detail"}</definedName>
    <definedName name="kskk" localSheetId="2" hidden="1">{#N/A,#N/A,FALSE,"COVER.XLS";#N/A,#N/A,FALSE,"RACT1.XLS";#N/A,#N/A,FALSE,"RACT2.XLS";#N/A,#N/A,FALSE,"ECCMP";#N/A,#N/A,FALSE,"WELDER.XLS"}</definedName>
    <definedName name="kskk" hidden="1">{#N/A,#N/A,FALSE,"COVER.XLS";#N/A,#N/A,FALSE,"RACT1.XLS";#N/A,#N/A,FALSE,"RACT2.XLS";#N/A,#N/A,FALSE,"ECCMP";#N/A,#N/A,FALSE,"WELDER.XLS"}</definedName>
    <definedName name="KUWAIT" localSheetId="2" hidden="1">{#N/A,#N/A,TRUE,"Front";#N/A,#N/A,TRUE,"Simple Letter";#N/A,#N/A,TRUE,"Inside";#N/A,#N/A,TRUE,"Contents";#N/A,#N/A,TRUE,"Basis";#N/A,#N/A,TRUE,"Inclusions";#N/A,#N/A,TRUE,"Exclusions";#N/A,#N/A,TRUE,"Areas";#N/A,#N/A,TRUE,"Summary";#N/A,#N/A,TRUE,"Detail"}</definedName>
    <definedName name="KUWAIT" hidden="1">{#N/A,#N/A,TRUE,"Front";#N/A,#N/A,TRUE,"Simple Letter";#N/A,#N/A,TRUE,"Inside";#N/A,#N/A,TRUE,"Contents";#N/A,#N/A,TRUE,"Basis";#N/A,#N/A,TRUE,"Inclusions";#N/A,#N/A,TRUE,"Exclusions";#N/A,#N/A,TRUE,"Areas";#N/A,#N/A,TRUE,"Summary";#N/A,#N/A,TRUE,"Detail"}</definedName>
    <definedName name="kuyk" localSheetId="2" hidden="1">{#N/A,#N/A,FALSE,"PSU"}</definedName>
    <definedName name="kuyk" hidden="1">{#N/A,#N/A,FALSE,"PSU"}</definedName>
    <definedName name="kvs" localSheetId="2" hidden="1">{#N/A,#N/A,FALSE,"COVER1.XLS ";#N/A,#N/A,FALSE,"RACT1.XLS";#N/A,#N/A,FALSE,"RACT2.XLS";#N/A,#N/A,FALSE,"ECCMP";#N/A,#N/A,FALSE,"WELDER.XLS"}</definedName>
    <definedName name="kvs" hidden="1">{#N/A,#N/A,FALSE,"COVER1.XLS ";#N/A,#N/A,FALSE,"RACT1.XLS";#N/A,#N/A,FALSE,"RACT2.XLS";#N/A,#N/A,FALSE,"ECCMP";#N/A,#N/A,FALSE,"WELDER.XLS"}</definedName>
    <definedName name="kyd.ChngCell.01." hidden="1">#REF!</definedName>
    <definedName name="kyd.ChngCell.01.BKC" hidden="1">#REF!</definedName>
    <definedName name="kyd.CounterLimitCell.01." hidden="1">"x"</definedName>
    <definedName name="kyd.Dim.01." hidden="1">"tm1serv:company"</definedName>
    <definedName name="kyd.ElementList.01." hidden="1">#REF!</definedName>
    <definedName name="kyd.ElementList01.BKC" hidden="1">#REF!</definedName>
    <definedName name="kyd.ElementType.01." hidden="1">1</definedName>
    <definedName name="kyd.ItemType.01." hidden="1">2</definedName>
    <definedName name="kyd.MacroAfterMemoRow." hidden="1">""</definedName>
    <definedName name="kyd.MacroAfterZap." hidden="1">""</definedName>
    <definedName name="kyd.MacroAtEnd." hidden="1">""</definedName>
    <definedName name="kyd.MacroEachCycle." hidden="1">""</definedName>
    <definedName name="kyd.MacroEndOfEachCycle." hidden="1">""</definedName>
    <definedName name="kyd.MacroStartOfProc." hidden="1">""</definedName>
    <definedName name="kyd.MemoCtrlNum." hidden="1">0</definedName>
    <definedName name="kyd.MemoSortHide." hidden="1">FALSE</definedName>
    <definedName name="kyd.NumLevels.01." hidden="1">999</definedName>
    <definedName name="kyd.PanicStop." hidden="1">FALSE</definedName>
    <definedName name="kyd.ParentName.01." hidden="1">""</definedName>
    <definedName name="kyd.PreScreenData." hidden="1">FALSE</definedName>
    <definedName name="kyd.PrintMemo." hidden="1">FALSE</definedName>
    <definedName name="kyd.PrintParent.01." hidden="1">TRUE</definedName>
    <definedName name="kyd.PrintStdWhen." hidden="1">1</definedName>
    <definedName name="kyd.PrintToWbk." hidden="1">FALSE</definedName>
    <definedName name="kyd.ProcessInCycle." hidden="1">FALSE</definedName>
    <definedName name="kyd.SaveAsFile." hidden="1">FALSE</definedName>
    <definedName name="kyd.SaveMemo." hidden="1">FALSE</definedName>
    <definedName name="kyd.SelectString.01." hidden="1">"*"</definedName>
    <definedName name="kyd.Shortcut." hidden="1">FALSE</definedName>
    <definedName name="kyd.StdSortHide." hidden="1">FALSE</definedName>
    <definedName name="kyd.StopRow." hidden="1">65536</definedName>
    <definedName name="kyd.WriteMemWhenOptn." hidden="1">3</definedName>
    <definedName name="Labs" localSheetId="2"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Labs"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LALA" localSheetId="2" hidden="1">{#N/A,#N/A,TRUE,"Front";#N/A,#N/A,TRUE,"Simple Letter";#N/A,#N/A,TRUE,"Inside";#N/A,#N/A,TRUE,"Contents";#N/A,#N/A,TRUE,"Basis";#N/A,#N/A,TRUE,"Inclusions";#N/A,#N/A,TRUE,"Exclusions";#N/A,#N/A,TRUE,"Areas";#N/A,#N/A,TRUE,"Summary";#N/A,#N/A,TRUE,"Detail"}</definedName>
    <definedName name="LALA" hidden="1">{#N/A,#N/A,TRUE,"Front";#N/A,#N/A,TRUE,"Simple Letter";#N/A,#N/A,TRUE,"Inside";#N/A,#N/A,TRUE,"Contents";#N/A,#N/A,TRUE,"Basis";#N/A,#N/A,TRUE,"Inclusions";#N/A,#N/A,TRUE,"Exclusions";#N/A,#N/A,TRUE,"Areas";#N/A,#N/A,TRUE,"Summary";#N/A,#N/A,TRUE,"Detail"}</definedName>
    <definedName name="LIGHTING" hidden="1">#REF!</definedName>
    <definedName name="limcount" hidden="1">1</definedName>
    <definedName name="ListOffset" hidden="1">1</definedName>
    <definedName name="LITHIN" localSheetId="2" hidden="1">{#N/A,#N/A,TRUE,"Front";#N/A,#N/A,TRUE,"Simple Letter";#N/A,#N/A,TRUE,"Inside";#N/A,#N/A,TRUE,"Contents";#N/A,#N/A,TRUE,"Basis";#N/A,#N/A,TRUE,"Inclusions";#N/A,#N/A,TRUE,"Exclusions";#N/A,#N/A,TRUE,"Areas";#N/A,#N/A,TRUE,"Summary";#N/A,#N/A,TRUE,"Detail"}</definedName>
    <definedName name="LITHIN" hidden="1">{#N/A,#N/A,TRUE,"Front";#N/A,#N/A,TRUE,"Simple Letter";#N/A,#N/A,TRUE,"Inside";#N/A,#N/A,TRUE,"Contents";#N/A,#N/A,TRUE,"Basis";#N/A,#N/A,TRUE,"Inclusions";#N/A,#N/A,TRUE,"Exclusions";#N/A,#N/A,TRUE,"Areas";#N/A,#N/A,TRUE,"Summary";#N/A,#N/A,TRUE,"Detail"}</definedName>
    <definedName name="lkl" localSheetId="2" hidden="1">{#N/A,#N/A,TRUE,"Front";#N/A,#N/A,TRUE,"Simple Letter";#N/A,#N/A,TRUE,"Inside";#N/A,#N/A,TRUE,"Contents";#N/A,#N/A,TRUE,"Basis";#N/A,#N/A,TRUE,"Inclusions";#N/A,#N/A,TRUE,"Exclusions";#N/A,#N/A,TRUE,"Areas";#N/A,#N/A,TRUE,"Summary";#N/A,#N/A,TRUE,"Detail"}</definedName>
    <definedName name="lkl" hidden="1">{#N/A,#N/A,TRUE,"Front";#N/A,#N/A,TRUE,"Simple Letter";#N/A,#N/A,TRUE,"Inside";#N/A,#N/A,TRUE,"Contents";#N/A,#N/A,TRUE,"Basis";#N/A,#N/A,TRUE,"Inclusions";#N/A,#N/A,TRUE,"Exclusions";#N/A,#N/A,TRUE,"Areas";#N/A,#N/A,TRUE,"Summary";#N/A,#N/A,TRUE,"Detail"}</definedName>
    <definedName name="LKNNH" hidden="1">#REF!</definedName>
    <definedName name="LLALALLA" localSheetId="2" hidden="1">{#N/A,#N/A,TRUE,"Front";#N/A,#N/A,TRUE,"Simple Letter";#N/A,#N/A,TRUE,"Inside";#N/A,#N/A,TRUE,"Contents";#N/A,#N/A,TRUE,"Basis";#N/A,#N/A,TRUE,"Inclusions";#N/A,#N/A,TRUE,"Exclusions";#N/A,#N/A,TRUE,"Areas";#N/A,#N/A,TRUE,"Summary";#N/A,#N/A,TRUE,"Detail"}</definedName>
    <definedName name="LLALALLA" hidden="1">{#N/A,#N/A,TRUE,"Front";#N/A,#N/A,TRUE,"Simple Letter";#N/A,#N/A,TRUE,"Inside";#N/A,#N/A,TRUE,"Contents";#N/A,#N/A,TRUE,"Basis";#N/A,#N/A,TRUE,"Inclusions";#N/A,#N/A,TRUE,"Exclusions";#N/A,#N/A,TRUE,"Areas";#N/A,#N/A,TRUE,"Summary";#N/A,#N/A,TRUE,"Detail"}</definedName>
    <definedName name="lll" localSheetId="2" hidden="1">{#N/A,#N/A,TRUE,"Front";#N/A,#N/A,TRUE,"Simple Letter";#N/A,#N/A,TRUE,"Inside";#N/A,#N/A,TRUE,"Contents";#N/A,#N/A,TRUE,"Basis";#N/A,#N/A,TRUE,"Inclusions";#N/A,#N/A,TRUE,"Exclusions";#N/A,#N/A,TRUE,"Areas";#N/A,#N/A,TRUE,"Summary";#N/A,#N/A,TRUE,"Detail"}</definedName>
    <definedName name="ll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l" localSheetId="2" hidden="1">{#N/A,#N/A,FALSE,"ActPrior";#N/A,#N/A,FALSE,"ActPlan";#N/A,#N/A,FALSE,"ActFore"}</definedName>
    <definedName name="llll" hidden="1">{#N/A,#N/A,FALSE,"ActPrior";#N/A,#N/A,FALSE,"ActPlan";#N/A,#N/A,FALSE,"ActFore"}</definedName>
    <definedName name="lob.all" localSheetId="2" hidden="1">{#N/A,#N/A,FALSE,"PHASED";#N/A,#N/A,FALSE,"DETAIL OF SITE";#N/A,#N/A,FALSE,"MSTR SUMMARY";#N/A,#N/A,FALSE,"CAT1-16 SUMM";#N/A,#N/A,FALSE,"ELEVATOR";#N/A,#N/A,FALSE,"PHASE 2 COSTS"}</definedName>
    <definedName name="lob.all" hidden="1">{#N/A,#N/A,FALSE,"PHASED";#N/A,#N/A,FALSE,"DETAIL OF SITE";#N/A,#N/A,FALSE,"MSTR SUMMARY";#N/A,#N/A,FALSE,"CAT1-16 SUMM";#N/A,#N/A,FALSE,"ELEVATOR";#N/A,#N/A,FALSE,"PHASE 2 COSTS"}</definedName>
    <definedName name="loi" localSheetId="2" hidden="1">{#N/A,#N/A,TRUE,"Front";#N/A,#N/A,TRUE,"Simple Letter";#N/A,#N/A,TRUE,"Inside";#N/A,#N/A,TRUE,"Contents";#N/A,#N/A,TRUE,"Basis";#N/A,#N/A,TRUE,"Inclusions";#N/A,#N/A,TRUE,"Exclusions";#N/A,#N/A,TRUE,"Areas";#N/A,#N/A,TRUE,"Summary";#N/A,#N/A,TRUE,"Detail"}</definedName>
    <definedName name="loi" hidden="1">{#N/A,#N/A,TRUE,"Front";#N/A,#N/A,TRUE,"Simple Letter";#N/A,#N/A,TRUE,"Inside";#N/A,#N/A,TRUE,"Contents";#N/A,#N/A,TRUE,"Basis";#N/A,#N/A,TRUE,"Inclusions";#N/A,#N/A,TRUE,"Exclusions";#N/A,#N/A,TRUE,"Areas";#N/A,#N/A,TRUE,"Summary";#N/A,#N/A,TRUE,"Detail"}</definedName>
    <definedName name="lol" localSheetId="2" hidden="1">{#N/A,#N/A,TRUE,"Front";#N/A,#N/A,TRUE,"Simple Letter";#N/A,#N/A,TRUE,"Inside";#N/A,#N/A,TRUE,"Contents";#N/A,#N/A,TRUE,"Basis";#N/A,#N/A,TRUE,"Inclusions";#N/A,#N/A,TRUE,"Exclusions";#N/A,#N/A,TRUE,"Areas";#N/A,#N/A,TRUE,"Summary";#N/A,#N/A,TRUE,"Detail"}</definedName>
    <definedName name="lol" hidden="1">{#N/A,#N/A,TRUE,"Front";#N/A,#N/A,TRUE,"Simple Letter";#N/A,#N/A,TRUE,"Inside";#N/A,#N/A,TRUE,"Contents";#N/A,#N/A,TRUE,"Basis";#N/A,#N/A,TRUE,"Inclusions";#N/A,#N/A,TRUE,"Exclusions";#N/A,#N/A,TRUE,"Areas";#N/A,#N/A,TRUE,"Summary";#N/A,#N/A,TRUE,"Detail"}</definedName>
    <definedName name="lumnm" localSheetId="2" hidden="1">{#N/A,#N/A,TRUE,"Front";#N/A,#N/A,TRUE,"Simple Letter";#N/A,#N/A,TRUE,"Inside";#N/A,#N/A,TRUE,"Contents";#N/A,#N/A,TRUE,"Basis";#N/A,#N/A,TRUE,"Inclusions";#N/A,#N/A,TRUE,"Exclusions";#N/A,#N/A,TRUE,"Areas";#N/A,#N/A,TRUE,"Summary";#N/A,#N/A,TRUE,"Detail"}</definedName>
    <definedName name="lumnm" hidden="1">{#N/A,#N/A,TRUE,"Front";#N/A,#N/A,TRUE,"Simple Letter";#N/A,#N/A,TRUE,"Inside";#N/A,#N/A,TRUE,"Contents";#N/A,#N/A,TRUE,"Basis";#N/A,#N/A,TRUE,"Inclusions";#N/A,#N/A,TRUE,"Exclusions";#N/A,#N/A,TRUE,"Areas";#N/A,#N/A,TRUE,"Summary";#N/A,#N/A,TRUE,"Detail"}</definedName>
    <definedName name="mak" hidden="1">#REF!</definedName>
    <definedName name="manju" hidden="1">{#N/A,#N/A,TRUE,"Front";#N/A,#N/A,TRUE,"Simple Letter";#N/A,#N/A,TRUE,"Inside";#N/A,#N/A,TRUE,"Contents";#N/A,#N/A,TRUE,"Basis";#N/A,#N/A,TRUE,"Inclusions";#N/A,#N/A,TRUE,"Exclusions";#N/A,#N/A,TRUE,"Areas";#N/A,#N/A,TRUE,"Summary";#N/A,#N/A,TRUE,"Detail"}</definedName>
    <definedName name="Marathe" localSheetId="2" hidden="1">{#N/A,#N/A,FALSE,"mpph1";#N/A,#N/A,FALSE,"mpmseb";#N/A,#N/A,FALSE,"mpph2"}</definedName>
    <definedName name="Marathe" hidden="1">{#N/A,#N/A,FALSE,"mpph1";#N/A,#N/A,FALSE,"mpmseb";#N/A,#N/A,FALSE,"mpph2"}</definedName>
    <definedName name="MATER" hidden="1">#REF!</definedName>
    <definedName name="MCBDB" localSheetId="2" hidden="1">{#N/A,#N/A,FALSE,"mpph1";#N/A,#N/A,FALSE,"mpmseb";#N/A,#N/A,FALSE,"mpph2"}</definedName>
    <definedName name="MCBDB" hidden="1">{#N/A,#N/A,FALSE,"mpph1";#N/A,#N/A,FALSE,"mpmseb";#N/A,#N/A,FALSE,"mpph2"}</definedName>
    <definedName name="measu" localSheetId="2" hidden="1">{#N/A,#N/A,TRUE,"Front";#N/A,#N/A,TRUE,"Simple Letter";#N/A,#N/A,TRUE,"Inside";#N/A,#N/A,TRUE,"Contents";#N/A,#N/A,TRUE,"Basis";#N/A,#N/A,TRUE,"Inclusions";#N/A,#N/A,TRUE,"Exclusions";#N/A,#N/A,TRUE,"Areas";#N/A,#N/A,TRUE,"Summary";#N/A,#N/A,TRUE,"Detail"}</definedName>
    <definedName name="measu" hidden="1">{#N/A,#N/A,TRUE,"Front";#N/A,#N/A,TRUE,"Simple Letter";#N/A,#N/A,TRUE,"Inside";#N/A,#N/A,TRUE,"Contents";#N/A,#N/A,TRUE,"Basis";#N/A,#N/A,TRUE,"Inclusions";#N/A,#N/A,TRUE,"Exclusions";#N/A,#N/A,TRUE,"Areas";#N/A,#N/A,TRUE,"Summary";#N/A,#N/A,TRUE,"Detail"}</definedName>
    <definedName name="MEP" localSheetId="2"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gs" localSheetId="2" hidden="1">{#N/A,#N/A,TRUE,"Front";#N/A,#N/A,TRUE,"Simple Letter";#N/A,#N/A,TRUE,"Inside";#N/A,#N/A,TRUE,"Contents";#N/A,#N/A,TRUE,"Basis";#N/A,#N/A,TRUE,"Inclusions";#N/A,#N/A,TRUE,"Exclusions";#N/A,#N/A,TRUE,"Areas";#N/A,#N/A,TRUE,"Summary";#N/A,#N/A,TRUE,"Detail"}</definedName>
    <definedName name="mgs" hidden="1">{#N/A,#N/A,TRUE,"Front";#N/A,#N/A,TRUE,"Simple Letter";#N/A,#N/A,TRUE,"Inside";#N/A,#N/A,TRUE,"Contents";#N/A,#N/A,TRUE,"Basis";#N/A,#N/A,TRUE,"Inclusions";#N/A,#N/A,TRUE,"Exclusions";#N/A,#N/A,TRUE,"Areas";#N/A,#N/A,TRUE,"Summary";#N/A,#N/A,TRUE,"Detail"}</definedName>
    <definedName name="MOTOR" localSheetId="2" hidden="1">{#N/A,#N/A,TRUE,"Vergabe-Regeln";#N/A,#N/A,TRUE,"Baugruppen";#N/A,#N/A,TRUE,"Geräte";#N/A,#N/A,TRUE,"PC-Software";#N/A,#N/A,TRUE,"Software";#N/A,#N/A,TRUE,"SW-Reg";#N/A,#N/A,TRUE,"Dokumentation"}</definedName>
    <definedName name="MOTOR" hidden="1">{#N/A,#N/A,TRUE,"Vergabe-Regeln";#N/A,#N/A,TRUE,"Baugruppen";#N/A,#N/A,TRUE,"Geräte";#N/A,#N/A,TRUE,"PC-Software";#N/A,#N/A,TRUE,"Software";#N/A,#N/A,TRUE,"SW-Reg";#N/A,#N/A,TRUE,"Dokumentation"}</definedName>
    <definedName name="mr10resi" localSheetId="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den" localSheetId="2" hidden="1">{#N/A,#N/A,TRUE,"Financials";#N/A,#N/A,TRUE,"Operating Statistics";#N/A,#N/A,TRUE,"Capex &amp; Depreciation";#N/A,#N/A,TRUE,"Debt"}</definedName>
    <definedName name="mr10residen" hidden="1">{#N/A,#N/A,TRUE,"Financials";#N/A,#N/A,TRUE,"Operating Statistics";#N/A,#N/A,TRUE,"Capex &amp; Depreciation";#N/A,#N/A,TRUE,"Debt"}</definedName>
    <definedName name="mukesh" localSheetId="2" hidden="1">{#N/A,#N/A,TRUE,"Front";#N/A,#N/A,TRUE,"Simple Letter";#N/A,#N/A,TRUE,"Inside";#N/A,#N/A,TRUE,"Contents";#N/A,#N/A,TRUE,"Basis";#N/A,#N/A,TRUE,"Inclusions";#N/A,#N/A,TRUE,"Exclusions";#N/A,#N/A,TRUE,"Areas";#N/A,#N/A,TRUE,"Summary";#N/A,#N/A,TRUE,"Detail"}</definedName>
    <definedName name="mukesh" hidden="1">{#N/A,#N/A,TRUE,"Front";#N/A,#N/A,TRUE,"Simple Letter";#N/A,#N/A,TRUE,"Inside";#N/A,#N/A,TRUE,"Contents";#N/A,#N/A,TRUE,"Basis";#N/A,#N/A,TRUE,"Inclusions";#N/A,#N/A,TRUE,"Exclusions";#N/A,#N/A,TRUE,"Areas";#N/A,#N/A,TRUE,"Summary";#N/A,#N/A,TRUE,"Detail"}</definedName>
    <definedName name="Mullions" localSheetId="2" hidden="1">{#N/A,#N/A,TRUE,"Front";#N/A,#N/A,TRUE,"Simple Letter";#N/A,#N/A,TRUE,"Inside";#N/A,#N/A,TRUE,"Contents";#N/A,#N/A,TRUE,"Basis";#N/A,#N/A,TRUE,"Inclusions";#N/A,#N/A,TRUE,"Exclusions";#N/A,#N/A,TRUE,"Areas";#N/A,#N/A,TRUE,"Summary";#N/A,#N/A,TRUE,"Detail"}</definedName>
    <definedName name="Mullions" hidden="1">{#N/A,#N/A,TRUE,"Front";#N/A,#N/A,TRUE,"Simple Letter";#N/A,#N/A,TRUE,"Inside";#N/A,#N/A,TRUE,"Contents";#N/A,#N/A,TRUE,"Basis";#N/A,#N/A,TRUE,"Inclusions";#N/A,#N/A,TRUE,"Exclusions";#N/A,#N/A,TRUE,"Areas";#N/A,#N/A,TRUE,"Summary";#N/A,#N/A,TRUE,"Detail"}</definedName>
    <definedName name="MUNNA" localSheetId="2" hidden="1">{#N/A,#N/A,TRUE,"Front";#N/A,#N/A,TRUE,"Simple Letter";#N/A,#N/A,TRUE,"Inside";#N/A,#N/A,TRUE,"Contents";#N/A,#N/A,TRUE,"Basis";#N/A,#N/A,TRUE,"Inclusions";#N/A,#N/A,TRUE,"Exclusions";#N/A,#N/A,TRUE,"Areas";#N/A,#N/A,TRUE,"Summary";#N/A,#N/A,TRUE,"Detail"}</definedName>
    <definedName name="MUNNA" hidden="1">{#N/A,#N/A,TRUE,"Front";#N/A,#N/A,TRUE,"Simple Letter";#N/A,#N/A,TRUE,"Inside";#N/A,#N/A,TRUE,"Contents";#N/A,#N/A,TRUE,"Basis";#N/A,#N/A,TRUE,"Inclusions";#N/A,#N/A,TRUE,"Exclusions";#N/A,#N/A,TRUE,"Areas";#N/A,#N/A,TRUE,"Summary";#N/A,#N/A,TRUE,"Detail"}</definedName>
    <definedName name="na"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bc" localSheetId="2" hidden="1">{#N/A,#N/A,TRUE,"Front";#N/A,#N/A,TRUE,"Simple Letter";#N/A,#N/A,TRUE,"Inside";#N/A,#N/A,TRUE,"Contents";#N/A,#N/A,TRUE,"Basis";#N/A,#N/A,TRUE,"Inclusions";#N/A,#N/A,TRUE,"Exclusions";#N/A,#N/A,TRUE,"Areas";#N/A,#N/A,TRUE,"Summary";#N/A,#N/A,TRUE,"Detail"}</definedName>
    <definedName name="nbc" hidden="1">{#N/A,#N/A,TRUE,"Front";#N/A,#N/A,TRUE,"Simple Letter";#N/A,#N/A,TRUE,"Inside";#N/A,#N/A,TRUE,"Contents";#N/A,#N/A,TRUE,"Basis";#N/A,#N/A,TRUE,"Inclusions";#N/A,#N/A,TRUE,"Exclusions";#N/A,#N/A,TRUE,"Areas";#N/A,#N/A,TRUE,"Summary";#N/A,#N/A,TRUE,"Detail"}</definedName>
    <definedName name="ncik" localSheetId="2"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cik"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EWNA"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ick" localSheetId="2"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ick"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itin" hidden="1">#REF!</definedName>
    <definedName name="nss" localSheetId="2" hidden="1">{#N/A,#N/A,FALSE,"consu_cover";#N/A,#N/A,FALSE,"consu_strategy";#N/A,#N/A,FALSE,"consu_flow";#N/A,#N/A,FALSE,"Summary_reqmt";#N/A,#N/A,FALSE,"field_ppg";#N/A,#N/A,FALSE,"ppg_shop";#N/A,#N/A,FALSE,"strl";#N/A,#N/A,FALSE,"tankages";#N/A,#N/A,FALSE,"gases"}</definedName>
    <definedName name="nss" hidden="1">{#N/A,#N/A,FALSE,"consu_cover";#N/A,#N/A,FALSE,"consu_strategy";#N/A,#N/A,FALSE,"consu_flow";#N/A,#N/A,FALSE,"Summary_reqmt";#N/A,#N/A,FALSE,"field_ppg";#N/A,#N/A,FALSE,"ppg_shop";#N/A,#N/A,FALSE,"strl";#N/A,#N/A,FALSE,"tankages";#N/A,#N/A,FALSE,"gases"}</definedName>
    <definedName name="o" hidden="1">{#N/A,#N/A,TRUE,"Front";#N/A,#N/A,TRUE,"Simple Letter";#N/A,#N/A,TRUE,"Inside";#N/A,#N/A,TRUE,"Contents";#N/A,#N/A,TRUE,"Basis";#N/A,#N/A,TRUE,"Inclusions";#N/A,#N/A,TRUE,"Exclusions";#N/A,#N/A,TRUE,"Areas";#N/A,#N/A,TRUE,"Summary";#N/A,#N/A,TRUE,"Detail"}</definedName>
    <definedName name="okay" localSheetId="2" hidden="1">{#N/A,#N/A,FALSE,"mgtsum.XLS";#N/A,#N/A,FALSE,"CAPONE";#N/A,#N/A,FALSE,"CAPTWO";#N/A,#N/A,FALSE,"CAPTHREE"}</definedName>
    <definedName name="okay" hidden="1">{#N/A,#N/A,FALSE,"mgtsum.XLS";#N/A,#N/A,FALSE,"CAPONE";#N/A,#N/A,FALSE,"CAPTWO";#N/A,#N/A,FALSE,"CAPTHREE"}</definedName>
    <definedName name="ol" hidden="1">{#N/A,#N/A,FALSE,"PSU"}</definedName>
    <definedName name="olk" localSheetId="2" hidden="1">{#N/A,#N/A,TRUE,"Front";#N/A,#N/A,TRUE,"Simple Letter";#N/A,#N/A,TRUE,"Inside";#N/A,#N/A,TRUE,"Contents";#N/A,#N/A,TRUE,"Basis";#N/A,#N/A,TRUE,"Inclusions";#N/A,#N/A,TRUE,"Exclusions";#N/A,#N/A,TRUE,"Areas";#N/A,#N/A,TRUE,"Summary";#N/A,#N/A,TRUE,"Detail"}</definedName>
    <definedName name="olk" hidden="1">{#N/A,#N/A,TRUE,"Front";#N/A,#N/A,TRUE,"Simple Letter";#N/A,#N/A,TRUE,"Inside";#N/A,#N/A,TRUE,"Contents";#N/A,#N/A,TRUE,"Basis";#N/A,#N/A,TRUE,"Inclusions";#N/A,#N/A,TRUE,"Exclusions";#N/A,#N/A,TRUE,"Areas";#N/A,#N/A,TRUE,"Summary";#N/A,#N/A,TRUE,"Detail"}</definedName>
    <definedName name="opopo" localSheetId="2" hidden="1">{#N/A,#N/A,FALSE,"견적대비-2"}</definedName>
    <definedName name="opopo" hidden="1">{#N/A,#N/A,FALSE,"견적대비-2"}</definedName>
    <definedName name="OrderTable" hidden="1">#REF!</definedName>
    <definedName name="Org" localSheetId="2" hidden="1">{#N/A,#N/A,TRUE,"Front";#N/A,#N/A,TRUE,"Simple Letter";#N/A,#N/A,TRUE,"Inside";#N/A,#N/A,TRUE,"Contents";#N/A,#N/A,TRUE,"Basis";#N/A,#N/A,TRUE,"Inclusions";#N/A,#N/A,TRUE,"Exclusions";#N/A,#N/A,TRUE,"Areas";#N/A,#N/A,TRUE,"Summary";#N/A,#N/A,TRUE,"Detail"}</definedName>
    <definedName name="Org" hidden="1">{#N/A,#N/A,TRUE,"Front";#N/A,#N/A,TRUE,"Simple Letter";#N/A,#N/A,TRUE,"Inside";#N/A,#N/A,TRUE,"Contents";#N/A,#N/A,TRUE,"Basis";#N/A,#N/A,TRUE,"Inclusions";#N/A,#N/A,TRUE,"Exclusions";#N/A,#N/A,TRUE,"Areas";#N/A,#N/A,TRUE,"Summary";#N/A,#N/A,TRUE,"Detail"}</definedName>
    <definedName name="organ" localSheetId="2" hidden="1">{#N/A,#N/A,TRUE,"Front";#N/A,#N/A,TRUE,"Simple Letter";#N/A,#N/A,TRUE,"Inside";#N/A,#N/A,TRUE,"Contents";#N/A,#N/A,TRUE,"Basis";#N/A,#N/A,TRUE,"Inclusions";#N/A,#N/A,TRUE,"Exclusions";#N/A,#N/A,TRUE,"Areas";#N/A,#N/A,TRUE,"Summary";#N/A,#N/A,TRUE,"Detail"}</definedName>
    <definedName name="organ" hidden="1">{#N/A,#N/A,TRUE,"Front";#N/A,#N/A,TRUE,"Simple Letter";#N/A,#N/A,TRUE,"Inside";#N/A,#N/A,TRUE,"Contents";#N/A,#N/A,TRUE,"Basis";#N/A,#N/A,TRUE,"Inclusions";#N/A,#N/A,TRUE,"Exclusions";#N/A,#N/A,TRUE,"Areas";#N/A,#N/A,TRUE,"Summary";#N/A,#N/A,TRUE,"Detail"}</definedName>
    <definedName name="Page3a" localSheetId="2"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Page3a"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Pal_Workbook_GUID" hidden="1">"8C9FWPDC58HV91KMPNBD5P58"</definedName>
    <definedName name="parse" hidden="1">#REF!</definedName>
    <definedName name="pccm15" hidden="1">{#N/A,#N/A,TRUE,"Front";#N/A,#N/A,TRUE,"Simple Letter";#N/A,#N/A,TRUE,"Inside";#N/A,#N/A,TRUE,"Contents";#N/A,#N/A,TRUE,"Basis";#N/A,#N/A,TRUE,"Inclusions";#N/A,#N/A,TRUE,"Exclusions";#N/A,#N/A,TRUE,"Areas";#N/A,#N/A,TRUE,"Summary";#N/A,#N/A,TRUE,"Detail"}</definedName>
    <definedName name="pkg" localSheetId="2" hidden="1">{#N/A,#N/A,TRUE,"Front";#N/A,#N/A,TRUE,"Simple Letter";#N/A,#N/A,TRUE,"Inside";#N/A,#N/A,TRUE,"Contents";#N/A,#N/A,TRUE,"Basis";#N/A,#N/A,TRUE,"Inclusions";#N/A,#N/A,TRUE,"Exclusions";#N/A,#N/A,TRUE,"Areas";#N/A,#N/A,TRUE,"Summary";#N/A,#N/A,TRUE,"Detail"}</definedName>
    <definedName name="pkg" hidden="1">{#N/A,#N/A,TRUE,"Front";#N/A,#N/A,TRUE,"Simple Letter";#N/A,#N/A,TRUE,"Inside";#N/A,#N/A,TRUE,"Contents";#N/A,#N/A,TRUE,"Basis";#N/A,#N/A,TRUE,"Inclusions";#N/A,#N/A,TRUE,"Exclusions";#N/A,#N/A,TRUE,"Areas";#N/A,#N/A,TRUE,"Summary";#N/A,#N/A,TRUE,"Detail"}</definedName>
    <definedName name="ppit" hidden="1">{#N/A,#N/A,TRUE,"Front";#N/A,#N/A,TRUE,"Simple Letter";#N/A,#N/A,TRUE,"Inside";#N/A,#N/A,TRUE,"Contents";#N/A,#N/A,TRUE,"Basis";#N/A,#N/A,TRUE,"Inclusions";#N/A,#N/A,TRUE,"Exclusions";#N/A,#N/A,TRUE,"Areas";#N/A,#N/A,TRUE,"Summary";#N/A,#N/A,TRUE,"Detail"}</definedName>
    <definedName name="ppl" localSheetId="2" hidden="1">{#N/A,#N/A,FALSE,"gc (2)"}</definedName>
    <definedName name="ppl" hidden="1">{#N/A,#N/A,FALSE,"gc (2)"}</definedName>
    <definedName name="prelimnaries" localSheetId="2" hidden="1">{#N/A,#N/A,TRUE,"Front";#N/A,#N/A,TRUE,"Simple Letter";#N/A,#N/A,TRUE,"Inside";#N/A,#N/A,TRUE,"Contents";#N/A,#N/A,TRUE,"Basis";#N/A,#N/A,TRUE,"Inclusions";#N/A,#N/A,TRUE,"Exclusions";#N/A,#N/A,TRUE,"Areas";#N/A,#N/A,TRUE,"Summary";#N/A,#N/A,TRUE,"Detail"}</definedName>
    <definedName name="prelimnaries" hidden="1">{#N/A,#N/A,TRUE,"Front";#N/A,#N/A,TRUE,"Simple Letter";#N/A,#N/A,TRUE,"Inside";#N/A,#N/A,TRUE,"Contents";#N/A,#N/A,TRUE,"Basis";#N/A,#N/A,TRUE,"Inclusions";#N/A,#N/A,TRUE,"Exclusions";#N/A,#N/A,TRUE,"Areas";#N/A,#N/A,TRUE,"Summary";#N/A,#N/A,TRUE,"Detail"}</definedName>
    <definedName name="_xlnm.Print_Area" localSheetId="1">'ELEC '!$A$1:$M$460</definedName>
    <definedName name="_xlnm.Print_Area" localSheetId="0">'ELEC-SUMM '!$A$1:$F$23</definedName>
    <definedName name="ProdForm" hidden="1">#REF!</definedName>
    <definedName name="Product" hidden="1">#REF!</definedName>
    <definedName name="PUB_FileID" hidden="1">"L10003363.xls"</definedName>
    <definedName name="PUB_UserID" hidden="1">"MAYERX"</definedName>
    <definedName name="q" hidden="1">#REF!</definedName>
    <definedName name="qd" hidden="1">#REF!</definedName>
    <definedName name="qqq" localSheetId="2" hidden="1">{#N/A,#N/A,TRUE,"Projektierung";#N/A,#N/A,TRUE,"Grundgerät";#N/A,#N/A,TRUE,"Baugruppen"}</definedName>
    <definedName name="qqq" hidden="1">{#N/A,#N/A,TRUE,"Projektierung";#N/A,#N/A,TRUE,"Grundgerät";#N/A,#N/A,TRUE,"Baugruppen"}</definedName>
    <definedName name="QQQQQ" hidden="1">#N/A</definedName>
    <definedName name="qttty" localSheetId="2" hidden="1">{#N/A,#N/A,TRUE,"Front";#N/A,#N/A,TRUE,"Simple Letter";#N/A,#N/A,TRUE,"Inside";#N/A,#N/A,TRUE,"Contents";#N/A,#N/A,TRUE,"Basis";#N/A,#N/A,TRUE,"Inclusions";#N/A,#N/A,TRUE,"Exclusions";#N/A,#N/A,TRUE,"Areas";#N/A,#N/A,TRUE,"Summary";#N/A,#N/A,TRUE,"Detail"}</definedName>
    <definedName name="qttty" hidden="1">{#N/A,#N/A,TRUE,"Front";#N/A,#N/A,TRUE,"Simple Letter";#N/A,#N/A,TRUE,"Inside";#N/A,#N/A,TRUE,"Contents";#N/A,#N/A,TRUE,"Basis";#N/A,#N/A,TRUE,"Inclusions";#N/A,#N/A,TRUE,"Exclusions";#N/A,#N/A,TRUE,"Areas";#N/A,#N/A,TRUE,"Summary";#N/A,#N/A,TRUE,"Detail"}</definedName>
    <definedName name="qw" localSheetId="2" hidden="1">{#N/A,#N/A,FALSE,"Fund-II"}</definedName>
    <definedName name="qw" hidden="1">{#N/A,#N/A,FALSE,"Fund-II"}</definedName>
    <definedName name="qwe" localSheetId="2" hidden="1">{#N/A,#N/A,TRUE,"Front";#N/A,#N/A,TRUE,"Simple Letter";#N/A,#N/A,TRUE,"Inside";#N/A,#N/A,TRUE,"Contents";#N/A,#N/A,TRUE,"Basis";#N/A,#N/A,TRUE,"Inclusions";#N/A,#N/A,TRUE,"Exclusions";#N/A,#N/A,TRUE,"Areas";#N/A,#N/A,TRUE,"Summary";#N/A,#N/A,TRUE,"Detail"}</definedName>
    <definedName name="qwe" hidden="1">{#N/A,#N/A,TRUE,"Front";#N/A,#N/A,TRUE,"Simple Letter";#N/A,#N/A,TRUE,"Inside";#N/A,#N/A,TRUE,"Contents";#N/A,#N/A,TRUE,"Basis";#N/A,#N/A,TRUE,"Inclusions";#N/A,#N/A,TRUE,"Exclusions";#N/A,#N/A,TRUE,"Areas";#N/A,#N/A,TRUE,"Summary";#N/A,#N/A,TRUE,"Detail"}</definedName>
    <definedName name="qwertyu" localSheetId="2" hidden="1">{#N/A,#N/A,TRUE,"Front";#N/A,#N/A,TRUE,"Simple Letter";#N/A,#N/A,TRUE,"Inside";#N/A,#N/A,TRUE,"Contents";#N/A,#N/A,TRUE,"Basis";#N/A,#N/A,TRUE,"Inclusions";#N/A,#N/A,TRUE,"Exclusions";#N/A,#N/A,TRUE,"Areas";#N/A,#N/A,TRUE,"Summary";#N/A,#N/A,TRUE,"Detail"}</definedName>
    <definedName name="qwertyu" hidden="1">{#N/A,#N/A,TRUE,"Front";#N/A,#N/A,TRUE,"Simple Letter";#N/A,#N/A,TRUE,"Inside";#N/A,#N/A,TRUE,"Contents";#N/A,#N/A,TRUE,"Basis";#N/A,#N/A,TRUE,"Inclusions";#N/A,#N/A,TRUE,"Exclusions";#N/A,#N/A,TRUE,"Areas";#N/A,#N/A,TRUE,"Summary";#N/A,#N/A,TRUE,"Detail"}</definedName>
    <definedName name="RA" localSheetId="2" hidden="1">{#N/A,#N/A,TRUE,"Front";#N/A,#N/A,TRUE,"Simple Letter";#N/A,#N/A,TRUE,"Inside";#N/A,#N/A,TRUE,"Contents";#N/A,#N/A,TRUE,"Basis";#N/A,#N/A,TRUE,"Inclusions";#N/A,#N/A,TRUE,"Exclusions";#N/A,#N/A,TRUE,"Areas";#N/A,#N/A,TRUE,"Summary";#N/A,#N/A,TRUE,"Detail"}</definedName>
    <definedName name="RA" hidden="1">{#N/A,#N/A,TRUE,"Front";#N/A,#N/A,TRUE,"Simple Letter";#N/A,#N/A,TRUE,"Inside";#N/A,#N/A,TRUE,"Contents";#N/A,#N/A,TRUE,"Basis";#N/A,#N/A,TRUE,"Inclusions";#N/A,#N/A,TRUE,"Exclusions";#N/A,#N/A,TRUE,"Areas";#N/A,#N/A,TRUE,"Summary";#N/A,#N/A,TRUE,"Detail"}</definedName>
    <definedName name="RA.Quo" hidden="1">#REF!</definedName>
    <definedName name="RA_1" localSheetId="2" hidden="1">{#N/A,#N/A,TRUE,"Front";#N/A,#N/A,TRUE,"Simple Letter";#N/A,#N/A,TRUE,"Inside";#N/A,#N/A,TRUE,"Contents";#N/A,#N/A,TRUE,"Basis";#N/A,#N/A,TRUE,"Inclusions";#N/A,#N/A,TRUE,"Exclusions";#N/A,#N/A,TRUE,"Areas";#N/A,#N/A,TRUE,"Summary";#N/A,#N/A,TRUE,"Detail"}</definedName>
    <definedName name="RA_1" hidden="1">{#N/A,#N/A,TRUE,"Front";#N/A,#N/A,TRUE,"Simple Letter";#N/A,#N/A,TRUE,"Inside";#N/A,#N/A,TRUE,"Contents";#N/A,#N/A,TRUE,"Basis";#N/A,#N/A,TRUE,"Inclusions";#N/A,#N/A,TRUE,"Exclusions";#N/A,#N/A,TRUE,"Areas";#N/A,#N/A,TRUE,"Summary";#N/A,#N/A,TRUE,"Detail"}</definedName>
    <definedName name="raff" localSheetId="2" hidden="1">{#N/A,#N/A,FALSE,"Fund-II"}</definedName>
    <definedName name="raff" hidden="1">{#N/A,#N/A,FALSE,"Fund-II"}</definedName>
    <definedName name="Raj" localSheetId="2" hidden="1">{"'Sheet1'!$A$4386:$N$4591"}</definedName>
    <definedName name="Raj" hidden="1">{"'Sheet1'!$A$4386:$N$4591"}</definedName>
    <definedName name="RATHAN" localSheetId="2" hidden="1">{#N/A,#N/A,TRUE,"Front";#N/A,#N/A,TRUE,"Simple Letter";#N/A,#N/A,TRUE,"Inside";#N/A,#N/A,TRUE,"Contents";#N/A,#N/A,TRUE,"Basis";#N/A,#N/A,TRUE,"Inclusions";#N/A,#N/A,TRUE,"Exclusions";#N/A,#N/A,TRUE,"Areas";#N/A,#N/A,TRUE,"Summary";#N/A,#N/A,TRUE,"Detail"}</definedName>
    <definedName name="RATHAN" hidden="1">{#N/A,#N/A,TRUE,"Front";#N/A,#N/A,TRUE,"Simple Letter";#N/A,#N/A,TRUE,"Inside";#N/A,#N/A,TRUE,"Contents";#N/A,#N/A,TRUE,"Basis";#N/A,#N/A,TRUE,"Inclusions";#N/A,#N/A,TRUE,"Exclusions";#N/A,#N/A,TRUE,"Areas";#N/A,#N/A,TRUE,"Summary";#N/A,#N/A,TRUE,"Detail"}</definedName>
    <definedName name="RAUL" localSheetId="2" hidden="1">{#N/A,#N/A,TRUE,"Front";#N/A,#N/A,TRUE,"Simple Letter";#N/A,#N/A,TRUE,"Inside";#N/A,#N/A,TRUE,"Contents";#N/A,#N/A,TRUE,"Basis";#N/A,#N/A,TRUE,"Inclusions";#N/A,#N/A,TRUE,"Exclusions";#N/A,#N/A,TRUE,"Areas";#N/A,#N/A,TRUE,"Summary";#N/A,#N/A,TRUE,"Detail"}</definedName>
    <definedName name="RAUL" hidden="1">{#N/A,#N/A,TRUE,"Front";#N/A,#N/A,TRUE,"Simple Letter";#N/A,#N/A,TRUE,"Inside";#N/A,#N/A,TRUE,"Contents";#N/A,#N/A,TRUE,"Basis";#N/A,#N/A,TRUE,"Inclusions";#N/A,#N/A,TRUE,"Exclusions";#N/A,#N/A,TRUE,"Areas";#N/A,#N/A,TRUE,"Summary";#N/A,#N/A,TRUE,"Detail"}</definedName>
    <definedName name="ravi" hidden="1">{#N/A,#N/A,TRUE,"Front";#N/A,#N/A,TRUE,"Simple Letter";#N/A,#N/A,TRUE,"Inside";#N/A,#N/A,TRUE,"Contents";#N/A,#N/A,TRUE,"Basis";#N/A,#N/A,TRUE,"Inclusions";#N/A,#N/A,TRUE,"Exclusions";#N/A,#N/A,TRUE,"Areas";#N/A,#N/A,TRUE,"Summary";#N/A,#N/A,TRUE,"Detail"}</definedName>
    <definedName name="RCArea" hidden="1">#REF!</definedName>
    <definedName name="rdhherjtjtrjtr" localSheetId="2" hidden="1">{#N/A,#N/A,TRUE,"Front";#N/A,#N/A,TRUE,"Simple Letter";#N/A,#N/A,TRUE,"Inside";#N/A,#N/A,TRUE,"Contents";#N/A,#N/A,TRUE,"Basis";#N/A,#N/A,TRUE,"Inclusions";#N/A,#N/A,TRUE,"Exclusions";#N/A,#N/A,TRUE,"Areas";#N/A,#N/A,TRUE,"Summary";#N/A,#N/A,TRUE,"Detail"}</definedName>
    <definedName name="rdhherjtjtrjtr" hidden="1">{#N/A,#N/A,TRUE,"Front";#N/A,#N/A,TRUE,"Simple Letter";#N/A,#N/A,TRUE,"Inside";#N/A,#N/A,TRUE,"Contents";#N/A,#N/A,TRUE,"Basis";#N/A,#N/A,TRUE,"Inclusions";#N/A,#N/A,TRUE,"Exclusions";#N/A,#N/A,TRUE,"Areas";#N/A,#N/A,TRUE,"Summary";#N/A,#N/A,TRUE,"Detail"}</definedName>
    <definedName name="RDN" localSheetId="2" hidden="1">{#N/A,#N/A,FALSE,"COVER.XLS";#N/A,#N/A,FALSE,"RACT1.XLS";#N/A,#N/A,FALSE,"RACT2.XLS";#N/A,#N/A,FALSE,"ECCMP";#N/A,#N/A,FALSE,"WELDER.XLS"}</definedName>
    <definedName name="RDN" hidden="1">{#N/A,#N/A,FALSE,"COVER.XLS";#N/A,#N/A,FALSE,"RACT1.XLS";#N/A,#N/A,FALSE,"RACT2.XLS";#N/A,#N/A,FALSE,"ECCMP";#N/A,#N/A,FALSE,"WELDER.XLS"}</definedName>
    <definedName name="reconequip" localSheetId="2" hidden="1">{#N/A,#N/A,TRUE,"Front";#N/A,#N/A,TRUE,"Simple Letter";#N/A,#N/A,TRUE,"Inside";#N/A,#N/A,TRUE,"Contents";#N/A,#N/A,TRUE,"Basis";#N/A,#N/A,TRUE,"Inclusions";#N/A,#N/A,TRUE,"Exclusions";#N/A,#N/A,TRUE,"Areas";#N/A,#N/A,TRUE,"Summary";#N/A,#N/A,TRUE,"Detail"}</definedName>
    <definedName name="reconequip" hidden="1">{#N/A,#N/A,TRUE,"Front";#N/A,#N/A,TRUE,"Simple Letter";#N/A,#N/A,TRUE,"Inside";#N/A,#N/A,TRUE,"Contents";#N/A,#N/A,TRUE,"Basis";#N/A,#N/A,TRUE,"Inclusions";#N/A,#N/A,TRUE,"Exclusions";#N/A,#N/A,TRUE,"Areas";#N/A,#N/A,TRUE,"Summary";#N/A,#N/A,TRUE,"Detail"}</definedName>
    <definedName name="ree" localSheetId="2" hidden="1">{#N/A,#N/A,FALSE,"PSU"}</definedName>
    <definedName name="ree" hidden="1">{#N/A,#N/A,FALSE,"PSU"}</definedName>
    <definedName name="Regional" localSheetId="2" hidden="1">{#N/A,#N/A,FALSE,"mgtsum.XLS";#N/A,#N/A,FALSE,"CAPONE";#N/A,#N/A,FALSE,"CAPTWO";#N/A,#N/A,FALSE,"CAPTHREE"}</definedName>
    <definedName name="Regional" hidden="1">{#N/A,#N/A,FALSE,"mgtsum.XLS";#N/A,#N/A,FALSE,"CAPONE";#N/A,#N/A,FALSE,"CAPTWO";#N/A,#N/A,FALSE,"CAPTHREE"}</definedName>
    <definedName name="rename" localSheetId="2" hidden="1">{#N/A,#N/A,TRUE,"Front";#N/A,#N/A,TRUE,"Simple Letter";#N/A,#N/A,TRUE,"Inside";#N/A,#N/A,TRUE,"Contents";#N/A,#N/A,TRUE,"Basis";#N/A,#N/A,TRUE,"Inclusions";#N/A,#N/A,TRUE,"Exclusions";#N/A,#N/A,TRUE,"Areas";#N/A,#N/A,TRUE,"Summary";#N/A,#N/A,TRUE,"Detail"}</definedName>
    <definedName name="rename" hidden="1">{#N/A,#N/A,TRUE,"Front";#N/A,#N/A,TRUE,"Simple Letter";#N/A,#N/A,TRUE,"Inside";#N/A,#N/A,TRUE,"Contents";#N/A,#N/A,TRUE,"Basis";#N/A,#N/A,TRUE,"Inclusions";#N/A,#N/A,TRUE,"Exclusions";#N/A,#N/A,TRUE,"Areas";#N/A,#N/A,TRUE,"Summary";#N/A,#N/A,TRUE,"Detail"}</definedName>
    <definedName name="report2" localSheetId="2" hidden="1">{#N/A,#N/A,TRUE,"Front";#N/A,#N/A,TRUE,"Simple Letter";#N/A,#N/A,TRUE,"Inside";#N/A,#N/A,TRUE,"Contents";#N/A,#N/A,TRUE,"Basis";#N/A,#N/A,TRUE,"Inclusions";#N/A,#N/A,TRUE,"Exclusions";#N/A,#N/A,TRUE,"Areas";#N/A,#N/A,TRUE,"Summary";#N/A,#N/A,TRUE,"Detail"}</definedName>
    <definedName name="report2" hidden="1">{#N/A,#N/A,TRUE,"Front";#N/A,#N/A,TRUE,"Simple Letter";#N/A,#N/A,TRUE,"Inside";#N/A,#N/A,TRUE,"Contents";#N/A,#N/A,TRUE,"Basis";#N/A,#N/A,TRUE,"Inclusions";#N/A,#N/A,TRUE,"Exclusions";#N/A,#N/A,TRUE,"Areas";#N/A,#N/A,TRUE,"Summary";#N/A,#N/A,TRUE,"Detail"}</definedName>
    <definedName name="res_sum" localSheetId="2" hidden="1">{#N/A,#N/A,FALSE,"COVER1.XLS ";#N/A,#N/A,FALSE,"RACT1.XLS";#N/A,#N/A,FALSE,"RACT2.XLS";#N/A,#N/A,FALSE,"ECCMP";#N/A,#N/A,FALSE,"WELDER.XLS"}</definedName>
    <definedName name="res_sum" hidden="1">{#N/A,#N/A,FALSE,"COVER1.XLS ";#N/A,#N/A,FALSE,"RACT1.XLS";#N/A,#N/A,FALSE,"RACT2.XLS";#N/A,#N/A,FALSE,"ECCMP";#N/A,#N/A,FALSE,"WELDER.XLS"}</definedName>
    <definedName name="retetrt" localSheetId="2" hidden="1">{#N/A,#N/A,TRUE,"Front";#N/A,#N/A,TRUE,"Simple Letter";#N/A,#N/A,TRUE,"Inside";#N/A,#N/A,TRUE,"Contents";#N/A,#N/A,TRUE,"Basis";#N/A,#N/A,TRUE,"Inclusions";#N/A,#N/A,TRUE,"Exclusions";#N/A,#N/A,TRUE,"Areas";#N/A,#N/A,TRUE,"Summary";#N/A,#N/A,TRUE,"Detail"}</definedName>
    <definedName name="retetrt" hidden="1">{#N/A,#N/A,TRUE,"Front";#N/A,#N/A,TRUE,"Simple Letter";#N/A,#N/A,TRUE,"Inside";#N/A,#N/A,TRUE,"Contents";#N/A,#N/A,TRUE,"Basis";#N/A,#N/A,TRUE,"Inclusions";#N/A,#N/A,TRUE,"Exclusions";#N/A,#N/A,TRUE,"Areas";#N/A,#N/A,TRUE,"Summary";#N/A,#N/A,TRUE,"Detail"}</definedName>
    <definedName name="reu" localSheetId="2" hidden="1">{#N/A,#N/A,FALSE,"gc (2)"}</definedName>
    <definedName name="reu" hidden="1">{#N/A,#N/A,FALSE,"gc (2)"}</definedName>
    <definedName name="reuse" localSheetId="2" hidden="1">{#N/A,#N/A,FALSE,"mgtsum.XLS";#N/A,#N/A,FALSE,"CAPONE";#N/A,#N/A,FALSE,"CAPTWO";#N/A,#N/A,FALSE,"CAPTHREE"}</definedName>
    <definedName name="reuse" hidden="1">{#N/A,#N/A,FALSE,"mgtsum.XLS";#N/A,#N/A,FALSE,"CAPONE";#N/A,#N/A,FALSE,"CAPTWO";#N/A,#N/A,FALSE,"CAPTHREE"}</definedName>
    <definedName name="reya" localSheetId="2" hidden="1">{"office ltcg",#N/A,FALSE,"gain01";"IT LTCG",#N/A,FALSE,"gain01"}</definedName>
    <definedName name="reya" hidden="1">{"office ltcg",#N/A,FALSE,"gain01";"IT LTCG",#N/A,FALSE,"gain01"}</definedName>
    <definedName name="ripal" localSheetId="2" hidden="1">{#N/A,#N/A,FALSE,"gc (2)"}</definedName>
    <definedName name="ripal" hidden="1">{#N/A,#N/A,FALSE,"gc (2)"}</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TRUE</definedName>
    <definedName name="RiskMultipleCPUSupportEnabled" hidden="1">TRUE</definedName>
    <definedName name="RiskNumIterations" hidden="1">-1</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2</definedName>
    <definedName name="RiskUpdateDisplay" hidden="1">TRUE</definedName>
    <definedName name="RiskUseDifferentSeedForEachSim" hidden="1">FALSE</definedName>
    <definedName name="RiskUseFixedSeed" hidden="1">FALSE</definedName>
    <definedName name="RiskUseMultipleCPUs" hidden="1">TRUE</definedName>
    <definedName name="rmr" hidden="1">{#N/A,#N/A,TRUE,"Front";#N/A,#N/A,TRUE,"Simple Letter";#N/A,#N/A,TRUE,"Inside";#N/A,#N/A,TRUE,"Contents";#N/A,#N/A,TRUE,"Basis";#N/A,#N/A,TRUE,"Inclusions";#N/A,#N/A,TRUE,"Exclusions";#N/A,#N/A,TRUE,"Areas";#N/A,#N/A,TRUE,"Summary";#N/A,#N/A,TRUE,"Detail"}</definedName>
    <definedName name="rsdec" localSheetId="2" hidden="1">{#N/A,#N/A,TRUE,"Front";#N/A,#N/A,TRUE,"Simple Letter";#N/A,#N/A,TRUE,"Inside";#N/A,#N/A,TRUE,"Contents";#N/A,#N/A,TRUE,"Basis";#N/A,#N/A,TRUE,"Inclusions";#N/A,#N/A,TRUE,"Exclusions";#N/A,#N/A,TRUE,"Areas";#N/A,#N/A,TRUE,"Summary";#N/A,#N/A,TRUE,"Detail"}</definedName>
    <definedName name="rsdec" hidden="1">{#N/A,#N/A,TRUE,"Front";#N/A,#N/A,TRUE,"Simple Letter";#N/A,#N/A,TRUE,"Inside";#N/A,#N/A,TRUE,"Contents";#N/A,#N/A,TRUE,"Basis";#N/A,#N/A,TRUE,"Inclusions";#N/A,#N/A,TRUE,"Exclusions";#N/A,#N/A,TRUE,"Areas";#N/A,#N/A,TRUE,"Summary";#N/A,#N/A,TRUE,"Detail"}</definedName>
    <definedName name="rtg" localSheetId="2" hidden="1">{#N/A,#N/A,TRUE,"Front";#N/A,#N/A,TRUE,"Simple Letter";#N/A,#N/A,TRUE,"Inside";#N/A,#N/A,TRUE,"Contents";#N/A,#N/A,TRUE,"Basis";#N/A,#N/A,TRUE,"Inclusions";#N/A,#N/A,TRUE,"Exclusions";#N/A,#N/A,TRUE,"Areas";#N/A,#N/A,TRUE,"Summary";#N/A,#N/A,TRUE,"Detail"}</definedName>
    <definedName name="rtg" hidden="1">{#N/A,#N/A,TRUE,"Front";#N/A,#N/A,TRUE,"Simple Letter";#N/A,#N/A,TRUE,"Inside";#N/A,#N/A,TRUE,"Contents";#N/A,#N/A,TRUE,"Basis";#N/A,#N/A,TRUE,"Inclusions";#N/A,#N/A,TRUE,"Exclusions";#N/A,#N/A,TRUE,"Areas";#N/A,#N/A,TRUE,"Summary";#N/A,#N/A,TRUE,"Detail"}</definedName>
    <definedName name="rtrr" localSheetId="2" hidden="1">{#N/A,#N/A,TRUE,"Front";#N/A,#N/A,TRUE,"Simple Letter";#N/A,#N/A,TRUE,"Inside";#N/A,#N/A,TRUE,"Contents";#N/A,#N/A,TRUE,"Basis";#N/A,#N/A,TRUE,"Inclusions";#N/A,#N/A,TRUE,"Exclusions";#N/A,#N/A,TRUE,"Areas";#N/A,#N/A,TRUE,"Summary";#N/A,#N/A,TRUE,"Detail"}</definedName>
    <definedName name="rtrr" hidden="1">{#N/A,#N/A,TRUE,"Front";#N/A,#N/A,TRUE,"Simple Letter";#N/A,#N/A,TRUE,"Inside";#N/A,#N/A,TRUE,"Contents";#N/A,#N/A,TRUE,"Basis";#N/A,#N/A,TRUE,"Inclusions";#N/A,#N/A,TRUE,"Exclusions";#N/A,#N/A,TRUE,"Areas";#N/A,#N/A,TRUE,"Summary";#N/A,#N/A,TRUE,"Detail"}</definedName>
    <definedName name="rtrt" localSheetId="2" hidden="1">{#N/A,#N/A,TRUE,"Front";#N/A,#N/A,TRUE,"Simple Letter";#N/A,#N/A,TRUE,"Inside";#N/A,#N/A,TRUE,"Contents";#N/A,#N/A,TRUE,"Basis";#N/A,#N/A,TRUE,"Inclusions";#N/A,#N/A,TRUE,"Exclusions";#N/A,#N/A,TRUE,"Areas";#N/A,#N/A,TRUE,"Summary";#N/A,#N/A,TRUE,"Detail"}</definedName>
    <definedName name="rtrt" hidden="1">{#N/A,#N/A,TRUE,"Front";#N/A,#N/A,TRUE,"Simple Letter";#N/A,#N/A,TRUE,"Inside";#N/A,#N/A,TRUE,"Contents";#N/A,#N/A,TRUE,"Basis";#N/A,#N/A,TRUE,"Inclusions";#N/A,#N/A,TRUE,"Exclusions";#N/A,#N/A,TRUE,"Areas";#N/A,#N/A,TRUE,"Summary";#N/A,#N/A,TRUE,"Detail"}</definedName>
    <definedName name="RTTRTRTR"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ule" hidden="1">#REF!</definedName>
    <definedName name="rwere" localSheetId="2" hidden="1">{#N/A,#N/A,FALSE,"COVER1.XLS ";#N/A,#N/A,FALSE,"RACT1.XLS";#N/A,#N/A,FALSE,"RACT2.XLS";#N/A,#N/A,FALSE,"ECCMP";#N/A,#N/A,FALSE,"WELDER.XLS"}</definedName>
    <definedName name="rwere" hidden="1">{#N/A,#N/A,FALSE,"COVER1.XLS ";#N/A,#N/A,FALSE,"RACT1.XLS";#N/A,#N/A,FALSE,"RACT2.XLS";#N/A,#N/A,FALSE,"ECCMP";#N/A,#N/A,FALSE,"WELDER.XLS"}</definedName>
    <definedName name="sadfdasf" hidden="1">#REF!</definedName>
    <definedName name="SAFSF" localSheetId="2" hidden="1">{#N/A,#N/A,FALSE,"mgtsum.XLS";#N/A,#N/A,FALSE,"CAPONE";#N/A,#N/A,FALSE,"CAPTWO";#N/A,#N/A,FALSE,"CAPTHREE"}</definedName>
    <definedName name="SAFSF" hidden="1">{#N/A,#N/A,FALSE,"mgtsum.XLS";#N/A,#N/A,FALSE,"CAPONE";#N/A,#N/A,FALSE,"CAPTWO";#N/A,#N/A,FALSE,"CAPTHREE"}</definedName>
    <definedName name="sagdhag" localSheetId="2" hidden="1">{#N/A,#N/A,FALSE,"COVER1.XLS ";#N/A,#N/A,FALSE,"RACT1.XLS";#N/A,#N/A,FALSE,"RACT2.XLS";#N/A,#N/A,FALSE,"ECCMP";#N/A,#N/A,FALSE,"WELDER.XLS"}</definedName>
    <definedName name="sagdhag" hidden="1">{#N/A,#N/A,FALSE,"COVER1.XLS ";#N/A,#N/A,FALSE,"RACT1.XLS";#N/A,#N/A,FALSE,"RACT2.XLS";#N/A,#N/A,FALSE,"ECCMP";#N/A,#N/A,FALSE,"WELDER.XLS"}</definedName>
    <definedName name="sanju" localSheetId="2" hidden="1">{"office ltcg",#N/A,FALSE,"gain01";"IT LTCG",#N/A,FALSE,"gain01"}</definedName>
    <definedName name="sanju" hidden="1">{"office ltcg",#N/A,FALSE,"gain01";"IT LTCG",#N/A,FALSE,"gain01"}</definedName>
    <definedName name="SAPBEXrevision" hidden="1">3</definedName>
    <definedName name="SAPBEXsysID" hidden="1">"B2P"</definedName>
    <definedName name="SAPBEXwbID" hidden="1">"9AZDQ7N19SPMY2O3UTHJ159PW"</definedName>
    <definedName name="Saski" localSheetId="2" hidden="1">{"COM",#N/A,FALSE,"800 10th"}</definedName>
    <definedName name="Saski" hidden="1">{"COM",#N/A,FALSE,"800 10th"}</definedName>
    <definedName name="Scorecard" localSheetId="2" hidden="1">{"COM",#N/A,FALSE,"800 10th"}</definedName>
    <definedName name="Scorecard" hidden="1">{"COM",#N/A,FALSE,"800 10th"}</definedName>
    <definedName name="SCREED" hidden="1">{#N/A,#N/A,TRUE,"Front";#N/A,#N/A,TRUE,"Simple Letter";#N/A,#N/A,TRUE,"Inside";#N/A,#N/A,TRUE,"Contents";#N/A,#N/A,TRUE,"Basis";#N/A,#N/A,TRUE,"Inclusions";#N/A,#N/A,TRUE,"Exclusions";#N/A,#N/A,TRUE,"Areas";#N/A,#N/A,TRUE,"Summary";#N/A,#N/A,TRUE,"Detail"}</definedName>
    <definedName name="sdad" hidden="1">#N/A</definedName>
    <definedName name="SDAF" localSheetId="2" hidden="1">{#N/A,#N/A,FALSE,"mgtsum.XLS";#N/A,#N/A,FALSE,"CAPONE";#N/A,#N/A,FALSE,"CAPTWO";#N/A,#N/A,FALSE,"CAPTHREE"}</definedName>
    <definedName name="SDAF" hidden="1">{#N/A,#N/A,FALSE,"mgtsum.XLS";#N/A,#N/A,FALSE,"CAPONE";#N/A,#N/A,FALSE,"CAPTWO";#N/A,#N/A,FALSE,"CAPTHREE"}</definedName>
    <definedName name="sdd" localSheetId="2" hidden="1">{#N/A,#N/A,TRUE,"Front";#N/A,#N/A,TRUE,"Simple Letter";#N/A,#N/A,TRUE,"Inside";#N/A,#N/A,TRUE,"Contents";#N/A,#N/A,TRUE,"Basis";#N/A,#N/A,TRUE,"Inclusions";#N/A,#N/A,TRUE,"Exclusions";#N/A,#N/A,TRUE,"Areas";#N/A,#N/A,TRUE,"Summary";#N/A,#N/A,TRUE,"Detail"}</definedName>
    <definedName name="sdd" hidden="1">{#N/A,#N/A,TRUE,"Front";#N/A,#N/A,TRUE,"Simple Letter";#N/A,#N/A,TRUE,"Inside";#N/A,#N/A,TRUE,"Contents";#N/A,#N/A,TRUE,"Basis";#N/A,#N/A,TRUE,"Inclusions";#N/A,#N/A,TRUE,"Exclusions";#N/A,#N/A,TRUE,"Areas";#N/A,#N/A,TRUE,"Summary";#N/A,#N/A,TRUE,"Detail"}</definedName>
    <definedName name="sdfd" localSheetId="2" hidden="1">{#N/A,#N/A,TRUE,"Projektierung";#N/A,#N/A,TRUE,"Grundgerät";#N/A,#N/A,TRUE,"Baugruppen"}</definedName>
    <definedName name="sdfd" hidden="1">{#N/A,#N/A,TRUE,"Projektierung";#N/A,#N/A,TRUE,"Grundgerät";#N/A,#N/A,TRUE,"Baugruppen"}</definedName>
    <definedName name="sds" hidden="1">#REF!</definedName>
    <definedName name="sdsdsds" localSheetId="2" hidden="1">{#N/A,#N/A,TRUE,"Front";#N/A,#N/A,TRUE,"Simple Letter";#N/A,#N/A,TRUE,"Inside";#N/A,#N/A,TRUE,"Contents";#N/A,#N/A,TRUE,"Basis";#N/A,#N/A,TRUE,"Inclusions";#N/A,#N/A,TRUE,"Exclusions";#N/A,#N/A,TRUE,"Areas";#N/A,#N/A,TRUE,"Summary";#N/A,#N/A,TRUE,"Detail"}</definedName>
    <definedName name="sdsdsds" hidden="1">{#N/A,#N/A,TRUE,"Front";#N/A,#N/A,TRUE,"Simple Letter";#N/A,#N/A,TRUE,"Inside";#N/A,#N/A,TRUE,"Contents";#N/A,#N/A,TRUE,"Basis";#N/A,#N/A,TRUE,"Inclusions";#N/A,#N/A,TRUE,"Exclusions";#N/A,#N/A,TRUE,"Areas";#N/A,#N/A,TRUE,"Summary";#N/A,#N/A,TRUE,"Detail"}</definedName>
    <definedName name="sencount" hidden="1">1</definedName>
    <definedName name="sfdgfd" hidden="1">#REF!</definedName>
    <definedName name="sgrg" hidden="1">#REF!</definedName>
    <definedName name="Sheet2" localSheetId="2" hidden="1">{#N/A,#N/A,TRUE,"Front";#N/A,#N/A,TRUE,"Simple Letter";#N/A,#N/A,TRUE,"Inside";#N/A,#N/A,TRUE,"Contents";#N/A,#N/A,TRUE,"Basis";#N/A,#N/A,TRUE,"Inclusions";#N/A,#N/A,TRUE,"Exclusions";#N/A,#N/A,TRUE,"Areas";#N/A,#N/A,TRUE,"Summary";#N/A,#N/A,TRUE,"Detail"}</definedName>
    <definedName name="Sheet2" hidden="1">{#N/A,#N/A,TRUE,"Front";#N/A,#N/A,TRUE,"Simple Letter";#N/A,#N/A,TRUE,"Inside";#N/A,#N/A,TRUE,"Contents";#N/A,#N/A,TRUE,"Basis";#N/A,#N/A,TRUE,"Inclusions";#N/A,#N/A,TRUE,"Exclusions";#N/A,#N/A,TRUE,"Areas";#N/A,#N/A,TRUE,"Summary";#N/A,#N/A,TRUE,"Detail"}</definedName>
    <definedName name="Sheet2_1" localSheetId="2" hidden="1">{#N/A,#N/A,TRUE,"Front";#N/A,#N/A,TRUE,"Simple Letter";#N/A,#N/A,TRUE,"Inside";#N/A,#N/A,TRUE,"Contents";#N/A,#N/A,TRUE,"Basis";#N/A,#N/A,TRUE,"Inclusions";#N/A,#N/A,TRUE,"Exclusions";#N/A,#N/A,TRUE,"Areas";#N/A,#N/A,TRUE,"Summary";#N/A,#N/A,TRUE,"Detail"}</definedName>
    <definedName name="Sheet2_1" hidden="1">{#N/A,#N/A,TRUE,"Front";#N/A,#N/A,TRUE,"Simple Letter";#N/A,#N/A,TRUE,"Inside";#N/A,#N/A,TRUE,"Contents";#N/A,#N/A,TRUE,"Basis";#N/A,#N/A,TRUE,"Inclusions";#N/A,#N/A,TRUE,"Exclusions";#N/A,#N/A,TRUE,"Areas";#N/A,#N/A,TRUE,"Summary";#N/A,#N/A,TRUE,"Detail"}</definedName>
    <definedName name="short" localSheetId="2" hidden="1">{#N/A,#N/A,FALSE,"COVER1.XLS ";#N/A,#N/A,FALSE,"RACT1.XLS";#N/A,#N/A,FALSE,"RACT2.XLS";#N/A,#N/A,FALSE,"ECCMP";#N/A,#N/A,FALSE,"WELDER.XLS"}</definedName>
    <definedName name="short" hidden="1">{#N/A,#N/A,FALSE,"COVER1.XLS ";#N/A,#N/A,FALSE,"RACT1.XLS";#N/A,#N/A,FALSE,"RACT2.XLS";#N/A,#N/A,FALSE,"ECCMP";#N/A,#N/A,FALSE,"WELDER.XLS"}</definedName>
    <definedName name="Show.Acct.Update.Warning" hidden="1">#REF!</definedName>
    <definedName name="Show.MDB.Update.Warning" hidden="1">#REF!</definedName>
    <definedName name="shuttering" localSheetId="2" hidden="1">{#N/A,#N/A,TRUE,"Front";#N/A,#N/A,TRUE,"Simple Letter";#N/A,#N/A,TRUE,"Inside";#N/A,#N/A,TRUE,"Contents";#N/A,#N/A,TRUE,"Basis";#N/A,#N/A,TRUE,"Inclusions";#N/A,#N/A,TRUE,"Exclusions";#N/A,#N/A,TRUE,"Areas";#N/A,#N/A,TRUE,"Summary";#N/A,#N/A,TRUE,"Detail"}</definedName>
    <definedName name="shuttering" hidden="1">{#N/A,#N/A,TRUE,"Front";#N/A,#N/A,TRUE,"Simple Letter";#N/A,#N/A,TRUE,"Inside";#N/A,#N/A,TRUE,"Contents";#N/A,#N/A,TRUE,"Basis";#N/A,#N/A,TRUE,"Inclusions";#N/A,#N/A,TRUE,"Exclusions";#N/A,#N/A,TRUE,"Areas";#N/A,#N/A,TRUE,"Summary";#N/A,#N/A,TRUE,"Detail"}</definedName>
    <definedName name="Sjdg" hidden="1">{#N/A,#N/A,TRUE,"Front";#N/A,#N/A,TRUE,"Simple Letter";#N/A,#N/A,TRUE,"Inside";#N/A,#N/A,TRUE,"Contents";#N/A,#N/A,TRUE,"Basis";#N/A,#N/A,TRUE,"Inclusions";#N/A,#N/A,TRUE,"Exclusions";#N/A,#N/A,TRUE,"Areas";#N/A,#N/A,TRUE,"Summary";#N/A,#N/A,TRUE,"Detail"}</definedName>
    <definedName name="sk" localSheetId="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sk"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ska" localSheetId="2" hidden="1">{#N/A,#N/A,TRUE,"Front";#N/A,#N/A,TRUE,"Simple Letter";#N/A,#N/A,TRUE,"Inside";#N/A,#N/A,TRUE,"Contents";#N/A,#N/A,TRUE,"Basis";#N/A,#N/A,TRUE,"Inclusions";#N/A,#N/A,TRUE,"Exclusions";#N/A,#N/A,TRUE,"Areas";#N/A,#N/A,TRUE,"Summary";#N/A,#N/A,TRUE,"Detail"}</definedName>
    <definedName name="ska" hidden="1">{#N/A,#N/A,TRUE,"Front";#N/A,#N/A,TRUE,"Simple Letter";#N/A,#N/A,TRUE,"Inside";#N/A,#N/A,TRUE,"Contents";#N/A,#N/A,TRUE,"Basis";#N/A,#N/A,TRUE,"Inclusions";#N/A,#N/A,TRUE,"Exclusions";#N/A,#N/A,TRUE,"Areas";#N/A,#N/A,TRUE,"Summary";#N/A,#N/A,TRUE,"Detail"}</definedName>
    <definedName name="skq" localSheetId="2" hidden="1">{#N/A,#N/A,TRUE,"Front";#N/A,#N/A,TRUE,"Simple Letter";#N/A,#N/A,TRUE,"Inside";#N/A,#N/A,TRUE,"Contents";#N/A,#N/A,TRUE,"Basis";#N/A,#N/A,TRUE,"Inclusions";#N/A,#N/A,TRUE,"Exclusions";#N/A,#N/A,TRUE,"Areas";#N/A,#N/A,TRUE,"Summary";#N/A,#N/A,TRUE,"Detail"}</definedName>
    <definedName name="skq" hidden="1">{#N/A,#N/A,TRUE,"Front";#N/A,#N/A,TRUE,"Simple Letter";#N/A,#N/A,TRUE,"Inside";#N/A,#N/A,TRUE,"Contents";#N/A,#N/A,TRUE,"Basis";#N/A,#N/A,TRUE,"Inclusions";#N/A,#N/A,TRUE,"Exclusions";#N/A,#N/A,TRUE,"Areas";#N/A,#N/A,TRUE,"Summary";#N/A,#N/A,TRUE,"Detail"}</definedName>
    <definedName name="snj" localSheetId="2" hidden="1">{#N/A,#N/A,FALSE,"PSU"}</definedName>
    <definedName name="snj" hidden="1">{#N/A,#N/A,FALSE,"PSU"}</definedName>
    <definedName name="soasia" hidden="1">#REF!</definedName>
    <definedName name="soo" hidden="1">#REF!</definedName>
    <definedName name="SpecialPrice" hidden="1">#REF!</definedName>
    <definedName name="SRB" localSheetId="2" hidden="1">{"'Sheet1'!$A$4386:$N$4591"}</definedName>
    <definedName name="SRB" hidden="1">{"'Sheet1'!$A$4386:$N$4591"}</definedName>
    <definedName name="srgerherherhej" localSheetId="2" hidden="1">{#N/A,#N/A,TRUE,"Front";#N/A,#N/A,TRUE,"Simple Letter";#N/A,#N/A,TRUE,"Inside";#N/A,#N/A,TRUE,"Contents";#N/A,#N/A,TRUE,"Basis";#N/A,#N/A,TRUE,"Inclusions";#N/A,#N/A,TRUE,"Exclusions";#N/A,#N/A,TRUE,"Areas";#N/A,#N/A,TRUE,"Summary";#N/A,#N/A,TRUE,"Detail"}</definedName>
    <definedName name="srgerherherhej" hidden="1">{#N/A,#N/A,TRUE,"Front";#N/A,#N/A,TRUE,"Simple Letter";#N/A,#N/A,TRUE,"Inside";#N/A,#N/A,TRUE,"Contents";#N/A,#N/A,TRUE,"Basis";#N/A,#N/A,TRUE,"Inclusions";#N/A,#N/A,TRUE,"Exclusions";#N/A,#N/A,TRUE,"Areas";#N/A,#N/A,TRUE,"Summary";#N/A,#N/A,TRUE,"Detail"}</definedName>
    <definedName name="ssfdd" localSheetId="2" hidden="1">{#N/A,#N/A,TRUE,"Vergabe-Regeln";#N/A,#N/A,TRUE,"Baugruppen";#N/A,#N/A,TRUE,"Geräte";#N/A,#N/A,TRUE,"PC-Software";#N/A,#N/A,TRUE,"Software";#N/A,#N/A,TRUE,"SW-Reg";#N/A,#N/A,TRUE,"Dokumentation"}</definedName>
    <definedName name="ssfdd" hidden="1">{#N/A,#N/A,TRUE,"Vergabe-Regeln";#N/A,#N/A,TRUE,"Baugruppen";#N/A,#N/A,TRUE,"Geräte";#N/A,#N/A,TRUE,"PC-Software";#N/A,#N/A,TRUE,"Software";#N/A,#N/A,TRUE,"SW-Reg";#N/A,#N/A,TRUE,"Dokumentation"}</definedName>
    <definedName name="sssss" hidden="1">#REF!</definedName>
    <definedName name="SSWEWE" hidden="1">#REF!</definedName>
    <definedName name="stock02" localSheetId="2" hidden="1">{#N/A,#N/A,FALSE,"gc (2)"}</definedName>
    <definedName name="stock02" hidden="1">{#N/A,#N/A,FALSE,"gc (2)"}</definedName>
    <definedName name="Su" hidden="1">{#N/A,#N/A,TRUE,"Vergabe-Regeln";#N/A,#N/A,TRUE,"Baugruppen";#N/A,#N/A,TRUE,"Geräte";#N/A,#N/A,TRUE,"PC-Software";#N/A,#N/A,TRUE,"Software";#N/A,#N/A,TRUE,"SW-Reg";#N/A,#N/A,TRUE,"Dokumentation"}</definedName>
    <definedName name="subh" localSheetId="2" hidden="1">{#N/A,#N/A,TRUE,"Vergabe-Regeln";#N/A,#N/A,TRUE,"Baugruppen";#N/A,#N/A,TRUE,"Geräte";#N/A,#N/A,TRUE,"PC-Software";#N/A,#N/A,TRUE,"Software";#N/A,#N/A,TRUE,"SW-Reg";#N/A,#N/A,TRUE,"Dokumentation"}</definedName>
    <definedName name="subh" hidden="1">{#N/A,#N/A,TRUE,"Vergabe-Regeln";#N/A,#N/A,TRUE,"Baugruppen";#N/A,#N/A,TRUE,"Geräte";#N/A,#N/A,TRUE,"PC-Software";#N/A,#N/A,TRUE,"Software";#N/A,#N/A,TRUE,"SW-Reg";#N/A,#N/A,TRUE,"Dokumentation"}</definedName>
    <definedName name="succ" localSheetId="2" hidden="1">{#N/A,#N/A,FALSE,"COVER1.XLS ";#N/A,#N/A,FALSE,"RACT1.XLS";#N/A,#N/A,FALSE,"RACT2.XLS";#N/A,#N/A,FALSE,"ECCMP";#N/A,#N/A,FALSE,"WELDER.XLS"}</definedName>
    <definedName name="succ" hidden="1">{#N/A,#N/A,FALSE,"COVER1.XLS ";#N/A,#N/A,FALSE,"RACT1.XLS";#N/A,#N/A,FALSE,"RACT2.XLS";#N/A,#N/A,FALSE,"ECCMP";#N/A,#N/A,FALSE,"WELDER.XLS"}</definedName>
    <definedName name="Supplies" localSheetId="2" hidden="1">{#N/A,#N/A,FALSE,"PHASED";#N/A,#N/A,FALSE,"DETAIL OF SITE";#N/A,#N/A,FALSE,"MSTR SUMMARY";#N/A,#N/A,FALSE,"CAT1-16 SUMM";#N/A,#N/A,FALSE,"ELEVATOR";#N/A,#N/A,FALSE,"PHASE 2 COSTS"}</definedName>
    <definedName name="Supplies" hidden="1">{#N/A,#N/A,FALSE,"PHASED";#N/A,#N/A,FALSE,"DETAIL OF SITE";#N/A,#N/A,FALSE,"MSTR SUMMARY";#N/A,#N/A,FALSE,"CAT1-16 SUMM";#N/A,#N/A,FALSE,"ELEVATOR";#N/A,#N/A,FALSE,"PHASE 2 COSTS"}</definedName>
    <definedName name="SVFFG" localSheetId="2" hidden="1">{#N/A,#N/A,TRUE,"Front";#N/A,#N/A,TRUE,"Simple Letter";#N/A,#N/A,TRUE,"Inside";#N/A,#N/A,TRUE,"Contents";#N/A,#N/A,TRUE,"Basis";#N/A,#N/A,TRUE,"Inclusions";#N/A,#N/A,TRUE,"Exclusions";#N/A,#N/A,TRUE,"Areas";#N/A,#N/A,TRUE,"Summary";#N/A,#N/A,TRUE,"Detail"}</definedName>
    <definedName name="SVFFG" hidden="1">{#N/A,#N/A,TRUE,"Front";#N/A,#N/A,TRUE,"Simple Letter";#N/A,#N/A,TRUE,"Inside";#N/A,#N/A,TRUE,"Contents";#N/A,#N/A,TRUE,"Basis";#N/A,#N/A,TRUE,"Inclusions";#N/A,#N/A,TRUE,"Exclusions";#N/A,#N/A,TRUE,"Areas";#N/A,#N/A,TRUE,"Summary";#N/A,#N/A,TRUE,"Detail"}</definedName>
    <definedName name="SW" localSheetId="2" hidden="1">{#N/A,#N/A,TRUE,"Front";#N/A,#N/A,TRUE,"Simple Letter";#N/A,#N/A,TRUE,"Inside";#N/A,#N/A,TRUE,"Contents";#N/A,#N/A,TRUE,"Basis";#N/A,#N/A,TRUE,"Inclusions";#N/A,#N/A,TRUE,"Exclusions";#N/A,#N/A,TRUE,"Areas";#N/A,#N/A,TRUE,"Summary";#N/A,#N/A,TRUE,"Detail"}</definedName>
    <definedName name="SW" hidden="1">{#N/A,#N/A,TRUE,"Front";#N/A,#N/A,TRUE,"Simple Letter";#N/A,#N/A,TRUE,"Inside";#N/A,#N/A,TRUE,"Contents";#N/A,#N/A,TRUE,"Basis";#N/A,#N/A,TRUE,"Inclusions";#N/A,#N/A,TRUE,"Exclusions";#N/A,#N/A,TRUE,"Areas";#N/A,#N/A,TRUE,"Summary";#N/A,#N/A,TRUE,"Detail"}</definedName>
    <definedName name="TA" localSheetId="2" hidden="1">{#N/A,#N/A,TRUE,"Financials";#N/A,#N/A,TRUE,"Operating Statistics";#N/A,#N/A,TRUE,"Capex &amp; Depreciation";#N/A,#N/A,TRUE,"Debt"}</definedName>
    <definedName name="TA" hidden="1">{#N/A,#N/A,TRUE,"Financials";#N/A,#N/A,TRUE,"Operating Statistics";#N/A,#N/A,TRUE,"Capex &amp; Depreciation";#N/A,#N/A,TRUE,"Debt"}</definedName>
    <definedName name="tab" localSheetId="2" hidden="1">{#N/A,#N/A,TRUE,"Front";#N/A,#N/A,TRUE,"Simple Letter";#N/A,#N/A,TRUE,"Inside";#N/A,#N/A,TRUE,"Contents";#N/A,#N/A,TRUE,"Basis";#N/A,#N/A,TRUE,"Inclusions";#N/A,#N/A,TRUE,"Exclusions";#N/A,#N/A,TRUE,"Areas";#N/A,#N/A,TRUE,"Summary";#N/A,#N/A,TRUE,"Detail"}</definedName>
    <definedName name="tab" hidden="1">{#N/A,#N/A,TRUE,"Front";#N/A,#N/A,TRUE,"Simple Letter";#N/A,#N/A,TRUE,"Inside";#N/A,#N/A,TRUE,"Contents";#N/A,#N/A,TRUE,"Basis";#N/A,#N/A,TRUE,"Inclusions";#N/A,#N/A,TRUE,"Exclusions";#N/A,#N/A,TRUE,"Areas";#N/A,#N/A,TRUE,"Summary";#N/A,#N/A,TRUE,"Detail"}</definedName>
    <definedName name="tarar"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xCalculation" hidden="1">#REF!</definedName>
    <definedName name="TB" hidden="1">{#N/A,#N/A,FALSE,"One Pager";#N/A,#N/A,FALSE,"Technical"}</definedName>
    <definedName name="tbl_ProdInfo" hidden="1">#REF!</definedName>
    <definedName name="tem" localSheetId="2" hidden="1">{#N/A,#N/A,TRUE,"Front";#N/A,#N/A,TRUE,"Simple Letter";#N/A,#N/A,TRUE,"Inside";#N/A,#N/A,TRUE,"Contents";#N/A,#N/A,TRUE,"Basis";#N/A,#N/A,TRUE,"Inclusions";#N/A,#N/A,TRUE,"Exclusions";#N/A,#N/A,TRUE,"Areas";#N/A,#N/A,TRUE,"Summary";#N/A,#N/A,TRUE,"Detail"}</definedName>
    <definedName name="tem" hidden="1">{#N/A,#N/A,TRUE,"Front";#N/A,#N/A,TRUE,"Simple Letter";#N/A,#N/A,TRUE,"Inside";#N/A,#N/A,TRUE,"Contents";#N/A,#N/A,TRUE,"Basis";#N/A,#N/A,TRUE,"Inclusions";#N/A,#N/A,TRUE,"Exclusions";#N/A,#N/A,TRUE,"Areas";#N/A,#N/A,TRUE,"Summary";#N/A,#N/A,TRUE,"Detail"}</definedName>
    <definedName name="temp" localSheetId="2" hidden="1">{#N/A,#N/A,TRUE,"Front";#N/A,#N/A,TRUE,"Simple Letter";#N/A,#N/A,TRUE,"Inside";#N/A,#N/A,TRUE,"Contents";#N/A,#N/A,TRUE,"Basis";#N/A,#N/A,TRUE,"Inclusions";#N/A,#N/A,TRUE,"Exclusions";#N/A,#N/A,TRUE,"Areas";#N/A,#N/A,TRUE,"Summary";#N/A,#N/A,TRUE,"Detail"}</definedName>
    <definedName name="temp" hidden="1">{#N/A,#N/A,TRUE,"Front";#N/A,#N/A,TRUE,"Simple Letter";#N/A,#N/A,TRUE,"Inside";#N/A,#N/A,TRUE,"Contents";#N/A,#N/A,TRUE,"Basis";#N/A,#N/A,TRUE,"Inclusions";#N/A,#N/A,TRUE,"Exclusions";#N/A,#N/A,TRUE,"Areas";#N/A,#N/A,TRUE,"Summary";#N/A,#N/A,TRUE,"Detail"}</definedName>
    <definedName name="temp." localSheetId="2" hidden="1">{#N/A,#N/A,TRUE,"Front";#N/A,#N/A,TRUE,"Simple Letter";#N/A,#N/A,TRUE,"Inside";#N/A,#N/A,TRUE,"Contents";#N/A,#N/A,TRUE,"Basis";#N/A,#N/A,TRUE,"Inclusions";#N/A,#N/A,TRUE,"Exclusions";#N/A,#N/A,TRUE,"Areas";#N/A,#N/A,TRUE,"Summary";#N/A,#N/A,TRUE,"Detail"}</definedName>
    <definedName name="temp." hidden="1">{#N/A,#N/A,TRUE,"Front";#N/A,#N/A,TRUE,"Simple Letter";#N/A,#N/A,TRUE,"Inside";#N/A,#N/A,TRUE,"Contents";#N/A,#N/A,TRUE,"Basis";#N/A,#N/A,TRUE,"Inclusions";#N/A,#N/A,TRUE,"Exclusions";#N/A,#N/A,TRUE,"Areas";#N/A,#N/A,TRUE,"Summary";#N/A,#N/A,TRUE,"Detail"}</definedName>
    <definedName name="temp1" localSheetId="2" hidden="1">{#N/A,#N/A,TRUE,"Front";#N/A,#N/A,TRUE,"Simple Letter";#N/A,#N/A,TRUE,"Inside";#N/A,#N/A,TRUE,"Contents";#N/A,#N/A,TRUE,"Basis";#N/A,#N/A,TRUE,"Inclusions";#N/A,#N/A,TRUE,"Exclusions";#N/A,#N/A,TRUE,"Areas";#N/A,#N/A,TRUE,"Summary";#N/A,#N/A,TRUE,"Detail"}</definedName>
    <definedName name="temp1" hidden="1">{#N/A,#N/A,TRUE,"Front";#N/A,#N/A,TRUE,"Simple Letter";#N/A,#N/A,TRUE,"Inside";#N/A,#N/A,TRUE,"Contents";#N/A,#N/A,TRUE,"Basis";#N/A,#N/A,TRUE,"Inclusions";#N/A,#N/A,TRUE,"Exclusions";#N/A,#N/A,TRUE,"Areas";#N/A,#N/A,TRUE,"Summary";#N/A,#N/A,TRUE,"Detail"}</definedName>
    <definedName name="temp1_1" localSheetId="2" hidden="1">{#N/A,#N/A,TRUE,"Front";#N/A,#N/A,TRUE,"Simple Letter";#N/A,#N/A,TRUE,"Inside";#N/A,#N/A,TRUE,"Contents";#N/A,#N/A,TRUE,"Basis";#N/A,#N/A,TRUE,"Inclusions";#N/A,#N/A,TRUE,"Exclusions";#N/A,#N/A,TRUE,"Areas";#N/A,#N/A,TRUE,"Summary";#N/A,#N/A,TRUE,"Detail"}</definedName>
    <definedName name="temp1_1" hidden="1">{#N/A,#N/A,TRUE,"Front";#N/A,#N/A,TRUE,"Simple Letter";#N/A,#N/A,TRUE,"Inside";#N/A,#N/A,TRUE,"Contents";#N/A,#N/A,TRUE,"Basis";#N/A,#N/A,TRUE,"Inclusions";#N/A,#N/A,TRUE,"Exclusions";#N/A,#N/A,TRUE,"Areas";#N/A,#N/A,TRUE,"Summary";#N/A,#N/A,TRUE,"Detail"}</definedName>
    <definedName name="temp2" localSheetId="2" hidden="1">{#N/A,#N/A,TRUE,"Front";#N/A,#N/A,TRUE,"Simple Letter";#N/A,#N/A,TRUE,"Inside";#N/A,#N/A,TRUE,"Contents";#N/A,#N/A,TRUE,"Basis";#N/A,#N/A,TRUE,"Inclusions";#N/A,#N/A,TRUE,"Exclusions";#N/A,#N/A,TRUE,"Areas";#N/A,#N/A,TRUE,"Summary";#N/A,#N/A,TRUE,"Detail"}</definedName>
    <definedName name="temp2" hidden="1">{#N/A,#N/A,TRUE,"Front";#N/A,#N/A,TRUE,"Simple Letter";#N/A,#N/A,TRUE,"Inside";#N/A,#N/A,TRUE,"Contents";#N/A,#N/A,TRUE,"Basis";#N/A,#N/A,TRUE,"Inclusions";#N/A,#N/A,TRUE,"Exclusions";#N/A,#N/A,TRUE,"Areas";#N/A,#N/A,TRUE,"Summary";#N/A,#N/A,TRUE,"Detail"}</definedName>
    <definedName name="temp3" localSheetId="2" hidden="1">{#N/A,#N/A,TRUE,"Front";#N/A,#N/A,TRUE,"Simple Letter";#N/A,#N/A,TRUE,"Inside";#N/A,#N/A,TRUE,"Contents";#N/A,#N/A,TRUE,"Basis";#N/A,#N/A,TRUE,"Inclusions";#N/A,#N/A,TRUE,"Exclusions";#N/A,#N/A,TRUE,"Areas";#N/A,#N/A,TRUE,"Summary";#N/A,#N/A,TRUE,"Detail"}</definedName>
    <definedName name="temp3" hidden="1">{#N/A,#N/A,TRUE,"Front";#N/A,#N/A,TRUE,"Simple Letter";#N/A,#N/A,TRUE,"Inside";#N/A,#N/A,TRUE,"Contents";#N/A,#N/A,TRUE,"Basis";#N/A,#N/A,TRUE,"Inclusions";#N/A,#N/A,TRUE,"Exclusions";#N/A,#N/A,TRUE,"Areas";#N/A,#N/A,TRUE,"Summary";#N/A,#N/A,TRUE,"Detail"}</definedName>
    <definedName name="TER.FLR" localSheetId="2" hidden="1">{#N/A,#N/A,TRUE,"Flooring "}</definedName>
    <definedName name="TER.FLR" hidden="1">{#N/A,#N/A,TRUE,"Flooring "}</definedName>
    <definedName name="TEST1"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test11" localSheetId="2" hidden="1">{#N/A,#N/A,FALSE,"Fund-II"}</definedName>
    <definedName name="test11" hidden="1">{#N/A,#N/A,FALSE,"Fund-II"}</definedName>
    <definedName name="tg" hidden="1">{#N/A,#N/A,TRUE,"Front";#N/A,#N/A,TRUE,"Simple Letter";#N/A,#N/A,TRUE,"Inside";#N/A,#N/A,TRUE,"Contents";#N/A,#N/A,TRUE,"Basis";#N/A,#N/A,TRUE,"Inclusions";#N/A,#N/A,TRUE,"Exclusions";#N/A,#N/A,TRUE,"Areas";#N/A,#N/A,TRUE,"Summary";#N/A,#N/A,TRUE,"Detail"}</definedName>
    <definedName name="the" localSheetId="2" hidden="1">{#N/A,#N/A,FALSE,"gc (2)"}</definedName>
    <definedName name="the" hidden="1">{#N/A,#N/A,FALSE,"gc (2)"}</definedName>
    <definedName name="Thiagarajan" localSheetId="2" hidden="1">{"'Sheet1'!$A$4386:$N$4591"}</definedName>
    <definedName name="Thiagarajan" hidden="1">{"'Sheet1'!$A$4386:$N$4591"}</definedName>
    <definedName name="tom" localSheetId="2" hidden="1">{#N/A,#N/A,FALSE,"OUTPUT SHEET "}</definedName>
    <definedName name="tom" hidden="1">{#N/A,#N/A,FALSE,"OUTPUT SHEET "}</definedName>
    <definedName name="Topsheet" hidden="1">#REF!</definedName>
    <definedName name="tr" hidden="1">{#N/A,#N/A,TRUE,"Front";#N/A,#N/A,TRUE,"Simple Letter";#N/A,#N/A,TRUE,"Inside";#N/A,#N/A,TRUE,"Contents";#N/A,#N/A,TRUE,"Basis";#N/A,#N/A,TRUE,"Inclusions";#N/A,#N/A,TRUE,"Exclusions";#N/A,#N/A,TRUE,"Areas";#N/A,#N/A,TRUE,"Summary";#N/A,#N/A,TRUE,"Detail"}</definedName>
    <definedName name="TRAFO" localSheetId="2" hidden="1">{#N/A,#N/A,TRUE,"Vergabe-Regeln";#N/A,#N/A,TRUE,"Baugruppen";#N/A,#N/A,TRUE,"Geräte";#N/A,#N/A,TRUE,"PC-Software";#N/A,#N/A,TRUE,"Software";#N/A,#N/A,TRUE,"SW-Reg";#N/A,#N/A,TRUE,"Dokumentation"}</definedName>
    <definedName name="TRAFO" hidden="1">{#N/A,#N/A,TRUE,"Vergabe-Regeln";#N/A,#N/A,TRUE,"Baugruppen";#N/A,#N/A,TRUE,"Geräte";#N/A,#N/A,TRUE,"PC-Software";#N/A,#N/A,TRUE,"Software";#N/A,#N/A,TRUE,"SW-Reg";#N/A,#N/A,TRUE,"Dokumentation"}</definedName>
    <definedName name="TRGG" localSheetId="2" hidden="1">{#N/A,#N/A,TRUE,"Front";#N/A,#N/A,TRUE,"Simple Letter";#N/A,#N/A,TRUE,"Inside";#N/A,#N/A,TRUE,"Contents";#N/A,#N/A,TRUE,"Basis";#N/A,#N/A,TRUE,"Inclusions";#N/A,#N/A,TRUE,"Exclusions";#N/A,#N/A,TRUE,"Areas";#N/A,#N/A,TRUE,"Summary";#N/A,#N/A,TRUE,"Detail"}</definedName>
    <definedName name="TRGG" hidden="1">{#N/A,#N/A,TRUE,"Front";#N/A,#N/A,TRUE,"Simple Letter";#N/A,#N/A,TRUE,"Inside";#N/A,#N/A,TRUE,"Contents";#N/A,#N/A,TRUE,"Basis";#N/A,#N/A,TRUE,"Inclusions";#N/A,#N/A,TRUE,"Exclusions";#N/A,#N/A,TRUE,"Areas";#N/A,#N/A,TRUE,"Summary";#N/A,#N/A,TRUE,"Detail"}</definedName>
    <definedName name="trif" localSheetId="2" hidden="1">{#N/A,#N/A,TRUE,"Front";#N/A,#N/A,TRUE,"Simple Letter";#N/A,#N/A,TRUE,"Inside";#N/A,#N/A,TRUE,"Contents";#N/A,#N/A,TRUE,"Basis";#N/A,#N/A,TRUE,"Inclusions";#N/A,#N/A,TRUE,"Exclusions";#N/A,#N/A,TRUE,"Areas";#N/A,#N/A,TRUE,"Summary";#N/A,#N/A,TRUE,"Detail"}</definedName>
    <definedName name="trif" hidden="1">{#N/A,#N/A,TRUE,"Front";#N/A,#N/A,TRUE,"Simple Letter";#N/A,#N/A,TRUE,"Inside";#N/A,#N/A,TRUE,"Contents";#N/A,#N/A,TRUE,"Basis";#N/A,#N/A,TRUE,"Inclusions";#N/A,#N/A,TRUE,"Exclusions";#N/A,#N/A,TRUE,"Areas";#N/A,#N/A,TRUE,"Summary";#N/A,#N/A,TRUE,"Detail"}</definedName>
    <definedName name="trrryt" localSheetId="2" hidden="1">{#N/A,#N/A,TRUE,"Front";#N/A,#N/A,TRUE,"Simple Letter";#N/A,#N/A,TRUE,"Inside";#N/A,#N/A,TRUE,"Contents";#N/A,#N/A,TRUE,"Basis";#N/A,#N/A,TRUE,"Inclusions";#N/A,#N/A,TRUE,"Exclusions";#N/A,#N/A,TRUE,"Areas";#N/A,#N/A,TRUE,"Summary";#N/A,#N/A,TRUE,"Detail"}</definedName>
    <definedName name="trrryt" hidden="1">{#N/A,#N/A,TRUE,"Front";#N/A,#N/A,TRUE,"Simple Letter";#N/A,#N/A,TRUE,"Inside";#N/A,#N/A,TRUE,"Contents";#N/A,#N/A,TRUE,"Basis";#N/A,#N/A,TRUE,"Inclusions";#N/A,#N/A,TRUE,"Exclusions";#N/A,#N/A,TRUE,"Areas";#N/A,#N/A,TRUE,"Summary";#N/A,#N/A,TRUE,"Detail"}</definedName>
    <definedName name="TRU" localSheetId="2" hidden="1">{#N/A,#N/A,TRUE,"Front";#N/A,#N/A,TRUE,"Simple Letter";#N/A,#N/A,TRUE,"Inside";#N/A,#N/A,TRUE,"Contents";#N/A,#N/A,TRUE,"Basis";#N/A,#N/A,TRUE,"Inclusions";#N/A,#N/A,TRUE,"Exclusions";#N/A,#N/A,TRUE,"Areas";#N/A,#N/A,TRUE,"Summary";#N/A,#N/A,TRUE,"Detail"}</definedName>
    <definedName name="TRU" hidden="1">{#N/A,#N/A,TRUE,"Front";#N/A,#N/A,TRUE,"Simple Letter";#N/A,#N/A,TRUE,"Inside";#N/A,#N/A,TRUE,"Contents";#N/A,#N/A,TRUE,"Basis";#N/A,#N/A,TRUE,"Inclusions";#N/A,#N/A,TRUE,"Exclusions";#N/A,#N/A,TRUE,"Areas";#N/A,#N/A,TRUE,"Summary";#N/A,#N/A,TRUE,"Detail"}</definedName>
    <definedName name="ttt" localSheetId="2"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ttt"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uiui" localSheetId="2" hidden="1">{#N/A,#N/A,FALSE,"PSU"}</definedName>
    <definedName name="uiui" hidden="1">{#N/A,#N/A,FALSE,"PSU"}</definedName>
    <definedName name="ukkk" localSheetId="2" hidden="1">{#N/A,#N/A,TRUE,"Front";#N/A,#N/A,TRUE,"Simple Letter";#N/A,#N/A,TRUE,"Inside";#N/A,#N/A,TRUE,"Contents";#N/A,#N/A,TRUE,"Basis";#N/A,#N/A,TRUE,"Inclusions";#N/A,#N/A,TRUE,"Exclusions";#N/A,#N/A,TRUE,"Areas";#N/A,#N/A,TRUE,"Summary";#N/A,#N/A,TRUE,"Detail"}</definedName>
    <definedName name="ukkk" hidden="1">{#N/A,#N/A,TRUE,"Front";#N/A,#N/A,TRUE,"Simple Letter";#N/A,#N/A,TRUE,"Inside";#N/A,#N/A,TRUE,"Contents";#N/A,#N/A,TRUE,"Basis";#N/A,#N/A,TRUE,"Inclusions";#N/A,#N/A,TRUE,"Exclusions";#N/A,#N/A,TRUE,"Areas";#N/A,#N/A,TRUE,"Summary";#N/A,#N/A,TRUE,"Detail"}</definedName>
    <definedName name="uma" localSheetId="2" hidden="1">{#N/A,#N/A,FALSE,"COVER1.XLS ";#N/A,#N/A,FALSE,"RACT1.XLS";#N/A,#N/A,FALSE,"RACT2.XLS";#N/A,#N/A,FALSE,"ECCMP";#N/A,#N/A,FALSE,"WELDER.XLS"}</definedName>
    <definedName name="uma" hidden="1">{#N/A,#N/A,FALSE,"COVER1.XLS ";#N/A,#N/A,FALSE,"RACT1.XLS";#N/A,#N/A,FALSE,"RACT2.XLS";#N/A,#N/A,FALSE,"ECCMP";#N/A,#N/A,FALSE,"WELDER.XLS"}</definedName>
    <definedName name="uu" hidden="1">{#N/A,#N/A,TRUE,"Front";#N/A,#N/A,TRUE,"Simple Letter";#N/A,#N/A,TRUE,"Inside";#N/A,#N/A,TRUE,"Contents";#N/A,#N/A,TRUE,"Basis";#N/A,#N/A,TRUE,"Inclusions";#N/A,#N/A,TRUE,"Exclusions";#N/A,#N/A,TRUE,"Areas";#N/A,#N/A,TRUE,"Summary";#N/A,#N/A,TRUE,"Detail"}</definedName>
    <definedName name="uuu" localSheetId="2" hidden="1">{#N/A,#N/A,TRUE,"Front";#N/A,#N/A,TRUE,"Simple Letter";#N/A,#N/A,TRUE,"Inside";#N/A,#N/A,TRUE,"Contents";#N/A,#N/A,TRUE,"Basis";#N/A,#N/A,TRUE,"Inclusions";#N/A,#N/A,TRUE,"Exclusions";#N/A,#N/A,TRUE,"Areas";#N/A,#N/A,TRUE,"Summary";#N/A,#N/A,TRUE,"Detail"}</definedName>
    <definedName name="uuu" hidden="1">{#N/A,#N/A,TRUE,"Front";#N/A,#N/A,TRUE,"Simple Letter";#N/A,#N/A,TRUE,"Inside";#N/A,#N/A,TRUE,"Contents";#N/A,#N/A,TRUE,"Basis";#N/A,#N/A,TRUE,"Inclusions";#N/A,#N/A,TRUE,"Exclusions";#N/A,#N/A,TRUE,"Areas";#N/A,#N/A,TRUE,"Summary";#N/A,#N/A,TRUE,"Detail"}</definedName>
    <definedName name="vcvv" localSheetId="2" hidden="1">{#N/A,#N/A,TRUE,"Front";#N/A,#N/A,TRUE,"Simple Letter";#N/A,#N/A,TRUE,"Inside";#N/A,#N/A,TRUE,"Contents";#N/A,#N/A,TRUE,"Basis";#N/A,#N/A,TRUE,"Inclusions";#N/A,#N/A,TRUE,"Exclusions";#N/A,#N/A,TRUE,"Areas";#N/A,#N/A,TRUE,"Summary";#N/A,#N/A,TRUE,"Detail"}</definedName>
    <definedName name="vcvv" hidden="1">{#N/A,#N/A,TRUE,"Front";#N/A,#N/A,TRUE,"Simple Letter";#N/A,#N/A,TRUE,"Inside";#N/A,#N/A,TRUE,"Contents";#N/A,#N/A,TRUE,"Basis";#N/A,#N/A,TRUE,"Inclusions";#N/A,#N/A,TRUE,"Exclusions";#N/A,#N/A,TRUE,"Areas";#N/A,#N/A,TRUE,"Summary";#N/A,#N/A,TRUE,"Detail"}</definedName>
    <definedName name="vg" localSheetId="2" hidden="1">{#N/A,#N/A,FALSE,"One Pager";#N/A,#N/A,FALSE,"Technical"}</definedName>
    <definedName name="vg" hidden="1">{#N/A,#N/A,FALSE,"One Pager";#N/A,#N/A,FALSE,"Technical"}</definedName>
    <definedName name="Vinod"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rtusa" localSheetId="2" hidden="1">{#N/A,#N/A,TRUE,"Front";#N/A,#N/A,TRUE,"Simple Letter";#N/A,#N/A,TRUE,"Inside";#N/A,#N/A,TRUE,"Contents";#N/A,#N/A,TRUE,"Basis";#N/A,#N/A,TRUE,"Inclusions";#N/A,#N/A,TRUE,"Exclusions";#N/A,#N/A,TRUE,"Areas";#N/A,#N/A,TRUE,"Summary";#N/A,#N/A,TRUE,"Detail"}</definedName>
    <definedName name="virtusa" hidden="1">{#N/A,#N/A,TRUE,"Front";#N/A,#N/A,TRUE,"Simple Letter";#N/A,#N/A,TRUE,"Inside";#N/A,#N/A,TRUE,"Contents";#N/A,#N/A,TRUE,"Basis";#N/A,#N/A,TRUE,"Inclusions";#N/A,#N/A,TRUE,"Exclusions";#N/A,#N/A,TRUE,"Areas";#N/A,#N/A,TRUE,"Summary";#N/A,#N/A,TRUE,"Detail"}</definedName>
    <definedName name="vishnu" localSheetId="2" hidden="1">{#N/A,#N/A,FALSE,"One Pager";#N/A,#N/A,FALSE,"Technical"}</definedName>
    <definedName name="vishnu" hidden="1">{#N/A,#N/A,FALSE,"One Pager";#N/A,#N/A,FALSE,"Technical"}</definedName>
    <definedName name="vk" localSheetId="2" hidden="1">{#N/A,#N/A,FALSE,"One Pager";#N/A,#N/A,FALSE,"Technical"}</definedName>
    <definedName name="vk" hidden="1">{#N/A,#N/A,FALSE,"One Pager";#N/A,#N/A,FALSE,"Technical"}</definedName>
    <definedName name="vsasgfsghxas" localSheetId="2" hidden="1">{#N/A,#N/A,FALSE,"consu_cover";#N/A,#N/A,FALSE,"consu_strategy";#N/A,#N/A,FALSE,"consu_flow";#N/A,#N/A,FALSE,"Summary_reqmt";#N/A,#N/A,FALSE,"field_ppg";#N/A,#N/A,FALSE,"ppg_shop";#N/A,#N/A,FALSE,"strl";#N/A,#N/A,FALSE,"tankages";#N/A,#N/A,FALSE,"gases"}</definedName>
    <definedName name="vsasgfsghxas" hidden="1">{#N/A,#N/A,FALSE,"consu_cover";#N/A,#N/A,FALSE,"consu_strategy";#N/A,#N/A,FALSE,"consu_flow";#N/A,#N/A,FALSE,"Summary_reqmt";#N/A,#N/A,FALSE,"field_ppg";#N/A,#N/A,FALSE,"ppg_shop";#N/A,#N/A,FALSE,"strl";#N/A,#N/A,FALSE,"tankages";#N/A,#N/A,FALSE,"gases"}</definedName>
    <definedName name="vv" localSheetId="2" hidden="1">{#N/A,#N/A,FALSE,"견적대비-2"}</definedName>
    <definedName name="vv" hidden="1">{#N/A,#N/A,FALSE,"견적대비-2"}</definedName>
    <definedName name="wed" hidden="1">#REF!</definedName>
    <definedName name="wen" localSheetId="2" hidden="1">{#N/A,#N/A,TRUE,"Front";#N/A,#N/A,TRUE,"Simple Letter";#N/A,#N/A,TRUE,"Inside";#N/A,#N/A,TRUE,"Contents";#N/A,#N/A,TRUE,"Basis";#N/A,#N/A,TRUE,"Inclusions";#N/A,#N/A,TRUE,"Exclusions";#N/A,#N/A,TRUE,"Areas";#N/A,#N/A,TRUE,"Summary";#N/A,#N/A,TRUE,"Detail"}</definedName>
    <definedName name="wen" hidden="1">{#N/A,#N/A,TRUE,"Front";#N/A,#N/A,TRUE,"Simple Letter";#N/A,#N/A,TRUE,"Inside";#N/A,#N/A,TRUE,"Contents";#N/A,#N/A,TRUE,"Basis";#N/A,#N/A,TRUE,"Inclusions";#N/A,#N/A,TRUE,"Exclusions";#N/A,#N/A,TRUE,"Areas";#N/A,#N/A,TRUE,"Summary";#N/A,#N/A,TRUE,"Detail"}</definedName>
    <definedName name="wen_1" localSheetId="2" hidden="1">{#N/A,#N/A,TRUE,"Front";#N/A,#N/A,TRUE,"Simple Letter";#N/A,#N/A,TRUE,"Inside";#N/A,#N/A,TRUE,"Contents";#N/A,#N/A,TRUE,"Basis";#N/A,#N/A,TRUE,"Inclusions";#N/A,#N/A,TRUE,"Exclusions";#N/A,#N/A,TRUE,"Areas";#N/A,#N/A,TRUE,"Summary";#N/A,#N/A,TRUE,"Detail"}</definedName>
    <definedName name="wen_1" hidden="1">{#N/A,#N/A,TRUE,"Front";#N/A,#N/A,TRUE,"Simple Letter";#N/A,#N/A,TRUE,"Inside";#N/A,#N/A,TRUE,"Contents";#N/A,#N/A,TRUE,"Basis";#N/A,#N/A,TRUE,"Inclusions";#N/A,#N/A,TRUE,"Exclusions";#N/A,#N/A,TRUE,"Areas";#N/A,#N/A,TRUE,"Summary";#N/A,#N/A,TRUE,"Detail"}</definedName>
    <definedName name="weqwe" localSheetId="2" hidden="1">{#N/A,#N/A,TRUE,"Front";#N/A,#N/A,TRUE,"Simple Letter";#N/A,#N/A,TRUE,"Inside";#N/A,#N/A,TRUE,"Contents";#N/A,#N/A,TRUE,"Basis";#N/A,#N/A,TRUE,"Inclusions";#N/A,#N/A,TRUE,"Exclusions";#N/A,#N/A,TRUE,"Areas";#N/A,#N/A,TRUE,"Summary";#N/A,#N/A,TRUE,"Detail"}</definedName>
    <definedName name="weqwe" hidden="1">{#N/A,#N/A,TRUE,"Front";#N/A,#N/A,TRUE,"Simple Letter";#N/A,#N/A,TRUE,"Inside";#N/A,#N/A,TRUE,"Contents";#N/A,#N/A,TRUE,"Basis";#N/A,#N/A,TRUE,"Inclusions";#N/A,#N/A,TRUE,"Exclusions";#N/A,#N/A,TRUE,"Areas";#N/A,#N/A,TRUE,"Summary";#N/A,#N/A,TRUE,"Detail"}</definedName>
    <definedName name="wer" localSheetId="2" hidden="1">{#N/A,#N/A,TRUE,"Front";#N/A,#N/A,TRUE,"Simple Letter";#N/A,#N/A,TRUE,"Inside";#N/A,#N/A,TRUE,"Contents";#N/A,#N/A,TRUE,"Basis";#N/A,#N/A,TRUE,"Inclusions";#N/A,#N/A,TRUE,"Exclusions";#N/A,#N/A,TRUE,"Areas";#N/A,#N/A,TRUE,"Summary";#N/A,#N/A,TRUE,"Detail"}</definedName>
    <definedName name="wer" hidden="1">{#N/A,#N/A,TRUE,"Front";#N/A,#N/A,TRUE,"Simple Letter";#N/A,#N/A,TRUE,"Inside";#N/A,#N/A,TRUE,"Contents";#N/A,#N/A,TRUE,"Basis";#N/A,#N/A,TRUE,"Inclusions";#N/A,#N/A,TRUE,"Exclusions";#N/A,#N/A,TRUE,"Areas";#N/A,#N/A,TRUE,"Summary";#N/A,#N/A,TRUE,"Detail"}</definedName>
    <definedName name="WET" localSheetId="2" hidden="1">{#N/A,#N/A,TRUE,"Front";#N/A,#N/A,TRUE,"Simple Letter";#N/A,#N/A,TRUE,"Inside";#N/A,#N/A,TRUE,"Contents";#N/A,#N/A,TRUE,"Basis";#N/A,#N/A,TRUE,"Inclusions";#N/A,#N/A,TRUE,"Exclusions";#N/A,#N/A,TRUE,"Areas";#N/A,#N/A,TRUE,"Summary";#N/A,#N/A,TRUE,"Detail"}</definedName>
    <definedName name="WET" hidden="1">{#N/A,#N/A,TRUE,"Front";#N/A,#N/A,TRUE,"Simple Letter";#N/A,#N/A,TRUE,"Inside";#N/A,#N/A,TRUE,"Contents";#N/A,#N/A,TRUE,"Basis";#N/A,#N/A,TRUE,"Inclusions";#N/A,#N/A,TRUE,"Exclusions";#N/A,#N/A,TRUE,"Areas";#N/A,#N/A,TRUE,"Summary";#N/A,#N/A,TRUE,"Detail"}</definedName>
    <definedName name="WK" hidden="1">{#N/A,#N/A,FALSE,"견적대비-2"}</definedName>
    <definedName name="WLD" localSheetId="2" hidden="1">{#N/A,#N/A,TRUE,"Front";#N/A,#N/A,TRUE,"Simple Letter";#N/A,#N/A,TRUE,"Inside";#N/A,#N/A,TRUE,"Contents";#N/A,#N/A,TRUE,"Basis";#N/A,#N/A,TRUE,"Inclusions";#N/A,#N/A,TRUE,"Exclusions";#N/A,#N/A,TRUE,"Areas";#N/A,#N/A,TRUE,"Summary";#N/A,#N/A,TRUE,"Detail"}</definedName>
    <definedName name="WLD" hidden="1">{#N/A,#N/A,TRUE,"Front";#N/A,#N/A,TRUE,"Simple Letter";#N/A,#N/A,TRUE,"Inside";#N/A,#N/A,TRUE,"Contents";#N/A,#N/A,TRUE,"Basis";#N/A,#N/A,TRUE,"Inclusions";#N/A,#N/A,TRUE,"Exclusions";#N/A,#N/A,TRUE,"Areas";#N/A,#N/A,TRUE,"Summary";#N/A,#N/A,TRUE,"Detail"}</definedName>
    <definedName name="wqd" localSheetId="2" hidden="1">{#N/A,#N/A,FALSE,"mgtsum.XLS";#N/A,#N/A,FALSE,"CAPONE";#N/A,#N/A,FALSE,"CAPTWO";#N/A,#N/A,FALSE,"CAPTHREE"}</definedName>
    <definedName name="wqd" hidden="1">{#N/A,#N/A,FALSE,"mgtsum.XLS";#N/A,#N/A,FALSE,"CAPONE";#N/A,#N/A,FALSE,"CAPTWO";#N/A,#N/A,FALSE,"CAPTHREE"}</definedName>
    <definedName name="WQQQQ" localSheetId="2" hidden="1">{#N/A,#N/A,TRUE,"Front";#N/A,#N/A,TRUE,"Simple Letter";#N/A,#N/A,TRUE,"Inside";#N/A,#N/A,TRUE,"Contents";#N/A,#N/A,TRUE,"Basis";#N/A,#N/A,TRUE,"Inclusions";#N/A,#N/A,TRUE,"Exclusions";#N/A,#N/A,TRUE,"Areas";#N/A,#N/A,TRUE,"Summary";#N/A,#N/A,TRUE,"Detail"}</definedName>
    <definedName name="WQQQQ" hidden="1">{#N/A,#N/A,TRUE,"Front";#N/A,#N/A,TRUE,"Simple Letter";#N/A,#N/A,TRUE,"Inside";#N/A,#N/A,TRUE,"Contents";#N/A,#N/A,TRUE,"Basis";#N/A,#N/A,TRUE,"Inclusions";#N/A,#N/A,TRUE,"Exclusions";#N/A,#N/A,TRUE,"Areas";#N/A,#N/A,TRUE,"Summary";#N/A,#N/A,TRUE,"Detail"}</definedName>
    <definedName name="wr" localSheetId="2" hidden="1">{#N/A,#N/A,FALSE,"COVER1.XLS ";#N/A,#N/A,FALSE,"RACT1.XLS";#N/A,#N/A,FALSE,"RACT2.XLS";#N/A,#N/A,FALSE,"ECCMP";#N/A,#N/A,FALSE,"WELDER.XLS"}</definedName>
    <definedName name="wr" hidden="1">{#N/A,#N/A,FALSE,"COVER1.XLS ";#N/A,#N/A,FALSE,"RACT1.XLS";#N/A,#N/A,FALSE,"RACT2.XLS";#N/A,#N/A,FALSE,"ECCMP";#N/A,#N/A,FALSE,"WELDER.XLS"}</definedName>
    <definedName name="wrn" localSheetId="2" hidden="1">{#N/A,#N/A,TRUE,"Front";#N/A,#N/A,TRUE,"Simple Letter";#N/A,#N/A,TRUE,"Inside";#N/A,#N/A,TRUE,"Contents";#N/A,#N/A,TRUE,"Basis";#N/A,#N/A,TRUE,"Inclusions";#N/A,#N/A,TRUE,"Exclusions";#N/A,#N/A,TRUE,"Areas";#N/A,#N/A,TRUE,"Summary";#N/A,#N/A,TRUE,"Detail"}</definedName>
    <definedName name="wrn" hidden="1">{#N/A,#N/A,TRUE,"Front";#N/A,#N/A,TRUE,"Simple Letter";#N/A,#N/A,TRUE,"Inside";#N/A,#N/A,TRUE,"Contents";#N/A,#N/A,TRUE,"Basis";#N/A,#N/A,TRUE,"Inclusions";#N/A,#N/A,TRUE,"Exclusions";#N/A,#N/A,TRUE,"Areas";#N/A,#N/A,TRUE,"Summary";#N/A,#N/A,TRUE,"Detail"}</definedName>
    <definedName name="wrn.1." localSheetId="2" hidden="1">{#N/A,#N/A,FALSE,"17MAY";#N/A,#N/A,FALSE,"24MAY"}</definedName>
    <definedName name="wrn.1." hidden="1">{#N/A,#N/A,FALSE,"17MAY";#N/A,#N/A,FALSE,"24MAY"}</definedName>
    <definedName name="wrn.2.2" localSheetId="2" hidden="1">{#N/A,#N/A,FALSE,"17MAY";#N/A,#N/A,FALSE,"24MAY"}</definedName>
    <definedName name="wrn.2.2" hidden="1">{#N/A,#N/A,FALSE,"17MAY";#N/A,#N/A,FALSE,"24MAY"}</definedName>
    <definedName name="wrn.892A._.II." localSheetId="2" hidden="1">{#N/A,#N/A,FALSE,"Fund-II"}</definedName>
    <definedName name="wrn.892A._.II." hidden="1">{#N/A,#N/A,FALSE,"Fund-II"}</definedName>
    <definedName name="wrn.892B._.II." localSheetId="2" hidden="1">{#N/A,#N/A,FALSE,"Fund-II"}</definedName>
    <definedName name="wrn.892B._.II." hidden="1">{#N/A,#N/A,FALSE,"Fund-II"}</definedName>
    <definedName name="wrn.892C._.II." localSheetId="2" hidden="1">{#N/A,#N/A,FALSE,"Fund-II"}</definedName>
    <definedName name="wrn.892C._.II." hidden="1">{#N/A,#N/A,FALSE,"Fund-II"}</definedName>
    <definedName name="wrn.Aging._.and._.Trend._.Analysis." localSheetId="2"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2" hidden="1">{#N/A,#N/A,FALSE,"Engr Data";#N/A,#N/A,FALSE,"Engr Cur";#N/A,#N/A,FALSE,"DsnDraft";#N/A,#N/A,FALSE,"DsnDftCur";#N/A,#N/A,FALSE,"Supports";#N/A,#N/A,FALSE,"SptCur";#N/A,#N/A,FALSE,"Total";#N/A,#N/A,FALSE,"TotCur";#N/A,#N/A,FALSE,"Client";#N/A,#N/A,FALSE,"Instructions"}</definedName>
    <definedName name="wrn.ALL." hidden="1">{#N/A,#N/A,FALSE,"Engr Data";#N/A,#N/A,FALSE,"Engr Cur";#N/A,#N/A,FALSE,"DsnDraft";#N/A,#N/A,FALSE,"DsnDftCur";#N/A,#N/A,FALSE,"Supports";#N/A,#N/A,FALSE,"SptCur";#N/A,#N/A,FALSE,"Total";#N/A,#N/A,FALSE,"TotCur";#N/A,#N/A,FALSE,"Client";#N/A,#N/A,FALSE,"Instructions"}</definedName>
    <definedName name="wrn.All._.Divisions." localSheetId="2" hidden="1">{#N/A,#N/A,TRUE,"DIV1";#N/A,#N/A,TRUE,"DIV2";#N/A,#N/A,TRUE,"DIV3";#N/A,#N/A,TRUE,"DIV4";#N/A,#N/A,TRUE,"DIV5";#N/A,#N/A,TRUE,"DIV6";#N/A,#N/A,TRUE,"DIV7";#N/A,#N/A,TRUE,"DIV8";#N/A,#N/A,TRUE,"DIV9";#N/A,#N/A,TRUE,"DIV10";#N/A,#N/A,TRUE,"DIV11";#N/A,#N/A,TRUE,"DIV12";#N/A,#N/A,TRUE,"DIV13";#N/A,#N/A,TRUE,"DIV14";#N/A,#N/A,TRUE,"DIV15a";#N/A,#N/A,TRUE,"DIV15b";#N/A,#N/A,TRUE,"DIV15c";#N/A,#N/A,TRUE,"DIV15d";#N/A,#N/A,TRUE,"DIV16a";#N/A,#N/A,TRUE,"DIV16b";#N/A,#N/A,TRUE,"DIV16c"}</definedName>
    <definedName name="wrn.All._.Divisions." hidden="1">{#N/A,#N/A,TRUE,"DIV1";#N/A,#N/A,TRUE,"DIV2";#N/A,#N/A,TRUE,"DIV3";#N/A,#N/A,TRUE,"DIV4";#N/A,#N/A,TRUE,"DIV5";#N/A,#N/A,TRUE,"DIV6";#N/A,#N/A,TRUE,"DIV7";#N/A,#N/A,TRUE,"DIV8";#N/A,#N/A,TRUE,"DIV9";#N/A,#N/A,TRUE,"DIV10";#N/A,#N/A,TRUE,"DIV11";#N/A,#N/A,TRUE,"DIV12";#N/A,#N/A,TRUE,"DIV13";#N/A,#N/A,TRUE,"DIV14";#N/A,#N/A,TRUE,"DIV15a";#N/A,#N/A,TRUE,"DIV15b";#N/A,#N/A,TRUE,"DIV15c";#N/A,#N/A,TRUE,"DIV15d";#N/A,#N/A,TRUE,"DIV16a";#N/A,#N/A,TRUE,"DIV16b";#N/A,#N/A,TRUE,"DIV16c"}</definedName>
    <definedName name="wrn.All._.Sheets." localSheetId="2" hidden="1">{#N/A,#N/A,FALSE,"Sheet5";#N/A,#N/A,FALSE,"Sheet4";#N/A,#N/A,FALSE,"Sheet2";#N/A,#N/A,FALSE,"Sheet6";#N/A,#N/A,FALSE,"Sheet7";#N/A,#N/A,FALSE,"Sheet8";#N/A,#N/A,FALSE,"Sheet9";#N/A,#N/A,FALSE,"Sheet10"}</definedName>
    <definedName name="wrn.All._.Sheets." hidden="1">{#N/A,#N/A,FALSE,"Sheet5";#N/A,#N/A,FALSE,"Sheet4";#N/A,#N/A,FALSE,"Sheet2";#N/A,#N/A,FALSE,"Sheet6";#N/A,#N/A,FALSE,"Sheet7";#N/A,#N/A,FALSE,"Sheet8";#N/A,#N/A,FALSE,"Sheet9";#N/A,#N/A,FALSE,"Sheet10"}</definedName>
    <definedName name="wrn.All._.Sheets._1" localSheetId="2" hidden="1">{#N/A,#N/A,FALSE,"Sheet5";#N/A,#N/A,FALSE,"Sheet4";#N/A,#N/A,FALSE,"Sheet2";#N/A,#N/A,FALSE,"Sheet6";#N/A,#N/A,FALSE,"Sheet7";#N/A,#N/A,FALSE,"Sheet8";#N/A,#N/A,FALSE,"Sheet9";#N/A,#N/A,FALSE,"Sheet10"}</definedName>
    <definedName name="wrn.All._.Sheets._1" hidden="1">{#N/A,#N/A,FALSE,"Sheet5";#N/A,#N/A,FALSE,"Sheet4";#N/A,#N/A,FALSE,"Sheet2";#N/A,#N/A,FALSE,"Sheet6";#N/A,#N/A,FALSE,"Sheet7";#N/A,#N/A,FALSE,"Sheet8";#N/A,#N/A,FALSE,"Sheet9";#N/A,#N/A,FALSE,"Sheet10"}</definedName>
    <definedName name="wrn.All._.Three._.Sheets." hidden="1">{#N/A,#N/A,FALSE,"Legal Entities";#N/A,#N/A,FALSE,"Departments";#N/A,#N/A,FALSE,"Chart of Accounts"}</definedName>
    <definedName name="wrn.all.1" localSheetId="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e." localSheetId="2" hidden="1">{#N/A,#N/A,TRUE,"Vergabe-Regeln";#N/A,#N/A,TRUE,"Baugruppen";#N/A,#N/A,TRUE,"Geräte";#N/A,#N/A,TRUE,"PC-Software";#N/A,#N/A,TRUE,"Software";#N/A,#N/A,TRUE,"SW-Reg";#N/A,#N/A,TRUE,"Dokumentation"}</definedName>
    <definedName name="wrn.alle." hidden="1">{#N/A,#N/A,TRUE,"Vergabe-Regeln";#N/A,#N/A,TRUE,"Baugruppen";#N/A,#N/A,TRUE,"Geräte";#N/A,#N/A,TRUE,"PC-Software";#N/A,#N/A,TRUE,"Software";#N/A,#N/A,TRUE,"SW-Reg";#N/A,#N/A,TRUE,"Dokumentation"}</definedName>
    <definedName name="wrn.AllVariances." localSheetId="2" hidden="1">{#N/A,#N/A,FALSE,"ActPrior";#N/A,#N/A,FALSE,"ActPlan";#N/A,#N/A,FALSE,"ActFore"}</definedName>
    <definedName name="wrn.AllVariances." hidden="1">{#N/A,#N/A,FALSE,"ActPrior";#N/A,#N/A,FALSE,"ActPlan";#N/A,#N/A,FALSE,"ActFore"}</definedName>
    <definedName name="wrn.amk." localSheetId="2" hidden="1">{#N/A,#N/A,FALSE,"M&amp;B_43A_fab";#N/A,#N/A,FALSE,"M&amp;B_43A_ERE.";#N/A,#N/A,FALSE,"M&amp;B-43A-ALIGN"}</definedName>
    <definedName name="wrn.amk." hidden="1">{#N/A,#N/A,FALSE,"M&amp;B_43A_fab";#N/A,#N/A,FALSE,"M&amp;B_43A_ERE.";#N/A,#N/A,FALSE,"M&amp;B-43A-ALIGN"}</definedName>
    <definedName name="wrn.Assumption._.Book." localSheetId="2" hidden="1">{#N/A,#N/A,FALSE,"Model Assumptions"}</definedName>
    <definedName name="wrn.Assumption._.Book." hidden="1">{#N/A,#N/A,FALSE,"Model Assumptions"}</definedName>
    <definedName name="wrn.backup." localSheetId="2" hidden="1">{"financials",#N/A,FALSE,"BASIC";"interest",#N/A,FALSE,"BASIC";"leasing and financing",#N/A,FALSE,"BASIC";"returns back up",#N/A,FALSE,"BASIC"}</definedName>
    <definedName name="wrn.backup." hidden="1">{"financials",#N/A,FALSE,"BASIC";"interest",#N/A,FALSE,"BASIC";"leasing and financing",#N/A,FALSE,"BASIC";"returns back up",#N/A,FALSE,"BASIC"}</definedName>
    <definedName name="wrn.bank._.model." localSheetId="2" hidden="1">{"banks",#N/A,FALSE,"BASIC"}</definedName>
    <definedName name="wrn.bank._.model." hidden="1">{"banks",#N/A,FALSE,"BASIC"}</definedName>
    <definedName name="wrn.BARCHART." localSheetId="2" hidden="1">{"View1",#N/A,FALSE,"Sheet1";"View2",#N/A,FALSE,"Sheet1";"View3",#N/A,FALSE,"Sheet1";"View4",#N/A,FALSE,"Sheet1"}</definedName>
    <definedName name="wrn.BARCHART." hidden="1">{"View1",#N/A,FALSE,"Sheet1";"View2",#N/A,FALSE,"Sheet1";"View3",#N/A,FALSE,"Sheet1";"View4",#N/A,FALSE,"Sheet1"}</definedName>
    <definedName name="wrn.Basic._.Report." localSheetId="2" hidden="1">{#N/A,#N/A,FALSE,"New Depr Sch-150% DB";#N/A,#N/A,FALSE,"Cash Flows RLP";#N/A,#N/A,FALSE,"IRR";#N/A,#N/A,FALSE,"Proforma IS";#N/A,#N/A,FALSE,"Assumptions"}</definedName>
    <definedName name="wrn.Basic._.Report." hidden="1">{#N/A,#N/A,FALSE,"New Depr Sch-150% DB";#N/A,#N/A,FALSE,"Cash Flows RLP";#N/A,#N/A,FALSE,"IRR";#N/A,#N/A,FALSE,"Proforma IS";#N/A,#N/A,FALSE,"Assumptions"}</definedName>
    <definedName name="wrn.CAP." localSheetId="2" hidden="1">{"DEA CAP",#N/A,TRUE,"DEA";"RVA CAP",#N/A,TRUE,"RVA";"MDA CAP",#N/A,TRUE,"MDA";"Table C CAP",#N/A,TRUE,"C";"Table V CAP",#N/A,TRUE,"V";"DEA GL ACCOUNTS",#N/A,TRUE,"DEA";"RULES CAP",#N/A,TRUE,"RULES";"COs CAP",#N/A,TRUE,"COs";#N/A,#N/A,TRUE,"CHIP"}</definedName>
    <definedName name="wrn.CAP." hidden="1">{"DEA CAP",#N/A,TRUE,"DEA";"RVA CAP",#N/A,TRUE,"RVA";"MDA CAP",#N/A,TRUE,"MDA";"Table C CAP",#N/A,TRUE,"C";"Table V CAP",#N/A,TRUE,"V";"DEA GL ACCOUNTS",#N/A,TRUE,"DEA";"RULES CAP",#N/A,TRUE,"RULES";"COs CAP",#N/A,TRUE,"COs";#N/A,#N/A,TRUE,"CHIP"}</definedName>
    <definedName name="wrn.Capex." localSheetId="2" hidden="1">{#N/A,#N/A,TRUE,"Capex Summ";#N/A,#N/A,TRUE,"Essential Works.tw";#N/A,#N/A,TRUE,"Desirable Works.tw";#N/A,#N/A,TRUE,"Essential Works.rt";#N/A,#N/A,TRUE,"Desirable Works.rt";#N/A,#N/A,TRUE,"Mthly";#N/A,#N/A,TRUE,"Essential Works.ht";#N/A,#N/A,TRUE,"Desirable Works.ht";#N/A,#N/A,TRUE,"Incentives"}</definedName>
    <definedName name="wrn.Capex." hidden="1">{#N/A,#N/A,TRUE,"Capex Summ";#N/A,#N/A,TRUE,"Essential Works.tw";#N/A,#N/A,TRUE,"Desirable Works.tw";#N/A,#N/A,TRUE,"Essential Works.rt";#N/A,#N/A,TRUE,"Desirable Works.rt";#N/A,#N/A,TRUE,"Mthly";#N/A,#N/A,TRUE,"Essential Works.ht";#N/A,#N/A,TRUE,"Desirable Works.ht";#N/A,#N/A,TRUE,"Incentives"}</definedName>
    <definedName name="wrn.clientcopy." localSheetId="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ntrpt." localSheetId="2" hidden="1">{#N/A,#N/A,FALSE,"CLIENT HOPSR";#N/A,#N/A,FALSE,"JEG GRAPH";#N/A,#N/A,FALSE,"PROCESS";#N/A,#N/A,FALSE,"CIVIL";#N/A,#N/A,FALSE,"ELECTRICAL";#N/A,#N/A,FALSE,"CNTRL SYS";#N/A,#N/A,FALSE,"MECH";#N/A,#N/A,FALSE,"PIPE"}</definedName>
    <definedName name="wrn.clntrpt." hidden="1">{#N/A,#N/A,FALSE,"CLIENT HOPSR";#N/A,#N/A,FALSE,"JEG GRAPH";#N/A,#N/A,FALSE,"PROCESS";#N/A,#N/A,FALSE,"CIVIL";#N/A,#N/A,FALSE,"ELECTRICAL";#N/A,#N/A,FALSE,"CNTRL SYS";#N/A,#N/A,FALSE,"MECH";#N/A,#N/A,FALSE,"PIPE"}</definedName>
    <definedName name="wrn.coII._.I." localSheetId="2" hidden="1">{#N/A,#N/A,FALSE,"Fund-I"}</definedName>
    <definedName name="wrn.coII._.I." hidden="1">{#N/A,#N/A,FALSE,"Fund-I"}</definedName>
    <definedName name="wrn.CoIV._.II." localSheetId="2" hidden="1">{#N/A,#N/A,FALSE,"Fund-II"}</definedName>
    <definedName name="wrn.CoIV._.II." hidden="1">{#N/A,#N/A,FALSE,"Fund-II"}</definedName>
    <definedName name="wrn.COM." localSheetId="2" hidden="1">{"COM",#N/A,FALSE,"800 10th"}</definedName>
    <definedName name="wrn.COM." hidden="1">{"COM",#N/A,FALSE,"800 10th"}</definedName>
    <definedName name="wrn.COMLAWTC." localSheetId="2" hidden="1">{"Commish",#N/A,FALSE,"LAWTC"}</definedName>
    <definedName name="wrn.COMLAWTC." hidden="1">{"Commish",#N/A,FALSE,"LAWTC"}</definedName>
    <definedName name="wrn.Complete._.Report." localSheetId="2" hidden="1">{#N/A,#N/A,FALSE,"Assumptions";#N/A,#N/A,FALSE,"Proforma IS";#N/A,#N/A,FALSE,"Cash Flows RLP";#N/A,#N/A,FALSE,"IRR";#N/A,#N/A,FALSE,"New Depr Sch-150% DB";#N/A,#N/A,FALSE,"Comments"}</definedName>
    <definedName name="wrn.Complete._.Report." hidden="1">{#N/A,#N/A,FALSE,"Assumptions";#N/A,#N/A,FALSE,"Proforma IS";#N/A,#N/A,FALSE,"Cash Flows RLP";#N/A,#N/A,FALSE,"IRR";#N/A,#N/A,FALSE,"New Depr Sch-150% DB";#N/A,#N/A,FALSE,"Comments"}</definedName>
    <definedName name="wrn.Complete._.Review." localSheetId="2" hidden="1">{#N/A,#N/A,FALSE,"Occ and Rate";#N/A,#N/A,FALSE,"PF Input";#N/A,#N/A,FALSE,"Capital Input";#N/A,#N/A,FALSE,"Proforma Five Yr";#N/A,#N/A,FALSE,"Calculations";#N/A,#N/A,FALSE,"Transaction Summary-DTW"}</definedName>
    <definedName name="wrn.Complete._.Review." hidden="1">{#N/A,#N/A,FALSE,"Occ and Rate";#N/A,#N/A,FALSE,"PF Input";#N/A,#N/A,FALSE,"Capital Input";#N/A,#N/A,FALSE,"Proforma Five Yr";#N/A,#N/A,FALSE,"Calculations";#N/A,#N/A,FALSE,"Transaction Summary-DTW"}</definedName>
    <definedName name="wrn.consumable." localSheetId="2"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Data._.and._.Totals." localSheetId="2" hidden="1">{"All Except Totals",#N/A,TRUE,"Recap";"Totals Page",#N/A,TRUE,"Recap"}</definedName>
    <definedName name="wrn.Data._.and._.Totals." hidden="1">{"All Except Totals",#N/A,TRUE,"Recap";"Totals Page",#N/A,TRUE,"Recap"}</definedName>
    <definedName name="wrn.Data._.and._.Totals._1" localSheetId="2" hidden="1">{"All Except Totals",#N/A,TRUE,"Recap";"Totals Page",#N/A,TRUE,"Recap"}</definedName>
    <definedName name="wrn.Data._.and._.Totals._1" hidden="1">{"All Except Totals",#N/A,TRUE,"Recap";"Totals Page",#N/A,TRUE,"Recap"}</definedName>
    <definedName name="wrn.dep." localSheetId="2" hidden="1">{"dep. full detail",#N/A,FALSE,"annex";"3cd annex",#N/A,FALSE,"annex";"co. dep.",#N/A,FALSE,"annex"}</definedName>
    <definedName name="wrn.dep." hidden="1">{"dep. full detail",#N/A,FALSE,"annex";"3cd annex",#N/A,FALSE,"annex";"co. dep.",#N/A,FALSE,"annex"}</definedName>
    <definedName name="wrn.Detail." localSheetId="2" hidden="1">{"Detail",#N/A,FALSE,"Assump";"Detail",#N/A,FALSE,"Muni";"Detail",#N/A,FALSE,"Proj";"Detail",#N/A,FALSE,"Calc";"Present",#N/A,FALSE,"Cover"}</definedName>
    <definedName name="wrn.Detail." hidden="1">{"Detail",#N/A,FALSE,"Assump";"Detail",#N/A,FALSE,"Muni";"Detail",#N/A,FALSE,"Proj";"Detail",#N/A,FALSE,"Calc";"Present",#N/A,FALSE,"Cover"}</definedName>
    <definedName name="wrn.elect." localSheetId="2"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quipment._.list._.and._.Summary." hidden="1">{#N/A,#N/A,FALSE,"SUMMARY SHEET";#N/A,#N/A,FALSE,"Page 1";#N/A,#N/A,FALSE,"Page 2";#N/A,#N/A,FALSE,"Page 3";#N/A,#N/A,FALSE,"Page 4";#N/A,#N/A,FALSE,"Page 5";#N/A,#N/A,FALSE,"Page 6";#N/A,#N/A,FALSE,"Page 7"}</definedName>
    <definedName name="wrn.filecopy." localSheetId="2"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loor." localSheetId="2" hidden="1">{#N/A,#N/A,TRUE,"Flooring "}</definedName>
    <definedName name="wrn.floor." hidden="1">{#N/A,#N/A,TRUE,"Flooring "}</definedName>
    <definedName name="WRN.FULL" localSheetId="2" hidden="1">{#N/A,#N/A,TRUE,"Front";#N/A,#N/A,TRUE,"Simple Letter";#N/A,#N/A,TRUE,"Inside";#N/A,#N/A,TRUE,"Contents";#N/A,#N/A,TRUE,"Basis";#N/A,#N/A,TRUE,"Inclusions";#N/A,#N/A,TRUE,"Exclusions";#N/A,#N/A,TRUE,"Areas";#N/A,#N/A,TRUE,"Summary";#N/A,#N/A,TRUE,"Detail"}</definedName>
    <definedName name="WRN.FULL" hidden="1">{#N/A,#N/A,TRUE,"Front";#N/A,#N/A,TRUE,"Simple Letter";#N/A,#N/A,TRUE,"Inside";#N/A,#N/A,TRUE,"Contents";#N/A,#N/A,TRUE,"Basis";#N/A,#N/A,TRUE,"Inclusions";#N/A,#N/A,TRUE,"Exclusions";#N/A,#N/A,TRUE,"Areas";#N/A,#N/A,TRUE,"Summary";#N/A,#N/A,TRUE,"Detail"}</definedName>
    <definedName name="wrn.FULL." localSheetId="2" hidden="1">{#N/A,#N/A,FALSE,"B"}</definedName>
    <definedName name="wrn.FULL." hidden="1">{#N/A,#N/A,FALSE,"B"}</definedName>
    <definedName name="wrn.Full._.Financials." localSheetId="2" hidden="1">{#N/A,#N/A,TRUE,"Financials";#N/A,#N/A,TRUE,"Operating Statistics";#N/A,#N/A,TRUE,"Capex &amp; Depreciation";#N/A,#N/A,TRUE,"Debt"}</definedName>
    <definedName name="wrn.Full._.Financials." hidden="1">{#N/A,#N/A,TRUE,"Financials";#N/A,#N/A,TRUE,"Operating Statistics";#N/A,#N/A,TRUE,"Capex &amp; Depreciation";#N/A,#N/A,TRUE,"Debt"}</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Full._.Report._1" localSheetId="2" hidden="1">{#N/A,#N/A,TRUE,"Front";#N/A,#N/A,TRUE,"Simple Letter";#N/A,#N/A,TRUE,"Inside";#N/A,#N/A,TRUE,"Contents";#N/A,#N/A,TRUE,"Basis";#N/A,#N/A,TRUE,"Inclusions";#N/A,#N/A,TRUE,"Exclusions";#N/A,#N/A,TRUE,"Areas";#N/A,#N/A,TRUE,"Summary";#N/A,#N/A,TRUE,"Detail"}</definedName>
    <definedName name="wrn.Full._.Report._1" hidden="1">{#N/A,#N/A,TRUE,"Front";#N/A,#N/A,TRUE,"Simple Letter";#N/A,#N/A,TRUE,"Inside";#N/A,#N/A,TRUE,"Contents";#N/A,#N/A,TRUE,"Basis";#N/A,#N/A,TRUE,"Inclusions";#N/A,#N/A,TRUE,"Exclusions";#N/A,#N/A,TRUE,"Areas";#N/A,#N/A,TRUE,"Summary";#N/A,#N/A,TRUE,"Detail"}</definedName>
    <definedName name="wrn.full._.reports" localSheetId="2" hidden="1">{#N/A,#N/A,TRUE,"Front";#N/A,#N/A,TRUE,"Simple Letter";#N/A,#N/A,TRUE,"Inside";#N/A,#N/A,TRUE,"Contents";#N/A,#N/A,TRUE,"Basis";#N/A,#N/A,TRUE,"Inclusions";#N/A,#N/A,TRUE,"Exclusions";#N/A,#N/A,TRUE,"Areas";#N/A,#N/A,TRUE,"Summary";#N/A,#N/A,TRUE,"Detail"}</definedName>
    <definedName name="wrn.full._.reports" hidden="1">{#N/A,#N/A,TRUE,"Front";#N/A,#N/A,TRUE,"Simple Letter";#N/A,#N/A,TRUE,"Inside";#N/A,#N/A,TRUE,"Contents";#N/A,#N/A,TRUE,"Basis";#N/A,#N/A,TRUE,"Inclusions";#N/A,#N/A,TRUE,"Exclusions";#N/A,#N/A,TRUE,"Areas";#N/A,#N/A,TRUE,"Summary";#N/A,#N/A,TRUE,"Detail"}</definedName>
    <definedName name="wrn.full.fin.1" localSheetId="2" hidden="1">{#N/A,#N/A,TRUE,"Financials";#N/A,#N/A,TRUE,"Operating Statistics";#N/A,#N/A,TRUE,"Capex &amp; Depreciation";#N/A,#N/A,TRUE,"Debt"}</definedName>
    <definedName name="wrn.full.fin.1" hidden="1">{#N/A,#N/A,TRUE,"Financials";#N/A,#N/A,TRUE,"Operating Statistics";#N/A,#N/A,TRUE,"Capex &amp; Depreciation";#N/A,#N/A,TRUE,"Debt"}</definedName>
    <definedName name="wrn.fulld" localSheetId="2" hidden="1">{#N/A,#N/A,TRUE,"Front";#N/A,#N/A,TRUE,"Simple Letter";#N/A,#N/A,TRUE,"Inside";#N/A,#N/A,TRUE,"Contents";#N/A,#N/A,TRUE,"Basis";#N/A,#N/A,TRUE,"Inclusions";#N/A,#N/A,TRUE,"Exclusions";#N/A,#N/A,TRUE,"Areas";#N/A,#N/A,TRUE,"Summary";#N/A,#N/A,TRUE,"Detail"}</definedName>
    <definedName name="wrn.fulld" hidden="1">{#N/A,#N/A,TRUE,"Front";#N/A,#N/A,TRUE,"Simple Letter";#N/A,#N/A,TRUE,"Inside";#N/A,#N/A,TRUE,"Contents";#N/A,#N/A,TRUE,"Basis";#N/A,#N/A,TRUE,"Inclusions";#N/A,#N/A,TRUE,"Exclusions";#N/A,#N/A,TRUE,"Areas";#N/A,#N/A,TRUE,"Summary";#N/A,#N/A,TRUE,"Detail"}</definedName>
    <definedName name="wrn.fulll" localSheetId="2" hidden="1">{#N/A,#N/A,TRUE,"Front";#N/A,#N/A,TRUE,"Simple Letter";#N/A,#N/A,TRUE,"Inside";#N/A,#N/A,TRUE,"Contents";#N/A,#N/A,TRUE,"Basis";#N/A,#N/A,TRUE,"Inclusions";#N/A,#N/A,TRUE,"Exclusions";#N/A,#N/A,TRUE,"Areas";#N/A,#N/A,TRUE,"Summary";#N/A,#N/A,TRUE,"Detail"}</definedName>
    <definedName name="wrn.fulll" hidden="1">{#N/A,#N/A,TRUE,"Front";#N/A,#N/A,TRUE,"Simple Letter";#N/A,#N/A,TRUE,"Inside";#N/A,#N/A,TRUE,"Contents";#N/A,#N/A,TRUE,"Basis";#N/A,#N/A,TRUE,"Inclusions";#N/A,#N/A,TRUE,"Exclusions";#N/A,#N/A,TRUE,"Areas";#N/A,#N/A,TRUE,"Summary";#N/A,#N/A,TRUE,"Detail"}</definedName>
    <definedName name="wrn.fullreport." localSheetId="2"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fullreport."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G.C.P.L.." localSheetId="2" hidden="1">{#N/A,#N/A,FALSE,"gc (2)"}</definedName>
    <definedName name="wrn.G.C.P.L.." hidden="1">{#N/A,#N/A,FALSE,"gc (2)"}</definedName>
    <definedName name="wrn.GENSERV." localSheetId="2" hidden="1">{#N/A,#N/A,FALSE,"VISTAF"}</definedName>
    <definedName name="wrn.GENSERV." hidden="1">{#N/A,#N/A,FALSE,"VISTAF"}</definedName>
    <definedName name="wrn.HILTON._.GARDEN._.INN." localSheetId="2" hidden="1">{#N/A,#N/A,FALSE,"SUMMARY SHEET";#N/A,#N/A,FALSE,"CAT1-16 SUMM";#N/A,#N/A,FALSE,"LABOR";#N/A,#N/A,FALSE,"TELEPHONES";#N/A,#N/A,FALSE,"EQUIPMENT";#N/A,#N/A,FALSE,"SUPPLIES";#N/A,#N/A,FALSE,"FF &amp; E";#N/A,#N/A,FALSE,"DESIGN COSTS";#N/A,#N/A,FALSE,"PROGRAM"}</definedName>
    <definedName name="wrn.HILTON._.GARDEN._.INN." hidden="1">{#N/A,#N/A,FALSE,"SUMMARY SHEET";#N/A,#N/A,FALSE,"CAT1-16 SUMM";#N/A,#N/A,FALSE,"LABOR";#N/A,#N/A,FALSE,"TELEPHONES";#N/A,#N/A,FALSE,"EQUIPMENT";#N/A,#N/A,FALSE,"SUPPLIES";#N/A,#N/A,FALSE,"FF &amp; E";#N/A,#N/A,FALSE,"DESIGN COSTS";#N/A,#N/A,FALSE,"PROGRAM"}</definedName>
    <definedName name="wrn.Investment._.Review." localSheetId="2" hidden="1">{#N/A,#N/A,FALSE,"Proforma Five Yr";#N/A,#N/A,FALSE,"Capital Input";#N/A,#N/A,FALSE,"Calculations";#N/A,#N/A,FALSE,"Transaction Summary-DTW"}</definedName>
    <definedName name="wrn.Investment._.Review." hidden="1">{#N/A,#N/A,FALSE,"Proforma Five Yr";#N/A,#N/A,FALSE,"Capital Input";#N/A,#N/A,FALSE,"Calculations";#N/A,#N/A,FALSE,"Transaction Summary-DTW"}</definedName>
    <definedName name="wrn.Investors._.II." localSheetId="2" hidden="1">{#N/A,#N/A,FALSE,"Fund-II"}</definedName>
    <definedName name="wrn.Investors._.II." hidden="1">{#N/A,#N/A,FALSE,"Fund-II"}</definedName>
    <definedName name="wrn.jegrpt." localSheetId="2" hidden="1">{#N/A,#N/A,FALSE,"PJT STATUS RVW";#N/A,#N/A,FALSE,"MAPS CKLIST";#N/A,#N/A,FALSE,"HOPSR-BASE-IHOCS";#N/A,#N/A,FALSE,"HOPSR-BASE FOR REPORT";#N/A,#N/A,FALSE,"GEN SERVICES";#N/A,#N/A,FALSE,"FINANCIAL";#N/A,#N/A,FALSE,"CONTRACT CURVES";#N/A,#N/A,FALSE,"JEG GRAPH";#N/A,#N/A,FALSE,"JEG GRAPH (2)"}</definedName>
    <definedName name="wrn.jegrpt." hidden="1">{#N/A,#N/A,FALSE,"PJT STATUS RVW";#N/A,#N/A,FALSE,"MAPS CKLIST";#N/A,#N/A,FALSE,"HOPSR-BASE-IHOCS";#N/A,#N/A,FALSE,"HOPSR-BASE FOR REPORT";#N/A,#N/A,FALSE,"GEN SERVICES";#N/A,#N/A,FALSE,"FINANCIAL";#N/A,#N/A,FALSE,"CONTRACT CURVES";#N/A,#N/A,FALSE,"JEG GRAPH";#N/A,#N/A,FALSE,"JEG GRAPH (2)"}</definedName>
    <definedName name="wrn.Kuwait._.1." localSheetId="2" hidden="1">{#N/A,#N/A,FALSE,"Fund-I"}</definedName>
    <definedName name="wrn.Kuwait._.1." hidden="1">{#N/A,#N/A,FALSE,"Fund-I"}</definedName>
    <definedName name="wrn.LTCG." localSheetId="2" hidden="1">{"office ltcg",#N/A,FALSE,"gain01";"IT LTCG",#N/A,FALSE,"gain01"}</definedName>
    <definedName name="wrn.LTCG." hidden="1">{"office ltcg",#N/A,FALSE,"gain01";"IT LTCG",#N/A,FALSE,"gain01"}</definedName>
    <definedName name="wrn.MARGIN." localSheetId="2" hidden="1">{#N/A,#N/A,FALSE,"VISTAF"}</definedName>
    <definedName name="wrn.MARGIN." hidden="1">{#N/A,#N/A,FALSE,"VISTAF"}</definedName>
    <definedName name="wrn.MFS._.BOS." localSheetId="2"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wrn.MFS._.BOS."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wrn.mhrfcst." localSheetId="2" hidden="1">{#N/A,#N/A,FALSE,"MANHR FCST-BASE"}</definedName>
    <definedName name="wrn.mhrfcst." hidden="1">{#N/A,#N/A,FALSE,"MANHR FCST-BASE"}</definedName>
    <definedName name="wrn.model." localSheetId="2" hidden="1">{"basic",#N/A,FALSE,"BASIC"}</definedName>
    <definedName name="wrn.model." hidden="1">{"basic",#N/A,FALSE,"BASIC"}</definedName>
    <definedName name="wrn.mortassetplan." localSheetId="2" hidden="1">{#N/A,#N/A,FALSE,"asset plan";#N/A,#N/A,FALSE,"Mgmt Report";#N/A,#N/A,FALSE,"sensitivities (2)";#N/A,#N/A,FALSE,"sensitivities";#N/A,#N/A,FALSE,"let up 10  Mort";#N/A,#N/A,FALSE,"let up 12 Mort";#N/A,#N/A,FALSE,"Capex";#N/A,#N/A,FALSE,"Capex Cashflow (2)";#N/A,#N/A,FALSE,"Capex Cashflow (3)";#N/A,#N/A,FALSE,"House View";#N/A,#N/A,FALSE,"kpi"}</definedName>
    <definedName name="wrn.mortassetplan." hidden="1">{#N/A,#N/A,FALSE,"asset plan";#N/A,#N/A,FALSE,"Mgmt Report";#N/A,#N/A,FALSE,"sensitivities (2)";#N/A,#N/A,FALSE,"sensitivities";#N/A,#N/A,FALSE,"let up 10  Mort";#N/A,#N/A,FALSE,"let up 12 Mort";#N/A,#N/A,FALSE,"Capex";#N/A,#N/A,FALSE,"Capex Cashflow (2)";#N/A,#N/A,FALSE,"Capex Cashflow (3)";#N/A,#N/A,FALSE,"House View";#N/A,#N/A,FALSE,"kpi"}</definedName>
    <definedName name="Wrn.nov29" localSheetId="2" hidden="1">{#N/A,#N/A,FALSE,"BALLY COSTS";#N/A,#N/A,FALSE,"FF&amp;E";#N/A,#N/A,FALSE,"FEES";#N/A,#N/A,FALSE,"CONTINGENCY";#N/A,#N/A,FALSE,"SOFT COSTS";#N/A,#N/A,FALSE,"DETAIL";#N/A,#N/A,FALSE,"sum12-3"}</definedName>
    <definedName name="Wrn.nov29" hidden="1">{#N/A,#N/A,FALSE,"BALLY COSTS";#N/A,#N/A,FALSE,"FF&amp;E";#N/A,#N/A,FALSE,"FEES";#N/A,#N/A,FALSE,"CONTINGENCY";#N/A,#N/A,FALSE,"SOFT COSTS";#N/A,#N/A,FALSE,"DETAIL";#N/A,#N/A,FALSE,"sum12-3"}</definedName>
    <definedName name="wrn.NOV30." localSheetId="2" hidden="1">{#N/A,#N/A,FALSE,"BALLY COSTS";#N/A,#N/A,FALSE,"FF&amp;E";#N/A,#N/A,FALSE,"FEES";#N/A,#N/A,FALSE,"CONTINGENCY";#N/A,#N/A,FALSE,"SOFT COSTS";#N/A,#N/A,FALSE,"DETAIL";#N/A,#N/A,FALSE,"sum12-3"}</definedName>
    <definedName name="wrn.NOV30." hidden="1">{#N/A,#N/A,FALSE,"BALLY COSTS";#N/A,#N/A,FALSE,"FF&amp;E";#N/A,#N/A,FALSE,"FEES";#N/A,#N/A,FALSE,"CONTINGENCY";#N/A,#N/A,FALSE,"SOFT COSTS";#N/A,#N/A,FALSE,"DETAIL";#N/A,#N/A,FALSE,"sum12-3"}</definedName>
    <definedName name="wrn.november._.17." localSheetId="2"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november._.17."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One._.Pager._.plus._.Technicals." localSheetId="2" hidden="1">{#N/A,#N/A,FALSE,"One Pager";#N/A,#N/A,FALSE,"Technical"}</definedName>
    <definedName name="wrn.One._.Pager._.plus._.Technicals." hidden="1">{#N/A,#N/A,FALSE,"One Pager";#N/A,#N/A,FALSE,"Technical"}</definedName>
    <definedName name="wrn.Operations._.Review." localSheetId="2" hidden="1">{#N/A,#N/A,FALSE,"Proforma Five Yr";#N/A,#N/A,FALSE,"Occ and Rate";#N/A,#N/A,FALSE,"PF Input";#N/A,#N/A,FALSE,"Hotcomps"}</definedName>
    <definedName name="wrn.Operations._.Review." hidden="1">{#N/A,#N/A,FALSE,"Proforma Five Yr";#N/A,#N/A,FALSE,"Occ and Rate";#N/A,#N/A,FALSE,"PF Input";#N/A,#N/A,FALSE,"Hotcomps"}</definedName>
    <definedName name="wrn.P854._.ADDENDUM." localSheetId="2" hidden="1">{#N/A,#N/A,FALSE,"mgtsum.XLS";#N/A,#N/A,FALSE,"CAPONE";#N/A,#N/A,FALSE,"CAPTWO";#N/A,#N/A,FALSE,"CAPTHREE"}</definedName>
    <definedName name="wrn.P854._.ADDENDUM." hidden="1">{#N/A,#N/A,FALSE,"mgtsum.XLS";#N/A,#N/A,FALSE,"CAPONE";#N/A,#N/A,FALSE,"CAPTWO";#N/A,#N/A,FALSE,"CAPTHREE"}</definedName>
    <definedName name="wrn.p854._.addendum2" localSheetId="2" hidden="1">{#N/A,#N/A,FALSE,"mgtsum.XLS";#N/A,#N/A,FALSE,"CAPONE";#N/A,#N/A,FALSE,"CAPTWO";#N/A,#N/A,FALSE,"CAPTHREE"}</definedName>
    <definedName name="wrn.p854._.addendum2" hidden="1">{#N/A,#N/A,FALSE,"mgtsum.XLS";#N/A,#N/A,FALSE,"CAPONE";#N/A,#N/A,FALSE,"CAPTWO";#N/A,#N/A,FALSE,"CAPTHREE"}</definedName>
    <definedName name="wrn.p854._.addendum3" localSheetId="2" hidden="1">{#N/A,#N/A,FALSE,"mgtsum.XLS";#N/A,#N/A,FALSE,"CAPONE";#N/A,#N/A,FALSE,"CAPTWO";#N/A,#N/A,FALSE,"CAPTHREE"}</definedName>
    <definedName name="wrn.p854._.addendum3" hidden="1">{#N/A,#N/A,FALSE,"mgtsum.XLS";#N/A,#N/A,FALSE,"CAPONE";#N/A,#N/A,FALSE,"CAPTWO";#N/A,#N/A,FALSE,"CAPTHREE"}</definedName>
    <definedName name="wrn.Package." localSheetId="2"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wrn.Package."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wrn.PARTNERSHIP." localSheetId="2" hidden="1">{#N/A,#N/A,FALSE,"BALANCE SHEET";#N/A,#N/A,FALSE,"PL ACCOUNT";#N/A,#N/A,FALSE,"FIXED ASSETS";#N/A,#N/A,FALSE,"HP (V)";#N/A,#N/A,FALSE,"TAX COMP";#N/A,#N/A,FALSE,"W&amp;T";#N/A,#N/A,FALSE,"RECONCILE"}</definedName>
    <definedName name="wrn.PARTNERSHIP." hidden="1">{#N/A,#N/A,FALSE,"BALANCE SHEET";#N/A,#N/A,FALSE,"PL ACCOUNT";#N/A,#N/A,FALSE,"FIXED ASSETS";#N/A,#N/A,FALSE,"HP (V)";#N/A,#N/A,FALSE,"TAX COMP";#N/A,#N/A,FALSE,"W&amp;T";#N/A,#N/A,FALSE,"RECONCILE"}</definedName>
    <definedName name="wrn.pauls." localSheetId="2" hidden="1">{#N/A,#N/A,FALSE,"PSU"}</definedName>
    <definedName name="wrn.pauls." hidden="1">{#N/A,#N/A,FALSE,"PSU"}</definedName>
    <definedName name="wrn.Phase._.I." localSheetId="2" hidden="1">{#N/A,#N/A,FALSE,"Transaction Summary-DTW";#N/A,#N/A,FALSE,"Proforma Five Yr";#N/A,#N/A,FALSE,"Occ and Rate"}</definedName>
    <definedName name="wrn.Phase._.I." hidden="1">{#N/A,#N/A,FALSE,"Transaction Summary-DTW";#N/A,#N/A,FALSE,"Proforma Five Yr";#N/A,#N/A,FALSE,"Occ and Rate"}</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resent." localSheetId="2" hidden="1">{"Present",#N/A,FALSE,"Assump";"Present",#N/A,FALSE,"Calc";"Present",#N/A,FALSE,"Cover"}</definedName>
    <definedName name="wrn.Present." hidden="1">{"Present",#N/A,FALSE,"Assump";"Present",#N/A,FALSE,"Calc";"Present",#N/A,FALSE,"Cover"}</definedName>
    <definedName name="wrn.PRESENTATION." localSheetId="2" hidden="1">{#N/A,#N/A,FALSE,"SUMMARY SHEET";#N/A,#N/A,FALSE,"VARIANCE REPORT";#N/A,#N/A,FALSE,"CAT1-16 SUMM";#N/A,#N/A,FALSE,"GCS";#N/A,#N/A,FALSE,"FF &amp; E";#N/A,#N/A,FALSE,"DESIGN COSTS"}</definedName>
    <definedName name="wrn.PRESENTATION." hidden="1">{#N/A,#N/A,FALSE,"SUMMARY SHEET";#N/A,#N/A,FALSE,"VARIANCE REPORT";#N/A,#N/A,FALSE,"CAT1-16 SUMM";#N/A,#N/A,FALSE,"GCS";#N/A,#N/A,FALSE,"FF &amp; E";#N/A,#N/A,FALSE,"DESIGN COSTS"}</definedName>
    <definedName name="wrn.print." localSheetId="2" hidden="1">{#N/A,#N/A,FALSE,"Japan 2003";#N/A,#N/A,FALSE,"Sheet2"}</definedName>
    <definedName name="wrn.print." hidden="1">{#N/A,#N/A,FALSE,"Japan 2003";#N/A,#N/A,FALSE,"Sheet2"}</definedName>
    <definedName name="wrn.Print._.Model." localSheetId="2"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Output." localSheetId="2" hidden="1">{#N/A,#N/A,FALSE,"OUTPUT SHEET "}</definedName>
    <definedName name="wrn.Print._.Output." hidden="1">{#N/A,#N/A,FALSE,"OUTPUT SHEET "}</definedName>
    <definedName name="wrn.Print._.whole._.Report." localSheetId="2"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ocess._.Graphs." localSheetId="2" hidden="1">{"process graphs",#N/A,FALSE,"graphs&amp;data"}</definedName>
    <definedName name="wrn.Process._.Graphs." hidden="1">{"process graphs",#N/A,FALSE,"graphs&amp;data"}</definedName>
    <definedName name="wrn.Profitability." localSheetId="2" hidden="1">{#N/A,"Good",TRUE,"Sheet1";#N/A,"Normal",TRUE,"Sheet1";#N/A,"Bad",TRUE,"Sheet1"}</definedName>
    <definedName name="wrn.Profitability." hidden="1">{#N/A,"Good",TRUE,"Sheet1";#N/A,"Normal",TRUE,"Sheet1";#N/A,"Bad",TRUE,"Sheet1"}</definedName>
    <definedName name="wrn.Proforma._.Review." localSheetId="2" hidden="1">{#N/A,#N/A,FALSE,"Occ and Rate";#N/A,#N/A,FALSE,"PF Input";#N/A,#N/A,FALSE,"Proforma Five Yr";#N/A,#N/A,FALSE,"Hotcomps"}</definedName>
    <definedName name="wrn.Proforma._.Review." hidden="1">{#N/A,#N/A,FALSE,"Occ and Rate";#N/A,#N/A,FALSE,"PF Input";#N/A,#N/A,FALSE,"Proforma Five Yr";#N/A,#N/A,FALSE,"Hotcomps"}</definedName>
    <definedName name="wrn.Project._.Graphs." localSheetId="2" hidden="1">{"project graphs",#N/A,FALSE,"graphs&amp;data"}</definedName>
    <definedName name="wrn.Project._.Graphs." hidden="1">{"project graphs",#N/A,FALSE,"graphs&amp;data"}</definedName>
    <definedName name="wrn.QAPU." localSheetId="2" hidden="1">{#N/A,#N/A,FALSE,"5YRASSPl - consol'd";#N/A,#N/A,FALSE,"5YRASSPl - hotel";#N/A,#N/A,FALSE,"5YRASSPl - excl htl";#N/A,#N/A,FALSE,"VarReport";#N/A,#N/A,FALSE,"Sensitivity";#N/A,#N/A,FALSE,"House View ";#N/A,#N/A,FALSE,"KPI"}</definedName>
    <definedName name="wrn.QAPU." hidden="1">{#N/A,#N/A,FALSE,"5YRASSPl - consol'd";#N/A,#N/A,FALSE,"5YRASSPl - hotel";#N/A,#N/A,FALSE,"5YRASSPl - excl htl";#N/A,#N/A,FALSE,"VarReport";#N/A,#N/A,FALSE,"Sensitivity";#N/A,#N/A,FALSE,"House View ";#N/A,#N/A,FALSE,"KPI"}</definedName>
    <definedName name="wrn.Quill._.Construction._.Creditors._.Report." hidden="1">{#N/A,#N/A,TRUE,"Miscre Listing"}</definedName>
    <definedName name="wrn.RCC." localSheetId="2"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EPORT._.ALL." localSheetId="2" hidden="1">{#N/A,#N/A,FALSE,"MASTER SUMMARY";#N/A,#N/A,FALSE,"FF&amp;E COSTS";#N/A,#N/A,FALSE,"BALLY COSTS";#N/A,#N/A,FALSE,"GENERAL COND.";#N/A,#N/A,FALSE,"SOFT COSTS";#N/A,#N/A,FALSE,"GARAGE SUMMARY";#N/A,#N/A,FALSE,"CAP INTEREST";#N/A,#N/A,FALSE,"4.00 FEATURES";#N/A,#N/A,FALSE,"MISCELLANEOUS";#N/A,#N/A,FALSE,"DESIGN COSTS"}</definedName>
    <definedName name="wrn.REPORT._.ALL." hidden="1">{#N/A,#N/A,FALSE,"MASTER SUMMARY";#N/A,#N/A,FALSE,"FF&amp;E COSTS";#N/A,#N/A,FALSE,"BALLY COSTS";#N/A,#N/A,FALSE,"GENERAL COND.";#N/A,#N/A,FALSE,"SOFT COSTS";#N/A,#N/A,FALSE,"GARAGE SUMMARY";#N/A,#N/A,FALSE,"CAP INTEREST";#N/A,#N/A,FALSE,"4.00 FEATURES";#N/A,#N/A,FALSE,"MISCELLANEOUS";#N/A,#N/A,FALSE,"DESIGN COSTS"}</definedName>
    <definedName name="wrn.Risk._.Analysis._.Report._.1." localSheetId="2" hidden="1">{#N/A,#N/A,FALSE,"Sheet2";#N/A,#N/A,FALSE,"Sheet4";#N/A,#N/A,FALSE,"Sheet5"}</definedName>
    <definedName name="wrn.Risk._.Analysis._.Report._.1." hidden="1">{#N/A,#N/A,FALSE,"Sheet2";#N/A,#N/A,FALSE,"Sheet4";#N/A,#N/A,FALSE,"Sheet5"}</definedName>
    <definedName name="wrn.Risk._.Analysis._.Report._.1._1" localSheetId="2" hidden="1">{#N/A,#N/A,FALSE,"Sheet2";#N/A,#N/A,FALSE,"Sheet4";#N/A,#N/A,FALSE,"Sheet5"}</definedName>
    <definedName name="wrn.Risk._.Analysis._.Report._.1._1" hidden="1">{#N/A,#N/A,FALSE,"Sheet2";#N/A,#N/A,FALSE,"Sheet4";#N/A,#N/A,FALSE,"Sheet5"}</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1" localSheetId="2" hidden="1">{#N/A,#N/A,FALSE,"COVER1.XLS ";#N/A,#N/A,FALSE,"RACT1.XLS";#N/A,#N/A,FALSE,"RACT2.XLS";#N/A,#N/A,FALSE,"ECCMP";#N/A,#N/A,FALSE,"WELDER.XLS"}</definedName>
    <definedName name="wrn.summ1"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AX._.COMPUTATION." localSheetId="2" hidden="1">{#N/A,#N/A,FALSE,"TAX COMPUTATION";#N/A,#N/A,FALSE,"TAX SCHEDULE";#N/A,#N/A,FALSE,"ADDITIONS";#N/A,#N/A,FALSE,"W &amp; T"}</definedName>
    <definedName name="wrn.TAX._.COMPUTATION." hidden="1">{#N/A,#N/A,FALSE,"TAX COMPUTATION";#N/A,#N/A,FALSE,"TAX SCHEDULE";#N/A,#N/A,FALSE,"ADDITIONS";#N/A,#N/A,FALSE,"W &amp; T"}</definedName>
    <definedName name="wrn.Test._.Report." localSheetId="2" hidden="1">{#N/A,#N/A,FALSE,"DATA D.I.";#N/A,#N/A,FALSE,"DATA C.I."}</definedName>
    <definedName name="wrn.Test._.Report." hidden="1">{#N/A,#N/A,FALSE,"DATA D.I.";#N/A,#N/A,FALSE,"DATA C.I."}</definedName>
    <definedName name="wrn.Total._.Print." localSheetId="2"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u구매." hidden="1">{#N/A,#N/A,FALSE,"견적대비-2"}</definedName>
    <definedName name="wrn.trial." localSheetId="2" hidden="1">{#N/A,#N/A,FALSE,"mpph1";#N/A,#N/A,FALSE,"mpmseb";#N/A,#N/A,FALSE,"mpph2"}</definedName>
    <definedName name="wrn.trial." hidden="1">{#N/A,#N/A,FALSE,"mpph1";#N/A,#N/A,FALSE,"mpmseb";#N/A,#N/A,FALSE,"mpph2"}</definedName>
    <definedName name="wrn.Valuation._.Summaries." localSheetId="2" hidden="1">{#N/A,#N/A,FALSE,"Cover Sheet";#N/A,#N/A,FALSE,"Financial Assumptions";#N/A,#N/A,FALSE,"DCFOverviewPower";#N/A,#N/A,FALSE,"DCFOverviewGas";#N/A,#N/A,FALSE,"DCFOverviewWater";#N/A,#N/A,FALSE,"DCFOverviewVersorgung"}</definedName>
    <definedName name="wrn.Valuation._.Summaries." hidden="1">{#N/A,#N/A,FALSE,"Cover Sheet";#N/A,#N/A,FALSE,"Financial Assumptions";#N/A,#N/A,FALSE,"DCFOverviewPower";#N/A,#N/A,FALSE,"DCFOverviewGas";#N/A,#N/A,FALSE,"DCFOverviewWater";#N/A,#N/A,FALSE,"DCFOverviewVersorgung"}</definedName>
    <definedName name="wrn.ventana." localSheetId="2" hidden="1">{#N/A,#N/A,FALSE,"Cash Flow";#N/A,#N/A,FALSE,"scenario 1"}</definedName>
    <definedName name="wrn.ventana." hidden="1">{#N/A,#N/A,FALSE,"Cash Flow";#N/A,#N/A,FALSE,"scenario 1"}</definedName>
    <definedName name="wrn.ventana.BKC" localSheetId="2" hidden="1">{#N/A,#N/A,FALSE,"Cash Flow";#N/A,#N/A,FALSE,"scenario 1"}</definedName>
    <definedName name="wrn.ventana.BKC" hidden="1">{#N/A,#N/A,FALSE,"Cash Flow";#N/A,#N/A,FALSE,"scenario 1"}</definedName>
    <definedName name="wrn.Versorgungs._.GmbH._.Data." localSheetId="2" hidden="1">{#N/A,#N/A,FALSE,"DCFCoverVersorgung";#N/A,#N/A,FALSE,"DCFOverviewVersorgung";#N/A,#N/A,FALSE,"PlanVersorgung";#N/A,#N/A,FALSE,"DCFVersorgung";#N/A,#N/A,FALSE,"ValueVersorgung";#N/A,#N/A,FALSE,"WaccVersorgung";#N/A,#N/A,FALSE,"WaccVersorgung";#N/A,#N/A,FALSE,"WaccCompVersorgung";#N/A,#N/A,FALSE,"MatrixVersorgung"}</definedName>
    <definedName name="wrn.Versorgungs._.GmbH._.Data." hidden="1">{#N/A,#N/A,FALSE,"DCFCoverVersorgung";#N/A,#N/A,FALSE,"DCFOverviewVersorgung";#N/A,#N/A,FALSE,"PlanVersorgung";#N/A,#N/A,FALSE,"DCFVersorgung";#N/A,#N/A,FALSE,"ValueVersorgung";#N/A,#N/A,FALSE,"WaccVersorgung";#N/A,#N/A,FALSE,"WaccVersorgung";#N/A,#N/A,FALSE,"WaccCompVersorgung";#N/A,#N/A,FALSE,"MatrixVersorgung"}</definedName>
    <definedName name="WRN0" localSheetId="2" hidden="1">{#N/A,#N/A,FALSE,"COVER1.XLS ";#N/A,#N/A,FALSE,"RACT1.XLS";#N/A,#N/A,FALSE,"RACT2.XLS";#N/A,#N/A,FALSE,"ECCMP";#N/A,#N/A,FALSE,"WELDER.XLS"}</definedName>
    <definedName name="WRN0" hidden="1">{#N/A,#N/A,FALSE,"COVER1.XLS ";#N/A,#N/A,FALSE,"RACT1.XLS";#N/A,#N/A,FALSE,"RACT2.XLS";#N/A,#N/A,FALSE,"ECCMP";#N/A,#N/A,FALSE,"WELDER.XLS"}</definedName>
    <definedName name="wrnfulla" localSheetId="2" hidden="1">{#N/A,#N/A,TRUE,"Front";#N/A,#N/A,TRUE,"Simple Letter";#N/A,#N/A,TRUE,"Inside";#N/A,#N/A,TRUE,"Contents";#N/A,#N/A,TRUE,"Basis";#N/A,#N/A,TRUE,"Inclusions";#N/A,#N/A,TRUE,"Exclusions";#N/A,#N/A,TRUE,"Areas";#N/A,#N/A,TRUE,"Summary";#N/A,#N/A,TRUE,"Detail"}</definedName>
    <definedName name="wrnfulla" hidden="1">{#N/A,#N/A,TRUE,"Front";#N/A,#N/A,TRUE,"Simple Letter";#N/A,#N/A,TRUE,"Inside";#N/A,#N/A,TRUE,"Contents";#N/A,#N/A,TRUE,"Basis";#N/A,#N/A,TRUE,"Inclusions";#N/A,#N/A,TRUE,"Exclusions";#N/A,#N/A,TRUE,"Areas";#N/A,#N/A,TRUE,"Summary";#N/A,#N/A,TRUE,"Detail"}</definedName>
    <definedName name="wrt" localSheetId="2" hidden="1">{#N/A,#N/A,TRUE,"Front";#N/A,#N/A,TRUE,"Simple Letter";#N/A,#N/A,TRUE,"Inside";#N/A,#N/A,TRUE,"Contents";#N/A,#N/A,TRUE,"Basis";#N/A,#N/A,TRUE,"Inclusions";#N/A,#N/A,TRUE,"Exclusions";#N/A,#N/A,TRUE,"Areas";#N/A,#N/A,TRUE,"Summary";#N/A,#N/A,TRUE,"Detail"}</definedName>
    <definedName name="wrt" hidden="1">{#N/A,#N/A,TRUE,"Front";#N/A,#N/A,TRUE,"Simple Letter";#N/A,#N/A,TRUE,"Inside";#N/A,#N/A,TRUE,"Contents";#N/A,#N/A,TRUE,"Basis";#N/A,#N/A,TRUE,"Inclusions";#N/A,#N/A,TRUE,"Exclusions";#N/A,#N/A,TRUE,"Areas";#N/A,#N/A,TRUE,"Summary";#N/A,#N/A,TRUE,"Detail"}</definedName>
    <definedName name="wrt_1" localSheetId="2" hidden="1">{#N/A,#N/A,TRUE,"Front";#N/A,#N/A,TRUE,"Simple Letter";#N/A,#N/A,TRUE,"Inside";#N/A,#N/A,TRUE,"Contents";#N/A,#N/A,TRUE,"Basis";#N/A,#N/A,TRUE,"Inclusions";#N/A,#N/A,TRUE,"Exclusions";#N/A,#N/A,TRUE,"Areas";#N/A,#N/A,TRUE,"Summary";#N/A,#N/A,TRUE,"Detail"}</definedName>
    <definedName name="wrt_1" hidden="1">{#N/A,#N/A,TRUE,"Front";#N/A,#N/A,TRUE,"Simple Letter";#N/A,#N/A,TRUE,"Inside";#N/A,#N/A,TRUE,"Contents";#N/A,#N/A,TRUE,"Basis";#N/A,#N/A,TRUE,"Inclusions";#N/A,#N/A,TRUE,"Exclusions";#N/A,#N/A,TRUE,"Areas";#N/A,#N/A,TRUE,"Summary";#N/A,#N/A,TRUE,"Detail"}</definedName>
    <definedName name="wsgz" localSheetId="2" hidden="1">{#N/A,#N/A,FALSE,"COVER1.XLS ";#N/A,#N/A,FALSE,"RACT1.XLS";#N/A,#N/A,FALSE,"RACT2.XLS";#N/A,#N/A,FALSE,"ECCMP";#N/A,#N/A,FALSE,"WELDER.XLS"}</definedName>
    <definedName name="wsgz" hidden="1">{#N/A,#N/A,FALSE,"COVER1.XLS ";#N/A,#N/A,FALSE,"RACT1.XLS";#N/A,#N/A,FALSE,"RACT2.XLS";#N/A,#N/A,FALSE,"ECCMP";#N/A,#N/A,FALSE,"WELDER.XLS"}</definedName>
    <definedName name="wweerrkabir" localSheetId="2" hidden="1">{#N/A,#N/A,TRUE,"Front";#N/A,#N/A,TRUE,"Simple Letter";#N/A,#N/A,TRUE,"Inside";#N/A,#N/A,TRUE,"Contents";#N/A,#N/A,TRUE,"Basis";#N/A,#N/A,TRUE,"Inclusions";#N/A,#N/A,TRUE,"Exclusions";#N/A,#N/A,TRUE,"Areas";#N/A,#N/A,TRUE,"Summary";#N/A,#N/A,TRUE,"Detail"}</definedName>
    <definedName name="wweerrkabir" hidden="1">{#N/A,#N/A,TRUE,"Front";#N/A,#N/A,TRUE,"Simple Letter";#N/A,#N/A,TRUE,"Inside";#N/A,#N/A,TRUE,"Contents";#N/A,#N/A,TRUE,"Basis";#N/A,#N/A,TRUE,"Inclusions";#N/A,#N/A,TRUE,"Exclusions";#N/A,#N/A,TRUE,"Areas";#N/A,#N/A,TRUE,"Summary";#N/A,#N/A,TRUE,"Detail"}</definedName>
    <definedName name="WWWW" localSheetId="2" hidden="1">{#N/A,#N/A,FALSE,"COVER.XLS";#N/A,#N/A,FALSE,"RACT1.XLS";#N/A,#N/A,FALSE,"RACT2.XLS";#N/A,#N/A,FALSE,"ECCMP";#N/A,#N/A,FALSE,"WELDER.XLS"}</definedName>
    <definedName name="WWWW" hidden="1">{#N/A,#N/A,FALSE,"COVER.XLS";#N/A,#N/A,FALSE,"RACT1.XLS";#N/A,#N/A,FALSE,"RACT2.XLS";#N/A,#N/A,FALSE,"ECCMP";#N/A,#N/A,FALSE,"WELDER.XLS"}</definedName>
    <definedName name="wwwww" hidden="1">#REF!</definedName>
    <definedName name="wwwwwwwwwwww" localSheetId="2" hidden="1">{#N/A,#N/A,TRUE,"Front";#N/A,#N/A,TRUE,"Simple Letter";#N/A,#N/A,TRUE,"Inside";#N/A,#N/A,TRUE,"Contents";#N/A,#N/A,TRUE,"Basis";#N/A,#N/A,TRUE,"Inclusions";#N/A,#N/A,TRUE,"Exclusions";#N/A,#N/A,TRUE,"Areas";#N/A,#N/A,TRUE,"Summary";#N/A,#N/A,TRUE,"Detail"}</definedName>
    <definedName name="wwwwwwwwwwww" hidden="1">{#N/A,#N/A,TRUE,"Front";#N/A,#N/A,TRUE,"Simple Letter";#N/A,#N/A,TRUE,"Inside";#N/A,#N/A,TRUE,"Contents";#N/A,#N/A,TRUE,"Basis";#N/A,#N/A,TRUE,"Inclusions";#N/A,#N/A,TRUE,"Exclusions";#N/A,#N/A,TRUE,"Areas";#N/A,#N/A,TRUE,"Summary";#N/A,#N/A,TRUE,"Detail"}</definedName>
    <definedName name="xxxxx" localSheetId="2" hidden="1">{#N/A,#N/A,TRUE,"Vergabe-Regeln";#N/A,#N/A,TRUE,"Baugruppen";#N/A,#N/A,TRUE,"Geräte";#N/A,#N/A,TRUE,"PC-Software";#N/A,#N/A,TRUE,"Software";#N/A,#N/A,TRUE,"SW-Reg";#N/A,#N/A,TRUE,"Dokumentation"}</definedName>
    <definedName name="xxxxx" hidden="1">{#N/A,#N/A,TRUE,"Vergabe-Regeln";#N/A,#N/A,TRUE,"Baugruppen";#N/A,#N/A,TRUE,"Geräte";#N/A,#N/A,TRUE,"PC-Software";#N/A,#N/A,TRUE,"Software";#N/A,#N/A,TRUE,"SW-Reg";#N/A,#N/A,TRUE,"Dokumentation"}</definedName>
    <definedName name="xz" localSheetId="2" hidden="1">{#N/A,#N/A,TRUE,"Front";#N/A,#N/A,TRUE,"Simple Letter";#N/A,#N/A,TRUE,"Inside";#N/A,#N/A,TRUE,"Contents";#N/A,#N/A,TRUE,"Basis";#N/A,#N/A,TRUE,"Inclusions";#N/A,#N/A,TRUE,"Exclusions";#N/A,#N/A,TRUE,"Areas";#N/A,#N/A,TRUE,"Summary";#N/A,#N/A,TRUE,"Detail"}</definedName>
    <definedName name="xz" hidden="1">{#N/A,#N/A,TRUE,"Front";#N/A,#N/A,TRUE,"Simple Letter";#N/A,#N/A,TRUE,"Inside";#N/A,#N/A,TRUE,"Contents";#N/A,#N/A,TRUE,"Basis";#N/A,#N/A,TRUE,"Inclusions";#N/A,#N/A,TRUE,"Exclusions";#N/A,#N/A,TRUE,"Areas";#N/A,#N/A,TRUE,"Summary";#N/A,#N/A,TRUE,"Detail"}</definedName>
    <definedName name="YAKEEN" localSheetId="2" hidden="1">{#N/A,#N/A,TRUE,"Front";#N/A,#N/A,TRUE,"Simple Letter";#N/A,#N/A,TRUE,"Inside";#N/A,#N/A,TRUE,"Contents";#N/A,#N/A,TRUE,"Basis";#N/A,#N/A,TRUE,"Inclusions";#N/A,#N/A,TRUE,"Exclusions";#N/A,#N/A,TRUE,"Areas";#N/A,#N/A,TRUE,"Summary";#N/A,#N/A,TRUE,"Detail"}</definedName>
    <definedName name="YAKEEN" hidden="1">{#N/A,#N/A,TRUE,"Front";#N/A,#N/A,TRUE,"Simple Letter";#N/A,#N/A,TRUE,"Inside";#N/A,#N/A,TRUE,"Contents";#N/A,#N/A,TRUE,"Basis";#N/A,#N/A,TRUE,"Inclusions";#N/A,#N/A,TRUE,"Exclusions";#N/A,#N/A,TRUE,"Areas";#N/A,#N/A,TRUE,"Summary";#N/A,#N/A,TRUE,"Detail"}</definedName>
    <definedName name="yh" localSheetId="2" hidden="1">{#N/A,#N/A,TRUE,"Vergabe-Regeln";#N/A,#N/A,TRUE,"Baugruppen";#N/A,#N/A,TRUE,"Geräte";#N/A,#N/A,TRUE,"PC-Software";#N/A,#N/A,TRUE,"Software";#N/A,#N/A,TRUE,"SW-Reg";#N/A,#N/A,TRUE,"Dokumentation"}</definedName>
    <definedName name="yh" hidden="1">{#N/A,#N/A,TRUE,"Vergabe-Regeln";#N/A,#N/A,TRUE,"Baugruppen";#N/A,#N/A,TRUE,"Geräte";#N/A,#N/A,TRUE,"PC-Software";#N/A,#N/A,TRUE,"Software";#N/A,#N/A,TRUE,"SW-Reg";#N/A,#N/A,TRUE,"Dokumentation"}</definedName>
    <definedName name="yhj" localSheetId="2" hidden="1">{#N/A,#N/A,TRUE,"Front";#N/A,#N/A,TRUE,"Simple Letter";#N/A,#N/A,TRUE,"Inside";#N/A,#N/A,TRUE,"Contents";#N/A,#N/A,TRUE,"Basis";#N/A,#N/A,TRUE,"Inclusions";#N/A,#N/A,TRUE,"Exclusions";#N/A,#N/A,TRUE,"Areas";#N/A,#N/A,TRUE,"Summary";#N/A,#N/A,TRUE,"Detail"}</definedName>
    <definedName name="yhj" hidden="1">{#N/A,#N/A,TRUE,"Front";#N/A,#N/A,TRUE,"Simple Letter";#N/A,#N/A,TRUE,"Inside";#N/A,#N/A,TRUE,"Contents";#N/A,#N/A,TRUE,"Basis";#N/A,#N/A,TRUE,"Inclusions";#N/A,#N/A,TRUE,"Exclusions";#N/A,#N/A,TRUE,"Areas";#N/A,#N/A,TRUE,"Summary";#N/A,#N/A,TRUE,"Detail"}</definedName>
    <definedName name="ythtt" localSheetId="2" hidden="1">{#N/A,#N/A,TRUE,"Front";#N/A,#N/A,TRUE,"Simple Letter";#N/A,#N/A,TRUE,"Inside";#N/A,#N/A,TRUE,"Contents";#N/A,#N/A,TRUE,"Basis";#N/A,#N/A,TRUE,"Inclusions";#N/A,#N/A,TRUE,"Exclusions";#N/A,#N/A,TRUE,"Areas";#N/A,#N/A,TRUE,"Summary";#N/A,#N/A,TRUE,"Detail"}</definedName>
    <definedName name="ythtt" hidden="1">{#N/A,#N/A,TRUE,"Front";#N/A,#N/A,TRUE,"Simple Letter";#N/A,#N/A,TRUE,"Inside";#N/A,#N/A,TRUE,"Contents";#N/A,#N/A,TRUE,"Basis";#N/A,#N/A,TRUE,"Inclusions";#N/A,#N/A,TRUE,"Exclusions";#N/A,#N/A,TRUE,"Areas";#N/A,#N/A,TRUE,"Summary";#N/A,#N/A,TRUE,"Detail"}</definedName>
    <definedName name="YU" localSheetId="2" hidden="1">{#N/A,#N/A,TRUE,"Front";#N/A,#N/A,TRUE,"Simple Letter";#N/A,#N/A,TRUE,"Inside";#N/A,#N/A,TRUE,"Contents";#N/A,#N/A,TRUE,"Basis";#N/A,#N/A,TRUE,"Inclusions";#N/A,#N/A,TRUE,"Exclusions";#N/A,#N/A,TRUE,"Areas";#N/A,#N/A,TRUE,"Summary";#N/A,#N/A,TRUE,"Detail"}</definedName>
    <definedName name="YU" hidden="1">{#N/A,#N/A,TRUE,"Front";#N/A,#N/A,TRUE,"Simple Letter";#N/A,#N/A,TRUE,"Inside";#N/A,#N/A,TRUE,"Contents";#N/A,#N/A,TRUE,"Basis";#N/A,#N/A,TRUE,"Inclusions";#N/A,#N/A,TRUE,"Exclusions";#N/A,#N/A,TRUE,"Areas";#N/A,#N/A,TRUE,"Summary";#N/A,#N/A,TRUE,"Detail"}</definedName>
    <definedName name="yuh" localSheetId="2" hidden="1">{#N/A,#N/A,TRUE,"Front";#N/A,#N/A,TRUE,"Simple Letter";#N/A,#N/A,TRUE,"Inside";#N/A,#N/A,TRUE,"Contents";#N/A,#N/A,TRUE,"Basis";#N/A,#N/A,TRUE,"Inclusions";#N/A,#N/A,TRUE,"Exclusions";#N/A,#N/A,TRUE,"Areas";#N/A,#N/A,TRUE,"Summary";#N/A,#N/A,TRUE,"Detail"}</definedName>
    <definedName name="yuh" hidden="1">{#N/A,#N/A,TRUE,"Front";#N/A,#N/A,TRUE,"Simple Letter";#N/A,#N/A,TRUE,"Inside";#N/A,#N/A,TRUE,"Contents";#N/A,#N/A,TRUE,"Basis";#N/A,#N/A,TRUE,"Inclusions";#N/A,#N/A,TRUE,"Exclusions";#N/A,#N/A,TRUE,"Areas";#N/A,#N/A,TRUE,"Summary";#N/A,#N/A,TRUE,"Detail"}</definedName>
    <definedName name="YY" hidden="1">{"View1",#N/A,FALSE,"Sheet1";"View2",#N/A,FALSE,"Sheet1";"View3",#N/A,FALSE,"Sheet1";"View4",#N/A,FALSE,"Sheet1"}</definedName>
    <definedName name="yyy" localSheetId="2"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yyy"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z" hidden="1">{#N/A,#N/A,TRUE,"Front";#N/A,#N/A,TRUE,"Simple Letter";#N/A,#N/A,TRUE,"Inside";#N/A,#N/A,TRUE,"Contents";#N/A,#N/A,TRUE,"Basis";#N/A,#N/A,TRUE,"Inclusions";#N/A,#N/A,TRUE,"Exclusions";#N/A,#N/A,TRUE,"Areas";#N/A,#N/A,TRUE,"Summary";#N/A,#N/A,TRUE,"Detail"}</definedName>
    <definedName name="Z_011C08A3_0443_11D2_8C52_0080C719627A_.wvu.PrintArea" hidden="1">#REF!</definedName>
    <definedName name="Z_011C08A3_0443_11D2_8C52_0080C719627A_.wvu.PrintTitles" hidden="1">#REF!</definedName>
    <definedName name="Z_01EEECA8_52E8_4BA6_B221_CB6D3C468C80_.wvu.Cols" hidden="1">#REF!</definedName>
    <definedName name="Z_01EEECA8_52E8_4BA6_B221_CB6D3C468C80_.wvu.FilterData" hidden="1">#REF!</definedName>
    <definedName name="Z_0B3EF283_BAAE_40DA_B109_606B8002D5D4_.wvu.FilterData" hidden="1">#REF!</definedName>
    <definedName name="Z_0C509CAE_4B28_497F_9463_E056D87AE422_.wvu.Rows" hidden="1">#REF!</definedName>
    <definedName name="z_1" localSheetId="2" hidden="1">{#N/A,#N/A,TRUE,"Front";#N/A,#N/A,TRUE,"Simple Letter";#N/A,#N/A,TRUE,"Inside";#N/A,#N/A,TRUE,"Contents";#N/A,#N/A,TRUE,"Basis";#N/A,#N/A,TRUE,"Inclusions";#N/A,#N/A,TRUE,"Exclusions";#N/A,#N/A,TRUE,"Areas";#N/A,#N/A,TRUE,"Summary";#N/A,#N/A,TRUE,"Detail"}</definedName>
    <definedName name="z_1" hidden="1">{#N/A,#N/A,TRUE,"Front";#N/A,#N/A,TRUE,"Simple Letter";#N/A,#N/A,TRUE,"Inside";#N/A,#N/A,TRUE,"Contents";#N/A,#N/A,TRUE,"Basis";#N/A,#N/A,TRUE,"Inclusions";#N/A,#N/A,TRUE,"Exclusions";#N/A,#N/A,TRUE,"Areas";#N/A,#N/A,TRUE,"Summary";#N/A,#N/A,TRUE,"Detail"}</definedName>
    <definedName name="Z_1337E53C_970D_4073_B72A_371A64539D54_.wvu.Cols" hidden="1">#REF!</definedName>
    <definedName name="Z_1337E53C_970D_4073_B72A_371A64539D54_.wvu.PrintArea" hidden="1">#REF!</definedName>
    <definedName name="Z_1337E53C_970D_4073_B72A_371A64539D54_.wvu.Rows" hidden="1">#REF!</definedName>
    <definedName name="Z_152A3067_56C8_11D2_BFAA_0080C73019B8_.wvu.PrintArea" hidden="1">#REF!</definedName>
    <definedName name="Z_152A3067_56C8_11D2_BFAA_0080C73019B8_.wvu.PrintTitles" hidden="1">#REF!</definedName>
    <definedName name="Z_1DB5E89F_5549_11D2_BFAA_0080C73019B8_.wvu.PrintArea" hidden="1">#REF!</definedName>
    <definedName name="Z_1DB5E89F_5549_11D2_BFAA_0080C73019B8_.wvu.PrintTitles" hidden="1">#REF!</definedName>
    <definedName name="Z_2F812E49_D9ED_4A73_993E_B0274CCF839A_.wvu.Cols" hidden="1">#REF!</definedName>
    <definedName name="Z_2F812E49_D9ED_4A73_993E_B0274CCF839A_.wvu.PrintArea" hidden="1">#REF!</definedName>
    <definedName name="Z_32DE5C65_0ED6_11D3_A535_008048FCDF23_.wvu.Cols" hidden="1">#REF!,#REF!,#REF!,#REF!,#REF!,#REF!</definedName>
    <definedName name="Z_3CD90F23_1FB7_11D2_BFA9_0080C73019B8_.wvu.PrintArea" hidden="1">#REF!</definedName>
    <definedName name="Z_3CD90F23_1FB7_11D2_BFA9_0080C73019B8_.wvu.PrintTitles" hidden="1">#REF!</definedName>
    <definedName name="Z_4C187252_7A52_4DAC_BB2D_0644DF2E09B0_.wvu.PrintArea" localSheetId="1" hidden="1">'ELEC '!$A$1:$L$461</definedName>
    <definedName name="Z_4C187252_7A52_4DAC_BB2D_0644DF2E09B0_.wvu.PrintArea" localSheetId="0" hidden="1">'ELEC-SUMM '!$A$1:$F$20</definedName>
    <definedName name="Z_4C187252_7A52_4DAC_BB2D_0644DF2E09B0_.wvu.PrintTitles" localSheetId="1" hidden="1">'ELEC '!$3:$3</definedName>
    <definedName name="Z_4DEAB16A_1665_11D2_BFA9_0080C73019B8_.wvu.PrintArea" hidden="1">#REF!</definedName>
    <definedName name="Z_4DEAB16A_1665_11D2_BFA9_0080C73019B8_.wvu.PrintTitles" hidden="1">#REF!</definedName>
    <definedName name="Z_5A4CDE39_BC84_48C0_8208_6970E7A71896_.wvu.Cols" hidden="1">#REF!,#REF!,#REF!</definedName>
    <definedName name="Z_5ADA983C_1EDC_4645_AD8A_3535C65F44D6_.wvu.PrintArea" localSheetId="1" hidden="1">'ELEC '!$A$1:$L$461</definedName>
    <definedName name="Z_5ADA983C_1EDC_4645_AD8A_3535C65F44D6_.wvu.PrintArea" localSheetId="0" hidden="1">'ELEC-SUMM '!$A$1:$F$20</definedName>
    <definedName name="Z_5ADA983C_1EDC_4645_AD8A_3535C65F44D6_.wvu.PrintTitles" localSheetId="1" hidden="1">'ELEC '!$3:$3</definedName>
    <definedName name="Z_64FBE21F_D610_4122_B662_C1CA556F0E6B_.wvu.Rows" hidden="1">#REF!,#REF!</definedName>
    <definedName name="Z_67879F2D_A365_4C5F_ACA2_06A222DC585F_.wvu.FilterData" hidden="1">#REF!</definedName>
    <definedName name="Z_6CDCF69B_5AF1_4147_8314_DDC51BBAE13A_.wvu.FilterData" hidden="1">#REF!</definedName>
    <definedName name="Z_786D6B23_1FA4_11D2_BFA9_0080C73019B8_.wvu.PrintArea" hidden="1">#REF!</definedName>
    <definedName name="Z_786D6B23_1FA4_11D2_BFA9_0080C73019B8_.wvu.PrintTitles" hidden="1">#REF!</definedName>
    <definedName name="Z_7ED649E3_0524_11D2_8C52_0080C719627A_.wvu.PrintArea" hidden="1">#REF!</definedName>
    <definedName name="Z_7ED649E3_0524_11D2_8C52_0080C719627A_.wvu.PrintTitles" hidden="1">#REF!</definedName>
    <definedName name="Z_80C18858_2264_40D8_89B1_43CC91AE6872_.wvu.PrintArea" localSheetId="1" hidden="1">'ELEC '!$A$1:$L$461</definedName>
    <definedName name="Z_80C18858_2264_40D8_89B1_43CC91AE6872_.wvu.PrintArea" localSheetId="0" hidden="1">'ELEC-SUMM '!$A$1:$F$20</definedName>
    <definedName name="Z_80C18858_2264_40D8_89B1_43CC91AE6872_.wvu.PrintTitles" localSheetId="1" hidden="1">'ELEC '!$3:$3</definedName>
    <definedName name="Z_821080B5_A53F_46D5_A7A8_C550E9A6DB8E_.wvu.Rows" hidden="1">#REF!</definedName>
    <definedName name="Z_89FC4C3A_6586_42BA_B0E6_F0959042E6A0_.wvu.Rows" hidden="1">#REF!</definedName>
    <definedName name="Z_8FCC9949_BB10_48DD_835F_9D6E68B3AE12_.wvu.PrintTitles" hidden="1">#REF!</definedName>
    <definedName name="Z_8FCC9949_BB10_48DD_835F_9D6E68B3AE12_.wvu.Rows" hidden="1">#REF!,#REF!</definedName>
    <definedName name="Z_97AF8B62_D04D_48F2_A853_93998C7922D6_.wvu.FilterData" hidden="1">#REF!</definedName>
    <definedName name="Z_9F278A40_BF82_4E3D_9E8B_F7A34E58042E_.wvu.FilterData" hidden="1">#REF!</definedName>
    <definedName name="Z_AE45FBA4_0437_11D2_8C52_0080C719627A_.wvu.PrintArea" hidden="1">#REF!</definedName>
    <definedName name="Z_AE45FBA4_0437_11D2_8C52_0080C719627A_.wvu.PrintTitles" hidden="1">#REF!</definedName>
    <definedName name="Z_B69AE2F6_CB28_11D2_A535_008048FCDF23_.wvu.Cols" hidden="1">#REF!,#REF!,#REF!,#REF!,#REF!,#REF!</definedName>
    <definedName name="Z_B69AE2F6_CB28_11D2_A535_008048FCDF23_.wvu.Rows" hidden="1">#REF!,#REF!</definedName>
    <definedName name="Z_E61184E6_4A82_48AD_BD46_AD03682B9E61_.wvu.Rows" hidden="1">#REF!</definedName>
    <definedName name="Z_EA424862_9DB5_4158_B57E_464B76E20666_.wvu.FilterData" hidden="1">#REF!</definedName>
    <definedName name="Z_F44FFE0D_EF1F_43C0_ACC8_2B26582A55BA_.wvu.PrintArea" localSheetId="1" hidden="1">'ELEC '!$A$1:$L$461</definedName>
    <definedName name="Z_F44FFE0D_EF1F_43C0_ACC8_2B26582A55BA_.wvu.PrintArea" localSheetId="0" hidden="1">'ELEC-SUMM '!$A$1:$F$20</definedName>
    <definedName name="Z_F44FFE0D_EF1F_43C0_ACC8_2B26582A55BA_.wvu.PrintTitles" localSheetId="1" hidden="1">'ELEC '!$3:$3</definedName>
    <definedName name="Z_F4A7CA8E_98F3_454B_9E7A_4BC18859A193_.wvu.PrintArea" localSheetId="1" hidden="1">'ELEC '!$A$1:$L$461</definedName>
    <definedName name="Z_F4A7CA8E_98F3_454B_9E7A_4BC18859A193_.wvu.PrintArea" localSheetId="0" hidden="1">'ELEC-SUMM '!$A$1:$F$20</definedName>
    <definedName name="Z_F4A7CA8E_98F3_454B_9E7A_4BC18859A193_.wvu.PrintTitles" localSheetId="1" hidden="1">'ELEC '!$3:$3</definedName>
    <definedName name="Z_F56F135F_44F3_478B_BCC3_5E739B702BEF_.wvu.Cols" hidden="1">#REF!</definedName>
    <definedName name="Z_F56F135F_44F3_478B_BCC3_5E739B702BEF_.wvu.FilterData" hidden="1">#REF!</definedName>
    <definedName name="Z_F56F135F_44F3_478B_BCC3_5E739B702BEF_.wvu.PrintTitles" hidden="1">#REF!,#REF!</definedName>
    <definedName name="zc" localSheetId="2" hidden="1">{#N/A,#N/A,TRUE,"Front";#N/A,#N/A,TRUE,"Simple Letter";#N/A,#N/A,TRUE,"Inside";#N/A,#N/A,TRUE,"Contents";#N/A,#N/A,TRUE,"Basis";#N/A,#N/A,TRUE,"Inclusions";#N/A,#N/A,TRUE,"Exclusions";#N/A,#N/A,TRUE,"Areas";#N/A,#N/A,TRUE,"Summary";#N/A,#N/A,TRUE,"Detail"}</definedName>
    <definedName name="zc" hidden="1">{#N/A,#N/A,TRUE,"Front";#N/A,#N/A,TRUE,"Simple Letter";#N/A,#N/A,TRUE,"Inside";#N/A,#N/A,TRUE,"Contents";#N/A,#N/A,TRUE,"Basis";#N/A,#N/A,TRUE,"Inclusions";#N/A,#N/A,TRUE,"Exclusions";#N/A,#N/A,TRUE,"Areas";#N/A,#N/A,TRUE,"Summary";#N/A,#N/A,TRUE,"Detail"}</definedName>
    <definedName name="ZENANA" localSheetId="2" hidden="1">{#N/A,#N/A,TRUE,"Front";#N/A,#N/A,TRUE,"Simple Letter";#N/A,#N/A,TRUE,"Inside";#N/A,#N/A,TRUE,"Contents";#N/A,#N/A,TRUE,"Basis";#N/A,#N/A,TRUE,"Inclusions";#N/A,#N/A,TRUE,"Exclusions";#N/A,#N/A,TRUE,"Areas";#N/A,#N/A,TRUE,"Summary";#N/A,#N/A,TRUE,"Detail"}</definedName>
    <definedName name="ZENANA" hidden="1">{#N/A,#N/A,TRUE,"Front";#N/A,#N/A,TRUE,"Simple Letter";#N/A,#N/A,TRUE,"Inside";#N/A,#N/A,TRUE,"Contents";#N/A,#N/A,TRUE,"Basis";#N/A,#N/A,TRUE,"Inclusions";#N/A,#N/A,TRUE,"Exclusions";#N/A,#N/A,TRUE,"Areas";#N/A,#N/A,TRUE,"Summary";#N/A,#N/A,TRUE,"Detail"}</definedName>
    <definedName name="Zip1" localSheetId="2" hidden="1">{#N/A,#N/A,TRUE,"Front";#N/A,#N/A,TRUE,"Simple Letter";#N/A,#N/A,TRUE,"Inside";#N/A,#N/A,TRUE,"Contents";#N/A,#N/A,TRUE,"Basis";#N/A,#N/A,TRUE,"Inclusions";#N/A,#N/A,TRUE,"Exclusions";#N/A,#N/A,TRUE,"Areas";#N/A,#N/A,TRUE,"Summary";#N/A,#N/A,TRUE,"Detail"}</definedName>
    <definedName name="Zip1" hidden="1">{#N/A,#N/A,TRUE,"Front";#N/A,#N/A,TRUE,"Simple Letter";#N/A,#N/A,TRUE,"Inside";#N/A,#N/A,TRUE,"Contents";#N/A,#N/A,TRUE,"Basis";#N/A,#N/A,TRUE,"Inclusions";#N/A,#N/A,TRUE,"Exclusions";#N/A,#N/A,TRUE,"Areas";#N/A,#N/A,TRUE,"Summary";#N/A,#N/A,TRUE,"Detail"}</definedName>
    <definedName name="zxc" hidden="1">{#N/A,#N/A,FALSE,"견적대비-2"}</definedName>
    <definedName name="zzzz" localSheetId="2" hidden="1">{"Commish",#N/A,FALSE,"LAWTC"}</definedName>
    <definedName name="zzzz" hidden="1">{"Commish",#N/A,FALSE,"LAWTC"}</definedName>
    <definedName name="zzzzzzzzzzzz" hidden="1">#REF!</definedName>
    <definedName name="ZZZZZZZZZZZZZZ" hidden="1">#REF!</definedName>
    <definedName name="っｋ" hidden="1">#REF!</definedName>
  </definedNames>
  <calcPr calcId="191029"/>
  <customWorkbookViews>
    <customWorkbookView name="Brijesh Khambhayata - Personal View" guid="{F4A7CA8E-98F3-454B-9E7A-4BC18859A193}" mergeInterval="0" personalView="1" maximized="1" xWindow="-9" yWindow="-9" windowWidth="1938" windowHeight="1038" tabRatio="931" activeSheetId="8"/>
    <customWorkbookView name="Pranjal Gharat - Personal View" guid="{80C18858-2264-40D8-89B1-43CC91AE6872}" mergeInterval="0" personalView="1" maximized="1" xWindow="-8" yWindow="-8" windowWidth="1936" windowHeight="1056" tabRatio="931" activeSheetId="6"/>
    <customWorkbookView name="Sania Khatri - Personal View" guid="{F44FFE0D-EF1F-43C0-ACC8-2B26582A55BA}" mergeInterval="0" personalView="1" maximized="1" xWindow="-8" yWindow="-8" windowWidth="1936" windowHeight="1056" tabRatio="931" activeSheetId="6"/>
    <customWorkbookView name="Ashish.Dhamu - Personal View" guid="{4C187252-7A52-4DAC-BB2D-0644DF2E09B0}" mergeInterval="0" personalView="1" maximized="1" xWindow="-13" yWindow="-13" windowWidth="3226" windowHeight="1930" tabRatio="931" activeSheetId="1" showComments="commIndAndComment"/>
    <customWorkbookView name="Nasim Ahmed - Personal View" guid="{5ADA983C-1EDC-4645-AD8A-3535C65F44D6}" mergeInterval="0" personalView="1" maximized="1" xWindow="-8" yWindow="-8" windowWidth="1936" windowHeight="1056" tabRatio="931" activeSheetId="16"/>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8" i="19" l="1"/>
  <c r="F54" i="19"/>
  <c r="E34" i="19" l="1"/>
  <c r="E31" i="19"/>
  <c r="F436" i="19"/>
  <c r="F437" i="19"/>
  <c r="F438" i="19"/>
  <c r="F439" i="19"/>
  <c r="F440" i="19"/>
  <c r="F441" i="19"/>
  <c r="F442" i="19"/>
  <c r="F443" i="19"/>
  <c r="F444" i="19"/>
  <c r="F445" i="19"/>
  <c r="F446" i="19"/>
  <c r="F447" i="19"/>
  <c r="F448" i="19"/>
  <c r="F449" i="19"/>
  <c r="F450" i="19"/>
  <c r="F451" i="19"/>
  <c r="F452" i="19"/>
  <c r="F453" i="19"/>
  <c r="F454" i="19"/>
  <c r="F455" i="19"/>
  <c r="F456" i="19"/>
  <c r="F457" i="19"/>
  <c r="F435" i="19"/>
  <c r="F396" i="19"/>
  <c r="F398" i="19"/>
  <c r="F399" i="19"/>
  <c r="F400" i="19"/>
  <c r="F401" i="19"/>
  <c r="F402" i="19"/>
  <c r="F403" i="19"/>
  <c r="F404" i="19"/>
  <c r="F405" i="19"/>
  <c r="F406" i="19"/>
  <c r="F407" i="19"/>
  <c r="F408" i="19"/>
  <c r="F410" i="19"/>
  <c r="F411" i="19"/>
  <c r="F412" i="19"/>
  <c r="F413" i="19"/>
  <c r="F414" i="19"/>
  <c r="F415" i="19"/>
  <c r="F416" i="19"/>
  <c r="F417" i="19"/>
  <c r="F418" i="19"/>
  <c r="F419" i="19"/>
  <c r="F420" i="19"/>
  <c r="F421" i="19"/>
  <c r="F422" i="19"/>
  <c r="F423" i="19"/>
  <c r="F424" i="19"/>
  <c r="F425" i="19"/>
  <c r="F426" i="19"/>
  <c r="F427" i="19"/>
  <c r="F428" i="19"/>
  <c r="F429" i="19"/>
  <c r="F395" i="19"/>
  <c r="F328" i="19"/>
  <c r="F329" i="19"/>
  <c r="F330" i="19"/>
  <c r="F331" i="19"/>
  <c r="F332" i="19"/>
  <c r="F333" i="19"/>
  <c r="F334" i="19"/>
  <c r="F335" i="19"/>
  <c r="F336" i="19"/>
  <c r="F337" i="19"/>
  <c r="F338" i="19"/>
  <c r="F339" i="19"/>
  <c r="F340" i="19"/>
  <c r="F341" i="19"/>
  <c r="F342" i="19"/>
  <c r="F343" i="19"/>
  <c r="F344" i="19"/>
  <c r="F345" i="19"/>
  <c r="F346" i="19"/>
  <c r="F347" i="19"/>
  <c r="F348" i="19"/>
  <c r="F349" i="19"/>
  <c r="F350" i="19"/>
  <c r="F351" i="19"/>
  <c r="F352" i="19"/>
  <c r="F353" i="19"/>
  <c r="F354" i="19"/>
  <c r="F355" i="19"/>
  <c r="F356" i="19"/>
  <c r="F357" i="19"/>
  <c r="F358" i="19"/>
  <c r="F359" i="19"/>
  <c r="F360" i="19"/>
  <c r="F361" i="19"/>
  <c r="F362" i="19"/>
  <c r="F363" i="19"/>
  <c r="F364" i="19"/>
  <c r="F365" i="19"/>
  <c r="F366" i="19"/>
  <c r="F367" i="19"/>
  <c r="F369" i="19"/>
  <c r="F370" i="19"/>
  <c r="F371" i="19"/>
  <c r="F372" i="19"/>
  <c r="F373" i="19"/>
  <c r="F374" i="19"/>
  <c r="F375" i="19"/>
  <c r="F376" i="19"/>
  <c r="F377" i="19"/>
  <c r="F378" i="19"/>
  <c r="F379" i="19"/>
  <c r="F380" i="19"/>
  <c r="F381" i="19"/>
  <c r="F382" i="19"/>
  <c r="F383" i="19"/>
  <c r="F384" i="19"/>
  <c r="F385" i="19"/>
  <c r="F386" i="19"/>
  <c r="F387" i="19"/>
  <c r="F327" i="19"/>
  <c r="F241" i="19"/>
  <c r="F242" i="19"/>
  <c r="F243" i="19"/>
  <c r="F245" i="19"/>
  <c r="F247" i="19"/>
  <c r="F249" i="19"/>
  <c r="F251" i="19"/>
  <c r="F253" i="19"/>
  <c r="F254" i="19"/>
  <c r="J254" i="19" s="1"/>
  <c r="F255" i="19"/>
  <c r="F257" i="19"/>
  <c r="F259" i="19"/>
  <c r="F260" i="19"/>
  <c r="F261" i="19"/>
  <c r="F262" i="19"/>
  <c r="F263" i="19"/>
  <c r="F264" i="19"/>
  <c r="F265" i="19"/>
  <c r="F267" i="19"/>
  <c r="F268" i="19"/>
  <c r="F269" i="19"/>
  <c r="F270" i="19"/>
  <c r="F271" i="19"/>
  <c r="F272" i="19"/>
  <c r="F273" i="19"/>
  <c r="F274" i="19"/>
  <c r="F275" i="19"/>
  <c r="F276" i="19"/>
  <c r="F277" i="19"/>
  <c r="F278" i="19"/>
  <c r="F279" i="19"/>
  <c r="F280" i="19"/>
  <c r="F281" i="19"/>
  <c r="F282" i="19"/>
  <c r="F283" i="19"/>
  <c r="F285" i="19"/>
  <c r="F286" i="19"/>
  <c r="F287" i="19"/>
  <c r="F288" i="19"/>
  <c r="F289" i="19"/>
  <c r="F290" i="19"/>
  <c r="F291" i="19"/>
  <c r="F292" i="19"/>
  <c r="F293" i="19"/>
  <c r="F294" i="19"/>
  <c r="J294" i="19" s="1"/>
  <c r="F295" i="19"/>
  <c r="F297" i="19"/>
  <c r="F299" i="19"/>
  <c r="F300" i="19"/>
  <c r="F301" i="19"/>
  <c r="F302" i="19"/>
  <c r="F303" i="19"/>
  <c r="F304" i="19"/>
  <c r="F305" i="19"/>
  <c r="F307" i="19"/>
  <c r="F308" i="19"/>
  <c r="F309" i="19"/>
  <c r="F311" i="19"/>
  <c r="F312" i="19"/>
  <c r="F313" i="19"/>
  <c r="F314" i="19"/>
  <c r="F315" i="19"/>
  <c r="F316" i="19"/>
  <c r="F150" i="19"/>
  <c r="F151" i="19"/>
  <c r="F152" i="19"/>
  <c r="F153" i="19"/>
  <c r="F154" i="19"/>
  <c r="F155" i="19"/>
  <c r="F156" i="19"/>
  <c r="F157" i="19"/>
  <c r="F158" i="19"/>
  <c r="F159" i="19"/>
  <c r="F160" i="19"/>
  <c r="F161" i="19"/>
  <c r="F162" i="19"/>
  <c r="F163" i="19"/>
  <c r="F164" i="19"/>
  <c r="F165" i="19"/>
  <c r="F166" i="19"/>
  <c r="F167" i="19"/>
  <c r="F168" i="19"/>
  <c r="F169" i="19"/>
  <c r="F170" i="19"/>
  <c r="F171" i="19"/>
  <c r="F172" i="19"/>
  <c r="F173" i="19"/>
  <c r="F174" i="19"/>
  <c r="F175" i="19"/>
  <c r="F176" i="19"/>
  <c r="F177" i="19"/>
  <c r="F178" i="19"/>
  <c r="F179" i="19"/>
  <c r="F180" i="19"/>
  <c r="F181" i="19"/>
  <c r="F182" i="19"/>
  <c r="F183" i="19"/>
  <c r="F184" i="19"/>
  <c r="F185" i="19"/>
  <c r="F186" i="19"/>
  <c r="F187" i="19"/>
  <c r="F188" i="19"/>
  <c r="F189" i="19"/>
  <c r="F190" i="19"/>
  <c r="F191" i="19"/>
  <c r="F192" i="19"/>
  <c r="F193" i="19"/>
  <c r="F194" i="19"/>
  <c r="F195" i="19"/>
  <c r="F196" i="19"/>
  <c r="F197" i="19"/>
  <c r="F198" i="19"/>
  <c r="F199" i="19"/>
  <c r="F200" i="19"/>
  <c r="F201" i="19"/>
  <c r="F202" i="19"/>
  <c r="F203" i="19"/>
  <c r="F204" i="19"/>
  <c r="F205" i="19"/>
  <c r="F206" i="19"/>
  <c r="F207" i="19"/>
  <c r="F208" i="19"/>
  <c r="F209" i="19"/>
  <c r="F210" i="19"/>
  <c r="F211" i="19"/>
  <c r="F212" i="19"/>
  <c r="F213" i="19"/>
  <c r="J213" i="19" s="1"/>
  <c r="F214" i="19"/>
  <c r="J214" i="19" s="1"/>
  <c r="F215" i="19"/>
  <c r="F216" i="19"/>
  <c r="J216" i="19" s="1"/>
  <c r="F217" i="19"/>
  <c r="F218" i="19"/>
  <c r="F219" i="19"/>
  <c r="F220" i="19"/>
  <c r="J220" i="19" s="1"/>
  <c r="F221" i="19"/>
  <c r="J221" i="19" s="1"/>
  <c r="F222" i="19"/>
  <c r="J222" i="19" s="1"/>
  <c r="F223" i="19"/>
  <c r="F224" i="19"/>
  <c r="J224" i="19" s="1"/>
  <c r="F225" i="19"/>
  <c r="J225" i="19" s="1"/>
  <c r="F226" i="19"/>
  <c r="F227" i="19"/>
  <c r="I227" i="19" s="1"/>
  <c r="F228" i="19"/>
  <c r="I228" i="19" s="1"/>
  <c r="F229" i="19"/>
  <c r="I229" i="19" s="1"/>
  <c r="F230" i="19"/>
  <c r="J230" i="19" s="1"/>
  <c r="F231" i="19"/>
  <c r="F232" i="19"/>
  <c r="I232" i="19" s="1"/>
  <c r="F149" i="19"/>
  <c r="F131" i="19"/>
  <c r="F130" i="19"/>
  <c r="F129" i="19"/>
  <c r="F128" i="19"/>
  <c r="F127" i="19"/>
  <c r="F126" i="19"/>
  <c r="F125" i="19"/>
  <c r="F70" i="19"/>
  <c r="F72" i="19"/>
  <c r="F73" i="19"/>
  <c r="F74" i="19"/>
  <c r="F76" i="19"/>
  <c r="F78" i="19"/>
  <c r="F80" i="19"/>
  <c r="F82" i="19"/>
  <c r="F83" i="19"/>
  <c r="F84" i="19"/>
  <c r="F85" i="19"/>
  <c r="F86" i="19"/>
  <c r="F87" i="19"/>
  <c r="F88" i="19"/>
  <c r="F89" i="19"/>
  <c r="F90" i="19"/>
  <c r="F91" i="19"/>
  <c r="F92" i="19"/>
  <c r="F93" i="19"/>
  <c r="F94" i="19"/>
  <c r="F95" i="19"/>
  <c r="F96" i="19"/>
  <c r="F98" i="19"/>
  <c r="F99" i="19"/>
  <c r="F100" i="19"/>
  <c r="F101" i="19"/>
  <c r="F102" i="19"/>
  <c r="F103" i="19"/>
  <c r="F104" i="19"/>
  <c r="F105" i="19"/>
  <c r="F69" i="19"/>
  <c r="F23" i="19"/>
  <c r="F24" i="19"/>
  <c r="F26" i="19"/>
  <c r="F27" i="19"/>
  <c r="F28" i="19"/>
  <c r="F29" i="19"/>
  <c r="F30" i="19"/>
  <c r="F32" i="19"/>
  <c r="F33" i="19"/>
  <c r="F35" i="19"/>
  <c r="F36" i="19"/>
  <c r="F37" i="19"/>
  <c r="F38" i="19"/>
  <c r="F39" i="19"/>
  <c r="F41" i="19"/>
  <c r="F42" i="19"/>
  <c r="F43" i="19"/>
  <c r="F44" i="19"/>
  <c r="F45" i="19"/>
  <c r="F46" i="19"/>
  <c r="F47" i="19"/>
  <c r="F49" i="19"/>
  <c r="F50" i="19"/>
  <c r="F51" i="19"/>
  <c r="F52" i="19"/>
  <c r="F53" i="19"/>
  <c r="E409" i="19"/>
  <c r="D409" i="19"/>
  <c r="F409" i="19" s="1"/>
  <c r="E397" i="19"/>
  <c r="D397" i="19"/>
  <c r="D368" i="19"/>
  <c r="D28" i="19"/>
  <c r="D25" i="19"/>
  <c r="F25" i="19" s="1"/>
  <c r="D310" i="19"/>
  <c r="F310" i="19" s="1"/>
  <c r="D306" i="19"/>
  <c r="F306" i="19" s="1"/>
  <c r="I295" i="19"/>
  <c r="D270" i="19"/>
  <c r="D266" i="19"/>
  <c r="F266" i="19" s="1"/>
  <c r="D254" i="19"/>
  <c r="J255" i="19"/>
  <c r="I255" i="19"/>
  <c r="D252" i="19"/>
  <c r="F252" i="19" s="1"/>
  <c r="D250" i="19"/>
  <c r="F250" i="19" s="1"/>
  <c r="D248" i="19"/>
  <c r="F248" i="19" s="1"/>
  <c r="D240" i="19"/>
  <c r="F240" i="19" s="1"/>
  <c r="I231" i="19"/>
  <c r="J223" i="19"/>
  <c r="J218" i="19"/>
  <c r="J217" i="19"/>
  <c r="J215" i="19"/>
  <c r="E71" i="19"/>
  <c r="D71" i="19"/>
  <c r="F71" i="19" s="1"/>
  <c r="E75" i="19"/>
  <c r="F75" i="19" s="1"/>
  <c r="E40" i="19"/>
  <c r="F40" i="19" s="1"/>
  <c r="F34" i="19"/>
  <c r="E28" i="19"/>
  <c r="E25" i="19"/>
  <c r="E22" i="19"/>
  <c r="D22" i="19"/>
  <c r="F22" i="19" s="1"/>
  <c r="F397" i="19" l="1"/>
  <c r="F31" i="19"/>
  <c r="I230" i="19"/>
  <c r="K230" i="19" s="1"/>
  <c r="K255" i="19"/>
  <c r="J295" i="19"/>
  <c r="K295" i="19" s="1"/>
  <c r="I294" i="19"/>
  <c r="K294" i="19" s="1"/>
  <c r="I254" i="19"/>
  <c r="K254" i="19" s="1"/>
  <c r="J227" i="19"/>
  <c r="K227" i="19" s="1"/>
  <c r="J231" i="19"/>
  <c r="K231" i="19" s="1"/>
  <c r="J228" i="19"/>
  <c r="K228" i="19" s="1"/>
  <c r="J232" i="19"/>
  <c r="K232" i="19" s="1"/>
  <c r="J229" i="19"/>
  <c r="K229" i="19" s="1"/>
  <c r="I224" i="19"/>
  <c r="K224" i="19"/>
  <c r="I222" i="19"/>
  <c r="K222" i="19" s="1"/>
  <c r="I220" i="19"/>
  <c r="K220" i="19" s="1"/>
  <c r="I221" i="19"/>
  <c r="K221" i="19" s="1"/>
  <c r="I223" i="19"/>
  <c r="K223" i="19" s="1"/>
  <c r="I225" i="19"/>
  <c r="K225" i="19" s="1"/>
  <c r="I215" i="19"/>
  <c r="K215" i="19" s="1"/>
  <c r="I213" i="19"/>
  <c r="K213" i="19" s="1"/>
  <c r="I217" i="19"/>
  <c r="K217" i="19" s="1"/>
  <c r="I214" i="19"/>
  <c r="K214" i="19" s="1"/>
  <c r="I216" i="19"/>
  <c r="K216" i="19" s="1"/>
  <c r="I218" i="19"/>
  <c r="K218" i="19" s="1"/>
  <c r="E368" i="19" l="1"/>
  <c r="F368" i="19" s="1"/>
  <c r="E22" i="18" l="1"/>
  <c r="I348" i="19"/>
  <c r="J347" i="19"/>
  <c r="J346" i="19"/>
  <c r="J345" i="19"/>
  <c r="H56" i="22"/>
  <c r="E298" i="19"/>
  <c r="F298" i="19" s="1"/>
  <c r="E296" i="19"/>
  <c r="F296" i="19" s="1"/>
  <c r="E284" i="19"/>
  <c r="F284" i="19" s="1"/>
  <c r="J280" i="19"/>
  <c r="E258" i="19"/>
  <c r="F258" i="19" s="1"/>
  <c r="E256" i="19"/>
  <c r="F256" i="19" s="1"/>
  <c r="E246" i="19"/>
  <c r="F246" i="19" s="1"/>
  <c r="E244" i="19"/>
  <c r="F244" i="19" s="1"/>
  <c r="J241" i="19"/>
  <c r="E97" i="19"/>
  <c r="F97" i="19" s="1"/>
  <c r="I367" i="19" l="1"/>
  <c r="J367" i="19"/>
  <c r="J348" i="19"/>
  <c r="K348" i="19" s="1"/>
  <c r="I346" i="19"/>
  <c r="K346" i="19" s="1"/>
  <c r="I347" i="19"/>
  <c r="K347" i="19" s="1"/>
  <c r="I345" i="19"/>
  <c r="K345" i="19" s="1"/>
  <c r="I280" i="19"/>
  <c r="K280" i="19" s="1"/>
  <c r="J240" i="19"/>
  <c r="I240" i="19"/>
  <c r="I241" i="19"/>
  <c r="K241" i="19" s="1"/>
  <c r="J97" i="19"/>
  <c r="I97" i="19"/>
  <c r="K367" i="19" l="1"/>
  <c r="K240" i="19"/>
  <c r="K97" i="19"/>
  <c r="J95" i="19" l="1"/>
  <c r="E81" i="19"/>
  <c r="F81" i="19" s="1"/>
  <c r="E77" i="19"/>
  <c r="F77" i="19" s="1"/>
  <c r="E79" i="19"/>
  <c r="I80" i="19"/>
  <c r="F79" i="19" l="1"/>
  <c r="J79" i="19" s="1"/>
  <c r="J80" i="19"/>
  <c r="K80" i="19" s="1"/>
  <c r="I95" i="19"/>
  <c r="K95" i="19" s="1"/>
  <c r="I79" i="19"/>
  <c r="K79" i="19" l="1"/>
  <c r="J132" i="19" l="1"/>
  <c r="I132" i="19"/>
  <c r="K132" i="19" l="1"/>
  <c r="G40" i="22" l="1"/>
  <c r="G97" i="22"/>
  <c r="G96" i="22"/>
  <c r="G95" i="22"/>
  <c r="G94" i="22"/>
  <c r="G93" i="22"/>
  <c r="G92" i="22"/>
  <c r="G91" i="22"/>
  <c r="G90" i="22"/>
  <c r="G89" i="22"/>
  <c r="G88" i="22"/>
  <c r="G87" i="22"/>
  <c r="G86" i="22"/>
  <c r="G85" i="22"/>
  <c r="G84" i="22"/>
  <c r="G83" i="22"/>
  <c r="G82" i="22"/>
  <c r="G81" i="22"/>
  <c r="G80" i="22"/>
  <c r="G79" i="22"/>
  <c r="G78" i="22"/>
  <c r="G77" i="22"/>
  <c r="G76" i="22"/>
  <c r="G75" i="22"/>
  <c r="G74" i="22"/>
  <c r="G73" i="22"/>
  <c r="G72" i="22"/>
  <c r="G71" i="22"/>
  <c r="G66" i="22"/>
  <c r="G65" i="22"/>
  <c r="G64" i="22"/>
  <c r="G63" i="22"/>
  <c r="G62" i="22"/>
  <c r="G61" i="22"/>
  <c r="G60" i="22"/>
  <c r="G59" i="22"/>
  <c r="G58" i="22"/>
  <c r="G57" i="22"/>
  <c r="G56" i="22"/>
  <c r="G55" i="22"/>
  <c r="G54" i="22"/>
  <c r="G53" i="22"/>
  <c r="G52" i="22"/>
  <c r="G51" i="22"/>
  <c r="G50" i="22"/>
  <c r="G49" i="22"/>
  <c r="G48" i="22"/>
  <c r="G47" i="22"/>
  <c r="G46" i="22"/>
  <c r="G45" i="22"/>
  <c r="G44" i="22"/>
  <c r="G43" i="22"/>
  <c r="G42" i="22"/>
  <c r="G41" i="22"/>
  <c r="G35" i="22"/>
  <c r="G34" i="22"/>
  <c r="G33" i="22"/>
  <c r="G32" i="22"/>
  <c r="G31" i="22"/>
  <c r="G30" i="22"/>
  <c r="G29" i="22"/>
  <c r="G28" i="22"/>
  <c r="G27" i="22"/>
  <c r="G26" i="22"/>
  <c r="G25" i="22"/>
  <c r="A25" i="22"/>
  <c r="A27" i="22" s="1"/>
  <c r="G24" i="22"/>
  <c r="G23" i="22"/>
  <c r="G22" i="22"/>
  <c r="G21" i="22"/>
  <c r="G20" i="22"/>
  <c r="G19" i="22"/>
  <c r="G18" i="22"/>
  <c r="G17" i="22"/>
  <c r="A17" i="22"/>
  <c r="A19" i="22" s="1"/>
  <c r="A21" i="22" s="1"/>
  <c r="G16" i="22"/>
  <c r="G15" i="22"/>
  <c r="G14" i="22"/>
  <c r="G13" i="22"/>
  <c r="A13" i="22"/>
  <c r="G12" i="22"/>
  <c r="G11" i="22"/>
  <c r="H8" i="22"/>
  <c r="G68" i="22" l="1"/>
  <c r="G102" i="22" s="1"/>
  <c r="G37" i="22"/>
  <c r="G101" i="22" s="1"/>
  <c r="G99" i="22"/>
  <c r="G103" i="22" s="1"/>
  <c r="G105" i="22" l="1"/>
  <c r="H105" i="22" s="1"/>
  <c r="J405" i="19" l="1"/>
  <c r="J350" i="19" l="1"/>
  <c r="I350" i="19"/>
  <c r="I379" i="19"/>
  <c r="J379" i="19"/>
  <c r="I380" i="19"/>
  <c r="J380" i="19"/>
  <c r="J349" i="19"/>
  <c r="I349" i="19"/>
  <c r="I405" i="19"/>
  <c r="K405" i="19" s="1"/>
  <c r="K379" i="19" l="1"/>
  <c r="K380" i="19"/>
  <c r="K350" i="19"/>
  <c r="K349" i="19"/>
  <c r="E17" i="18" l="1"/>
  <c r="E15" i="18"/>
  <c r="E13" i="18"/>
  <c r="E11" i="18"/>
  <c r="E9" i="18"/>
  <c r="E7" i="18"/>
  <c r="E5" i="18"/>
  <c r="F432" i="19" l="1"/>
  <c r="F394" i="19"/>
  <c r="F393" i="19"/>
  <c r="F392" i="19"/>
  <c r="F390" i="19"/>
  <c r="F326" i="19"/>
  <c r="A83" i="19"/>
  <c r="A69" i="19"/>
  <c r="I415" i="19" l="1"/>
  <c r="J415" i="19"/>
  <c r="J413" i="19"/>
  <c r="I413" i="19"/>
  <c r="J327" i="19"/>
  <c r="I327" i="19"/>
  <c r="I377" i="19"/>
  <c r="J377" i="19"/>
  <c r="I378" i="19"/>
  <c r="J378" i="19"/>
  <c r="J31" i="19"/>
  <c r="J70" i="19"/>
  <c r="I100" i="19"/>
  <c r="J198" i="19"/>
  <c r="I304" i="19"/>
  <c r="J309" i="19"/>
  <c r="J315" i="19"/>
  <c r="I328" i="19"/>
  <c r="J335" i="19"/>
  <c r="J397" i="19"/>
  <c r="J409" i="19"/>
  <c r="J425" i="19"/>
  <c r="J435" i="19"/>
  <c r="I451" i="19"/>
  <c r="I28" i="19"/>
  <c r="I71" i="19"/>
  <c r="J103" i="19"/>
  <c r="I149" i="19"/>
  <c r="I302" i="19"/>
  <c r="I310" i="19"/>
  <c r="J313" i="19"/>
  <c r="J395" i="19"/>
  <c r="I418" i="19"/>
  <c r="I436" i="19"/>
  <c r="J441" i="19"/>
  <c r="J28" i="19"/>
  <c r="I74" i="19"/>
  <c r="J86" i="19"/>
  <c r="J149" i="19"/>
  <c r="J246" i="19"/>
  <c r="I249" i="19"/>
  <c r="J292" i="19"/>
  <c r="I305" i="19"/>
  <c r="J310" i="19"/>
  <c r="I339" i="19"/>
  <c r="I351" i="19"/>
  <c r="I401" i="19"/>
  <c r="J418" i="19"/>
  <c r="J436" i="19"/>
  <c r="I449" i="19"/>
  <c r="I34" i="19"/>
  <c r="J74" i="19"/>
  <c r="J89" i="19"/>
  <c r="J101" i="19"/>
  <c r="I244" i="19"/>
  <c r="J249" i="19"/>
  <c r="I266" i="19"/>
  <c r="I300" i="19"/>
  <c r="I314" i="19"/>
  <c r="I368" i="19"/>
  <c r="J401" i="19"/>
  <c r="I408" i="19"/>
  <c r="J427" i="19"/>
  <c r="J449" i="19"/>
  <c r="I25" i="19"/>
  <c r="J54" i="19"/>
  <c r="J77" i="19"/>
  <c r="J84" i="19"/>
  <c r="I184" i="19"/>
  <c r="I247" i="19"/>
  <c r="I303" i="19"/>
  <c r="I311" i="19"/>
  <c r="I363" i="19"/>
  <c r="J396" i="19"/>
  <c r="I419" i="19"/>
  <c r="J72" i="19"/>
  <c r="J82" i="19"/>
  <c r="J87" i="19"/>
  <c r="J99" i="19"/>
  <c r="J184" i="19"/>
  <c r="I242" i="19"/>
  <c r="I282" i="19"/>
  <c r="I290" i="19"/>
  <c r="J293" i="19"/>
  <c r="I298" i="19"/>
  <c r="J303" i="19"/>
  <c r="J337" i="19"/>
  <c r="J363" i="19"/>
  <c r="J385" i="19"/>
  <c r="J411" i="19"/>
  <c r="I414" i="19"/>
  <c r="J419" i="19"/>
  <c r="J40" i="19"/>
  <c r="J90" i="19"/>
  <c r="I93" i="19"/>
  <c r="J102" i="19"/>
  <c r="I261" i="19"/>
  <c r="I267" i="19"/>
  <c r="I273" i="19"/>
  <c r="J282" i="19"/>
  <c r="I301" i="19"/>
  <c r="J330" i="19"/>
  <c r="I429" i="19"/>
  <c r="J440" i="19"/>
  <c r="I156" i="19"/>
  <c r="J48" i="19"/>
  <c r="J260" i="19"/>
  <c r="I150" i="19"/>
  <c r="I180" i="19"/>
  <c r="I342" i="19"/>
  <c r="I289" i="19"/>
  <c r="J361" i="19"/>
  <c r="J43" i="19"/>
  <c r="J205" i="19"/>
  <c r="J50" i="19"/>
  <c r="I159" i="19"/>
  <c r="I333" i="19"/>
  <c r="J452" i="19"/>
  <c r="I54" i="19"/>
  <c r="J150" i="19"/>
  <c r="J180" i="19"/>
  <c r="I404" i="19"/>
  <c r="I29" i="19"/>
  <c r="J47" i="19"/>
  <c r="J56" i="19"/>
  <c r="J125" i="19"/>
  <c r="J131" i="19"/>
  <c r="J174" i="19"/>
  <c r="J177" i="19"/>
  <c r="J186" i="19"/>
  <c r="J189" i="19"/>
  <c r="I199" i="19"/>
  <c r="J209" i="19"/>
  <c r="J212" i="19"/>
  <c r="I287" i="19"/>
  <c r="I343" i="19"/>
  <c r="J51" i="19"/>
  <c r="J128" i="19"/>
  <c r="J156" i="19"/>
  <c r="J29" i="19"/>
  <c r="I32" i="19"/>
  <c r="J44" i="19"/>
  <c r="J154" i="19"/>
  <c r="I157" i="19"/>
  <c r="I164" i="19"/>
  <c r="J171" i="19"/>
  <c r="I189" i="19"/>
  <c r="J287" i="19"/>
  <c r="J334" i="19"/>
  <c r="J365" i="19"/>
  <c r="J424" i="19"/>
  <c r="I27" i="19"/>
  <c r="J32" i="19"/>
  <c r="J35" i="19"/>
  <c r="I38" i="19"/>
  <c r="J41" i="19"/>
  <c r="J53" i="19"/>
  <c r="J151" i="19"/>
  <c r="I161" i="19"/>
  <c r="I197" i="19"/>
  <c r="I200" i="19"/>
  <c r="J443" i="19"/>
  <c r="I454" i="19"/>
  <c r="J450" i="19"/>
  <c r="J24" i="19"/>
  <c r="I30" i="19"/>
  <c r="J126" i="19"/>
  <c r="J161" i="19"/>
  <c r="J168" i="19"/>
  <c r="J187" i="19"/>
  <c r="J197" i="19"/>
  <c r="J204" i="19"/>
  <c r="J210" i="19"/>
  <c r="J277" i="19"/>
  <c r="J285" i="19"/>
  <c r="J291" i="19"/>
  <c r="J312" i="19"/>
  <c r="J326" i="19"/>
  <c r="J340" i="19"/>
  <c r="J384" i="19"/>
  <c r="I153" i="19"/>
  <c r="J279" i="19"/>
  <c r="J30" i="19"/>
  <c r="I33" i="19"/>
  <c r="J42" i="19"/>
  <c r="I130" i="19"/>
  <c r="I152" i="19"/>
  <c r="J155" i="19"/>
  <c r="J165" i="19"/>
  <c r="I173" i="19"/>
  <c r="J179" i="19"/>
  <c r="J182" i="19"/>
  <c r="I194" i="19"/>
  <c r="I201" i="19"/>
  <c r="J207" i="19"/>
  <c r="I239" i="19"/>
  <c r="I402" i="19"/>
  <c r="J426" i="19"/>
  <c r="J195" i="19"/>
  <c r="J36" i="19"/>
  <c r="J49" i="19"/>
  <c r="J58" i="19"/>
  <c r="I59" i="19"/>
  <c r="J130" i="19"/>
  <c r="J173" i="19"/>
  <c r="J176" i="19"/>
  <c r="J185" i="19"/>
  <c r="J201" i="19"/>
  <c r="I278" i="19"/>
  <c r="J283" i="19"/>
  <c r="J250" i="19"/>
  <c r="I250" i="19"/>
  <c r="J253" i="19"/>
  <c r="J272" i="19"/>
  <c r="J251" i="19"/>
  <c r="I264" i="19"/>
  <c r="I272" i="19"/>
  <c r="I252" i="19"/>
  <c r="J264" i="19"/>
  <c r="J252" i="19"/>
  <c r="J163" i="19"/>
  <c r="J199" i="19"/>
  <c r="I212" i="19"/>
  <c r="J342" i="19"/>
  <c r="J164" i="19"/>
  <c r="J194" i="19"/>
  <c r="J200" i="19"/>
  <c r="J289" i="19"/>
  <c r="I312" i="19"/>
  <c r="J343" i="19"/>
  <c r="J33" i="19"/>
  <c r="J45" i="19"/>
  <c r="J159" i="19"/>
  <c r="J166" i="19"/>
  <c r="I387" i="19"/>
  <c r="I39" i="19"/>
  <c r="J190" i="19"/>
  <c r="J196" i="19"/>
  <c r="J202" i="19"/>
  <c r="I356" i="19"/>
  <c r="J403" i="19"/>
  <c r="J127" i="19"/>
  <c r="I154" i="19"/>
  <c r="J178" i="19"/>
  <c r="J356" i="19"/>
  <c r="J366" i="19"/>
  <c r="J305" i="19"/>
  <c r="J52" i="19"/>
  <c r="I331" i="19"/>
  <c r="I316" i="19"/>
  <c r="J368" i="19"/>
  <c r="J375" i="19"/>
  <c r="I37" i="19"/>
  <c r="I276" i="19"/>
  <c r="J299" i="19"/>
  <c r="J429" i="19"/>
  <c r="J206" i="19"/>
  <c r="I425" i="19"/>
  <c r="J57" i="19"/>
  <c r="J341" i="19"/>
  <c r="I84" i="19"/>
  <c r="J85" i="19"/>
  <c r="I158" i="19"/>
  <c r="J243" i="19"/>
  <c r="J248" i="19"/>
  <c r="I398" i="19"/>
  <c r="J311" i="19"/>
  <c r="J374" i="19"/>
  <c r="J414" i="19"/>
  <c r="I439" i="19"/>
  <c r="J300" i="19"/>
  <c r="J362" i="19"/>
  <c r="I128" i="19"/>
  <c r="J175" i="19"/>
  <c r="J203" i="19"/>
  <c r="J455" i="19"/>
  <c r="J73" i="19"/>
  <c r="J55" i="19"/>
  <c r="J46" i="19"/>
  <c r="J69" i="19"/>
  <c r="J78" i="19"/>
  <c r="I75" i="19"/>
  <c r="J75" i="19"/>
  <c r="J104" i="19"/>
  <c r="J192" i="19"/>
  <c r="I210" i="19"/>
  <c r="J92" i="19"/>
  <c r="J83" i="19"/>
  <c r="J88" i="19"/>
  <c r="J208" i="19"/>
  <c r="J239" i="19"/>
  <c r="J105" i="19"/>
  <c r="I70" i="19"/>
  <c r="J256" i="19"/>
  <c r="J271" i="19"/>
  <c r="J290" i="19"/>
  <c r="J306" i="19"/>
  <c r="J261" i="19"/>
  <c r="J274" i="19"/>
  <c r="J244" i="19"/>
  <c r="I313" i="19"/>
  <c r="I360" i="19"/>
  <c r="I407" i="19"/>
  <c r="J373" i="19"/>
  <c r="J381" i="19"/>
  <c r="J407" i="19"/>
  <c r="J448" i="19"/>
  <c r="J458" i="19"/>
  <c r="J421" i="19"/>
  <c r="J422" i="19"/>
  <c r="J446" i="19"/>
  <c r="J444" i="19"/>
  <c r="J454" i="19"/>
  <c r="J428" i="19"/>
  <c r="J402" i="19"/>
  <c r="I373" i="19"/>
  <c r="I256" i="19"/>
  <c r="I441" i="19"/>
  <c r="I77" i="19"/>
  <c r="I362" i="19"/>
  <c r="I385" i="19"/>
  <c r="I286" i="19"/>
  <c r="J338" i="19"/>
  <c r="I306" i="19"/>
  <c r="J25" i="19"/>
  <c r="I40" i="19"/>
  <c r="I72" i="19"/>
  <c r="I103" i="19"/>
  <c r="I155" i="19"/>
  <c r="I179" i="19"/>
  <c r="J22" i="19"/>
  <c r="J27" i="19"/>
  <c r="I102" i="19"/>
  <c r="J167" i="19"/>
  <c r="J369" i="19"/>
  <c r="I369" i="19"/>
  <c r="J181" i="19"/>
  <c r="I24" i="19"/>
  <c r="I126" i="19"/>
  <c r="J169" i="19"/>
  <c r="I172" i="19"/>
  <c r="I82" i="19"/>
  <c r="I168" i="19"/>
  <c r="I283" i="19"/>
  <c r="J153" i="19"/>
  <c r="J59" i="19"/>
  <c r="J81" i="19"/>
  <c r="I81" i="19"/>
  <c r="J93" i="19"/>
  <c r="J191" i="19"/>
  <c r="I191" i="19"/>
  <c r="I421" i="19"/>
  <c r="I196" i="19"/>
  <c r="J23" i="19"/>
  <c r="J91" i="19"/>
  <c r="I91" i="19"/>
  <c r="J160" i="19"/>
  <c r="J193" i="19"/>
  <c r="I192" i="19"/>
  <c r="I337" i="19"/>
  <c r="I291" i="19"/>
  <c r="J100" i="19"/>
  <c r="J158" i="19"/>
  <c r="I165" i="19"/>
  <c r="J170" i="19"/>
  <c r="I253" i="19"/>
  <c r="J270" i="19"/>
  <c r="I265" i="19"/>
  <c r="J275" i="19"/>
  <c r="I275" i="19"/>
  <c r="J420" i="19"/>
  <c r="I69" i="19"/>
  <c r="I104" i="19"/>
  <c r="I209" i="19"/>
  <c r="J269" i="19"/>
  <c r="I269" i="19"/>
  <c r="I395" i="19"/>
  <c r="I412" i="19"/>
  <c r="J412" i="19"/>
  <c r="I76" i="19"/>
  <c r="I83" i="19"/>
  <c r="J162" i="19"/>
  <c r="I181" i="19"/>
  <c r="J258" i="19"/>
  <c r="I330" i="19"/>
  <c r="I353" i="19"/>
  <c r="J358" i="19"/>
  <c r="I358" i="19"/>
  <c r="J442" i="19"/>
  <c r="J71" i="19"/>
  <c r="I85" i="19"/>
  <c r="I101" i="19"/>
  <c r="J129" i="19"/>
  <c r="J188" i="19"/>
  <c r="I92" i="19"/>
  <c r="I263" i="19"/>
  <c r="J268" i="19"/>
  <c r="I268" i="19"/>
  <c r="I284" i="19"/>
  <c r="I329" i="19"/>
  <c r="J352" i="19"/>
  <c r="I352" i="19"/>
  <c r="J353" i="19"/>
  <c r="J357" i="19"/>
  <c r="J297" i="19"/>
  <c r="I297" i="19"/>
  <c r="J333" i="19"/>
  <c r="I335" i="19"/>
  <c r="J336" i="19"/>
  <c r="J354" i="19"/>
  <c r="J400" i="19"/>
  <c r="J416" i="19"/>
  <c r="I416" i="19"/>
  <c r="J259" i="19"/>
  <c r="J276" i="19"/>
  <c r="I285" i="19"/>
  <c r="I299" i="19"/>
  <c r="J304" i="19"/>
  <c r="J316" i="19"/>
  <c r="J331" i="19"/>
  <c r="I359" i="19"/>
  <c r="J360" i="19"/>
  <c r="I437" i="19"/>
  <c r="J273" i="19"/>
  <c r="I296" i="19"/>
  <c r="J301" i="19"/>
  <c r="I308" i="19"/>
  <c r="J328" i="19"/>
  <c r="J351" i="19"/>
  <c r="I435" i="19"/>
  <c r="I452" i="19"/>
  <c r="J296" i="19"/>
  <c r="J308" i="19"/>
  <c r="J376" i="19"/>
  <c r="I376" i="19"/>
  <c r="J399" i="19"/>
  <c r="I399" i="19"/>
  <c r="I243" i="19"/>
  <c r="I248" i="19"/>
  <c r="J364" i="19"/>
  <c r="J386" i="19"/>
  <c r="J423" i="19"/>
  <c r="I423" i="19"/>
  <c r="I245" i="19"/>
  <c r="I257" i="19"/>
  <c r="J286" i="19"/>
  <c r="I307" i="19"/>
  <c r="I334" i="19"/>
  <c r="J339" i="19"/>
  <c r="I456" i="19"/>
  <c r="I206" i="19"/>
  <c r="J211" i="19"/>
  <c r="J245" i="19"/>
  <c r="J257" i="19"/>
  <c r="J262" i="19"/>
  <c r="I288" i="19"/>
  <c r="J307" i="19"/>
  <c r="J355" i="19"/>
  <c r="J288" i="19"/>
  <c r="J302" i="19"/>
  <c r="J329" i="19"/>
  <c r="I409" i="19"/>
  <c r="J438" i="19"/>
  <c r="I440" i="19"/>
  <c r="I396" i="19"/>
  <c r="J445" i="19"/>
  <c r="J453" i="19"/>
  <c r="J398" i="19"/>
  <c r="J410" i="19"/>
  <c r="I427" i="19"/>
  <c r="J417" i="19"/>
  <c r="J439" i="19"/>
  <c r="J451" i="19"/>
  <c r="J133" i="19" l="1"/>
  <c r="K415" i="19"/>
  <c r="K413" i="19"/>
  <c r="K327" i="19"/>
  <c r="K377" i="19"/>
  <c r="K378" i="19"/>
  <c r="K362" i="19"/>
  <c r="K248" i="19"/>
  <c r="K299" i="19"/>
  <c r="I400" i="19"/>
  <c r="K400" i="19" s="1"/>
  <c r="I438" i="19"/>
  <c r="K438" i="19" s="1"/>
  <c r="I162" i="19"/>
  <c r="K162" i="19" s="1"/>
  <c r="K439" i="19"/>
  <c r="I186" i="19"/>
  <c r="K186" i="19" s="1"/>
  <c r="I198" i="19"/>
  <c r="K198" i="19" s="1"/>
  <c r="K158" i="19"/>
  <c r="K331" i="19"/>
  <c r="I386" i="19"/>
  <c r="K386" i="19" s="1"/>
  <c r="J284" i="19"/>
  <c r="K284" i="19" s="1"/>
  <c r="I22" i="19"/>
  <c r="J267" i="19"/>
  <c r="K267" i="19" s="1"/>
  <c r="I262" i="19"/>
  <c r="K262" i="19" s="1"/>
  <c r="K156" i="19"/>
  <c r="K71" i="19"/>
  <c r="I381" i="19"/>
  <c r="K381" i="19" s="1"/>
  <c r="K441" i="19"/>
  <c r="I270" i="19"/>
  <c r="K270" i="19" s="1"/>
  <c r="I315" i="19"/>
  <c r="K315" i="19" s="1"/>
  <c r="I87" i="19"/>
  <c r="K87" i="19" s="1"/>
  <c r="J34" i="19"/>
  <c r="K34" i="19" s="1"/>
  <c r="K451" i="19"/>
  <c r="J247" i="19"/>
  <c r="K247" i="19" s="1"/>
  <c r="I309" i="19"/>
  <c r="K309" i="19" s="1"/>
  <c r="J265" i="19"/>
  <c r="K265" i="19" s="1"/>
  <c r="I167" i="19"/>
  <c r="K167" i="19" s="1"/>
  <c r="J37" i="19"/>
  <c r="K37" i="19" s="1"/>
  <c r="I31" i="19"/>
  <c r="K31" i="19" s="1"/>
  <c r="I90" i="19"/>
  <c r="K90" i="19" s="1"/>
  <c r="K128" i="19"/>
  <c r="K440" i="19"/>
  <c r="K360" i="19"/>
  <c r="K328" i="19"/>
  <c r="K339" i="19"/>
  <c r="K243" i="19"/>
  <c r="I131" i="19"/>
  <c r="K131" i="19" s="1"/>
  <c r="I364" i="19"/>
  <c r="K364" i="19" s="1"/>
  <c r="I188" i="19"/>
  <c r="K188" i="19" s="1"/>
  <c r="I88" i="19"/>
  <c r="K88" i="19" s="1"/>
  <c r="I410" i="19"/>
  <c r="K410" i="19" s="1"/>
  <c r="K429" i="19"/>
  <c r="I375" i="19"/>
  <c r="K375" i="19" s="1"/>
  <c r="J408" i="19"/>
  <c r="K408" i="19" s="1"/>
  <c r="K316" i="19"/>
  <c r="I357" i="19"/>
  <c r="K357" i="19" s="1"/>
  <c r="J242" i="19"/>
  <c r="I374" i="19"/>
  <c r="K374" i="19" s="1"/>
  <c r="J298" i="19"/>
  <c r="K298" i="19" s="1"/>
  <c r="I292" i="19"/>
  <c r="K292" i="19" s="1"/>
  <c r="K249" i="19"/>
  <c r="I453" i="19"/>
  <c r="K453" i="19" s="1"/>
  <c r="I293" i="19"/>
  <c r="K293" i="19" s="1"/>
  <c r="I271" i="19"/>
  <c r="K271" i="19" s="1"/>
  <c r="I336" i="19"/>
  <c r="K336" i="19" s="1"/>
  <c r="I86" i="19"/>
  <c r="K86" i="19" s="1"/>
  <c r="K363" i="19"/>
  <c r="K54" i="19"/>
  <c r="I411" i="19"/>
  <c r="K411" i="19" s="1"/>
  <c r="I417" i="19"/>
  <c r="K417" i="19" s="1"/>
  <c r="K414" i="19"/>
  <c r="I78" i="19"/>
  <c r="K78" i="19" s="1"/>
  <c r="I258" i="19"/>
  <c r="K258" i="19" s="1"/>
  <c r="K385" i="19"/>
  <c r="I277" i="19"/>
  <c r="K277" i="19" s="1"/>
  <c r="I246" i="19"/>
  <c r="K246" i="19" s="1"/>
  <c r="J314" i="19"/>
  <c r="K314" i="19" s="1"/>
  <c r="I455" i="19"/>
  <c r="K455" i="19" s="1"/>
  <c r="J263" i="19"/>
  <c r="K263" i="19" s="1"/>
  <c r="I397" i="19"/>
  <c r="K397" i="19" s="1"/>
  <c r="I105" i="19"/>
  <c r="K105" i="19" s="1"/>
  <c r="J266" i="19"/>
  <c r="K266" i="19" s="1"/>
  <c r="I259" i="19"/>
  <c r="K259" i="19" s="1"/>
  <c r="K282" i="19"/>
  <c r="J437" i="19"/>
  <c r="K437" i="19" s="1"/>
  <c r="I274" i="19"/>
  <c r="K274" i="19" s="1"/>
  <c r="J76" i="19"/>
  <c r="K76" i="19" s="1"/>
  <c r="I89" i="19"/>
  <c r="K89" i="19" s="1"/>
  <c r="I338" i="19"/>
  <c r="K338" i="19" s="1"/>
  <c r="K261" i="19"/>
  <c r="K436" i="19"/>
  <c r="I326" i="19"/>
  <c r="I73" i="19"/>
  <c r="K73" i="19" s="1"/>
  <c r="K75" i="19"/>
  <c r="I99" i="19"/>
  <c r="K99" i="19" s="1"/>
  <c r="I175" i="19"/>
  <c r="K175" i="19" s="1"/>
  <c r="K409" i="19"/>
  <c r="K351" i="19"/>
  <c r="I420" i="19"/>
  <c r="K420" i="19" s="1"/>
  <c r="I444" i="19"/>
  <c r="K444" i="19" s="1"/>
  <c r="I394" i="19"/>
  <c r="I57" i="19"/>
  <c r="K57" i="19" s="1"/>
  <c r="I169" i="19"/>
  <c r="K169" i="19" s="1"/>
  <c r="I42" i="19"/>
  <c r="K42" i="19" s="1"/>
  <c r="I56" i="19"/>
  <c r="K56" i="19" s="1"/>
  <c r="I41" i="19"/>
  <c r="K41" i="19" s="1"/>
  <c r="I35" i="19"/>
  <c r="K35" i="19" s="1"/>
  <c r="I457" i="19"/>
  <c r="I45" i="19"/>
  <c r="K45" i="19" s="1"/>
  <c r="I366" i="19"/>
  <c r="K366" i="19" s="1"/>
  <c r="I125" i="19"/>
  <c r="I129" i="19"/>
  <c r="K129" i="19" s="1"/>
  <c r="I450" i="19"/>
  <c r="K450" i="19" s="1"/>
  <c r="I260" i="19"/>
  <c r="K260" i="19" s="1"/>
  <c r="I388" i="19"/>
  <c r="I46" i="19"/>
  <c r="K46" i="19" s="1"/>
  <c r="I52" i="19"/>
  <c r="K52" i="19" s="1"/>
  <c r="I166" i="19"/>
  <c r="K166" i="19" s="1"/>
  <c r="I44" i="19"/>
  <c r="K44" i="19" s="1"/>
  <c r="I55" i="19"/>
  <c r="K55" i="19" s="1"/>
  <c r="I447" i="19"/>
  <c r="I279" i="19"/>
  <c r="I207" i="19"/>
  <c r="K207" i="19" s="1"/>
  <c r="I446" i="19"/>
  <c r="K446" i="19" s="1"/>
  <c r="I53" i="19"/>
  <c r="K53" i="19" s="1"/>
  <c r="I208" i="19"/>
  <c r="K208" i="19" s="1"/>
  <c r="I332" i="19"/>
  <c r="I185" i="19"/>
  <c r="K185" i="19" s="1"/>
  <c r="I193" i="19"/>
  <c r="K193" i="19" s="1"/>
  <c r="I355" i="19"/>
  <c r="K355" i="19" s="1"/>
  <c r="I204" i="19"/>
  <c r="K204" i="19" s="1"/>
  <c r="I49" i="19"/>
  <c r="K49" i="19" s="1"/>
  <c r="I160" i="19"/>
  <c r="K160" i="19" s="1"/>
  <c r="I354" i="19"/>
  <c r="K354" i="19" s="1"/>
  <c r="I205" i="19"/>
  <c r="K205" i="19" s="1"/>
  <c r="I58" i="19"/>
  <c r="K58" i="19" s="1"/>
  <c r="I182" i="19"/>
  <c r="K182" i="19" s="1"/>
  <c r="I187" i="19"/>
  <c r="K187" i="19" s="1"/>
  <c r="I151" i="19"/>
  <c r="K151" i="19" s="1"/>
  <c r="I177" i="19"/>
  <c r="K177" i="19" s="1"/>
  <c r="I365" i="19"/>
  <c r="K365" i="19" s="1"/>
  <c r="I171" i="19"/>
  <c r="K171" i="19" s="1"/>
  <c r="I26" i="19"/>
  <c r="I178" i="19"/>
  <c r="K178" i="19" s="1"/>
  <c r="I448" i="19"/>
  <c r="K448" i="19" s="1"/>
  <c r="I424" i="19"/>
  <c r="K424" i="19" s="1"/>
  <c r="I163" i="19"/>
  <c r="K163" i="19" s="1"/>
  <c r="I50" i="19"/>
  <c r="K50" i="19" s="1"/>
  <c r="I442" i="19"/>
  <c r="K442" i="19" s="1"/>
  <c r="I43" i="19"/>
  <c r="K43" i="19" s="1"/>
  <c r="I251" i="19"/>
  <c r="I195" i="19"/>
  <c r="K195" i="19" s="1"/>
  <c r="I183" i="19"/>
  <c r="I23" i="19"/>
  <c r="K23" i="19" s="1"/>
  <c r="I443" i="19"/>
  <c r="K443" i="19" s="1"/>
  <c r="I428" i="19"/>
  <c r="K428" i="19" s="1"/>
  <c r="I190" i="19"/>
  <c r="K190" i="19" s="1"/>
  <c r="I36" i="19"/>
  <c r="K36" i="19" s="1"/>
  <c r="I47" i="19"/>
  <c r="K47" i="19" s="1"/>
  <c r="I48" i="19"/>
  <c r="K48" i="19" s="1"/>
  <c r="I51" i="19"/>
  <c r="K51" i="19" s="1"/>
  <c r="I211" i="19"/>
  <c r="K211" i="19" s="1"/>
  <c r="J183" i="19"/>
  <c r="J152" i="19"/>
  <c r="K152" i="19" s="1"/>
  <c r="I340" i="19"/>
  <c r="K340" i="19" s="1"/>
  <c r="I203" i="19"/>
  <c r="K203" i="19" s="1"/>
  <c r="K168" i="19"/>
  <c r="I174" i="19"/>
  <c r="K285" i="19"/>
  <c r="J38" i="19"/>
  <c r="K38" i="19" s="1"/>
  <c r="I202" i="19"/>
  <c r="K202" i="19" s="1"/>
  <c r="K291" i="19"/>
  <c r="J278" i="19"/>
  <c r="K278" i="19" s="1"/>
  <c r="J359" i="19"/>
  <c r="K359" i="19" s="1"/>
  <c r="K343" i="19"/>
  <c r="K154" i="19"/>
  <c r="J332" i="19"/>
  <c r="J388" i="19"/>
  <c r="K194" i="19"/>
  <c r="K200" i="19"/>
  <c r="K449" i="19"/>
  <c r="K425" i="19"/>
  <c r="K164" i="19"/>
  <c r="K356" i="19"/>
  <c r="K84" i="19"/>
  <c r="K402" i="19"/>
  <c r="K70" i="19"/>
  <c r="K368" i="19"/>
  <c r="K311" i="19"/>
  <c r="K69" i="19"/>
  <c r="K396" i="19"/>
  <c r="K103" i="19"/>
  <c r="K300" i="19"/>
  <c r="K398" i="19"/>
  <c r="J172" i="19"/>
  <c r="K172" i="19" s="1"/>
  <c r="I170" i="19"/>
  <c r="K170" i="19" s="1"/>
  <c r="I127" i="19"/>
  <c r="K127" i="19" s="1"/>
  <c r="J26" i="19"/>
  <c r="K276" i="19"/>
  <c r="K199" i="19"/>
  <c r="J404" i="19"/>
  <c r="K404" i="19" s="1"/>
  <c r="K92" i="19"/>
  <c r="K83" i="19"/>
  <c r="K180" i="19"/>
  <c r="K301" i="19"/>
  <c r="K273" i="19"/>
  <c r="K85" i="19"/>
  <c r="K30" i="19"/>
  <c r="K244" i="19"/>
  <c r="K206" i="19"/>
  <c r="K335" i="19"/>
  <c r="J39" i="19"/>
  <c r="K209" i="19"/>
  <c r="K192" i="19"/>
  <c r="J157" i="19"/>
  <c r="I176" i="19"/>
  <c r="K176" i="19" s="1"/>
  <c r="I445" i="19"/>
  <c r="K445" i="19" s="1"/>
  <c r="K305" i="19"/>
  <c r="K313" i="19"/>
  <c r="K333" i="19"/>
  <c r="K126" i="19"/>
  <c r="K353" i="19"/>
  <c r="K419" i="19"/>
  <c r="K210" i="19"/>
  <c r="K407" i="19"/>
  <c r="K28" i="19"/>
  <c r="K256" i="19"/>
  <c r="K104" i="19"/>
  <c r="K306" i="19"/>
  <c r="K304" i="19"/>
  <c r="K373" i="19"/>
  <c r="K272" i="19"/>
  <c r="K290" i="19"/>
  <c r="J447" i="19"/>
  <c r="J456" i="19"/>
  <c r="K456" i="19" s="1"/>
  <c r="J394" i="19"/>
  <c r="K454" i="19"/>
  <c r="I426" i="19"/>
  <c r="K426" i="19" s="1"/>
  <c r="I384" i="19"/>
  <c r="K384" i="19" s="1"/>
  <c r="J387" i="19"/>
  <c r="K387" i="19" s="1"/>
  <c r="J457" i="19"/>
  <c r="K421" i="19"/>
  <c r="K77" i="19"/>
  <c r="K312" i="19"/>
  <c r="K197" i="19"/>
  <c r="K307" i="19"/>
  <c r="K32" i="19"/>
  <c r="K196" i="19"/>
  <c r="K287" i="19"/>
  <c r="K33" i="19"/>
  <c r="K91" i="19"/>
  <c r="K189" i="19"/>
  <c r="K342" i="19"/>
  <c r="K102" i="19"/>
  <c r="K40" i="19"/>
  <c r="K452" i="19"/>
  <c r="K72" i="19"/>
  <c r="K329" i="19"/>
  <c r="K358" i="19"/>
  <c r="K201" i="19"/>
  <c r="K165" i="19"/>
  <c r="K29" i="19"/>
  <c r="K253" i="19"/>
  <c r="K334" i="19"/>
  <c r="K330" i="19"/>
  <c r="K269" i="19"/>
  <c r="K250" i="19"/>
  <c r="K286" i="19"/>
  <c r="K376" i="19"/>
  <c r="K416" i="19"/>
  <c r="K275" i="19"/>
  <c r="K297" i="19"/>
  <c r="K184" i="19"/>
  <c r="K399" i="19"/>
  <c r="K100" i="19"/>
  <c r="K74" i="19"/>
  <c r="K82" i="19"/>
  <c r="K369" i="19"/>
  <c r="K296" i="19"/>
  <c r="K302" i="19"/>
  <c r="K101" i="19"/>
  <c r="K395" i="19"/>
  <c r="K268" i="19"/>
  <c r="K303" i="19"/>
  <c r="K153" i="19"/>
  <c r="K212" i="19"/>
  <c r="K179" i="19"/>
  <c r="K155" i="19"/>
  <c r="K150" i="19"/>
  <c r="K161" i="19"/>
  <c r="K27" i="19"/>
  <c r="K130" i="19"/>
  <c r="K418" i="19"/>
  <c r="I403" i="19"/>
  <c r="K403" i="19" s="1"/>
  <c r="K423" i="19"/>
  <c r="K337" i="19"/>
  <c r="K191" i="19"/>
  <c r="K352" i="19"/>
  <c r="K308" i="19"/>
  <c r="I341" i="19"/>
  <c r="K341" i="19" s="1"/>
  <c r="K159" i="19"/>
  <c r="K412" i="19"/>
  <c r="K181" i="19"/>
  <c r="K149" i="19"/>
  <c r="K173" i="19"/>
  <c r="K25" i="19"/>
  <c r="K245" i="19"/>
  <c r="K435" i="19"/>
  <c r="I422" i="19"/>
  <c r="K422" i="19" s="1"/>
  <c r="K24" i="19"/>
  <c r="K427" i="19"/>
  <c r="I458" i="19"/>
  <c r="K458" i="19" s="1"/>
  <c r="K239" i="19"/>
  <c r="K81" i="19"/>
  <c r="K283" i="19"/>
  <c r="K288" i="19"/>
  <c r="K264" i="19"/>
  <c r="K310" i="19"/>
  <c r="K59" i="19"/>
  <c r="K257" i="19"/>
  <c r="K289" i="19"/>
  <c r="K252" i="19"/>
  <c r="I361" i="19"/>
  <c r="K361" i="19" s="1"/>
  <c r="K93" i="19"/>
  <c r="D8" i="18"/>
  <c r="K401" i="19"/>
  <c r="J318" i="19" l="1"/>
  <c r="K125" i="19"/>
  <c r="K133" i="19" s="1"/>
  <c r="I133" i="19"/>
  <c r="K326" i="19"/>
  <c r="I389" i="19"/>
  <c r="C14" i="18" s="1"/>
  <c r="I431" i="19"/>
  <c r="C16" i="18" s="1"/>
  <c r="I318" i="19"/>
  <c r="C12" i="18" s="1"/>
  <c r="I234" i="19"/>
  <c r="C10" i="18" s="1"/>
  <c r="J234" i="19"/>
  <c r="D10" i="18" s="1"/>
  <c r="K22" i="19"/>
  <c r="I60" i="19"/>
  <c r="C4" i="18" s="1"/>
  <c r="J107" i="19"/>
  <c r="D6" i="18" s="1"/>
  <c r="I107" i="19"/>
  <c r="C6" i="18" s="1"/>
  <c r="K107" i="19"/>
  <c r="K251" i="19"/>
  <c r="K242" i="19"/>
  <c r="D12" i="18"/>
  <c r="K183" i="19"/>
  <c r="K26" i="19"/>
  <c r="K388" i="19"/>
  <c r="K332" i="19"/>
  <c r="K447" i="19"/>
  <c r="K279" i="19"/>
  <c r="K174" i="19"/>
  <c r="J60" i="19"/>
  <c r="D4" i="18" s="1"/>
  <c r="K39" i="19"/>
  <c r="K157" i="19"/>
  <c r="C8" i="18"/>
  <c r="E8" i="18" s="1"/>
  <c r="J431" i="19"/>
  <c r="D16" i="18" s="1"/>
  <c r="K394" i="19"/>
  <c r="K431" i="19" s="1"/>
  <c r="J389" i="19"/>
  <c r="D14" i="18" s="1"/>
  <c r="J459" i="19"/>
  <c r="K457" i="19"/>
  <c r="I459" i="19"/>
  <c r="K234" i="19" l="1"/>
  <c r="K318" i="19"/>
  <c r="E6" i="18"/>
  <c r="K60" i="19"/>
  <c r="K389" i="19"/>
  <c r="K459" i="19"/>
  <c r="E12" i="18"/>
  <c r="E10" i="18"/>
  <c r="E4" i="18"/>
  <c r="E14" i="18"/>
  <c r="E16" i="18"/>
  <c r="J460" i="19"/>
  <c r="D18" i="18"/>
  <c r="D20" i="18" s="1"/>
  <c r="I460" i="19"/>
  <c r="C18" i="18"/>
  <c r="K460" i="19" l="1"/>
  <c r="C20" i="18"/>
  <c r="E18" i="18"/>
  <c r="E20" i="18" l="1"/>
</calcChain>
</file>

<file path=xl/sharedStrings.xml><?xml version="1.0" encoding="utf-8"?>
<sst xmlns="http://schemas.openxmlformats.org/spreadsheetml/2006/main" count="676" uniqueCount="403">
  <si>
    <t>AMOUNT</t>
  </si>
  <si>
    <t>1</t>
  </si>
  <si>
    <t/>
  </si>
  <si>
    <t>I</t>
  </si>
  <si>
    <t>DESCRIPTION</t>
  </si>
  <si>
    <t>UNIT</t>
  </si>
  <si>
    <t>Sqm</t>
  </si>
  <si>
    <t>Nos</t>
  </si>
  <si>
    <t>TOTAL</t>
  </si>
  <si>
    <t>A</t>
  </si>
  <si>
    <t>B</t>
  </si>
  <si>
    <t>Qty</t>
  </si>
  <si>
    <t>D</t>
  </si>
  <si>
    <t>G</t>
  </si>
  <si>
    <t>Supply</t>
  </si>
  <si>
    <t>SL.NO</t>
  </si>
  <si>
    <t>WIRING SYSTEM</t>
  </si>
  <si>
    <t>POWER SOCKETS</t>
  </si>
  <si>
    <t>C</t>
  </si>
  <si>
    <t>L.T. PANELS</t>
  </si>
  <si>
    <t>DISTRIBUTION BOARDS</t>
  </si>
  <si>
    <t>E</t>
  </si>
  <si>
    <t>L.T. CABLES</t>
  </si>
  <si>
    <t>CONDUIT &amp; RACEWAYS FOR NETWORKING &amp; POWER SYSTEM ONLY</t>
  </si>
  <si>
    <t>H</t>
  </si>
  <si>
    <t>EARTHING SYSTEM</t>
  </si>
  <si>
    <t>MISCELLANEOUS ITEMS</t>
  </si>
  <si>
    <t>Subject</t>
  </si>
  <si>
    <t>Project</t>
  </si>
  <si>
    <t>INTERIOR ELECTRICAL WORKS BOQ</t>
  </si>
  <si>
    <t>SL. NO</t>
  </si>
  <si>
    <t>RATE - RS.</t>
  </si>
  <si>
    <t>AMOUNT - RS.</t>
  </si>
  <si>
    <t>SUPPLY</t>
  </si>
  <si>
    <t>INSTALLATION</t>
  </si>
  <si>
    <t>Installation</t>
  </si>
  <si>
    <t>CIRCUIT MAINS</t>
  </si>
  <si>
    <t>NOTE:</t>
  </si>
  <si>
    <t>1)  Conduits  running  above  false  ceiling  in  multiples shall be supported by Slotted GI 'C' channel at distance not more than 0.5mtrs intervals.</t>
  </si>
  <si>
    <t>2) Accessories shall includes Bends, Collars, junction boxes, Spacers, saddles, screws, Flexibles</t>
  </si>
  <si>
    <t>3) Conduits shall be ISI marked</t>
  </si>
  <si>
    <t>4) The number of wires drawn in each conduit shall be as per BIS 694 .</t>
  </si>
  <si>
    <t>5) No different phases shall be drawn in same conduit</t>
  </si>
  <si>
    <t>6) Conduit joints shall be done with threading proper accessories only</t>
  </si>
  <si>
    <t>7)  Use  colour  coding  for  each  UPS  &amp;  Raw  power seperately</t>
  </si>
  <si>
    <t xml:space="preserve">8)  Black color conduit to be used  / As per architect color approval </t>
  </si>
  <si>
    <t>Lighting Circuit:</t>
  </si>
  <si>
    <t>M</t>
  </si>
  <si>
    <t>Emergency lighting circuit:</t>
  </si>
  <si>
    <t xml:space="preserve"> VAV,FD &amp; ,Convinient ,Security application Circuit :</t>
  </si>
  <si>
    <t>UPS Circuit W/S</t>
  </si>
  <si>
    <t>RP Circuit W/S</t>
  </si>
  <si>
    <t xml:space="preserve">UPS  Circuit - MDF &amp; IDF room rack </t>
  </si>
  <si>
    <t xml:space="preserve">UPS  Circuit - Server room rack </t>
  </si>
  <si>
    <t>A.1</t>
  </si>
  <si>
    <t>POINT WIRING</t>
  </si>
  <si>
    <t>A.1.1</t>
  </si>
  <si>
    <t>POINT WIRING - SWITCH CONTROL</t>
  </si>
  <si>
    <t>Conduit colour to be black</t>
  </si>
  <si>
    <t>A.1.2</t>
  </si>
  <si>
    <t>PRIMARY LIGHT POINT</t>
  </si>
  <si>
    <t>Nos.</t>
  </si>
  <si>
    <t>I. Primary light point means wiring from first switch control  to  the first  light outlet.  The  switch  and  all necessary accessories would be part of primary point.</t>
  </si>
  <si>
    <t>II.  Not to  include the incoming lighting circuit from MCB-DB to switch.</t>
  </si>
  <si>
    <t>III. But to include the sub-circuit if  it is drawn from adjacent switch box.</t>
  </si>
  <si>
    <t xml:space="preserve">III.  Ceiling  flexible  conduit  shall  be  included  at the drop of light fixture. 3 core PVC transparent clear electrical cable flex wire/cable shall be included at the drop of suspended  light fixture as required </t>
  </si>
  <si>
    <t>A.1.3</t>
  </si>
  <si>
    <t>SECONDARY LIGHT POINT</t>
  </si>
  <si>
    <t>I. Secondary light point means extention of light outlet from existing primary point. Same to be controlled by the existing  switch of primary point.</t>
  </si>
  <si>
    <t xml:space="preserve">II. Ceiling  flexible  conduit  shall  be  included  at the drop of light fixture. 3 core PVC transparent clear electrical cable flex wire/cable shall be included at the drop of suspended  light fixture as required </t>
  </si>
  <si>
    <t>Each LED strip of 5 mtr looping is considered in this line item</t>
  </si>
  <si>
    <t>TOTAL CARRIED OVER TO THE SUMMARY</t>
  </si>
  <si>
    <t>POWER RECEPTACLES</t>
  </si>
  <si>
    <t>Note all power sockets to be with identification</t>
  </si>
  <si>
    <t>Contractor to  take sample approval  for UPS/ RP Sockets  for socket colors and switch plate colors from Architect/Consultant/PMC &amp; Clients</t>
  </si>
  <si>
    <t>Raw power faceplate to be Grey</t>
  </si>
  <si>
    <t>Minimum Depth of outlet box to be 50mm , All Outlet boxes to be with CRCA sheet with GI plating</t>
  </si>
  <si>
    <t>Supply and installation of 6A, 3 pin, shuttered  socket outlet and 6A switch and moulded plastic cover plate,including the termination of wires (WS+VAV+EXIT SIGNAGE)</t>
  </si>
  <si>
    <t>No</t>
  </si>
  <si>
    <t>Supply and installation of  13A, multi intel type switched socket outlet controlled by one no. 16A switch and moulded plastic cover plate,including the termination of wires.</t>
  </si>
  <si>
    <t>Supply and installation of 25/32A industrial type socket in metallic enclosure with plug top D Curve  – single phase 240V  for hub/server room. WithDP MCBs (IP44)</t>
  </si>
  <si>
    <t>Supply and installation of 63A, DP C Curve   MCB  with IP55 weather proof enclosure for Acs/fans</t>
  </si>
  <si>
    <t xml:space="preserve">2/3 module way MS back box for socket fixing (Service pp &amp; Pantry pp &amp; Hvac pp) </t>
  </si>
  <si>
    <t>6 module way MS back box for socket fixing  (FOR TV &amp; Other )</t>
  </si>
  <si>
    <t xml:space="preserve">8 module way MS back box for socket fixing </t>
  </si>
  <si>
    <t>Prefabricated MS powder coated floor pop up box, MS top cover  with 2 sets of 2 nos combination type 6/16A  sockets with 2 nos 16A Switch in UPS  power. With provision for 2 Data ports - Scope inclusive of chipping and fixing with cement plastering.</t>
  </si>
  <si>
    <t xml:space="preserve">Supply, installation, testing and commissioning of L.T. distribution boards suitable for 415V, 3 phase, 4 wire, 50Hz distribution system. The panel shall be free standing, floor mounting, sheet metal enclosed, flush front with aluminium busbars, separate earth bus shall be provided throughout the length of the panel. The incoming and the outgoing feeder breakers, switch fuse units, change over switches, indicating lamps, meters etc. shall be accommodated in a modular multi tier arrangement. A minimum of 400mm clearance shall be given from the floor level to the bottom most termination point. The painting shall be done in conformity with IS code. Adequate size cable alley shall be provided all round the panel and at the back for easy bending and terminations. The outgoing feeders inside the panel shall be connected through solid busbars. Flexible cable links are not acceptable. Busbars shall be provided with PVC heat shrinkable sleeves or heat resistant insulated paint. The panels shall be suitable for cable entry from top / bottom. The copper earth strip of 25mm x 3mm shall run throught out the perimeter of the bottom of the panel. The panel shall be fabricated only after the approval of fabrication drawings by the consultant.                                                                                               </t>
  </si>
  <si>
    <t>All Panel's to be of FORM-3B type</t>
  </si>
  <si>
    <t>MS stand with 2 Coats enamel painted, with primer coated  Floor Stands and other accessories to mount the panel to be considered in scope and costing. Breaker and panels tobe with LOTO features.</t>
  </si>
  <si>
    <t xml:space="preserve">All panel sub division doors to be with Polycarbonate Black handle </t>
  </si>
  <si>
    <t>Finger Proof Power Terminals for UPS Panels (SPT Type ELMEX ) </t>
  </si>
  <si>
    <t>Special type Uninyvin Cables (with Braided Copper) for MCCB Power Cables.</t>
  </si>
  <si>
    <t>Panels Frame shall be with 45 Degree Bending To achieve IP Protection.</t>
  </si>
  <si>
    <t>MCB Viewing Window Shall be with Polycarbonte Sheet.</t>
  </si>
  <si>
    <t>Panel Illumination for Cable Alley along with Door Limit Switch.</t>
  </si>
  <si>
    <t>Retaining washer for BBC Doors to be provided to avoid the falling of Washers</t>
  </si>
  <si>
    <t xml:space="preserve">Electrical vendor to provide a  laminated SLD of suitable panels in A3 Sheets on panel </t>
  </si>
  <si>
    <t>Electrical licensed electrical contractor should be mentioned in BOQ. Panels to be in compliant with state guidelines.</t>
  </si>
  <si>
    <t>Note: Panel manufacturing should be as per state standards</t>
  </si>
  <si>
    <t>UPS INPUT PANEL</t>
  </si>
  <si>
    <t>WORKSTATION UPS OUTPUT PANEL</t>
  </si>
  <si>
    <t>FLOOR LT PANEL</t>
  </si>
  <si>
    <t>Supply, Installation, testing and commissioning of MCB DB- 3 Phase or Single Phase DBs, 415V/230V ,50 Hz, Factory Fabricated, assembly of  MCBs at Site , DBs with copper busbars for phases, neutral and suitable earth linking. Per phase isolation kit is compulsory for 3 phase DBs.</t>
  </si>
  <si>
    <t>DB Enclosure to be CRCA -1.2mm,Powder coated,IP 43 Protection, Single/Double Door, Cable entry top/bottom.</t>
  </si>
  <si>
    <t xml:space="preserve">DB Board should have integrated door earthing </t>
  </si>
  <si>
    <t>DB Board should have fully  insulated busbar and shrouded neutral links for better protection</t>
  </si>
  <si>
    <t>DB Board should have identification of bus bars</t>
  </si>
  <si>
    <t>DB Board  should have removal  knockouts on bottom, top and side for cable insertions</t>
  </si>
  <si>
    <t>ELCB for UPS application to be harmonic resistant SI/HI Series. SC rating of MCBs - 10kA.. SPN DB with DP main incomers</t>
  </si>
  <si>
    <t>Electrical contractor to ensure atleast 2 Spare per phase for TPN DB are provisioned</t>
  </si>
  <si>
    <t xml:space="preserve">Electrical vendor to include DB SLD in A4 Sheet with lamination </t>
  </si>
  <si>
    <t xml:space="preserve">All UDBs with Double Neutral link </t>
  </si>
  <si>
    <t>Lighting DB : TPN type DB (4 tier)</t>
  </si>
  <si>
    <t>LDB comprises:</t>
  </si>
  <si>
    <t>One (1) - Incomer having</t>
  </si>
  <si>
    <t>One (1) -  63A, 4P, MCB of 'C' Curve</t>
  </si>
  <si>
    <t>Outgoing feeders:</t>
  </si>
  <si>
    <t xml:space="preserve">Three (3) - Outgoing feeders having </t>
  </si>
  <si>
    <t>One (1) - 40A, 2pole, RCCB  (30mA) - Each per phase</t>
  </si>
  <si>
    <t>Fourteen (12) - 10A, SP, 10kA, MCB per phase</t>
  </si>
  <si>
    <t>UPSDB : TPN type DB (4 tier)</t>
  </si>
  <si>
    <t>UPSDB comprises: (all MCBs suitable for computer application/D Curve)-</t>
  </si>
  <si>
    <t>One (1) - 63A, 4P, 10kA, MCB</t>
  </si>
  <si>
    <t>Outgoings :</t>
  </si>
  <si>
    <t>One (1) - 40A, 2pole,  RCCB 300mA - Each per phase</t>
  </si>
  <si>
    <t>Fourteen (12) - 16A, SP, 10kA, MCB per phase</t>
  </si>
  <si>
    <t>RPDB : TPN type DB (4 tier)</t>
  </si>
  <si>
    <t xml:space="preserve">One (1) - 63A, 4P, 10kA, MCB </t>
  </si>
  <si>
    <t>One (1) - 40A, 2pole, RCCB 100mA - Each per phase</t>
  </si>
  <si>
    <t>SERVER DB - TPN DB</t>
  </si>
  <si>
    <t>One (1) - 20A, 2pole,MCB - Each per phase</t>
  </si>
  <si>
    <t xml:space="preserve">Four (4) - 20A, DP, 10kA, MCB per phase </t>
  </si>
  <si>
    <t>HUB ROOM DB - SPN DB</t>
  </si>
  <si>
    <t>ELDB DB comprises: (all MCBs 'D' Curve)</t>
  </si>
  <si>
    <t>One (1) -32A, DP, 10KA 'D' CURVE MCB</t>
  </si>
  <si>
    <t>Four (4) - 20A,DP,10KA, MCB 'D'  Curve (TYP)</t>
  </si>
  <si>
    <t xml:space="preserve">EMERGENCY LIGHTING DB - SPN TYPE DB </t>
  </si>
  <si>
    <t>ELDB DB comprises: (all MCBs 'C' Curve)</t>
  </si>
  <si>
    <t>One (1) -40A, DP,RCBO, 100mA</t>
  </si>
  <si>
    <t>ACDB : TPN type DB (4 tier)</t>
  </si>
  <si>
    <t>Eight (8) - 16A, SP, 10kA, MCB per phase</t>
  </si>
  <si>
    <t>One (1) -40A, DP,MCB</t>
  </si>
  <si>
    <t>Ten (5) - 10A, DP, 10kA, MCB per phase</t>
  </si>
  <si>
    <t>Providing, laying, testing and commissioning of 1100V grade XLPE insulated and sheathed steel wire/ tape armoured aluminium conductor cable for mains and sub mains as per specifications and drawings. The cables shall be laid in concrete trenches or buried directly underground or on cable trays. The concrete trenches will be measured separate. The cost of the cable trays or ladders, excavation and back filling of trenches will be measured separate. the unit cost of the cable shall include clamps, fasteners etc. as required for proper installation.</t>
  </si>
  <si>
    <t xml:space="preserve">3.5C x 185sqmm A2XFY cable </t>
  </si>
  <si>
    <t>Rm</t>
  </si>
  <si>
    <t xml:space="preserve">4C x 16 sqmm A2XFY cable </t>
  </si>
  <si>
    <t xml:space="preserve">4C x10 sqmm A2XFY cable </t>
  </si>
  <si>
    <t xml:space="preserve">4C x 4 sqmm A2XFY cable </t>
  </si>
  <si>
    <t xml:space="preserve">3C x2.5 sqmm A2XFY cable </t>
  </si>
  <si>
    <t>4C x16 sqmm Copper Armoured Cable</t>
  </si>
  <si>
    <t>4C x10 sqmm Copper Armoured Cable</t>
  </si>
  <si>
    <t>3C X 10 sqmm Copper Armoured Cable</t>
  </si>
  <si>
    <t>3C X 6 sqmm Copper Armoured Cable</t>
  </si>
  <si>
    <t xml:space="preserve">1C x 6 sqmm Copper Unarmoured Cable ( YY) </t>
  </si>
  <si>
    <t xml:space="preserve">1C x 10 sqmm Copper Unarmoured Cable ( YY) </t>
  </si>
  <si>
    <t xml:space="preserve">1C x 50sqmm Copper Unarmoured Cable ( YY) </t>
  </si>
  <si>
    <t>3C X 4 sqmm Cu. Flexible Cable</t>
  </si>
  <si>
    <t>3C X 6 sqmm Cu. Flexible Cable</t>
  </si>
  <si>
    <t>Provide and install cable terminations for the above cables including single compression type chrome plated brass glands and lugs(crimping type),  or PVC glands for unarmoured cable as required and with all accessories complete. Scope includes gland earthing with copper terminals around gland, Armoured cable above 70 Sqmm should have doucble compression glands</t>
  </si>
  <si>
    <t xml:space="preserve">CABLE TRAYS &amp; RACEWAYS FOR POWER /NETWORK </t>
  </si>
  <si>
    <t>Perforated type cable tray</t>
  </si>
  <si>
    <t xml:space="preserve">Supply &amp; Installation undermentioned sizes of 1.6mm,GI galvanised perforated type of following sizes, suspended from ceiling or fixed vertically on wall / column as per route directed at site, including requisite supports, hardware etc. </t>
  </si>
  <si>
    <t>1.1.1</t>
  </si>
  <si>
    <t xml:space="preserve">450 x 50mm Size  </t>
  </si>
  <si>
    <t>Mts.</t>
  </si>
  <si>
    <t>1.1.2</t>
  </si>
  <si>
    <t xml:space="preserve">300 x 50mm Size  </t>
  </si>
  <si>
    <t>1.1.3</t>
  </si>
  <si>
    <t xml:space="preserve">200 x 50mm Size  </t>
  </si>
  <si>
    <t>1.1.4</t>
  </si>
  <si>
    <t xml:space="preserve">150 x 50mm Size </t>
  </si>
  <si>
    <t>1.1.5</t>
  </si>
  <si>
    <t xml:space="preserve">100 x 50mm Size </t>
  </si>
  <si>
    <t>Ladder</t>
  </si>
  <si>
    <t>1.2.1</t>
  </si>
  <si>
    <t xml:space="preserve">600 x 50mm Size  </t>
  </si>
  <si>
    <t>1.2.2</t>
  </si>
  <si>
    <t>1.2.3</t>
  </si>
  <si>
    <t>1.2.4</t>
  </si>
  <si>
    <t>1.2.5</t>
  </si>
  <si>
    <t xml:space="preserve">Supply &amp; Installation of following size GI raceway / wire way with cover,  made out of 16 SWG GI for body and 14 SWG GI for cover </t>
  </si>
  <si>
    <t>GI Raceway / Trunking</t>
  </si>
  <si>
    <t>1.3.1</t>
  </si>
  <si>
    <t xml:space="preserve">150 X 38/40 X 1.2 mm size </t>
  </si>
  <si>
    <t>Mtrs</t>
  </si>
  <si>
    <t xml:space="preserve">100 X 38/40 X 1.2 mm size </t>
  </si>
  <si>
    <t>1.3.2</t>
  </si>
  <si>
    <t xml:space="preserve">80 X 38/40 X 1.2 mm size </t>
  </si>
  <si>
    <t>Junction Box</t>
  </si>
  <si>
    <t>1.4.1</t>
  </si>
  <si>
    <t>550 X 550 X 50mm Size</t>
  </si>
  <si>
    <t>1.4.2</t>
  </si>
  <si>
    <t>450 X 450 X 50mm Size</t>
  </si>
  <si>
    <t>1.4.3</t>
  </si>
  <si>
    <t>350 X 350 X 50mm Size</t>
  </si>
  <si>
    <t>1.4.4</t>
  </si>
  <si>
    <t>300 X 300 X 50mm Size</t>
  </si>
  <si>
    <t>1.4.5</t>
  </si>
  <si>
    <t>250 X 250 X 50mm Size</t>
  </si>
  <si>
    <t>1.4.6</t>
  </si>
  <si>
    <t>200 X 200 X 50mm Size</t>
  </si>
  <si>
    <t>1.4.7</t>
  </si>
  <si>
    <t>150 X 150 X 50mm Size</t>
  </si>
  <si>
    <t>100X 100 X 50mm Size</t>
  </si>
  <si>
    <t>Supply &amp; Laying of following size  2mm thick rigid / Flexible  PVC conduits &amp; accessories fixing in concealed wall / Ceiling / Floor.</t>
  </si>
  <si>
    <t>1.5.1</t>
  </si>
  <si>
    <t>25 mm Rigid Conduit</t>
  </si>
  <si>
    <t>1.5.2</t>
  </si>
  <si>
    <t>32 mm Rigid Conduit</t>
  </si>
  <si>
    <t xml:space="preserve">Ceiling raceway </t>
  </si>
  <si>
    <t>1.6.1</t>
  </si>
  <si>
    <t>600 x 50mm</t>
  </si>
  <si>
    <t>1.6.2</t>
  </si>
  <si>
    <t>450 x 50mm</t>
  </si>
  <si>
    <t>1.6.3</t>
  </si>
  <si>
    <t>400 x 50mm</t>
  </si>
  <si>
    <t>1.6.4</t>
  </si>
  <si>
    <t>300x 50mm</t>
  </si>
  <si>
    <t>1.6.5</t>
  </si>
  <si>
    <t>200 x 50mm</t>
  </si>
  <si>
    <t>1.6.6</t>
  </si>
  <si>
    <t>150 x 50mm</t>
  </si>
  <si>
    <t>1.6.8</t>
  </si>
  <si>
    <t xml:space="preserve">500 x 200mm Size floor </t>
  </si>
  <si>
    <t>Supply &amp; Installation of following size raceway / wire way with cover,  made out of 16 SWG GI/MS for body  and 14 SWG GI/MS for cover.The shade shall be as per site approval</t>
  </si>
  <si>
    <t>1.7.4</t>
  </si>
  <si>
    <t>100 x 100mm Size(DB Cabinet)</t>
  </si>
  <si>
    <t>1.7.6</t>
  </si>
  <si>
    <t>Providing and laying earthing conductors of GI strip/wire including necessary accessories, clamping to walls, cables etc. as required and interconnection between lengths as per specifications and as per good installation practice. The rate shall include all supports, accessories and hardware necessary for proper installation.</t>
  </si>
  <si>
    <t>50 x 6mm G.I strip</t>
  </si>
  <si>
    <t>25 x 6mm G.I strip</t>
  </si>
  <si>
    <t>25 x 3mm G.I strip</t>
  </si>
  <si>
    <t>8 SWG G.I wire</t>
  </si>
  <si>
    <t>Providing and laying earthing conductors of copper strip/wire including necessary accessories, clamping to walls, cables etc. as required and interconnection between lengths as per specifications and as per good installation practice. The rate shall include all supports, accessories and hardware necessary for proper installation.Quoted rate also includes termination</t>
  </si>
  <si>
    <t>1C x 6 sq.mm  PVC insulated copper wire</t>
  </si>
  <si>
    <t>1C x 10 sq.mm  PVC insulated copper wire</t>
  </si>
  <si>
    <t>1C x 16 sq.mm  PVC insulated copper wire</t>
  </si>
  <si>
    <t>1C x 25 sq.mm  PVC insulated copper wire</t>
  </si>
  <si>
    <t>1C x 50sq.mm  PVC insulated copper wire</t>
  </si>
  <si>
    <t>1C x 185sq.mm  PVC insulated copper wire</t>
  </si>
  <si>
    <t>Providing and laying of heavy gauge GI  conduit with all conduit accessories GI  junction/pull boxes, G.I fish wire, fixing accessories etc as required for telephone , Power (UPS/Raw)and data networking complete. The rates shall include chasing of walls, floors etc &amp; plastering the chased portion as required.</t>
  </si>
  <si>
    <t>25mm dia</t>
  </si>
  <si>
    <t>Providing, installing, testing and commissioning of copper earthing station using 600x600x3mm copper plates including excavation, back filling, construction of inspection chamber, chamber with charcoal and salt, for 10 feet length  GI pipe of Dia 50mm cover (C.I) with funnel set , disconnecting link with test link  etc. as per specifications and in conformity with NEC.</t>
  </si>
  <si>
    <t>Providing, installing, testing and commissioning of chemical maintenance free copper bonded  tripod earthing, complete with boring and suitable ancillaries and in conformity with NEC. Scope also includes back filling and installing a MS plate over earth pit.</t>
  </si>
  <si>
    <t xml:space="preserve">Copper Earth bus bar with 25x6mm flat - 0.5mtr with necessary holes &amp; bus bar supports with MS powder coated enclosure </t>
  </si>
  <si>
    <t>TOTAL CARRIED OVER TO SUMMARY</t>
  </si>
  <si>
    <t>Providing and fixing in position the best quality danger boards of approved  shape and size as specified by the local electrical authorities written in English and Local Language</t>
  </si>
  <si>
    <t>Supply and fixing of approval make, 11kV grade, rubber gloves.</t>
  </si>
  <si>
    <t>Providing and fixing in position  approved shock treatment chart written in English and Local Language. The chart shall be framed in Teakwood and covered with glass &amp; First aid kit.</t>
  </si>
  <si>
    <t>Providing and fixing in position 1.8m x 0.9m, 2mm thick 11kV grade, rubber mat of approved make and as required by local electrical authorities</t>
  </si>
  <si>
    <t>Floor cutting using concrete cutting machine and replastering using cement concrete mix approved by the architect for the required depth and dimensions as instructed by the architects / consultants. For conduiting only.</t>
  </si>
  <si>
    <t xml:space="preserve">Cum </t>
  </si>
  <si>
    <t>Temporary power for construction with necessary safety ELCbs in distribution board with neat wiring and power tapoff, lighting to be around 150 lux around work area at night and 30 power sockets. Power is provided at one point of the floor on chargable basis.</t>
  </si>
  <si>
    <t>Lot</t>
  </si>
  <si>
    <t>Charges towards getting necessary CEIG inspection done with approvals from government body for entire inetrior electrical installation with drawing submissions to get the NOC , Total amount shall be released on submission of  final clearance certificate from  CEIG as per Local norms.</t>
  </si>
  <si>
    <t>MS square pipe (25mmx25mmx3mm thick)  works with a coat of primer and 2 coats of enamel for supporting trays and raceways &amp; lights</t>
  </si>
  <si>
    <t>Kgs</t>
  </si>
  <si>
    <t>Supply, installation, testing and commissioning of wireless scene selector keypad with all the necessary unit (PSU, CU, etc) along with the remote for controlling the luminaires (4 loops - upto 8 light fixtures per loop) including DALI wiring. 10PAX meeting Room</t>
  </si>
  <si>
    <t>SITC of 7.5KVA INV, 230 /VOLTS , 1 phase, 3 Wire , maintained type emergency lighting inverter unit comprising of : ) automatic battery charger. 90min backup battery bank (sealed lead acid type ) controls, overload &amp; short circuit protective gear, internal wiring etc.,16 SWG PVC enclosure to house all the components.-Complete Set</t>
  </si>
  <si>
    <t>Painting of exposed GI  perforated ceiling raceway  with one coat of primer and 2 coats of enamel in hand roller , color and shade subject to consultant &amp; architect approval</t>
  </si>
  <si>
    <t>Unit</t>
  </si>
  <si>
    <t>Total Amount</t>
  </si>
  <si>
    <t>100 x 50mm</t>
  </si>
  <si>
    <t>80 x 50mm</t>
  </si>
  <si>
    <t>1.6.7</t>
  </si>
  <si>
    <t>1.6.9</t>
  </si>
  <si>
    <t>1.3.3</t>
  </si>
  <si>
    <t>1.3.4</t>
  </si>
  <si>
    <t xml:space="preserve">200 X 38/40 X 1.2 mm size </t>
  </si>
  <si>
    <t xml:space="preserve">250 X 38/40 X 1.2 mm size </t>
  </si>
  <si>
    <t>1.3.5</t>
  </si>
  <si>
    <t>1C x 4 sq.mm  PVC insulated copper wire</t>
  </si>
  <si>
    <t>Consultants</t>
  </si>
  <si>
    <t>: E Sollutions Consultancy Pvt Ltd</t>
  </si>
  <si>
    <t>: UPS BOQ</t>
  </si>
  <si>
    <t xml:space="preserve">Date </t>
  </si>
  <si>
    <t>Sl. No</t>
  </si>
  <si>
    <t>Descirption</t>
  </si>
  <si>
    <t>Total Qty</t>
  </si>
  <si>
    <t>Unit Rate</t>
  </si>
  <si>
    <t xml:space="preserve">Supply </t>
  </si>
  <si>
    <t xml:space="preserve">Installation </t>
  </si>
  <si>
    <t>UPS &amp; BATTERY RELATED WORKS</t>
  </si>
  <si>
    <t>EQUIPMENT</t>
  </si>
  <si>
    <t xml:space="preserve">UPS </t>
  </si>
  <si>
    <t>Set</t>
  </si>
  <si>
    <t>CABLING SYSTEM</t>
  </si>
  <si>
    <t>LS</t>
  </si>
  <si>
    <r>
      <t xml:space="preserve">Supply, installation and commissioning of 1100V grade multistrand, copper conductor, FRLS insulated, 4C x 1.5 Sq.mm unarmoured flexible </t>
    </r>
    <r>
      <rPr>
        <b/>
        <sz val="11"/>
        <rFont val="Calibri Light"/>
        <family val="2"/>
      </rPr>
      <t>cable &amp; termination</t>
    </r>
    <r>
      <rPr>
        <sz val="11"/>
        <rFont val="Calibri Light"/>
        <family val="2"/>
      </rPr>
      <t xml:space="preserve"> with Single compression cable gland, Ring type copper lugs and necessary steel bolts for interconnection between UPS &amp; Battery breaker. </t>
    </r>
  </si>
  <si>
    <t>MS SUPPORTING STRUCTURES</t>
  </si>
  <si>
    <t>REMOTE ALARM PANEL</t>
  </si>
  <si>
    <t>LOAD TESTING</t>
  </si>
  <si>
    <t>TOTAL - UPS - WORK STATION</t>
  </si>
  <si>
    <t>Conventional UPS - Emegency Lighting</t>
  </si>
  <si>
    <t>MS frame to be factory made, powder coated  with approved colour and to have anti corrosive coating</t>
  </si>
  <si>
    <t>Conventional UPS - Server loads</t>
  </si>
  <si>
    <t>TOTAL - Conventional UPS - Server / Hub room loads</t>
  </si>
  <si>
    <t>Sub Total - 1  (Work station UPS)</t>
  </si>
  <si>
    <t>Sub Total - 2 (Emergency  UPS)</t>
  </si>
  <si>
    <t>Sub Total - 3 (Server / Hub room   UPS)</t>
  </si>
  <si>
    <t>GRAND TOTAL</t>
  </si>
  <si>
    <t>TOTAL - Conventional UPS -Emergency lighting loads</t>
  </si>
  <si>
    <t>BILL OF QUANTITIES FOR ELECTRIFICATION WORKS. -HUL ICE CREAM,13TH FLOOR</t>
  </si>
  <si>
    <r>
      <t>Design, manufacture, assembly, supply, installation, testing, delivery and commissioning of  10</t>
    </r>
    <r>
      <rPr>
        <b/>
        <sz val="11"/>
        <rFont val="Calibri Light"/>
        <family val="2"/>
      </rPr>
      <t xml:space="preserve">0-kVA Frame size Modular UPS </t>
    </r>
    <r>
      <rPr>
        <sz val="11"/>
        <rFont val="Calibri Light"/>
        <family val="2"/>
      </rPr>
      <t>with</t>
    </r>
    <r>
      <rPr>
        <b/>
        <sz val="11"/>
        <rFont val="Calibri Light"/>
        <family val="2"/>
      </rPr>
      <t xml:space="preserve"> 25 kVA X 3 modules in each frame </t>
    </r>
    <r>
      <rPr>
        <sz val="11"/>
        <rFont val="Calibri Light"/>
        <family val="2"/>
      </rPr>
      <t xml:space="preserve">with hot swapable Continuous rating, online, double conversion operating modular type 3 ph input and 3 ph output Modular UPS system with IGBT rectifier as per technical specifications. The UPS Module Cabinet shall consist of a Breaker &amp; breaker cabinet, rectifier / charger, a three-phase inverter, static transfer switch, Maintenance Bi-pass Switch, logic, synchronizing equipment, protective devices and accessories as required for proper operation.The Modular system is selected in </t>
    </r>
    <r>
      <rPr>
        <b/>
        <sz val="11"/>
        <rFont val="Calibri Light"/>
        <family val="2"/>
      </rPr>
      <t>N+1 configuration</t>
    </r>
    <r>
      <rPr>
        <sz val="11"/>
        <rFont val="Calibri Light"/>
        <family val="2"/>
      </rPr>
      <t xml:space="preserve">. Routine tests needs to be done at factory &amp; test reports need to be submitted. -  The UPS System to be provided with Dual Input Card for both Modus Monitoring in BMS system and IP Monitoring over Network parallely including Parallel working configuration required accessories.  </t>
    </r>
  </si>
  <si>
    <r>
      <t xml:space="preserve">Supply, Installation, Testing and commissiong of  required Ah of </t>
    </r>
    <r>
      <rPr>
        <b/>
        <sz val="11"/>
        <rFont val="Calibri Light"/>
        <family val="2"/>
      </rPr>
      <t>Valve regulated lead–acid (VRLA) Batteries</t>
    </r>
    <r>
      <rPr>
        <sz val="11"/>
        <rFont val="Calibri Light"/>
        <family val="2"/>
      </rPr>
      <t xml:space="preserve"> of approved make suitable for </t>
    </r>
    <r>
      <rPr>
        <b/>
        <sz val="11"/>
        <rFont val="Calibri Light"/>
        <family val="2"/>
      </rPr>
      <t>3x25 kVA</t>
    </r>
    <r>
      <rPr>
        <sz val="11"/>
        <rFont val="Calibri Light"/>
        <family val="2"/>
      </rPr>
      <t xml:space="preserve"> sets @0.9PF  to give minimum </t>
    </r>
    <r>
      <rPr>
        <b/>
        <sz val="11"/>
        <rFont val="Calibri Light"/>
        <family val="2"/>
      </rPr>
      <t>15 minutes backup</t>
    </r>
    <r>
      <rPr>
        <sz val="11"/>
        <rFont val="Calibri Light"/>
        <family val="2"/>
      </rPr>
      <t>. The rate shall include bankwise battery monitoring system. Battery monitoring PC should be located in BMS room.</t>
    </r>
  </si>
  <si>
    <r>
      <t xml:space="preserve">Supply, installation, testing and commissioning of 1100V grade multistrand, copper conductor, Uni Nyvin, unarmoured flexible </t>
    </r>
    <r>
      <rPr>
        <b/>
        <sz val="11"/>
        <rFont val="Calibri Light"/>
        <family val="2"/>
      </rPr>
      <t>cable</t>
    </r>
    <r>
      <rPr>
        <sz val="11"/>
        <rFont val="Calibri Light"/>
        <family val="2"/>
      </rPr>
      <t xml:space="preserve"> of requisite size for interconnection between battery, battery breakers and the respective </t>
    </r>
    <r>
      <rPr>
        <b/>
        <sz val="11"/>
        <rFont val="Calibri Light"/>
        <family val="2"/>
      </rPr>
      <t>3x25 kVA UPS</t>
    </r>
    <r>
      <rPr>
        <sz val="11"/>
        <rFont val="Calibri Light"/>
        <family val="2"/>
      </rPr>
      <t xml:space="preserve"> Units. The cable shall conform to IS-694
</t>
    </r>
  </si>
  <si>
    <r>
      <t xml:space="preserve">Supply, installation and commissioning of 1100V grade multistrand, copper conductor, Uni Nyvin, unarmoured flexible cable </t>
    </r>
    <r>
      <rPr>
        <b/>
        <sz val="11"/>
        <rFont val="Calibri Light"/>
        <family val="2"/>
      </rPr>
      <t>termination</t>
    </r>
    <r>
      <rPr>
        <sz val="11"/>
        <rFont val="Calibri Light"/>
        <family val="2"/>
      </rPr>
      <t xml:space="preserve"> with Single compression cable gland, Ring type copper lugs and necessary steel bolts for interconnection between battery, battery breakers and the respective </t>
    </r>
    <r>
      <rPr>
        <b/>
        <sz val="11"/>
        <rFont val="Calibri Light"/>
        <family val="2"/>
      </rPr>
      <t>3x25 kVA UPS</t>
    </r>
    <r>
      <rPr>
        <sz val="11"/>
        <rFont val="Calibri Light"/>
        <family val="2"/>
      </rPr>
      <t xml:space="preserve"> Units.
</t>
    </r>
  </si>
  <si>
    <r>
      <t>Supply, installation, testing and commissioning of Remote Alarm Panel with buzzer and display for 1</t>
    </r>
    <r>
      <rPr>
        <b/>
        <sz val="11"/>
        <rFont val="Calibri Light"/>
        <family val="2"/>
      </rPr>
      <t xml:space="preserve"> Nos 3x25 kVA UPS unit</t>
    </r>
    <r>
      <rPr>
        <sz val="11"/>
        <rFont val="Calibri Light"/>
        <family val="2"/>
      </rPr>
      <t xml:space="preserve"> as required with interconnecting signal cables drawn in MS conduit and flexible MS conduits, fixing of conduit with necessary accessories, supports etc. Complete as per technical specification. The quoted rate shall be inclusive of metal conduits, flexible metal conduits and necessary fixing accessories, supports etc. Remote Alarm Panel with hooter and cable till BMS room need to be considered for monitoring of UPS units. </t>
    </r>
  </si>
  <si>
    <r>
      <t xml:space="preserve">Site testing of </t>
    </r>
    <r>
      <rPr>
        <b/>
        <sz val="11"/>
        <rFont val="Calibri Light"/>
        <family val="2"/>
      </rPr>
      <t>3x25</t>
    </r>
    <r>
      <rPr>
        <sz val="11"/>
        <rFont val="Calibri Light"/>
        <family val="2"/>
      </rPr>
      <t xml:space="preserve"> </t>
    </r>
    <r>
      <rPr>
        <b/>
        <sz val="11"/>
        <rFont val="Calibri Light"/>
        <family val="2"/>
      </rPr>
      <t>kVA</t>
    </r>
    <r>
      <rPr>
        <sz val="11"/>
        <rFont val="Calibri Light"/>
        <family val="2"/>
      </rPr>
      <t xml:space="preserve"> online, double conversion UPS systems including load testing with all necessary cables, Load bank of  resistive Load @ site for testing etc. complete for UPS System </t>
    </r>
  </si>
  <si>
    <t>Supply, installation and commissioning of 1100V grade multistrand, copper conductor, Uni Nyvin, unarmoured flexible cable termination with Single compression cable gland, Ring type copper lugs and necessary steel bolts for interconnection between battery, battery breakers and the respective 7.5 kVA UPS Units. For Above given configuration</t>
  </si>
  <si>
    <t>Supply, installation and commissioning of 1100V grade multistrand, copper conductor, FRLS insulated, 4C x 1.7.5 Sq.mm unarmoured flexible cable &amp; termination with Single compression cable gland, Ring type copper lugs and necessary steel bolts for interconnection between UPS &amp; Battery breaker.  For Above given configuration (7.5 kVA UPS)</t>
  </si>
  <si>
    <t>EB meter as per Power norms in the name of client  to be added in existing builder main panel where the builder has provided MCCB breaker   (CT WITH METER AS PER EB NORMS). Liasioning charges to get the metering connection to be considered</t>
  </si>
  <si>
    <t>R0</t>
  </si>
  <si>
    <t>RO</t>
  </si>
  <si>
    <t xml:space="preserve">1C x 4 sqmm Copper Unarmoured Cable ( YY) </t>
  </si>
  <si>
    <t>1C X 4 sqmm Copper Armoured Cable</t>
  </si>
  <si>
    <t xml:space="preserve"> DB comprises: (all MCBs 'C' Curve)</t>
  </si>
  <si>
    <t>PROJECT : TABLE SPACE</t>
  </si>
  <si>
    <t xml:space="preserve">Supply and installation of 16/20A, TPN, C curve MCB with weather proof enclosure for fresh air fan </t>
  </si>
  <si>
    <t>Supply and installation of 80A, TPN   C Curve  MCCB  with weather proof enclosure</t>
  </si>
  <si>
    <t>Supply and installation of 40A, TP  RCBO(300mA) with weather proof enclosure for HVAC</t>
  </si>
  <si>
    <t>Supply and installation of 63A, TP  RCBO(300mA) with weather proof enclosure for HVAC</t>
  </si>
  <si>
    <t>Supply and installation of 6/16A, combination  type shuttered socket outlet  controlled by one no. 16A switch and moulded plastic cover plate,including the termination of wires.(HAT +Service+Pantry +EX.FAN+DRAIN P+GENERAL PURPOSE )</t>
  </si>
  <si>
    <t xml:space="preserve">Supply and installation of 16/20A industrial type socket in metallic enclosure with plug top D Curve  – single phase 240V  for hub/serverroom. WithDP MCBs (IP44) </t>
  </si>
  <si>
    <t>Supply and installation of 16/20A industrial type socket controlled by 16A DP switch</t>
  </si>
  <si>
    <t>Supply &amp; Installation of HDMI Port with Box</t>
  </si>
  <si>
    <t>SERVER RACK OUTPUT PANEL</t>
  </si>
  <si>
    <t xml:space="preserve">MAIN ELDB - TPN TYPE </t>
  </si>
  <si>
    <t xml:space="preserve">3.5C x 240sqmm A2XFY cable </t>
  </si>
  <si>
    <t xml:space="preserve">4C x 25 sqmm A2XFY cable </t>
  </si>
  <si>
    <t>: TABLE SPACE</t>
  </si>
  <si>
    <t>: 30.04.2026</t>
  </si>
  <si>
    <r>
      <t xml:space="preserve">Supply &amp; installation of fabricated MS frame approximately </t>
    </r>
    <r>
      <rPr>
        <b/>
        <sz val="11"/>
        <rFont val="Calibri Light"/>
        <family val="2"/>
      </rPr>
      <t>600mm height</t>
    </r>
    <r>
      <rPr>
        <sz val="11"/>
        <rFont val="Calibri Light"/>
        <family val="2"/>
      </rPr>
      <t xml:space="preserve"> suitable for</t>
    </r>
    <r>
      <rPr>
        <b/>
        <sz val="11"/>
        <rFont val="Calibri Light"/>
        <family val="2"/>
      </rPr>
      <t xml:space="preserve"> 3x25 KVA UPS</t>
    </r>
    <r>
      <rPr>
        <sz val="11"/>
        <rFont val="Calibri Light"/>
        <family val="2"/>
      </rPr>
      <t xml:space="preserve">. MS Supports should be factory fabricated with Anticorrosive powder coating. The design of stool shall ensure uniform distribution of  weight less than 400kg/Sq.m </t>
    </r>
  </si>
  <si>
    <r>
      <t xml:space="preserve">Supply &amp; installation of fabricated MS frame approximately </t>
    </r>
    <r>
      <rPr>
        <b/>
        <sz val="11"/>
        <rFont val="Calibri Light"/>
        <family val="2"/>
      </rPr>
      <t>600mm height</t>
    </r>
    <r>
      <rPr>
        <sz val="11"/>
        <rFont val="Calibri Light"/>
        <family val="2"/>
      </rPr>
      <t xml:space="preserve"> suitable for </t>
    </r>
    <r>
      <rPr>
        <b/>
        <sz val="11"/>
        <rFont val="Calibri Light"/>
        <family val="2"/>
      </rPr>
      <t>3x25 KVA</t>
    </r>
    <r>
      <rPr>
        <sz val="11"/>
        <rFont val="Calibri Light"/>
        <family val="2"/>
      </rPr>
      <t xml:space="preserve"> </t>
    </r>
    <r>
      <rPr>
        <b/>
        <sz val="11"/>
        <rFont val="Calibri Light"/>
        <family val="2"/>
      </rPr>
      <t>UPS Battery Bank</t>
    </r>
    <r>
      <rPr>
        <sz val="11"/>
        <rFont val="Calibri Light"/>
        <family val="2"/>
      </rPr>
      <t xml:space="preserve">. MS Supports should be factory fabricated with Anticorrosive powder coating. The design of stool shall ensure uniform distribution of  weight less than 400kg/Sq.m </t>
    </r>
  </si>
  <si>
    <t xml:space="preserve">Design, manufacture, assembly, supply, installation, testing, delivery and commissioning of 6 kVA Conventional UPS Continuous rating, online, double conversion operating modular type 1 ph input and 1 ph output UPS system with IGBT rectifier as per technical specifications. The UPS Cabinet shall consist of a Breaker &amp; breaker cabinet, rectifier / charger, a three-phase inverter, static transfer switch, Maintenance Bi-pass Switch, logic, synchronizing equipment, protective devices and accessories as required for proper operation.The UPS system is selected in N configuration. Routine tests needs to be done at factory &amp; test reports need to be submitted. -  The UPS System to be provided with Dual Input Card for both Modus Monitoring in BMS system and IP Monitoring over Network parallely including Parallel working configuration required accessories.   </t>
  </si>
  <si>
    <t xml:space="preserve">Supply, Installation, Testing and commissiong of  required Ah of Valve regulated lead–acid (VRLA) Batteries of approved make suitable for 6 kVA sets to give minimum 90 minutes backup. The rate shall include bankwise battery monitoring system. Power factor 0.93 to be considered for battery sizing. </t>
  </si>
  <si>
    <t>Supply, installation, testing and commissioning of 1100V grade multistrand, copper conductor, Uni Nyvin, unarmoured flexible cable of requisite size for interconnection between battery, battery breakers and the respective 6 kVA UPS Units for Above given configuration. The cable shall conform to IS-694.</t>
  </si>
  <si>
    <r>
      <t xml:space="preserve">Supply &amp; installation of fabricated MS frame approximately </t>
    </r>
    <r>
      <rPr>
        <b/>
        <sz val="11"/>
        <rFont val="Calibri Light"/>
        <family val="2"/>
      </rPr>
      <t>600mm height</t>
    </r>
    <r>
      <rPr>
        <sz val="11"/>
        <rFont val="Calibri Light"/>
        <family val="2"/>
      </rPr>
      <t xml:space="preserve"> suitable for</t>
    </r>
    <r>
      <rPr>
        <b/>
        <sz val="11"/>
        <rFont val="Calibri Light"/>
        <family val="2"/>
      </rPr>
      <t xml:space="preserve"> 6 KVA UPS</t>
    </r>
    <r>
      <rPr>
        <sz val="11"/>
        <rFont val="Calibri Light"/>
        <family val="2"/>
      </rPr>
      <t xml:space="preserve">. MS Supports should be factory fabricated with Anticorrosive powder coating. The design of stool shall ensure uniform distribution of  weight less than 400kg/Sq.m </t>
    </r>
  </si>
  <si>
    <r>
      <t xml:space="preserve">Supply &amp; installation of fabricated MS frame approximately </t>
    </r>
    <r>
      <rPr>
        <b/>
        <sz val="11"/>
        <rFont val="Calibri Light"/>
        <family val="2"/>
      </rPr>
      <t>600mm height</t>
    </r>
    <r>
      <rPr>
        <sz val="11"/>
        <rFont val="Calibri Light"/>
        <family val="2"/>
      </rPr>
      <t xml:space="preserve"> suitable for </t>
    </r>
    <r>
      <rPr>
        <b/>
        <sz val="11"/>
        <rFont val="Calibri Light"/>
        <family val="2"/>
      </rPr>
      <t>6 KVA</t>
    </r>
    <r>
      <rPr>
        <sz val="11"/>
        <rFont val="Calibri Light"/>
        <family val="2"/>
      </rPr>
      <t xml:space="preserve"> </t>
    </r>
    <r>
      <rPr>
        <b/>
        <sz val="11"/>
        <rFont val="Calibri Light"/>
        <family val="2"/>
      </rPr>
      <t>UPS Battery Bank</t>
    </r>
    <r>
      <rPr>
        <sz val="11"/>
        <rFont val="Calibri Light"/>
        <family val="2"/>
      </rPr>
      <t xml:space="preserve">. MS Supports should be factory fabricated with Anticorrosive powder coating. The design of stool shall ensure uniform distribution of  weight less than 400kg/Sq.m </t>
    </r>
  </si>
  <si>
    <t xml:space="preserve">Supply, installation, testing and commissioning of Remote Alarm Panel with buzzer and display for 6KVA UPS unit as required with interconnecting signal cables drawn in MS conduit and flexible MS conduits, fixing of conduit with necessary accessories, supports etc. Complete as per technical specification. The quoted rate shall be inclusive of metal conduits, flexible metal conduits and necessary fixing accessories, supports etc. Remote Alarm Panel with hooter and cable till BMS room need to be considered for monitoring of UPS units. </t>
  </si>
  <si>
    <t xml:space="preserve">Site testing of 6 kVA online, double conversion UPS systems including load testing with all necessary cables, Load bank of  resistive Load @ site for testing etc. complete for UPS System </t>
  </si>
  <si>
    <r>
      <t xml:space="preserve">Design, manufacture, assembly, supply, installation, testing, delivery and commissioning of </t>
    </r>
    <r>
      <rPr>
        <b/>
        <sz val="11"/>
        <rFont val="Calibri Light"/>
        <family val="2"/>
      </rPr>
      <t xml:space="preserve">10 kVA </t>
    </r>
    <r>
      <rPr>
        <sz val="11"/>
        <rFont val="Calibri Light"/>
        <family val="2"/>
      </rPr>
      <t xml:space="preserve">Conventional UPS Continuous rating, online, double conversion operating modular type 3 ph input and 3 ph output UPS system with IGBT rectifier as per technical specifications. The UPS Cabinet shall consist of a Breaker &amp; breaker cabinet, rectifier / charger, a three-phase inverter, static transfer switch, Maintenance Bi-pass Switch, logic, synchronizing equipment, protective devices and accessories as required for proper operation.The UPS system is selected in N configuration. Routine tests needs to be done at factory &amp; test reports need to be submitted. -  The UPS System to be provided with Dual Input Card for both Modus Monitoring in BMS system and IP Monitoring over Network parallely including Parallel working configuration required accessories.   </t>
    </r>
  </si>
  <si>
    <r>
      <t xml:space="preserve">Supply, Installation, Testing and commissiong of  required Ah of Valve regulated lead–acid (VRLA) Batteries of approved make suitable for </t>
    </r>
    <r>
      <rPr>
        <b/>
        <sz val="11"/>
        <rFont val="Calibri Light"/>
        <family val="2"/>
      </rPr>
      <t xml:space="preserve">10 kVA </t>
    </r>
    <r>
      <rPr>
        <sz val="11"/>
        <rFont val="Calibri Light"/>
        <family val="2"/>
      </rPr>
      <t xml:space="preserve">sets to give minimum 15 minutes backup. The rate shall include bankwise battery monitoring system. Power factor 0.93 to be considered for battery sizing. </t>
    </r>
  </si>
  <si>
    <r>
      <t xml:space="preserve">Supply, installation, testing and commissioning of 1100V grade multistrand, copper conductor, Uni Nyvin, unarmoured flexible cable of requisite size for interconnection between battery, battery breakers and the respective </t>
    </r>
    <r>
      <rPr>
        <b/>
        <sz val="11"/>
        <rFont val="Calibri Light"/>
        <family val="2"/>
      </rPr>
      <t>10 kVA</t>
    </r>
    <r>
      <rPr>
        <sz val="11"/>
        <rFont val="Calibri Light"/>
        <family val="2"/>
      </rPr>
      <t xml:space="preserve"> UPS Units for Above given configuration. The cable shall conform to IS-694.</t>
    </r>
  </si>
  <si>
    <r>
      <t xml:space="preserve">Supply, installation and commissioning of 1100V grade multistrand, copper conductor, Uni Nyvin, unarmoured flexible cable termination with Single compression cable gland, Ring type copper lugs and necessary steel bolts for interconnection between battery, battery breakers and the respective </t>
    </r>
    <r>
      <rPr>
        <b/>
        <sz val="11"/>
        <rFont val="Calibri Light"/>
        <family val="2"/>
      </rPr>
      <t>10 kVA</t>
    </r>
    <r>
      <rPr>
        <sz val="11"/>
        <rFont val="Calibri Light"/>
        <family val="2"/>
      </rPr>
      <t xml:space="preserve"> UPS Units. For Above given configuration</t>
    </r>
  </si>
  <si>
    <r>
      <t>Supply, installation and commissioning of 1100V grade multistrand, copper conductor, FRLS insulated, 4C x 1.5 Sq.mm unarmoured flexible cable &amp; termination with Single compression cable gland, Ring type copper lugs and necessary steel bolts for interconnection between UPS &amp; Battery breaker.  For Above given configuration (</t>
    </r>
    <r>
      <rPr>
        <b/>
        <sz val="11"/>
        <rFont val="Calibri Light"/>
        <family val="2"/>
      </rPr>
      <t>10 kVA UPS</t>
    </r>
    <r>
      <rPr>
        <sz val="11"/>
        <rFont val="Calibri Light"/>
        <family val="2"/>
      </rPr>
      <t>)</t>
    </r>
  </si>
  <si>
    <r>
      <t xml:space="preserve">Supply &amp; installation of fabricated MS frame approximately 600mm height suitable for </t>
    </r>
    <r>
      <rPr>
        <b/>
        <sz val="11"/>
        <rFont val="Calibri Light"/>
        <family val="2"/>
      </rPr>
      <t>10 KVA</t>
    </r>
    <r>
      <rPr>
        <sz val="11"/>
        <rFont val="Calibri Light"/>
        <family val="2"/>
      </rPr>
      <t xml:space="preserve"> UPS. The design of stool shall ensure uniform distribution of  weight less than 400kg/Sq.m </t>
    </r>
  </si>
  <si>
    <r>
      <t xml:space="preserve">Supply &amp; installation of fabricated MS frame approximately 600mm height suitable for </t>
    </r>
    <r>
      <rPr>
        <b/>
        <sz val="11"/>
        <rFont val="Calibri Light"/>
        <family val="2"/>
      </rPr>
      <t>10 KVA</t>
    </r>
    <r>
      <rPr>
        <sz val="11"/>
        <rFont val="Calibri Light"/>
        <family val="2"/>
      </rPr>
      <t xml:space="preserve"> UPS Battery Bank. The design of stool shall ensure uniform distribution of  weight less than 400kg/Sq.m </t>
    </r>
  </si>
  <si>
    <r>
      <t xml:space="preserve">Supply, installation, testing and commissioning of Remote Alarm Panel with buzzer and display for </t>
    </r>
    <r>
      <rPr>
        <b/>
        <sz val="11"/>
        <rFont val="Calibri Light"/>
        <family val="2"/>
      </rPr>
      <t>10 KVA</t>
    </r>
    <r>
      <rPr>
        <sz val="11"/>
        <rFont val="Calibri Light"/>
        <family val="2"/>
      </rPr>
      <t xml:space="preserve"> UPS unit as required with interconnecting signal cables drawn in MS conduit and flexible MS conduits, fixing of conduit with necessary accessories, supports etc. Complete as per technical specification. The quoted rate shall be inclusive of metal conduits, flexible metal conduits and necessary fixing accessories, supports etc. Remote Alarm Panel with hooter and cable till BMS room need to be considered for monitoring of UPS units. </t>
    </r>
  </si>
  <si>
    <r>
      <t xml:space="preserve">Site testing of </t>
    </r>
    <r>
      <rPr>
        <b/>
        <sz val="11"/>
        <rFont val="Calibri Light"/>
        <family val="2"/>
      </rPr>
      <t>10 kVA</t>
    </r>
    <r>
      <rPr>
        <sz val="11"/>
        <rFont val="Calibri Light"/>
        <family val="2"/>
      </rPr>
      <t xml:space="preserve"> online, double conversion UPS systems including load testing with all necessary cables, Load bank of  resistive Load @ site for testing etc. complete for UPS System </t>
    </r>
  </si>
  <si>
    <t>PVC Conduit</t>
  </si>
  <si>
    <t>150 x 100mm Size(HUB  ROOM)</t>
  </si>
  <si>
    <t xml:space="preserve">300 X 38/40 X 1.2 mm size </t>
  </si>
  <si>
    <t xml:space="preserve">350 X 338/40 X 1.2 mm size </t>
  </si>
  <si>
    <t xml:space="preserve">450 X 38/40 X 1.2 mm size </t>
  </si>
  <si>
    <t xml:space="preserve">550 X 38/40 X 1.2 mm size </t>
  </si>
  <si>
    <t>J</t>
  </si>
  <si>
    <t xml:space="preserve">LGHTING </t>
  </si>
  <si>
    <t>Supply &amp; Installation of 3 C  x 2.5 Sqmm FRLS 1100V unarmoured double insulated flexible multicore cable in  white  and  black  colour  for  UPS  &amp;  RP  circuit respectively in existing conduits/raceways. (Conduit cost is excluded)</t>
  </si>
  <si>
    <t>Supply &amp; Installation of 3 C  x 4 Sqmm FRLS 1100V unarmoured double insulated flexible multicore cable in  white  and  black  colour  for  UPS  &amp;  RP  circuit respectively in existing conduits/raceways.(Conduit cost is excluded)</t>
  </si>
  <si>
    <t>Supply &amp; Installation of 3 C  x 6 Sqmm FRLS 1100V unarmoured double insulated flexible multicore cable in  white  and  black  colour  for  UPS  &amp;  RP  circuit respectively in existing conduits/raceways.(Conduit cost is excluded)</t>
  </si>
  <si>
    <t>1.5 is updated to 2.5 for phase &amp; neutral</t>
  </si>
  <si>
    <t>ESPL Remarks</t>
  </si>
  <si>
    <t>Qty to be entered based on light fixtures</t>
  </si>
  <si>
    <t>New Item</t>
  </si>
  <si>
    <t>New Iem</t>
  </si>
  <si>
    <t>1.5.3</t>
  </si>
  <si>
    <t>20 mm Rigid Conduit</t>
  </si>
  <si>
    <t>Circuit mains using 1.1kV grade PVC  insulated  FRLS copper conductor (MSCC) wires / PVC insulated  PVC sheathed  single core cables drawn in PVCS  conduit  or  in  existing  raceway.  Rates  quoted shall  include  supply  of  conduits,  wires  &amp;  other conduiting accessories, MS pull / junction boxes, G.I fish wire etc. Colour coding shall be used for conduits to differentiate lighting, RP, UPS, emergency lighting circuits &amp; point wiring. All circuit terminations shall be provided with solder less crimping type copper sockets / lugs, ferrules indicating source code on load side &amp; load code on source side. There shall not be any joints in the circuits,  only looping  is allowed  in  terminal blocks &amp; in switches / socket outlets.</t>
  </si>
  <si>
    <t xml:space="preserve">1C x 70sqmm Copper Unarmoured Cable ( YY) </t>
  </si>
  <si>
    <t>Supply and installation of  4 nos. 6/16A,combination  type shuttered socket outlet controlled  by one no. 16A switch, + Type A &amp; C Charger + 1 Data and moulded plastic cover plate, including the termination of wires.</t>
  </si>
  <si>
    <t xml:space="preserve">Supply and installation of  2 nos. 6/16A,combination  type shuttered socket outlet controlled  by one no. 16A switch + Type A + C Charger + 1 Data  and moulded plastic cover plate, including the termination of wires. </t>
  </si>
  <si>
    <t>Supply and installation of  3 nos. 6/16A,combination  type shuttered socket outlet controlled  by one no. 16A switch + Type A + C Charger + 1 Data and moulded plastic cover plate, including the termination of wires.</t>
  </si>
  <si>
    <t>1C x 70 sq.mm  PVC insulated copper wire</t>
  </si>
  <si>
    <t>Since HAT is mentioned considered all HAT .</t>
  </si>
  <si>
    <t>Common Area</t>
  </si>
  <si>
    <t>Supply &amp; Installation of wiring  using 2X2.5 + 1X1.5 sqmm  PVC insulated FRLS wire drawn in 2mm thick PVC   conduit as lighting  circuit. The circuit main shall be measured in running metres from respective distribution board upto  first  switch  point / light point   and  looping  between  the switches   (further onwards, it shall be deemed to be included in point wiring).  (cost of conduit is included)</t>
  </si>
  <si>
    <t>Supply &amp; Installation of wiring  using 2X2.5 + 1X1.5 sqmm  PVC insulated FRLS wire drawn in 2mm thick PVC  conduit as lighting  circuit. The circuit main shall be measured in running metres from respective distribution board upto  first  switch  point / light point   and  looping  between  the switches   (further onwards, it shall be deemed to be included in point wiring).  (cost of conduit is included)</t>
  </si>
  <si>
    <t>Supply &amp; Installation of wiring  using 2X2.5 + 1X1.5 sqmm  PVC insulated FRLS wire drawn in 2mm thick PVC  conduit for third party services  (cost of conduit is included)</t>
  </si>
  <si>
    <t>OFFICE</t>
  </si>
  <si>
    <t xml:space="preserve">LIGHTING DB - SPN TYPE DB </t>
  </si>
  <si>
    <t>One (1) -40A, DP,RCBO, 30mA</t>
  </si>
  <si>
    <t>new Item</t>
  </si>
  <si>
    <t xml:space="preserve">RPDB DB - SPN TYPE DB </t>
  </si>
  <si>
    <t>LDB DB comprises: (all MCBs 'C' Curve)</t>
  </si>
  <si>
    <t xml:space="preserve">Ten (12) - 16A, SP, 10kA, MCB </t>
  </si>
  <si>
    <t>Ten (12) - 10A, SP, 10kA, MCB</t>
  </si>
  <si>
    <t xml:space="preserve">Ten (12) - 10A, SP, 10kA, MCB </t>
  </si>
  <si>
    <r>
      <t>One (1) -40A, DP,RCBO,</t>
    </r>
    <r>
      <rPr>
        <sz val="12"/>
        <color rgb="FFFF0000"/>
        <rFont val="Calibri Light"/>
        <family val="2"/>
      </rPr>
      <t xml:space="preserve"> 30mA</t>
    </r>
  </si>
  <si>
    <t>One (1) -40A, DP,RCBO, 300mA</t>
  </si>
  <si>
    <t xml:space="preserve">UPSDB DB - SPN TYPE DB </t>
  </si>
  <si>
    <t>RPDB DB comprises: (all MCBs 'C' Curve)</t>
  </si>
  <si>
    <t>UPSDB DB comprises: (all MCBs 'D' Curve)</t>
  </si>
  <si>
    <t xml:space="preserve">3C x 6 sqmm A2XFY cable </t>
  </si>
  <si>
    <t>New Item  - incomer for Common are DBs</t>
  </si>
  <si>
    <t>Floor Raceways</t>
  </si>
  <si>
    <r>
      <t xml:space="preserve">Supply  &amp; Installation of following size GI  raceway / wire way with cover,  made out of 16 SWG GI for body and 14 SWG GI for coveralong </t>
    </r>
    <r>
      <rPr>
        <sz val="12"/>
        <color rgb="FFFF0000"/>
        <rFont val="Calibri Light"/>
        <family val="2"/>
      </rPr>
      <t>with complete accenssores</t>
    </r>
  </si>
  <si>
    <t>Supply, installation, Testing and Commissioning of point wiring using 3R x1.5Sqmm for Primary &amp; for Secondary wiring FRLS 1100V wire of approved  make drawn in 20mm dia PVC conduit including all conduit accessories such as bends, junction boxes etc., complete. The wiring shall be complete with ceiling roses, switches and all consumables. The wiring shall be complete with ceiling roses, switches and all consumables. The rate shall include providing mounting boxes with tapped holes for lights switches, moulded front plates with brass screws earthing of all points using third wire</t>
  </si>
  <si>
    <t>50</t>
  </si>
  <si>
    <t>180</t>
  </si>
  <si>
    <t>80</t>
  </si>
  <si>
    <t>329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</si>
</sst>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0">
    <numFmt numFmtId="41" formatCode="_ * #,##0_ ;_ * \-#,##0_ ;_ * &quot;-&quot;_ ;_ @_ "/>
    <numFmt numFmtId="44" formatCode="_ &quot;₹&quot;\ * #,##0.00_ ;_ &quot;₹&quot;\ * \-#,##0.00_ ;_ &quot;₹&quot;\ * &quot;-&quot;??_ ;_ @_ "/>
    <numFmt numFmtId="43" formatCode="_ * #,##0.00_ ;_ * \-#,##0.00_ ;_ * &quot;-&quot;??_ ;_ @_ "/>
    <numFmt numFmtId="164" formatCode="_(&quot;$&quot;* #,##0_);_(&quot;$&quot;* \(#,##0\);_(&quot;$&quot;* &quot;-&quot;_);_(@_)"/>
    <numFmt numFmtId="165" formatCode="_(&quot;$&quot;* #,##0.00_);_(&quot;$&quot;* \(#,##0.00\);_(&quot;$&quot;* &quot;-&quot;??_);_(@_)"/>
    <numFmt numFmtId="166" formatCode="_(* #,##0.00_);_(* \(#,##0.00\);_(* &quot;-&quot;??_);_(@_)"/>
    <numFmt numFmtId="167" formatCode="_ * #,##0_ ;_ * \-#,##0_ ;_ * &quot;-&quot;??_ ;_ @_ "/>
    <numFmt numFmtId="168" formatCode="&quot;$&quot;#,##0;\(&quot;$&quot;#,##0\)"/>
    <numFmt numFmtId="169" formatCode="_(* #,##0_);_(* \(#,##0\);_(* &quot;-&quot;??_);_(@_)"/>
    <numFmt numFmtId="170" formatCode="[$-409]d/mmm/yy"/>
    <numFmt numFmtId="171" formatCode="0.0"/>
    <numFmt numFmtId="172" formatCode="General_)"/>
    <numFmt numFmtId="173" formatCode="_-* #,##0.00_-;_-* #,##0.00\-;_-* &quot;-&quot;??_-;_-@_-"/>
    <numFmt numFmtId="174" formatCode="_-* #,##0.00_-;\-* #,##0.00_-;_-* &quot;-&quot;??_-;_-@_-"/>
    <numFmt numFmtId="175" formatCode="#,##0.00;\(#,##0.00\)"/>
    <numFmt numFmtId="176" formatCode="#,##0.000_);\(#,##0.000\)"/>
    <numFmt numFmtId="177" formatCode="_(* #,##0.00_);_(* \(#,##0.00\);_(* \-??_);_(@_)"/>
    <numFmt numFmtId="178" formatCode="mm/dd/yy"/>
    <numFmt numFmtId="179" formatCode="[$-409]d\-mmm\-yy;@"/>
    <numFmt numFmtId="180" formatCode="#,##0;\(#,##0\)"/>
    <numFmt numFmtId="181" formatCode="&quot;$&quot;#."/>
    <numFmt numFmtId="182" formatCode="_-* #,##0.00\ _D_M_-;\-* #,##0.00\ _D_M_-;_-* &quot;-&quot;??\ _D_M_-;_-@_-"/>
    <numFmt numFmtId="183" formatCode="&quot;$&quot;#,##0.00;\(&quot;$&quot;#,##0.00\)"/>
    <numFmt numFmtId="184" formatCode="_(&quot;Rs.&quot;* #,##0_);_(&quot;Rs.&quot;* \(#,##0\);_(&quot;Rs.&quot;* &quot;-&quot;_);_(@_)"/>
    <numFmt numFmtId="185" formatCode="&quot;US$&quot;#,##0.00;&quot;(US$&quot;#,##0.00\)"/>
    <numFmt numFmtId="186" formatCode="_-&quot;$&quot;* #,##0.00_-;\-&quot;$&quot;* #,##0.00_-;_-&quot;$&quot;* &quot;-&quot;??_-;_-@_-"/>
    <numFmt numFmtId="187" formatCode="_-* #,##0_-;\-* #,##0_-;_-* &quot;-&quot;_-;_-@_-"/>
    <numFmt numFmtId="188" formatCode="&quot;Rs.&quot;#,##0.00_);\(&quot;Rs.&quot;#,##0.00\)"/>
    <numFmt numFmtId="189" formatCode="_-* #,##0\ _F_-;\-* #,##0\ _F_-;_-* &quot;-&quot;\ _F_-;_-@_-"/>
    <numFmt numFmtId="190" formatCode="0.00%\)"/>
    <numFmt numFmtId="191" formatCode="_-&quot;$&quot;* #,##0_-;\-&quot;$&quot;* #,##0_-;_-&quot;$&quot;* &quot;-&quot;_-;_-@_-"/>
    <numFmt numFmtId="192" formatCode="#,##0;\-#,##0;&quot;-&quot;"/>
    <numFmt numFmtId="193" formatCode="#,##0.00\ ;&quot; (&quot;#,##0.00\);&quot; -&quot;#\ ;@\ "/>
    <numFmt numFmtId="194" formatCode="_([$€-2]* #,##0.00_);_([$€-2]* \(#,##0.00\);_([$€-2]* &quot;-&quot;??_)"/>
    <numFmt numFmtId="195" formatCode="\(0.00%"/>
    <numFmt numFmtId="196" formatCode="_(* #,##0_);_(* \(#,##0\);_(* \-_);_(@_)"/>
    <numFmt numFmtId="197" formatCode="#,##0.0_);\(#,##0.0\)"/>
    <numFmt numFmtId="198" formatCode="#,##0.0000_);\(#,##0.0000\)"/>
    <numFmt numFmtId="199" formatCode="_ * #,##0_)\ &quot;$&quot;_ ;_ * \(#,##0\)\ &quot;$&quot;_ ;_ * &quot;-&quot;_)\ &quot;$&quot;_ ;_ @_ "/>
    <numFmt numFmtId="200" formatCode="\+0.00%\+"/>
    <numFmt numFmtId="201" formatCode="&quot;$&quot;#,##0.00"/>
    <numFmt numFmtId="202" formatCode="yyyy"/>
    <numFmt numFmtId="203" formatCode="#,##0.000"/>
    <numFmt numFmtId="204" formatCode="0.000"/>
    <numFmt numFmtId="205" formatCode="_ * #,##0.00_)\ &quot;$&quot;_ ;_ * \(#,##0.00\)\ &quot;$&quot;_ ;_ * &quot;-&quot;??_)\ &quot;$&quot;_ ;_ @_ "/>
    <numFmt numFmtId="206" formatCode="&quot;£&quot;#,##0_);\(&quot;£&quot;#,##0\)"/>
    <numFmt numFmtId="207" formatCode="#,##0.00_ "/>
    <numFmt numFmtId="208" formatCode="[$INR]\ #,##0.00_);\([$INR]\ #,##0.00\)"/>
    <numFmt numFmtId="209" formatCode="#,##0.0"/>
    <numFmt numFmtId="210" formatCode="_-* #,##0.00\ _F_-;\-* #,##0.00\ _F_-;_-* &quot;-&quot;??\ _F_-;_-@_-"/>
    <numFmt numFmtId="211" formatCode="#,##0."/>
    <numFmt numFmtId="212" formatCode="0###0"/>
    <numFmt numFmtId="213" formatCode="_(\$* #,##0.00_);_(\$* \(#,##0.00\);_(\$* \-??_);_(@_)"/>
    <numFmt numFmtId="214" formatCode="#."/>
    <numFmt numFmtId="215" formatCode="#,##0_);[Red]\(#,##0\);;@"/>
    <numFmt numFmtId="216" formatCode="&quot; &quot;#,##0.00&quot; &quot;;&quot; (&quot;#,##0.00&quot;)&quot;;&quot; -&quot;#&quot; &quot;;&quot; &quot;@&quot; &quot;"/>
    <numFmt numFmtId="217" formatCode="General\ ;[Red]\(General\)"/>
    <numFmt numFmtId="218" formatCode="0##0"/>
    <numFmt numFmtId="219" formatCode="&quot;₹&quot;\ #,##0.00"/>
    <numFmt numFmtId="220" formatCode="_(* #,##0_);_(* \(#,##0\);_(* \-??_);_(@_)"/>
  </numFmts>
  <fonts count="175">
    <font>
      <sz val="11"/>
      <name val="Calibri"/>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name val="Calibri"/>
      <family val="2"/>
    </font>
    <font>
      <sz val="11"/>
      <color indexed="8"/>
      <name val="Calibri"/>
      <family val="2"/>
    </font>
    <font>
      <sz val="10"/>
      <name val="Calibri"/>
      <family val="2"/>
    </font>
    <font>
      <b/>
      <sz val="10"/>
      <name val="Calibri"/>
      <family val="2"/>
    </font>
    <font>
      <sz val="11"/>
      <color theme="1"/>
      <name val="Calibri"/>
      <family val="2"/>
    </font>
    <font>
      <b/>
      <sz val="11"/>
      <color theme="0"/>
      <name val="Aptos Narrow"/>
      <family val="2"/>
      <scheme val="minor"/>
    </font>
    <font>
      <sz val="10"/>
      <name val="Arial"/>
      <family val="2"/>
    </font>
    <font>
      <sz val="10"/>
      <color rgb="FF000000"/>
      <name val="Arial"/>
      <family val="2"/>
    </font>
    <font>
      <sz val="12"/>
      <color theme="1"/>
      <name val="Aptos Narrow"/>
      <family val="2"/>
      <scheme val="minor"/>
    </font>
    <font>
      <sz val="12"/>
      <name val="Arial"/>
      <family val="2"/>
    </font>
    <font>
      <sz val="10"/>
      <name val="Helv"/>
      <charset val="204"/>
    </font>
    <font>
      <b/>
      <sz val="12"/>
      <name val="Arial"/>
      <family val="2"/>
    </font>
    <font>
      <sz val="11"/>
      <color rgb="FF000000"/>
      <name val="Aptos Narrow"/>
      <family val="2"/>
      <scheme val="minor"/>
    </font>
    <font>
      <sz val="10"/>
      <color indexed="8"/>
      <name val="Arial"/>
      <family val="2"/>
    </font>
    <font>
      <sz val="12"/>
      <color indexed="8"/>
      <name val="Calibri"/>
      <family val="2"/>
    </font>
    <font>
      <sz val="10"/>
      <name val="Arial"/>
      <family val="2"/>
      <charset val="1"/>
    </font>
    <font>
      <sz val="10"/>
      <color rgb="FF000000"/>
      <name val="Times New Roman"/>
      <family val="1"/>
    </font>
    <font>
      <sz val="10"/>
      <name val="Helv"/>
      <family val="2"/>
    </font>
    <font>
      <b/>
      <sz val="11"/>
      <color theme="3"/>
      <name val="Aptos Narrow"/>
      <family val="2"/>
      <scheme val="minor"/>
    </font>
    <font>
      <sz val="11"/>
      <color rgb="FF006100"/>
      <name val="Aptos Narrow"/>
      <family val="2"/>
      <scheme val="minor"/>
    </font>
    <font>
      <b/>
      <sz val="11"/>
      <color rgb="FFFA7D00"/>
      <name val="Aptos Narrow"/>
      <family val="2"/>
      <scheme val="minor"/>
    </font>
    <font>
      <sz val="11"/>
      <color theme="0"/>
      <name val="Aptos Narrow"/>
      <family val="2"/>
      <scheme val="minor"/>
    </font>
    <font>
      <sz val="11"/>
      <color rgb="FF000000"/>
      <name val="Calibri"/>
      <family val="2"/>
    </font>
    <font>
      <sz val="11"/>
      <name val="Tahoma"/>
      <family val="2"/>
    </font>
    <font>
      <u/>
      <sz val="12"/>
      <color theme="10"/>
      <name val="Aptos Narrow"/>
      <family val="2"/>
      <scheme val="minor"/>
    </font>
    <font>
      <sz val="10"/>
      <name val="Helv"/>
      <charset val="134"/>
    </font>
    <font>
      <sz val="10"/>
      <color theme="1"/>
      <name val="Arial"/>
      <family val="2"/>
    </font>
    <font>
      <sz val="10"/>
      <name val="Courier"/>
      <family val="3"/>
    </font>
    <font>
      <sz val="11"/>
      <color indexed="9"/>
      <name val="Calibri"/>
      <family val="2"/>
    </font>
    <font>
      <sz val="14"/>
      <name val="Cordia New"/>
      <family val="2"/>
    </font>
    <font>
      <sz val="10"/>
      <name val="Helv"/>
    </font>
    <font>
      <b/>
      <sz val="18"/>
      <name val="Arial"/>
      <family val="2"/>
    </font>
    <font>
      <sz val="11"/>
      <color rgb="FF9C6500"/>
      <name val="Aptos Narrow"/>
      <family val="2"/>
      <scheme val="minor"/>
    </font>
    <font>
      <sz val="12"/>
      <name val="Arial"/>
      <family val="2"/>
      <charset val="134"/>
    </font>
    <font>
      <sz val="11"/>
      <color indexed="8"/>
      <name val="Calibri"/>
      <family val="2"/>
      <charset val="134"/>
    </font>
    <font>
      <sz val="12"/>
      <name val="Times New Roman"/>
      <family val="1"/>
    </font>
    <font>
      <b/>
      <sz val="12"/>
      <name val="Times New Roman"/>
      <family val="1"/>
    </font>
    <font>
      <sz val="10"/>
      <name val="Times New Roman"/>
      <family val="1"/>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1"/>
      <color indexed="8"/>
      <name val="Calibri"/>
      <family val="2"/>
    </font>
    <font>
      <sz val="11"/>
      <color indexed="10"/>
      <name val="Calibri"/>
      <family val="2"/>
    </font>
    <font>
      <sz val="12"/>
      <color indexed="8"/>
      <name val="Times New Roman"/>
      <family val="1"/>
    </font>
    <font>
      <sz val="11"/>
      <name val="Arial"/>
      <family val="2"/>
    </font>
    <font>
      <b/>
      <sz val="18"/>
      <color indexed="56"/>
      <name val="Cambria"/>
      <family val="1"/>
    </font>
    <font>
      <u/>
      <sz val="7.5"/>
      <color indexed="12"/>
      <name val="Arial"/>
      <family val="2"/>
    </font>
    <font>
      <u/>
      <sz val="10"/>
      <color indexed="12"/>
      <name val="Arial"/>
      <family val="2"/>
    </font>
    <font>
      <sz val="8"/>
      <name val="Arial"/>
      <family val="2"/>
    </font>
    <font>
      <sz val="11"/>
      <name val="Century Gothic"/>
      <family val="2"/>
    </font>
    <font>
      <sz val="10"/>
      <name val="Courier New"/>
      <family val="3"/>
    </font>
    <font>
      <b/>
      <sz val="1"/>
      <color indexed="8"/>
      <name val="Courier New"/>
      <family val="3"/>
    </font>
    <font>
      <sz val="7"/>
      <name val="Small Fonts"/>
      <family val="2"/>
    </font>
    <font>
      <sz val="1"/>
      <color indexed="8"/>
      <name val="Courier"/>
      <family val="3"/>
    </font>
    <font>
      <b/>
      <sz val="11"/>
      <name val="Times New Roman"/>
      <family val="1"/>
    </font>
    <font>
      <sz val="9"/>
      <name val="Times New Roman"/>
      <family val="1"/>
    </font>
    <font>
      <i/>
      <sz val="1"/>
      <color indexed="8"/>
      <name val="Courier"/>
      <family val="3"/>
    </font>
    <font>
      <sz val="12"/>
      <name val="바탕체"/>
      <charset val="129"/>
    </font>
    <font>
      <u/>
      <sz val="11"/>
      <color indexed="20"/>
      <name val="돋움"/>
      <charset val="129"/>
    </font>
    <font>
      <b/>
      <i/>
      <sz val="9"/>
      <name val="Times New Roman"/>
      <family val="1"/>
    </font>
    <font>
      <sz val="14"/>
      <name val="AngsanaUPC"/>
      <family val="1"/>
      <charset val="222"/>
    </font>
    <font>
      <sz val="10"/>
      <name val="Vogue"/>
      <charset val="134"/>
    </font>
    <font>
      <sz val="9"/>
      <name val="Arial"/>
      <family val="2"/>
    </font>
    <font>
      <sz val="10"/>
      <color indexed="16"/>
      <name val="MS Serif"/>
      <family val="1"/>
    </font>
    <font>
      <b/>
      <sz val="18"/>
      <name val="Times New Roman"/>
      <family val="1"/>
    </font>
    <font>
      <sz val="14"/>
      <name val="¾©"/>
      <charset val="128"/>
    </font>
    <font>
      <sz val="11"/>
      <name val="돋움"/>
      <charset val="129"/>
    </font>
    <font>
      <sz val="12"/>
      <name val="¾©"/>
      <charset val="128"/>
    </font>
    <font>
      <u/>
      <sz val="9"/>
      <color indexed="36"/>
      <name val="Arial"/>
      <family val="2"/>
    </font>
    <font>
      <sz val="12"/>
      <name val="¹ÙÅÁÃ¼"/>
      <charset val="129"/>
    </font>
    <font>
      <sz val="12"/>
      <name val="Tms Rmn"/>
      <charset val="134"/>
    </font>
    <font>
      <b/>
      <sz val="10"/>
      <name val="Arial CE"/>
      <charset val="238"/>
    </font>
    <font>
      <sz val="11"/>
      <name val="굴림체"/>
      <charset val="129"/>
    </font>
    <font>
      <sz val="10"/>
      <name val="MS Serif"/>
      <family val="1"/>
    </font>
    <font>
      <sz val="10"/>
      <name val="MS Sans Serif"/>
      <family val="2"/>
    </font>
    <font>
      <sz val="8"/>
      <name val="Helv"/>
      <charset val="134"/>
    </font>
    <font>
      <sz val="14"/>
      <name val="뼻뮝"/>
      <charset val="128"/>
    </font>
    <font>
      <b/>
      <sz val="8"/>
      <color indexed="8"/>
      <name val="Helv"/>
      <charset val="134"/>
    </font>
    <font>
      <sz val="12"/>
      <name val="뼻뮝"/>
      <charset val="129"/>
    </font>
    <font>
      <sz val="10"/>
      <color indexed="10"/>
      <name val="Arial"/>
      <family val="2"/>
    </font>
    <font>
      <sz val="14"/>
      <name val="–¾’©"/>
      <charset val="128"/>
    </font>
    <font>
      <sz val="11"/>
      <name val="Courier"/>
      <family val="3"/>
    </font>
    <font>
      <u/>
      <sz val="9"/>
      <color indexed="12"/>
      <name val="Arial"/>
      <family val="2"/>
    </font>
    <font>
      <i/>
      <sz val="9"/>
      <name val="Times New Roman"/>
      <family val="1"/>
    </font>
    <font>
      <b/>
      <u/>
      <sz val="13"/>
      <name val="굴림체"/>
      <charset val="129"/>
    </font>
    <font>
      <sz val="12"/>
      <name val="굴림체"/>
      <charset val="129"/>
    </font>
    <font>
      <u val="double"/>
      <sz val="14"/>
      <color indexed="8"/>
      <name val="Arial"/>
      <family val="2"/>
    </font>
    <font>
      <sz val="12"/>
      <name val="華康粗圓體"/>
      <charset val="136"/>
    </font>
    <font>
      <u/>
      <sz val="9.35"/>
      <color theme="10"/>
      <name val="Calibri"/>
      <family val="2"/>
    </font>
    <font>
      <sz val="10"/>
      <color theme="1"/>
      <name val="Gill Sans"/>
      <charset val="134"/>
    </font>
    <font>
      <sz val="14"/>
      <name val="Cordia New"/>
      <family val="2"/>
      <charset val="222"/>
    </font>
    <font>
      <b/>
      <sz val="9"/>
      <name val="Arial"/>
      <family val="2"/>
    </font>
    <font>
      <sz val="10"/>
      <name val="Century Gothic"/>
      <family val="2"/>
    </font>
    <font>
      <b/>
      <sz val="10"/>
      <name val="Century Gothic"/>
      <family val="2"/>
    </font>
    <font>
      <sz val="11"/>
      <color theme="1"/>
      <name val="Arial"/>
      <family val="2"/>
    </font>
    <font>
      <sz val="14"/>
      <name val="AngsanaUPC"/>
      <family val="1"/>
    </font>
    <font>
      <sz val="11"/>
      <name val="돋움"/>
    </font>
    <font>
      <sz val="10"/>
      <name val="Mangal"/>
      <family val="2"/>
    </font>
    <font>
      <sz val="9"/>
      <color theme="1"/>
      <name val="Verdana"/>
      <family val="2"/>
    </font>
    <font>
      <sz val="11"/>
      <color indexed="8"/>
      <name val="Arial Narrow"/>
      <family val="2"/>
    </font>
    <font>
      <b/>
      <u/>
      <sz val="11"/>
      <name val="Times New Roman"/>
      <family val="1"/>
    </font>
    <font>
      <sz val="1"/>
      <color indexed="16"/>
      <name val="Courier"/>
      <family val="3"/>
    </font>
    <font>
      <i/>
      <sz val="1"/>
      <color indexed="16"/>
      <name val="Courier"/>
      <family val="3"/>
    </font>
    <font>
      <b/>
      <sz val="1"/>
      <color indexed="16"/>
      <name val="Courier"/>
      <family val="3"/>
    </font>
    <font>
      <u/>
      <sz val="8.9"/>
      <color indexed="12"/>
      <name val="Arial"/>
      <family val="2"/>
    </font>
    <font>
      <b/>
      <i/>
      <sz val="16"/>
      <name val="Helv"/>
    </font>
    <font>
      <sz val="11"/>
      <color rgb="FF000000"/>
      <name val="Calibri"/>
      <family val="2"/>
      <charset val="204"/>
    </font>
    <font>
      <sz val="12"/>
      <name val="Arial MT"/>
    </font>
    <font>
      <sz val="10"/>
      <color indexed="8"/>
      <name val="MS Sans Serif"/>
      <family val="2"/>
      <charset val="1"/>
    </font>
    <font>
      <sz val="11"/>
      <color theme="1"/>
      <name val="VodafoneRg"/>
      <family val="2"/>
    </font>
    <font>
      <sz val="11"/>
      <color indexed="8"/>
      <name val="VodafoneRg"/>
    </font>
    <font>
      <sz val="11"/>
      <color indexed="63"/>
      <name val="Calibri"/>
      <family val="2"/>
      <charset val="1"/>
    </font>
    <font>
      <b/>
      <u/>
      <sz val="10"/>
      <color indexed="18"/>
      <name val="Century Gothic"/>
      <family val="2"/>
    </font>
    <font>
      <sz val="10"/>
      <name val="Arial"/>
      <family val="2"/>
      <charset val="204"/>
    </font>
    <font>
      <b/>
      <sz val="12"/>
      <color indexed="18"/>
      <name val="Times New Roman"/>
      <family val="1"/>
    </font>
    <font>
      <sz val="11"/>
      <color indexed="53"/>
      <name val="Calibri"/>
      <family val="2"/>
      <charset val="1"/>
    </font>
    <font>
      <b/>
      <sz val="18"/>
      <color indexed="56"/>
      <name val="Cambria"/>
      <family val="2"/>
    </font>
    <font>
      <b/>
      <i/>
      <sz val="12"/>
      <name val="Times New Roman"/>
      <family val="1"/>
    </font>
    <font>
      <sz val="10"/>
      <name val="Mangal"/>
      <family val="1"/>
    </font>
    <font>
      <sz val="11"/>
      <color theme="1"/>
      <name val="Aptos Narrow"/>
      <family val="2"/>
      <scheme val="minor"/>
    </font>
    <font>
      <sz val="10"/>
      <color rgb="FF000000"/>
      <name val="Arial"/>
      <family val="2"/>
    </font>
    <font>
      <sz val="10"/>
      <color indexed="8"/>
      <name val="Arial"/>
      <family val="2"/>
    </font>
    <font>
      <i/>
      <sz val="11"/>
      <color rgb="FF7F7F7F"/>
      <name val="Aptos Narrow"/>
      <family val="2"/>
      <scheme val="minor"/>
    </font>
    <font>
      <sz val="10"/>
      <name val="Arial"/>
      <family val="2"/>
    </font>
    <font>
      <sz val="11"/>
      <color theme="1"/>
      <name val="Aptos Narrow"/>
      <family val="2"/>
      <scheme val="minor"/>
    </font>
    <font>
      <sz val="10"/>
      <color theme="1"/>
      <name val="Aptos Narrow"/>
      <family val="2"/>
      <scheme val="minor"/>
    </font>
    <font>
      <b/>
      <sz val="10"/>
      <color theme="1"/>
      <name val="Aptos Narrow"/>
      <family val="2"/>
      <scheme val="minor"/>
    </font>
    <font>
      <sz val="8"/>
      <name val="Calibri"/>
      <family val="2"/>
    </font>
    <font>
      <b/>
      <sz val="11"/>
      <name val="Calibri Light"/>
      <family val="2"/>
    </font>
    <font>
      <sz val="11"/>
      <name val="Calibri Light"/>
      <family val="2"/>
    </font>
    <font>
      <b/>
      <u/>
      <sz val="11"/>
      <name val="Calibri Light"/>
      <family val="2"/>
    </font>
    <font>
      <sz val="11"/>
      <name val="Calibri"/>
      <family val="2"/>
    </font>
    <font>
      <sz val="12"/>
      <color indexed="9"/>
      <name val="Calibri Light"/>
      <family val="2"/>
    </font>
    <font>
      <sz val="12"/>
      <name val="Calibri Light"/>
      <family val="2"/>
    </font>
    <font>
      <b/>
      <sz val="12"/>
      <name val="Calibri Light"/>
      <family val="2"/>
    </font>
    <font>
      <b/>
      <sz val="12"/>
      <color theme="1" tint="4.9989318521683403E-2"/>
      <name val="Calibri Light"/>
      <family val="2"/>
    </font>
    <font>
      <b/>
      <u/>
      <sz val="12"/>
      <color theme="1" tint="4.9989318521683403E-2"/>
      <name val="Calibri Light"/>
      <family val="2"/>
    </font>
    <font>
      <sz val="12"/>
      <color theme="1" tint="4.9989318521683403E-2"/>
      <name val="Calibri Light"/>
      <family val="2"/>
    </font>
    <font>
      <sz val="12"/>
      <color theme="1"/>
      <name val="Calibri Light"/>
      <family val="2"/>
    </font>
    <font>
      <b/>
      <sz val="12"/>
      <color rgb="FF000000"/>
      <name val="Calibri Light"/>
      <family val="2"/>
    </font>
    <font>
      <sz val="12"/>
      <color rgb="FF000000"/>
      <name val="Calibri Light"/>
      <family val="2"/>
    </font>
    <font>
      <u/>
      <sz val="12"/>
      <name val="Calibri Light"/>
      <family val="2"/>
    </font>
    <font>
      <b/>
      <u/>
      <sz val="12"/>
      <name val="Calibri Light"/>
      <family val="2"/>
    </font>
    <font>
      <sz val="12"/>
      <color rgb="FFFF0000"/>
      <name val="Calibri Light"/>
      <family val="2"/>
    </font>
    <font>
      <sz val="12"/>
      <color rgb="FFED0000"/>
      <name val="Calibri Light"/>
      <family val="2"/>
    </font>
    <font>
      <sz val="12"/>
      <color indexed="10"/>
      <name val="Calibri Light"/>
      <family val="2"/>
    </font>
    <font>
      <b/>
      <sz val="12"/>
      <color rgb="FFED0000"/>
      <name val="Calibri Light"/>
      <family val="2"/>
    </font>
    <font>
      <b/>
      <sz val="12"/>
      <color theme="1"/>
      <name val="Calibri Light"/>
      <family val="2"/>
    </font>
    <font>
      <b/>
      <sz val="12"/>
      <color rgb="FF0033CC"/>
      <name val="Calibri Light"/>
      <family val="2"/>
    </font>
    <font>
      <b/>
      <sz val="12"/>
      <color rgb="FFFF0000"/>
      <name val="Calibri Light"/>
      <family val="2"/>
    </font>
  </fonts>
  <fills count="98">
    <fill>
      <patternFill patternType="none"/>
    </fill>
    <fill>
      <patternFill patternType="gray125"/>
    </fill>
    <fill>
      <patternFill patternType="solid">
        <fgColor theme="0"/>
        <bgColor indexed="64"/>
      </patternFill>
    </fill>
    <fill>
      <patternFill patternType="solid">
        <fgColor indexed="27"/>
        <bgColor indexed="64"/>
      </patternFill>
    </fill>
    <fill>
      <patternFill patternType="solid">
        <fgColor indexed="42"/>
        <bgColor indexed="64"/>
      </patternFill>
    </fill>
    <fill>
      <patternFill patternType="solid">
        <fgColor indexed="62"/>
        <bgColor indexed="64"/>
      </patternFill>
    </fill>
    <fill>
      <patternFill patternType="solid">
        <fgColor rgb="FFC6EFCE"/>
      </patternFill>
    </fill>
    <fill>
      <patternFill patternType="solid">
        <fgColor rgb="FFFFEB9C"/>
      </patternFill>
    </fill>
    <fill>
      <patternFill patternType="solid">
        <fgColor rgb="FFF2F2F2"/>
      </patternFill>
    </fill>
    <fill>
      <patternFill patternType="solid">
        <fgColor rgb="FFA5A5A5"/>
      </patternFill>
    </fill>
    <fill>
      <patternFill patternType="solid">
        <fgColor rgb="FFFFFFCC"/>
      </patternFill>
    </fill>
    <fill>
      <patternFill patternType="solid">
        <fgColor theme="5" tint="0.79998168889431442"/>
        <bgColor indexed="65"/>
      </patternFill>
    </fill>
    <fill>
      <patternFill patternType="solid">
        <fgColor theme="6" tint="0.79998168889431442"/>
        <bgColor indexed="65"/>
      </patternFill>
    </fill>
    <fill>
      <patternFill patternType="solid">
        <fgColor theme="8" tint="0.79998168889431442"/>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indexed="22"/>
        <bgColor indexed="64"/>
      </patternFill>
    </fill>
    <fill>
      <patternFill patternType="solid">
        <fgColor indexed="46"/>
        <bgColor indexed="64"/>
      </patternFill>
    </fill>
    <fill>
      <patternFill patternType="solid">
        <fgColor indexed="10"/>
        <bgColor indexed="64"/>
      </patternFill>
    </fill>
    <fill>
      <patternFill patternType="solid">
        <fgColor indexed="53"/>
        <bgColor indexed="64"/>
      </patternFill>
    </fill>
    <fill>
      <patternFill patternType="solid">
        <fgColor indexed="31"/>
        <bgColor indexed="64"/>
      </patternFill>
    </fill>
    <fill>
      <patternFill patternType="solid">
        <fgColor indexed="45"/>
        <bgColor indexed="64"/>
      </patternFill>
    </fill>
    <fill>
      <patternFill patternType="solid">
        <fgColor indexed="47"/>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57"/>
        <bgColor indexed="64"/>
      </patternFill>
    </fill>
    <fill>
      <patternFill patternType="solid">
        <fgColor indexed="53"/>
      </patternFill>
    </fill>
    <fill>
      <patternFill patternType="solid">
        <fgColor indexed="22"/>
      </patternFill>
    </fill>
    <fill>
      <patternFill patternType="solid">
        <fgColor indexed="55"/>
        <bgColor indexed="64"/>
      </patternFill>
    </fill>
    <fill>
      <patternFill patternType="solid">
        <fgColor indexed="26"/>
        <bgColor indexed="64"/>
      </patternFill>
    </fill>
    <fill>
      <patternFill patternType="solid">
        <fgColor indexed="15"/>
        <bgColor indexed="64"/>
      </patternFill>
    </fill>
    <fill>
      <patternFill patternType="solid">
        <fgColor indexed="43"/>
        <bgColor indexed="64"/>
      </patternFill>
    </fill>
    <fill>
      <patternFill patternType="solid">
        <fgColor indexed="26"/>
      </patternFill>
    </fill>
    <fill>
      <patternFill patternType="solid">
        <fgColor indexed="9"/>
        <bgColor indexed="26"/>
      </patternFill>
    </fill>
    <fill>
      <patternFill patternType="gray0625"/>
    </fill>
    <fill>
      <patternFill patternType="solid">
        <fgColor indexed="13"/>
        <bgColor indexed="64"/>
      </patternFill>
    </fill>
    <fill>
      <patternFill patternType="solid">
        <fgColor theme="8" tint="0.39994506668294322"/>
        <bgColor indexed="64"/>
      </patternFill>
    </fill>
    <fill>
      <patternFill patternType="solid">
        <fgColor rgb="FFF2F2F2"/>
        <bgColor indexed="64"/>
      </patternFill>
    </fill>
    <fill>
      <patternFill patternType="solid">
        <fgColor rgb="FFC6EFCE"/>
        <bgColor indexed="64"/>
      </patternFill>
    </fill>
    <fill>
      <patternFill patternType="solid">
        <fgColor rgb="FFFFFFCC"/>
        <bgColor indexed="64"/>
      </patternFill>
    </fill>
    <fill>
      <patternFill patternType="solid">
        <fgColor indexed="31"/>
      </patternFill>
    </fill>
    <fill>
      <patternFill patternType="solid">
        <fgColor indexed="31"/>
        <bgColor indexed="22"/>
      </patternFill>
    </fill>
    <fill>
      <patternFill patternType="solid">
        <fgColor indexed="45"/>
      </patternFill>
    </fill>
    <fill>
      <patternFill patternType="solid">
        <fgColor indexed="45"/>
        <bgColor indexed="29"/>
      </patternFill>
    </fill>
    <fill>
      <patternFill patternType="solid">
        <fgColor indexed="42"/>
      </patternFill>
    </fill>
    <fill>
      <patternFill patternType="solid">
        <fgColor indexed="42"/>
        <bgColor indexed="27"/>
      </patternFill>
    </fill>
    <fill>
      <patternFill patternType="solid">
        <fgColor indexed="46"/>
      </patternFill>
    </fill>
    <fill>
      <patternFill patternType="solid">
        <fgColor indexed="46"/>
        <bgColor indexed="24"/>
      </patternFill>
    </fill>
    <fill>
      <patternFill patternType="solid">
        <fgColor indexed="27"/>
      </patternFill>
    </fill>
    <fill>
      <patternFill patternType="solid">
        <fgColor indexed="27"/>
        <bgColor indexed="41"/>
      </patternFill>
    </fill>
    <fill>
      <patternFill patternType="solid">
        <fgColor indexed="47"/>
        <bgColor indexed="22"/>
      </patternFill>
    </fill>
    <fill>
      <patternFill patternType="solid">
        <fgColor indexed="44"/>
      </patternFill>
    </fill>
    <fill>
      <patternFill patternType="solid">
        <fgColor indexed="44"/>
        <bgColor indexed="31"/>
      </patternFill>
    </fill>
    <fill>
      <patternFill patternType="solid">
        <fgColor indexed="29"/>
      </patternFill>
    </fill>
    <fill>
      <patternFill patternType="solid">
        <fgColor indexed="29"/>
        <bgColor indexed="45"/>
      </patternFill>
    </fill>
    <fill>
      <patternFill patternType="solid">
        <fgColor indexed="11"/>
      </patternFill>
    </fill>
    <fill>
      <patternFill patternType="solid">
        <fgColor indexed="11"/>
        <bgColor indexed="49"/>
      </patternFill>
    </fill>
    <fill>
      <patternFill patternType="solid">
        <fgColor indexed="51"/>
      </patternFill>
    </fill>
    <fill>
      <patternFill patternType="solid">
        <fgColor indexed="51"/>
        <bgColor indexed="13"/>
      </patternFill>
    </fill>
    <fill>
      <patternFill patternType="solid">
        <fgColor indexed="30"/>
      </patternFill>
    </fill>
    <fill>
      <patternFill patternType="solid">
        <fgColor indexed="30"/>
        <bgColor indexed="21"/>
      </patternFill>
    </fill>
    <fill>
      <patternFill patternType="solid">
        <fgColor indexed="36"/>
      </patternFill>
    </fill>
    <fill>
      <patternFill patternType="solid">
        <fgColor indexed="20"/>
        <bgColor indexed="36"/>
      </patternFill>
    </fill>
    <fill>
      <patternFill patternType="solid">
        <fgColor indexed="49"/>
      </patternFill>
    </fill>
    <fill>
      <patternFill patternType="solid">
        <fgColor indexed="49"/>
        <bgColor indexed="40"/>
      </patternFill>
    </fill>
    <fill>
      <patternFill patternType="solid">
        <fgColor indexed="52"/>
      </patternFill>
    </fill>
    <fill>
      <patternFill patternType="solid">
        <fgColor indexed="52"/>
        <bgColor indexed="51"/>
      </patternFill>
    </fill>
    <fill>
      <patternFill patternType="solid">
        <fgColor indexed="62"/>
      </patternFill>
    </fill>
    <fill>
      <patternFill patternType="solid">
        <fgColor indexed="62"/>
        <bgColor indexed="56"/>
      </patternFill>
    </fill>
    <fill>
      <patternFill patternType="solid">
        <fgColor indexed="10"/>
      </patternFill>
    </fill>
    <fill>
      <patternFill patternType="solid">
        <fgColor indexed="10"/>
        <bgColor indexed="60"/>
      </patternFill>
    </fill>
    <fill>
      <patternFill patternType="solid">
        <fgColor indexed="57"/>
      </patternFill>
    </fill>
    <fill>
      <patternFill patternType="solid">
        <fgColor indexed="57"/>
        <bgColor indexed="21"/>
      </patternFill>
    </fill>
    <fill>
      <patternFill patternType="solid">
        <fgColor indexed="53"/>
        <bgColor indexed="52"/>
      </patternFill>
    </fill>
    <fill>
      <patternFill patternType="solid">
        <fgColor indexed="22"/>
        <bgColor indexed="31"/>
      </patternFill>
    </fill>
    <fill>
      <patternFill patternType="solid">
        <fgColor indexed="55"/>
      </patternFill>
    </fill>
    <fill>
      <patternFill patternType="solid">
        <fgColor indexed="55"/>
        <bgColor indexed="23"/>
      </patternFill>
    </fill>
    <fill>
      <patternFill patternType="lightGray">
        <fgColor indexed="13"/>
        <bgColor indexed="9"/>
      </patternFill>
    </fill>
    <fill>
      <patternFill patternType="solid">
        <fgColor indexed="43"/>
      </patternFill>
    </fill>
    <fill>
      <patternFill patternType="solid">
        <fgColor indexed="43"/>
        <bgColor indexed="26"/>
      </patternFill>
    </fill>
    <fill>
      <patternFill patternType="solid">
        <fgColor indexed="26"/>
        <bgColor indexed="9"/>
      </patternFill>
    </fill>
    <fill>
      <patternFill patternType="mediumGray">
        <fgColor indexed="22"/>
        <bgColor indexed="9"/>
      </patternFill>
    </fill>
    <fill>
      <patternFill patternType="solid">
        <fgColor rgb="FF00B0F0"/>
        <bgColor indexed="64"/>
      </patternFill>
    </fill>
    <fill>
      <patternFill patternType="solid">
        <fgColor rgb="FF66FF33"/>
        <bgColor indexed="64"/>
      </patternFill>
    </fill>
    <fill>
      <patternFill patternType="solid">
        <fgColor indexed="56"/>
        <bgColor indexed="64"/>
      </patternFill>
    </fill>
    <fill>
      <patternFill patternType="solid">
        <fgColor rgb="FF00FF00"/>
        <bgColor indexed="64"/>
      </patternFill>
    </fill>
    <fill>
      <patternFill patternType="solid">
        <fgColor theme="0"/>
        <bgColor theme="0"/>
      </patternFill>
    </fill>
    <fill>
      <patternFill patternType="solid">
        <fgColor indexed="9"/>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rgb="FFFFFF00"/>
        <bgColor indexed="64"/>
      </patternFill>
    </fill>
  </fills>
  <borders count="36">
    <border>
      <left/>
      <right/>
      <top/>
      <bottom/>
      <diagonal/>
    </border>
    <border>
      <left/>
      <right/>
      <top style="medium">
        <color indexed="64"/>
      </top>
      <bottom style="medium">
        <color indexed="64"/>
      </bottom>
      <diagonal/>
    </border>
    <border>
      <left/>
      <right style="medium">
        <color indexed="64"/>
      </right>
      <top/>
      <bottom/>
      <diagonal/>
    </border>
    <border>
      <left/>
      <right/>
      <top style="medium">
        <color indexed="64"/>
      </top>
      <bottom/>
      <diagonal/>
    </border>
    <border>
      <left style="medium">
        <color auto="1"/>
      </left>
      <right style="medium">
        <color auto="1"/>
      </right>
      <top style="medium">
        <color auto="1"/>
      </top>
      <bottom style="medium">
        <color auto="1"/>
      </bottom>
      <diagonal/>
    </border>
    <border>
      <left style="thin">
        <color indexed="64"/>
      </left>
      <right/>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auto="1"/>
      </left>
      <right style="thin">
        <color auto="1"/>
      </right>
      <top/>
      <bottom style="hair">
        <color auto="1"/>
      </bottom>
      <diagonal/>
    </border>
    <border>
      <left style="medium">
        <color indexed="64"/>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8"/>
      </top>
      <bottom style="double">
        <color indexed="8"/>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0623">
    <xf numFmtId="0" fontId="0" fillId="0" borderId="0"/>
    <xf numFmtId="0" fontId="17" fillId="0" borderId="0"/>
    <xf numFmtId="166" fontId="15" fillId="0" borderId="0" applyFont="0" applyFill="0" applyBorder="0" applyAlignment="0" applyProtection="0"/>
    <xf numFmtId="0" fontId="14" fillId="0" borderId="0"/>
    <xf numFmtId="43" fontId="14" fillId="0" borderId="0" applyFont="0" applyFill="0" applyBorder="0" applyAlignment="0" applyProtection="0"/>
    <xf numFmtId="43" fontId="14" fillId="0" borderId="0" applyFont="0" applyFill="0" applyBorder="0" applyAlignment="0" applyProtection="0"/>
    <xf numFmtId="0" fontId="13" fillId="0" borderId="0"/>
    <xf numFmtId="9"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13" fillId="0" borderId="0"/>
    <xf numFmtId="0" fontId="12" fillId="0" borderId="0"/>
    <xf numFmtId="9"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168" fontId="22" fillId="0" borderId="0" applyFont="0" applyFill="0" applyBorder="0" applyAlignment="0" applyProtection="0"/>
    <xf numFmtId="43" fontId="23" fillId="0" borderId="0" applyFont="0" applyFill="0" applyBorder="0" applyAlignment="0" applyProtection="0"/>
    <xf numFmtId="43" fontId="22" fillId="0" borderId="0" applyFont="0" applyFill="0" applyBorder="0" applyAlignment="0" applyProtection="0"/>
    <xf numFmtId="170" fontId="23" fillId="0" borderId="0"/>
    <xf numFmtId="43" fontId="11" fillId="0" borderId="0" applyFont="0" applyFill="0" applyBorder="0" applyAlignment="0" applyProtection="0"/>
    <xf numFmtId="168" fontId="22" fillId="0" borderId="0" applyFont="0" applyFill="0" applyBorder="0" applyAlignment="0" applyProtection="0"/>
    <xf numFmtId="170" fontId="23" fillId="0" borderId="0"/>
    <xf numFmtId="43" fontId="22"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24" fillId="0" borderId="0"/>
    <xf numFmtId="0" fontId="22"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170" fontId="23" fillId="0" borderId="0"/>
    <xf numFmtId="0" fontId="10" fillId="0" borderId="0"/>
    <xf numFmtId="0" fontId="10" fillId="0" borderId="0"/>
    <xf numFmtId="0" fontId="29" fillId="0" borderId="0" applyNumberFormat="0" applyFill="0" applyBorder="0" applyProtection="0"/>
    <xf numFmtId="0" fontId="31" fillId="0" borderId="0" applyFill="0" applyBorder="0" applyAlignment="0" applyProtection="0"/>
    <xf numFmtId="166" fontId="10" fillId="0" borderId="0" applyFont="0" applyFill="0" applyBorder="0" applyAlignment="0" applyProtection="0"/>
    <xf numFmtId="0" fontId="29" fillId="0" borderId="0" applyNumberFormat="0" applyFill="0" applyBorder="0" applyProtection="0"/>
    <xf numFmtId="166" fontId="29" fillId="0" borderId="0" applyFont="0" applyFill="0" applyBorder="0" applyAlignment="0" applyProtection="0"/>
    <xf numFmtId="0" fontId="22" fillId="0" borderId="0"/>
    <xf numFmtId="0" fontId="22" fillId="0" borderId="0"/>
    <xf numFmtId="0" fontId="22" fillId="0" borderId="0"/>
    <xf numFmtId="166" fontId="22" fillId="0" borderId="0" applyFont="0" applyFill="0" applyBorder="0" applyAlignment="0" applyProtection="0"/>
    <xf numFmtId="43" fontId="22" fillId="0" borderId="0" applyFont="0" applyFill="0" applyBorder="0" applyAlignment="0" applyProtection="0"/>
    <xf numFmtId="0" fontId="10" fillId="0" borderId="0"/>
    <xf numFmtId="0" fontId="32" fillId="0" borderId="0"/>
    <xf numFmtId="0" fontId="22" fillId="0" borderId="0"/>
    <xf numFmtId="0" fontId="22" fillId="0" borderId="0"/>
    <xf numFmtId="0" fontId="22" fillId="0" borderId="0">
      <alignment vertical="center"/>
    </xf>
    <xf numFmtId="171" fontId="22" fillId="0" borderId="0" applyFont="0" applyFill="0" applyBorder="0" applyAlignment="0" applyProtection="0"/>
    <xf numFmtId="0" fontId="33" fillId="0" borderId="0"/>
    <xf numFmtId="0" fontId="17" fillId="0" borderId="0"/>
    <xf numFmtId="44" fontId="10" fillId="0" borderId="0" applyFont="0" applyFill="0" applyBorder="0" applyAlignment="0" applyProtection="0"/>
    <xf numFmtId="0" fontId="22" fillId="0" borderId="0"/>
    <xf numFmtId="0" fontId="9" fillId="0" borderId="0"/>
    <xf numFmtId="43" fontId="9" fillId="0" borderId="0" applyFont="0" applyFill="0" applyBorder="0" applyAlignment="0" applyProtection="0"/>
    <xf numFmtId="170" fontId="23" fillId="0" borderId="0"/>
    <xf numFmtId="170" fontId="23"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0" fontId="22" fillId="0" borderId="0"/>
    <xf numFmtId="43" fontId="22" fillId="0" borderId="0" applyFont="0" applyFill="0" applyBorder="0" applyAlignment="0" applyProtection="0"/>
    <xf numFmtId="43" fontId="38" fillId="0" borderId="0" applyFont="0" applyFill="0" applyBorder="0" applyAlignment="0" applyProtection="0"/>
    <xf numFmtId="0" fontId="38" fillId="0" borderId="0"/>
    <xf numFmtId="43" fontId="17" fillId="0" borderId="0" applyFont="0" applyFill="0" applyBorder="0" applyAlignment="0" applyProtection="0"/>
    <xf numFmtId="173" fontId="22" fillId="0" borderId="0" applyFont="0" applyFill="0" applyBorder="0" applyAlignment="0" applyProtection="0"/>
    <xf numFmtId="0" fontId="22" fillId="0" borderId="0"/>
    <xf numFmtId="43" fontId="23"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0" fontId="39" fillId="0" borderId="0"/>
    <xf numFmtId="43" fontId="17"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9" fillId="0" borderId="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9" fillId="0" borderId="0"/>
    <xf numFmtId="0" fontId="22" fillId="0" borderId="0"/>
    <xf numFmtId="0" fontId="22" fillId="0" borderId="0"/>
    <xf numFmtId="0" fontId="22" fillId="0" borderId="0"/>
    <xf numFmtId="43" fontId="22" fillId="0" borderId="0" applyFont="0" applyFill="0" applyBorder="0" applyAlignment="0" applyProtection="0"/>
    <xf numFmtId="43" fontId="9" fillId="0" borderId="0" applyFont="0" applyFill="0" applyBorder="0" applyAlignment="0" applyProtection="0"/>
    <xf numFmtId="170" fontId="23" fillId="0" borderId="0"/>
    <xf numFmtId="43" fontId="23" fillId="0" borderId="0" applyFont="0" applyFill="0" applyBorder="0" applyAlignment="0" applyProtection="0"/>
    <xf numFmtId="0" fontId="24" fillId="0" borderId="0"/>
    <xf numFmtId="0" fontId="40" fillId="0" borderId="0" applyNumberForma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38" fillId="0" borderId="0" applyFont="0" applyFill="0" applyBorder="0" applyAlignment="0" applyProtection="0"/>
    <xf numFmtId="43" fontId="17" fillId="0" borderId="0" applyFont="0" applyFill="0" applyBorder="0" applyAlignment="0" applyProtection="0"/>
    <xf numFmtId="43" fontId="23"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17"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3" fillId="0" borderId="0" applyFont="0" applyFill="0" applyBorder="0" applyAlignment="0" applyProtection="0"/>
    <xf numFmtId="0" fontId="24" fillId="0" borderId="0"/>
    <xf numFmtId="0" fontId="24" fillId="0" borderId="0"/>
    <xf numFmtId="0" fontId="41" fillId="0" borderId="0"/>
    <xf numFmtId="43" fontId="22" fillId="0" borderId="0" applyFont="0" applyFill="0" applyBorder="0" applyAlignment="0" applyProtection="0"/>
    <xf numFmtId="0" fontId="22" fillId="0" borderId="0"/>
    <xf numFmtId="0" fontId="38" fillId="0" borderId="0"/>
    <xf numFmtId="43" fontId="38"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3" fontId="22" fillId="0" borderId="0" applyFont="0" applyFill="0" applyBorder="0" applyAlignment="0" applyProtection="0"/>
    <xf numFmtId="0" fontId="22" fillId="0" borderId="0"/>
    <xf numFmtId="173"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0" fontId="9" fillId="0" borderId="0"/>
    <xf numFmtId="43" fontId="22" fillId="0" borderId="0" applyFont="0" applyFill="0" applyBorder="0" applyAlignment="0" applyProtection="0"/>
    <xf numFmtId="43" fontId="9" fillId="0" borderId="0" applyFont="0" applyFill="0" applyBorder="0" applyAlignment="0" applyProtection="0"/>
    <xf numFmtId="0" fontId="44" fillId="18" borderId="0" applyNumberFormat="0" applyBorder="0" applyAlignment="0" applyProtection="0"/>
    <xf numFmtId="0" fontId="22" fillId="0" borderId="0"/>
    <xf numFmtId="43" fontId="22" fillId="0" borderId="0" applyFont="0" applyFill="0" applyBorder="0" applyAlignment="0" applyProtection="0"/>
    <xf numFmtId="175" fontId="22" fillId="0" borderId="0" applyFont="0" applyFill="0" applyBorder="0" applyAlignment="0" applyProtection="0"/>
    <xf numFmtId="174" fontId="4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44" fillId="19" borderId="0" applyNumberFormat="0" applyBorder="0" applyAlignment="0" applyProtection="0"/>
    <xf numFmtId="43" fontId="22" fillId="0" borderId="0" applyFont="0" applyFill="0" applyBorder="0" applyAlignment="0" applyProtection="0"/>
    <xf numFmtId="43" fontId="22" fillId="0" borderId="0" applyFont="0" applyFill="0" applyBorder="0" applyAlignment="0" applyProtection="0"/>
    <xf numFmtId="174" fontId="3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4" fontId="45"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4" fontId="30"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0" fontId="24"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43" fontId="22" fillId="0" borderId="0" applyFont="0" applyFill="0" applyBorder="0" applyAlignment="0" applyProtection="0"/>
    <xf numFmtId="43" fontId="9"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0" fontId="22" fillId="0" borderId="0"/>
    <xf numFmtId="0" fontId="38" fillId="0" borderId="0"/>
    <xf numFmtId="0" fontId="9" fillId="0" borderId="0"/>
    <xf numFmtId="0" fontId="9" fillId="0" borderId="0"/>
    <xf numFmtId="0" fontId="22" fillId="0" borderId="0"/>
    <xf numFmtId="0" fontId="22"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2" fillId="0" borderId="0"/>
    <xf numFmtId="0" fontId="22" fillId="0" borderId="0"/>
    <xf numFmtId="0" fontId="22" fillId="0" borderId="0"/>
    <xf numFmtId="0" fontId="9" fillId="0" borderId="0"/>
    <xf numFmtId="0" fontId="22" fillId="0" borderId="0"/>
    <xf numFmtId="0" fontId="9" fillId="0" borderId="0"/>
    <xf numFmtId="0" fontId="22" fillId="0" borderId="0"/>
    <xf numFmtId="0" fontId="17" fillId="0" borderId="0"/>
    <xf numFmtId="0" fontId="22" fillId="0" borderId="0"/>
    <xf numFmtId="0" fontId="17" fillId="0" borderId="0">
      <alignment vertical="center"/>
    </xf>
    <xf numFmtId="0" fontId="22" fillId="0" borderId="0"/>
    <xf numFmtId="0" fontId="9" fillId="0" borderId="0"/>
    <xf numFmtId="0" fontId="9" fillId="0" borderId="0"/>
    <xf numFmtId="0" fontId="22" fillId="0" borderId="0"/>
    <xf numFmtId="0" fontId="22" fillId="0" borderId="0"/>
    <xf numFmtId="0" fontId="22" fillId="0" borderId="0"/>
    <xf numFmtId="0" fontId="17" fillId="0" borderId="0"/>
    <xf numFmtId="0" fontId="9" fillId="0" borderId="0"/>
    <xf numFmtId="0" fontId="22" fillId="0" borderId="0"/>
    <xf numFmtId="0" fontId="45" fillId="0" borderId="0"/>
    <xf numFmtId="0" fontId="22" fillId="0" borderId="0"/>
    <xf numFmtId="0" fontId="24" fillId="0" borderId="0"/>
    <xf numFmtId="0" fontId="9" fillId="0" borderId="0"/>
    <xf numFmtId="0" fontId="45" fillId="0" borderId="0"/>
    <xf numFmtId="0" fontId="9" fillId="0" borderId="0"/>
    <xf numFmtId="0" fontId="24" fillId="0" borderId="0"/>
    <xf numFmtId="0" fontId="2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24" fillId="0" borderId="0" applyFont="0" applyFill="0" applyBorder="0" applyAlignment="0" applyProtection="0"/>
    <xf numFmtId="9" fontId="22" fillId="0" borderId="0" applyFont="0" applyFill="0" applyBorder="0" applyAlignment="0" applyProtection="0"/>
    <xf numFmtId="9" fontId="24" fillId="0" borderId="0" applyFont="0" applyFill="0" applyBorder="0" applyAlignment="0" applyProtection="0"/>
    <xf numFmtId="43" fontId="22" fillId="0" borderId="0" applyFont="0" applyFill="0" applyBorder="0" applyAlignment="0" applyProtection="0"/>
    <xf numFmtId="0" fontId="41" fillId="0" borderId="0"/>
    <xf numFmtId="43" fontId="22" fillId="0" borderId="0" applyFont="0" applyFill="0" applyBorder="0" applyAlignment="0" applyProtection="0"/>
    <xf numFmtId="0" fontId="26" fillId="0" borderId="0"/>
    <xf numFmtId="0" fontId="9" fillId="0" borderId="0"/>
    <xf numFmtId="0" fontId="22" fillId="0" borderId="0"/>
    <xf numFmtId="43" fontId="9" fillId="0" borderId="0" applyFont="0" applyFill="0" applyBorder="0" applyAlignment="0" applyProtection="0"/>
    <xf numFmtId="0" fontId="46" fillId="0" borderId="0"/>
    <xf numFmtId="0" fontId="22" fillId="0" borderId="0"/>
    <xf numFmtId="165" fontId="22" fillId="0" borderId="0" applyFont="0" applyFill="0" applyBorder="0" applyAlignment="0" applyProtection="0"/>
    <xf numFmtId="43" fontId="22"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43" fontId="17" fillId="0" borderId="0">
      <alignment vertical="top"/>
      <protection locked="0"/>
    </xf>
    <xf numFmtId="43" fontId="23" fillId="0" borderId="0">
      <alignment vertical="top"/>
      <protection locked="0"/>
    </xf>
    <xf numFmtId="43" fontId="38"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22" fillId="0" borderId="0">
      <alignment vertical="top"/>
      <protection locked="0"/>
    </xf>
    <xf numFmtId="43" fontId="50" fillId="0" borderId="0" applyFont="0" applyFill="0" applyBorder="0" applyAlignment="0" applyProtection="0">
      <alignment vertical="center"/>
    </xf>
    <xf numFmtId="43" fontId="9" fillId="0" borderId="0" applyFont="0" applyFill="0" applyBorder="0" applyAlignment="0" applyProtection="0"/>
    <xf numFmtId="0" fontId="48" fillId="7" borderId="0" applyNumberFormat="0" applyBorder="0" applyAlignment="0" applyProtection="0"/>
    <xf numFmtId="0" fontId="22" fillId="0" borderId="0">
      <alignment vertical="center"/>
    </xf>
    <xf numFmtId="0" fontId="9" fillId="0" borderId="0"/>
    <xf numFmtId="0" fontId="22" fillId="0" borderId="0">
      <alignment vertical="center"/>
    </xf>
    <xf numFmtId="0" fontId="22" fillId="0" borderId="0"/>
    <xf numFmtId="0" fontId="49" fillId="0" borderId="0">
      <alignment vertical="center"/>
    </xf>
    <xf numFmtId="9" fontId="23" fillId="0" borderId="0">
      <alignment vertical="top"/>
      <protection locked="0"/>
    </xf>
    <xf numFmtId="43" fontId="38" fillId="0" borderId="0">
      <alignment vertical="top"/>
      <protection locked="0"/>
    </xf>
    <xf numFmtId="0" fontId="46" fillId="0" borderId="0"/>
    <xf numFmtId="0" fontId="23" fillId="0" borderId="0">
      <protection locked="0"/>
    </xf>
    <xf numFmtId="0" fontId="23" fillId="0" borderId="0">
      <protection locked="0"/>
    </xf>
    <xf numFmtId="0" fontId="23" fillId="0" borderId="0">
      <protection locked="0"/>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0" fillId="0" borderId="0" applyFont="0" applyFill="0" applyBorder="0" applyAlignment="0" applyProtection="0">
      <alignment vertical="center"/>
    </xf>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23" fillId="0" borderId="0">
      <alignment vertical="top"/>
      <protection locked="0"/>
    </xf>
    <xf numFmtId="43" fontId="38"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22" fillId="0" borderId="0">
      <alignment vertical="top"/>
      <protection locked="0"/>
    </xf>
    <xf numFmtId="43" fontId="38"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0" fillId="0" borderId="0" applyFont="0" applyFill="0" applyBorder="0" applyAlignment="0" applyProtection="0">
      <alignment vertical="center"/>
    </xf>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6" fillId="0" borderId="0"/>
    <xf numFmtId="0" fontId="82" fillId="0" borderId="0"/>
    <xf numFmtId="43" fontId="22" fillId="0" borderId="0" applyFont="0" applyFill="0" applyBorder="0" applyAlignment="0" applyProtection="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43" fontId="22" fillId="0" borderId="0" applyFont="0" applyFill="0" applyBorder="0" applyAlignment="0" applyProtection="0"/>
    <xf numFmtId="0" fontId="41" fillId="0" borderId="0"/>
    <xf numFmtId="0" fontId="26" fillId="0" borderId="0"/>
    <xf numFmtId="0" fontId="26" fillId="0" borderId="0"/>
    <xf numFmtId="0" fontId="26" fillId="0" borderId="0"/>
    <xf numFmtId="0" fontId="26"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22" fillId="0" borderId="0"/>
    <xf numFmtId="0" fontId="22" fillId="0" borderId="0"/>
    <xf numFmtId="43" fontId="22" fillId="0" borderId="0" applyFont="0" applyFill="0" applyBorder="0" applyAlignment="0" applyProtection="0"/>
    <xf numFmtId="0" fontId="5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26"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26" fillId="0" borderId="0"/>
    <xf numFmtId="0" fontId="41" fillId="0" borderId="0"/>
    <xf numFmtId="0" fontId="41" fillId="0" borderId="0"/>
    <xf numFmtId="0" fontId="41" fillId="0" borderId="0"/>
    <xf numFmtId="0" fontId="41" fillId="0" borderId="0"/>
    <xf numFmtId="0" fontId="41" fillId="0" borderId="0"/>
    <xf numFmtId="0" fontId="26" fillId="0" borderId="0"/>
    <xf numFmtId="0" fontId="41" fillId="0" borderId="0"/>
    <xf numFmtId="0" fontId="41" fillId="0" borderId="0"/>
    <xf numFmtId="0" fontId="41" fillId="0" borderId="0"/>
    <xf numFmtId="0" fontId="26" fillId="0" borderId="0"/>
    <xf numFmtId="0" fontId="26" fillId="0" borderId="0"/>
    <xf numFmtId="0" fontId="41" fillId="0" borderId="0"/>
    <xf numFmtId="0" fontId="41" fillId="0" borderId="0"/>
    <xf numFmtId="0" fontId="41" fillId="0" borderId="0"/>
    <xf numFmtId="0" fontId="41" fillId="0" borderId="0"/>
    <xf numFmtId="0" fontId="41" fillId="0" borderId="0"/>
    <xf numFmtId="0" fontId="26" fillId="0" borderId="0"/>
    <xf numFmtId="0" fontId="41" fillId="0" borderId="0"/>
    <xf numFmtId="179" fontId="26" fillId="0" borderId="0"/>
    <xf numFmtId="0" fontId="41" fillId="0" borderId="0"/>
    <xf numFmtId="0" fontId="41" fillId="0" borderId="0"/>
    <xf numFmtId="0" fontId="41" fillId="0" borderId="0"/>
    <xf numFmtId="0" fontId="41" fillId="0" borderId="0"/>
    <xf numFmtId="0" fontId="41" fillId="0" borderId="0"/>
    <xf numFmtId="0" fontId="90" fillId="0" borderId="0" applyFont="0" applyFill="0" applyBorder="0" applyAlignment="0" applyProtection="0"/>
    <xf numFmtId="0" fontId="90" fillId="0" borderId="0" applyFont="0" applyFill="0" applyBorder="0" applyAlignment="0" applyProtection="0"/>
    <xf numFmtId="0" fontId="92" fillId="0" borderId="0"/>
    <xf numFmtId="0" fontId="53" fillId="0" borderId="0"/>
    <xf numFmtId="0" fontId="17" fillId="20" borderId="0" applyNumberFormat="0" applyBorder="0" applyAlignment="0" applyProtection="0"/>
    <xf numFmtId="0" fontId="17" fillId="21" borderId="0" applyNumberFormat="0" applyBorder="0" applyAlignment="0" applyProtection="0"/>
    <xf numFmtId="0" fontId="9" fillId="21" borderId="0" applyNumberFormat="0" applyBorder="0" applyAlignment="0" applyProtection="0"/>
    <xf numFmtId="0" fontId="17" fillId="4" borderId="0" applyNumberFormat="0" applyBorder="0" applyAlignment="0" applyProtection="0"/>
    <xf numFmtId="0" fontId="9" fillId="4" borderId="0" applyNumberFormat="0" applyBorder="0" applyAlignment="0" applyProtection="0"/>
    <xf numFmtId="0" fontId="17" fillId="17" borderId="0" applyNumberFormat="0" applyBorder="0" applyAlignment="0" applyProtection="0"/>
    <xf numFmtId="0" fontId="17" fillId="3" borderId="0" applyNumberFormat="0" applyBorder="0" applyAlignment="0" applyProtection="0"/>
    <xf numFmtId="0" fontId="17"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7" fillId="26" borderId="0" applyNumberFormat="0" applyBorder="0" applyAlignment="0" applyProtection="0"/>
    <xf numFmtId="0" fontId="17" fillId="17" borderId="0" applyNumberFormat="0" applyBorder="0" applyAlignment="0" applyProtection="0"/>
    <xf numFmtId="0" fontId="17" fillId="24" borderId="0" applyNumberFormat="0" applyBorder="0" applyAlignment="0" applyProtection="0"/>
    <xf numFmtId="0" fontId="17" fillId="27" borderId="0" applyNumberFormat="0" applyBorder="0" applyAlignment="0" applyProtection="0"/>
    <xf numFmtId="0" fontId="44" fillId="28" borderId="0" applyNumberFormat="0" applyBorder="0" applyAlignment="0" applyProtection="0"/>
    <xf numFmtId="0" fontId="44" fillId="25" borderId="0" applyNumberFormat="0" applyBorder="0" applyAlignment="0" applyProtection="0"/>
    <xf numFmtId="0" fontId="44" fillId="26" borderId="0" applyNumberFormat="0" applyBorder="0" applyAlignment="0" applyProtection="0"/>
    <xf numFmtId="0" fontId="44" fillId="29" borderId="0" applyNumberFormat="0" applyBorder="0" applyAlignment="0" applyProtection="0"/>
    <xf numFmtId="0" fontId="44" fillId="30" borderId="0" applyNumberFormat="0" applyBorder="0" applyAlignment="0" applyProtection="0"/>
    <xf numFmtId="0" fontId="37" fillId="43" borderId="0" applyNumberFormat="0" applyBorder="0" applyAlignment="0" applyProtection="0"/>
    <xf numFmtId="0" fontId="44" fillId="31" borderId="0" applyNumberFormat="0" applyBorder="0" applyAlignment="0" applyProtection="0"/>
    <xf numFmtId="0" fontId="37" fillId="31" borderId="0" applyNumberFormat="0" applyBorder="0" applyAlignment="0" applyProtection="0"/>
    <xf numFmtId="9" fontId="85" fillId="0" borderId="0"/>
    <xf numFmtId="0" fontId="22" fillId="0" borderId="0"/>
    <xf numFmtId="0" fontId="44" fillId="5" borderId="0" applyNumberFormat="0" applyBorder="0" applyAlignment="0" applyProtection="0"/>
    <xf numFmtId="0" fontId="44" fillId="18" borderId="0" applyNumberFormat="0" applyBorder="0" applyAlignment="0" applyProtection="0"/>
    <xf numFmtId="0" fontId="44" fillId="32" borderId="0" applyNumberFormat="0" applyBorder="0" applyAlignment="0" applyProtection="0"/>
    <xf numFmtId="0" fontId="44" fillId="29" borderId="0" applyNumberFormat="0" applyBorder="0" applyAlignment="0" applyProtection="0"/>
    <xf numFmtId="0" fontId="44" fillId="30" borderId="0" applyNumberFormat="0" applyBorder="0" applyAlignment="0" applyProtection="0"/>
    <xf numFmtId="0" fontId="44" fillId="19" borderId="0" applyNumberFormat="0" applyBorder="0" applyAlignment="0" applyProtection="0"/>
    <xf numFmtId="0" fontId="44" fillId="33" borderId="0" applyNumberFormat="0" applyBorder="0" applyAlignment="0" applyProtection="0"/>
    <xf numFmtId="198" fontId="85" fillId="0" borderId="0" applyFont="0" applyFill="0" applyBorder="0" applyAlignment="0" applyProtection="0"/>
    <xf numFmtId="0" fontId="85" fillId="0" borderId="0" applyFont="0" applyFill="0" applyBorder="0" applyAlignment="0" applyProtection="0"/>
    <xf numFmtId="0" fontId="86" fillId="0" borderId="0">
      <alignment horizontal="justify" vertical="top" wrapText="1"/>
    </xf>
    <xf numFmtId="0" fontId="41" fillId="0" borderId="0"/>
    <xf numFmtId="0" fontId="41" fillId="0" borderId="0"/>
    <xf numFmtId="0" fontId="22" fillId="0" borderId="0" applyFill="0" applyBorder="0">
      <alignment vertical="center"/>
    </xf>
    <xf numFmtId="172" fontId="53" fillId="0" borderId="0" applyFont="0" applyFill="0" applyBorder="0" applyAlignment="0" applyProtection="0"/>
    <xf numFmtId="0" fontId="85" fillId="0" borderId="0" applyFont="0" applyFill="0" applyBorder="0" applyAlignment="0" applyProtection="0"/>
    <xf numFmtId="172" fontId="53" fillId="0" borderId="5">
      <protection locked="0"/>
    </xf>
    <xf numFmtId="0" fontId="54" fillId="21" borderId="0" applyNumberFormat="0" applyBorder="0" applyAlignment="0" applyProtection="0"/>
    <xf numFmtId="0" fontId="95" fillId="0" borderId="0" applyNumberFormat="0" applyFill="0" applyBorder="0" applyAlignment="0" applyProtection="0"/>
    <xf numFmtId="0" fontId="94" fillId="0" borderId="0"/>
    <xf numFmtId="192" fontId="29" fillId="0" borderId="0" applyFill="0" applyBorder="0" applyAlignment="0"/>
    <xf numFmtId="172" fontId="80" fillId="0" borderId="0" applyFill="0" applyBorder="0" applyAlignment="0"/>
    <xf numFmtId="204" fontId="80" fillId="0" borderId="0" applyFill="0" applyBorder="0" applyAlignment="0"/>
    <xf numFmtId="197" fontId="75" fillId="0" borderId="0" applyFill="0" applyBorder="0" applyAlignment="0"/>
    <xf numFmtId="176" fontId="75" fillId="0" borderId="0" applyFill="0" applyBorder="0" applyAlignment="0"/>
    <xf numFmtId="202" fontId="22" fillId="0" borderId="0" applyFill="0" applyBorder="0" applyAlignment="0"/>
    <xf numFmtId="195" fontId="22" fillId="0" borderId="0" applyFill="0" applyBorder="0" applyAlignment="0"/>
    <xf numFmtId="172" fontId="80" fillId="0" borderId="0" applyFill="0" applyBorder="0" applyAlignment="0"/>
    <xf numFmtId="0" fontId="55" fillId="16" borderId="18" applyNumberFormat="0" applyAlignment="0" applyProtection="0"/>
    <xf numFmtId="0" fontId="55" fillId="34" borderId="18" applyNumberFormat="0" applyAlignment="0" applyProtection="0"/>
    <xf numFmtId="0" fontId="55" fillId="34" borderId="18" applyNumberFormat="0" applyAlignment="0" applyProtection="0"/>
    <xf numFmtId="0" fontId="36" fillId="44" borderId="15" applyNumberFormat="0" applyAlignment="0" applyProtection="0"/>
    <xf numFmtId="0" fontId="55" fillId="16" borderId="18" applyNumberFormat="0" applyAlignment="0" applyProtection="0"/>
    <xf numFmtId="0" fontId="55" fillId="16" borderId="18" applyNumberFormat="0" applyAlignment="0" applyProtection="0"/>
    <xf numFmtId="0" fontId="56" fillId="35" borderId="19" applyNumberFormat="0" applyAlignment="0" applyProtection="0"/>
    <xf numFmtId="0" fontId="21" fillId="9" borderId="16" applyNumberFormat="0" applyAlignment="0" applyProtection="0"/>
    <xf numFmtId="43" fontId="9"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196" fontId="22" fillId="0" borderId="0" applyFill="0" applyBorder="0" applyAlignment="0" applyProtection="0"/>
    <xf numFmtId="202" fontId="22" fillId="0" borderId="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208" fontId="22" fillId="0" borderId="0" applyFont="0" applyFill="0" applyBorder="0" applyAlignment="0" applyProtection="0"/>
    <xf numFmtId="43" fontId="9" fillId="0" borderId="0" applyFont="0" applyFill="0" applyBorder="0" applyAlignment="0" applyProtection="0"/>
    <xf numFmtId="173" fontId="22" fillId="0" borderId="0" applyFont="0" applyFill="0" applyBorder="0" applyAlignment="0" applyProtection="0"/>
    <xf numFmtId="43" fontId="22" fillId="0" borderId="0" applyFont="0" applyFill="0" applyBorder="0" applyAlignment="0" applyProtection="0"/>
    <xf numFmtId="43" fontId="17" fillId="0" borderId="0">
      <alignment vertical="top"/>
      <protection locked="0"/>
    </xf>
    <xf numFmtId="43" fontId="17" fillId="0" borderId="0">
      <alignment vertical="top"/>
      <protection locked="0"/>
    </xf>
    <xf numFmtId="0" fontId="9" fillId="0" borderId="0" applyFont="0" applyFill="0" applyBorder="0" applyAlignment="0" applyProtection="0"/>
    <xf numFmtId="0" fontId="9" fillId="0" borderId="0" applyFont="0" applyFill="0" applyBorder="0" applyAlignment="0" applyProtection="0"/>
    <xf numFmtId="43" fontId="23" fillId="0" borderId="0">
      <alignment vertical="top"/>
      <protection locked="0"/>
    </xf>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4" fontId="17"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93" fontId="22" fillId="0" borderId="0" applyFill="0" applyBorder="0" applyAlignment="0" applyProtection="0"/>
    <xf numFmtId="177" fontId="22" fillId="0" borderId="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3"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174" fontId="22"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177" fontId="22" fillId="0" borderId="0" applyFill="0" applyBorder="0" applyAlignment="0" applyProtection="0"/>
    <xf numFmtId="173" fontId="22" fillId="0" borderId="0" applyFont="0" applyFill="0" applyBorder="0" applyAlignment="0" applyProtection="0"/>
    <xf numFmtId="0"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38" fillId="0" borderId="0">
      <alignment vertical="top"/>
      <protection locked="0"/>
    </xf>
    <xf numFmtId="43" fontId="22" fillId="0" borderId="0" applyFont="0" applyFill="0" applyBorder="0" applyAlignment="0" applyProtection="0"/>
    <xf numFmtId="0" fontId="17"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43" fontId="9" fillId="0" borderId="0" applyFont="0" applyFill="0" applyBorder="0" applyAlignment="0" applyProtection="0"/>
    <xf numFmtId="209" fontId="22" fillId="0" borderId="0" applyFont="0" applyFill="0" applyBorder="0" applyAlignment="0" applyProtection="0"/>
    <xf numFmtId="43" fontId="22" fillId="0" borderId="0" applyFont="0" applyFill="0" applyBorder="0" applyAlignment="0" applyProtection="0"/>
    <xf numFmtId="40" fontId="9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17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174" fontId="9" fillId="0" borderId="0" applyFont="0" applyFill="0" applyBorder="0" applyAlignment="0" applyProtection="0"/>
    <xf numFmtId="43" fontId="9" fillId="0" borderId="0" applyFont="0" applyFill="0" applyBorder="0" applyAlignment="0" applyProtection="0"/>
    <xf numFmtId="174" fontId="22" fillId="0" borderId="0" applyFont="0" applyFill="0" applyBorder="0" applyAlignment="0" applyProtection="0"/>
    <xf numFmtId="43" fontId="22" fillId="0" borderId="0">
      <alignment vertical="top"/>
      <protection locked="0"/>
    </xf>
    <xf numFmtId="0" fontId="22" fillId="0" borderId="0" applyFont="0" applyFill="0" applyBorder="0" applyAlignment="0" applyProtection="0"/>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77" fontId="22" fillId="0" borderId="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3" fontId="22" fillId="0" borderId="0" applyFont="0" applyFill="0" applyBorder="0" applyAlignment="0" applyProtection="0"/>
    <xf numFmtId="43" fontId="9" fillId="0" borderId="0" applyFont="0" applyFill="0" applyBorder="0" applyAlignment="0" applyProtection="0"/>
    <xf numFmtId="43" fontId="24" fillId="0" borderId="0" applyFont="0" applyFill="0" applyBorder="0" applyAlignment="0" applyProtection="0"/>
    <xf numFmtId="164" fontId="38"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17" fillId="0" borderId="0" applyFont="0" applyFill="0" applyBorder="0" applyAlignment="0" applyProtection="0"/>
    <xf numFmtId="43" fontId="22"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43" fontId="38"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7" fontId="22" fillId="0" borderId="0" applyFill="0" applyBorder="0" applyAlignment="0" applyProtection="0"/>
    <xf numFmtId="0" fontId="26" fillId="0" borderId="0" applyFont="0" applyFill="0" applyAlignment="0" applyProtection="0"/>
    <xf numFmtId="43" fontId="9" fillId="0" borderId="0" applyFont="0" applyFill="0" applyBorder="0" applyAlignment="0" applyProtection="0"/>
    <xf numFmtId="43" fontId="24" fillId="0" borderId="0" applyFont="0" applyFill="0" applyBorder="0" applyAlignment="0" applyProtection="0"/>
    <xf numFmtId="43" fontId="22" fillId="0" borderId="0" applyFont="0" applyFill="0" applyBorder="0" applyAlignment="0" applyProtection="0"/>
    <xf numFmtId="173" fontId="22" fillId="0" borderId="0" applyFont="0" applyFill="0" applyBorder="0" applyAlignment="0" applyProtection="0"/>
    <xf numFmtId="173" fontId="22" fillId="0" borderId="0" applyFont="0" applyFill="0" applyBorder="0" applyAlignment="0" applyProtection="0"/>
    <xf numFmtId="173" fontId="22" fillId="0" borderId="0" applyFont="0" applyFill="0" applyBorder="0" applyAlignment="0" applyProtection="0"/>
    <xf numFmtId="17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82"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8"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80" fontId="53" fillId="0" borderId="0"/>
    <xf numFmtId="211" fontId="76" fillId="0" borderId="0">
      <protection locked="0"/>
    </xf>
    <xf numFmtId="0" fontId="98" fillId="0" borderId="0" applyNumberFormat="0" applyAlignment="0">
      <alignment horizontal="left"/>
    </xf>
    <xf numFmtId="172" fontId="106" fillId="0" borderId="10" applyNumberFormat="0" applyBorder="0" applyAlignment="0" applyProtection="0">
      <protection locked="0"/>
    </xf>
    <xf numFmtId="172" fontId="22" fillId="0" borderId="0" applyFill="0" applyBorder="0" applyAlignment="0" applyProtection="0"/>
    <xf numFmtId="165" fontId="22" fillId="0" borderId="0" applyFont="0" applyFill="0" applyBorder="0" applyAlignment="0" applyProtection="0"/>
    <xf numFmtId="184" fontId="22" fillId="0" borderId="0" applyFont="0" applyFill="0" applyBorder="0" applyAlignment="0" applyProtection="0"/>
    <xf numFmtId="165" fontId="22" fillId="0" borderId="0" applyFont="0" applyFill="0" applyBorder="0" applyAlignment="0" applyProtection="0"/>
    <xf numFmtId="44" fontId="24" fillId="0" borderId="0" applyFont="0" applyFill="0" applyBorder="0" applyAlignment="0" applyProtection="0"/>
    <xf numFmtId="165" fontId="22" fillId="0" borderId="0" applyFont="0" applyFill="0" applyBorder="0" applyAlignment="0" applyProtection="0"/>
    <xf numFmtId="181" fontId="76" fillId="0" borderId="0">
      <protection locked="0"/>
    </xf>
    <xf numFmtId="183" fontId="53" fillId="0" borderId="0"/>
    <xf numFmtId="0" fontId="25" fillId="0" borderId="0" applyProtection="0"/>
    <xf numFmtId="14" fontId="29" fillId="0" borderId="0" applyFill="0" applyBorder="0" applyAlignment="0"/>
    <xf numFmtId="0" fontId="25" fillId="0" borderId="0" applyProtection="0"/>
    <xf numFmtId="185" fontId="22" fillId="0" borderId="20">
      <alignment vertical="center"/>
    </xf>
    <xf numFmtId="168" fontId="53" fillId="0" borderId="0"/>
    <xf numFmtId="202" fontId="22" fillId="0" borderId="0" applyFill="0" applyBorder="0" applyAlignment="0"/>
    <xf numFmtId="172" fontId="80" fillId="0" borderId="0" applyFill="0" applyBorder="0" applyAlignment="0"/>
    <xf numFmtId="202" fontId="22" fillId="0" borderId="0" applyFill="0" applyBorder="0" applyAlignment="0"/>
    <xf numFmtId="195" fontId="22" fillId="0" borderId="0" applyFill="0" applyBorder="0" applyAlignment="0"/>
    <xf numFmtId="172" fontId="80" fillId="0" borderId="0" applyFill="0" applyBorder="0" applyAlignment="0"/>
    <xf numFmtId="0" fontId="88" fillId="0" borderId="0" applyNumberFormat="0" applyAlignment="0">
      <alignment horizontal="left"/>
    </xf>
    <xf numFmtId="194" fontId="22" fillId="0" borderId="0" applyFont="0" applyFill="0" applyBorder="0" applyAlignment="0" applyProtection="0"/>
    <xf numFmtId="194" fontId="22" fillId="0" borderId="0" applyFont="0" applyFill="0" applyBorder="0" applyAlignment="0" applyProtection="0"/>
    <xf numFmtId="194" fontId="26" fillId="0" borderId="0" applyFont="0" applyFill="0" applyBorder="0" applyAlignment="0" applyProtection="0"/>
    <xf numFmtId="194" fontId="22" fillId="0" borderId="0" applyFont="0" applyFill="0" applyBorder="0" applyAlignment="0" applyProtection="0"/>
    <xf numFmtId="0" fontId="22" fillId="0" borderId="0"/>
    <xf numFmtId="0" fontId="22" fillId="0" borderId="0"/>
    <xf numFmtId="0" fontId="57" fillId="0" borderId="0" applyNumberFormat="0" applyFill="0" applyBorder="0" applyAlignment="0" applyProtection="0"/>
    <xf numFmtId="0" fontId="78" fillId="0" borderId="0">
      <protection locked="0"/>
    </xf>
    <xf numFmtId="0" fontId="78" fillId="0" borderId="0">
      <protection locked="0"/>
    </xf>
    <xf numFmtId="0" fontId="81" fillId="0" borderId="0">
      <protection locked="0"/>
    </xf>
    <xf numFmtId="0" fontId="78" fillId="0" borderId="0">
      <protection locked="0"/>
    </xf>
    <xf numFmtId="0" fontId="78" fillId="0" borderId="0">
      <protection locked="0"/>
    </xf>
    <xf numFmtId="0" fontId="78" fillId="0" borderId="0">
      <protection locked="0"/>
    </xf>
    <xf numFmtId="0" fontId="81" fillId="0" borderId="0">
      <protection locked="0"/>
    </xf>
    <xf numFmtId="2" fontId="25" fillId="0" borderId="0" applyProtection="0"/>
    <xf numFmtId="0" fontId="53" fillId="0" borderId="2" applyNumberFormat="0" applyFill="0" applyBorder="0" applyAlignment="0" applyProtection="0">
      <protection locked="0"/>
    </xf>
    <xf numFmtId="209" fontId="104" fillId="0" borderId="9">
      <alignment horizontal="right"/>
    </xf>
    <xf numFmtId="0" fontId="58" fillId="4" borderId="0" applyNumberFormat="0" applyBorder="0" applyAlignment="0" applyProtection="0"/>
    <xf numFmtId="0" fontId="35" fillId="45" borderId="0" applyNumberFormat="0" applyBorder="0" applyAlignment="0" applyProtection="0"/>
    <xf numFmtId="38" fontId="73" fillId="16" borderId="0" applyNumberFormat="0" applyBorder="0" applyAlignment="0" applyProtection="0"/>
    <xf numFmtId="0" fontId="27" fillId="0" borderId="1" applyNumberFormat="0" applyAlignment="0" applyProtection="0">
      <alignment horizontal="left" vertical="center"/>
    </xf>
    <xf numFmtId="0" fontId="27" fillId="0" borderId="12">
      <alignment horizontal="left" vertical="center"/>
    </xf>
    <xf numFmtId="0" fontId="59" fillId="0" borderId="21" applyNumberFormat="0" applyFill="0" applyAlignment="0" applyProtection="0"/>
    <xf numFmtId="0" fontId="60" fillId="0" borderId="22" applyNumberFormat="0" applyFill="0" applyAlignment="0" applyProtection="0"/>
    <xf numFmtId="0" fontId="61" fillId="0" borderId="23" applyNumberFormat="0" applyFill="0" applyAlignment="0" applyProtection="0"/>
    <xf numFmtId="0" fontId="61" fillId="0" borderId="0" applyNumberFormat="0" applyFill="0" applyBorder="0" applyAlignment="0" applyProtection="0"/>
    <xf numFmtId="0" fontId="34" fillId="0" borderId="0" applyNumberFormat="0" applyFill="0" applyBorder="0" applyAlignment="0" applyProtection="0"/>
    <xf numFmtId="0" fontId="47" fillId="0" borderId="0" applyProtection="0"/>
    <xf numFmtId="0" fontId="27" fillId="0" borderId="0" applyProtection="0"/>
    <xf numFmtId="0" fontId="71" fillId="0" borderId="0" applyNumberFormat="0" applyFill="0" applyBorder="0" applyAlignment="0" applyProtection="0">
      <alignment vertical="top"/>
      <protection locked="0"/>
    </xf>
    <xf numFmtId="0" fontId="113" fillId="0" borderId="0" applyNumberFormat="0" applyFill="0" applyBorder="0" applyAlignment="0" applyProtection="0">
      <alignment vertical="top"/>
      <protection locked="0"/>
    </xf>
    <xf numFmtId="0" fontId="72" fillId="0" borderId="0" applyNumberFormat="0" applyFill="0" applyBorder="0" applyAlignment="0" applyProtection="0">
      <alignment vertical="top"/>
      <protection locked="0"/>
    </xf>
    <xf numFmtId="0" fontId="107" fillId="0" borderId="0" applyNumberFormat="0" applyFill="0" applyBorder="0" applyAlignment="0" applyProtection="0">
      <alignment vertical="top"/>
      <protection locked="0"/>
    </xf>
    <xf numFmtId="188" fontId="22" fillId="0" borderId="0" applyProtection="0">
      <alignment horizontal="center"/>
    </xf>
    <xf numFmtId="10" fontId="73" fillId="36" borderId="14" applyNumberFormat="0" applyBorder="0" applyAlignment="0" applyProtection="0"/>
    <xf numFmtId="0" fontId="62" fillId="23" borderId="18" applyNumberFormat="0" applyAlignment="0" applyProtection="0"/>
    <xf numFmtId="0" fontId="62" fillId="22" borderId="18" applyNumberFormat="0" applyAlignment="0" applyProtection="0"/>
    <xf numFmtId="0" fontId="62" fillId="22" borderId="18" applyNumberFormat="0" applyAlignment="0" applyProtection="0"/>
    <xf numFmtId="0" fontId="62" fillId="23" borderId="18" applyNumberFormat="0" applyAlignment="0" applyProtection="0"/>
    <xf numFmtId="0" fontId="62" fillId="23" borderId="18" applyNumberFormat="0" applyAlignment="0" applyProtection="0"/>
    <xf numFmtId="202" fontId="22" fillId="0" borderId="0" applyFill="0" applyBorder="0" applyAlignment="0"/>
    <xf numFmtId="172" fontId="80" fillId="0" borderId="0" applyFill="0" applyBorder="0" applyAlignment="0"/>
    <xf numFmtId="202" fontId="22" fillId="0" borderId="0" applyFill="0" applyBorder="0" applyAlignment="0"/>
    <xf numFmtId="195" fontId="22" fillId="0" borderId="0" applyFill="0" applyBorder="0" applyAlignment="0"/>
    <xf numFmtId="172" fontId="80" fillId="0" borderId="0" applyFill="0" applyBorder="0" applyAlignment="0"/>
    <xf numFmtId="0" fontId="63" fillId="0" borderId="24" applyNumberFormat="0" applyFill="0" applyAlignment="0" applyProtection="0"/>
    <xf numFmtId="172" fontId="87" fillId="37" borderId="0"/>
    <xf numFmtId="189" fontId="22" fillId="0" borderId="0" applyFont="0" applyFill="0" applyBorder="0" applyAlignment="0" applyProtection="0"/>
    <xf numFmtId="210" fontId="22" fillId="0" borderId="0" applyFont="0" applyFill="0" applyBorder="0" applyAlignment="0" applyProtection="0"/>
    <xf numFmtId="199" fontId="22" fillId="0" borderId="0" applyFont="0" applyFill="0" applyBorder="0" applyAlignment="0" applyProtection="0"/>
    <xf numFmtId="205" fontId="22" fillId="0" borderId="0" applyFont="0" applyFill="0" applyBorder="0" applyAlignment="0" applyProtection="0"/>
    <xf numFmtId="0" fontId="64" fillId="38" borderId="0" applyNumberFormat="0" applyBorder="0" applyAlignment="0" applyProtection="0"/>
    <xf numFmtId="0" fontId="39" fillId="0" borderId="0">
      <alignment horizontal="justify" vertical="top" wrapText="1"/>
    </xf>
    <xf numFmtId="37" fontId="77" fillId="0" borderId="0"/>
    <xf numFmtId="0" fontId="22" fillId="0" borderId="0"/>
    <xf numFmtId="43"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9" fillId="0" borderId="0"/>
    <xf numFmtId="0" fontId="24" fillId="0" borderId="0"/>
    <xf numFmtId="0" fontId="22" fillId="0" borderId="0"/>
    <xf numFmtId="0" fontId="9" fillId="0" borderId="0"/>
    <xf numFmtId="0" fontId="24" fillId="0" borderId="0"/>
    <xf numFmtId="0" fontId="9" fillId="0" borderId="0"/>
    <xf numFmtId="0" fontId="22" fillId="0" borderId="0"/>
    <xf numFmtId="0" fontId="24" fillId="0" borderId="0"/>
    <xf numFmtId="0" fontId="9" fillId="0" borderId="0"/>
    <xf numFmtId="0" fontId="22" fillId="0" borderId="0"/>
    <xf numFmtId="0" fontId="9" fillId="0" borderId="0"/>
    <xf numFmtId="0" fontId="22" fillId="0" borderId="0"/>
    <xf numFmtId="0" fontId="22" fillId="0" borderId="0"/>
    <xf numFmtId="0" fontId="9" fillId="0" borderId="0"/>
    <xf numFmtId="0" fontId="22" fillId="0" borderId="0"/>
    <xf numFmtId="0" fontId="22" fillId="0" borderId="0"/>
    <xf numFmtId="0" fontId="22" fillId="0" borderId="0"/>
    <xf numFmtId="191" fontId="22" fillId="0" borderId="0"/>
    <xf numFmtId="0" fontId="22" fillId="0" borderId="0"/>
    <xf numFmtId="0" fontId="53" fillId="0" borderId="0" applyNumberFormat="0" applyFill="0" applyBorder="0" applyProtection="0">
      <alignment vertical="top" wrapText="1"/>
    </xf>
    <xf numFmtId="0" fontId="22" fillId="0" borderId="0"/>
    <xf numFmtId="0" fontId="22" fillId="0" borderId="0"/>
    <xf numFmtId="0" fontId="38" fillId="0" borderId="0"/>
    <xf numFmtId="0" fontId="22" fillId="0" borderId="0"/>
    <xf numFmtId="0" fontId="22" fillId="0" borderId="0"/>
    <xf numFmtId="0" fontId="22" fillId="0" borderId="0"/>
    <xf numFmtId="0" fontId="22" fillId="0" borderId="0"/>
    <xf numFmtId="0" fontId="24"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9" fillId="0" borderId="0"/>
    <xf numFmtId="179" fontId="9" fillId="0" borderId="0"/>
    <xf numFmtId="179" fontId="9" fillId="0" borderId="0"/>
    <xf numFmtId="0" fontId="86" fillId="0" borderId="0"/>
    <xf numFmtId="0" fontId="22" fillId="0" borderId="0"/>
    <xf numFmtId="0" fontId="9" fillId="0" borderId="0"/>
    <xf numFmtId="0" fontId="9" fillId="0" borderId="0"/>
    <xf numFmtId="0" fontId="114" fillId="0" borderId="0"/>
    <xf numFmtId="0" fontId="22" fillId="0" borderId="0"/>
    <xf numFmtId="0" fontId="22" fillId="0" borderId="0"/>
    <xf numFmtId="0" fontId="9"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2" fillId="0" borderId="0"/>
    <xf numFmtId="0" fontId="9" fillId="0" borderId="0"/>
    <xf numFmtId="0" fontId="9" fillId="0" borderId="0"/>
    <xf numFmtId="0" fontId="9" fillId="0" borderId="0"/>
    <xf numFmtId="0" fontId="9" fillId="0" borderId="0"/>
    <xf numFmtId="0" fontId="9" fillId="0" borderId="0"/>
    <xf numFmtId="0" fontId="9" fillId="0" borderId="0"/>
    <xf numFmtId="0" fontId="22" fillId="0" borderId="0"/>
    <xf numFmtId="0" fontId="9" fillId="0" borderId="0"/>
    <xf numFmtId="0" fontId="22" fillId="0" borderId="0"/>
    <xf numFmtId="0" fontId="22" fillId="0" borderId="0"/>
    <xf numFmtId="0" fontId="9" fillId="0" borderId="0"/>
    <xf numFmtId="0" fontId="22" fillId="0" borderId="0"/>
    <xf numFmtId="0" fontId="22" fillId="0" borderId="0"/>
    <xf numFmtId="0" fontId="22" fillId="0" borderId="0"/>
    <xf numFmtId="0" fontId="38" fillId="0" borderId="0"/>
    <xf numFmtId="0" fontId="114" fillId="0" borderId="0"/>
    <xf numFmtId="0" fontId="22" fillId="0" borderId="0" applyNumberFormat="0" applyFont="0" applyFill="0" applyBorder="0" applyAlignment="0" applyProtection="0">
      <alignment vertical="top"/>
    </xf>
    <xf numFmtId="0" fontId="9" fillId="0" borderId="0"/>
    <xf numFmtId="0" fontId="22" fillId="0" borderId="0"/>
    <xf numFmtId="0" fontId="22" fillId="0" borderId="0"/>
    <xf numFmtId="0" fontId="22" fillId="0" borderId="0"/>
    <xf numFmtId="0" fontId="22" fillId="0" borderId="0"/>
    <xf numFmtId="0" fontId="22" fillId="0" borderId="0"/>
    <xf numFmtId="0" fontId="43" fillId="0" borderId="0"/>
    <xf numFmtId="0" fontId="22" fillId="0" borderId="0"/>
    <xf numFmtId="0" fontId="9" fillId="0" borderId="0"/>
    <xf numFmtId="0" fontId="9" fillId="0" borderId="0"/>
    <xf numFmtId="0" fontId="9" fillId="0" borderId="0"/>
    <xf numFmtId="0" fontId="22" fillId="36" borderId="25" applyNumberFormat="0" applyFont="0" applyAlignment="0" applyProtection="0"/>
    <xf numFmtId="0" fontId="22" fillId="39" borderId="25" applyNumberFormat="0" applyFont="0" applyAlignment="0" applyProtection="0"/>
    <xf numFmtId="0" fontId="22" fillId="39" borderId="25" applyNumberFormat="0" applyFont="0" applyAlignment="0" applyProtection="0"/>
    <xf numFmtId="0" fontId="22" fillId="46" borderId="17" applyNumberFormat="0" applyFont="0" applyAlignment="0" applyProtection="0"/>
    <xf numFmtId="0" fontId="22" fillId="36" borderId="25" applyNumberFormat="0" applyFont="0" applyAlignment="0" applyProtection="0"/>
    <xf numFmtId="0" fontId="22" fillId="36" borderId="25" applyNumberFormat="0" applyFont="0" applyAlignment="0" applyProtection="0"/>
    <xf numFmtId="40" fontId="105" fillId="0" borderId="0" applyFont="0" applyFill="0" applyBorder="0" applyAlignment="0" applyProtection="0"/>
    <xf numFmtId="38" fontId="105" fillId="0" borderId="0" applyFont="0" applyFill="0" applyBorder="0" applyAlignment="0" applyProtection="0"/>
    <xf numFmtId="0" fontId="65" fillId="16" borderId="26" applyNumberFormat="0" applyAlignment="0" applyProtection="0"/>
    <xf numFmtId="0" fontId="65" fillId="34" borderId="26" applyNumberFormat="0" applyAlignment="0" applyProtection="0"/>
    <xf numFmtId="0" fontId="65" fillId="34" borderId="26" applyNumberFormat="0" applyAlignment="0" applyProtection="0"/>
    <xf numFmtId="0" fontId="65" fillId="16" borderId="26" applyNumberFormat="0" applyAlignment="0" applyProtection="0"/>
    <xf numFmtId="0" fontId="65" fillId="16" borderId="26" applyNumberFormat="0" applyAlignment="0" applyProtection="0"/>
    <xf numFmtId="0" fontId="68" fillId="40" borderId="0"/>
    <xf numFmtId="176" fontId="22" fillId="0" borderId="0" applyFill="0" applyBorder="0" applyAlignment="0" applyProtection="0"/>
    <xf numFmtId="203" fontId="22" fillId="0" borderId="0" applyFill="0" applyBorder="0" applyAlignment="0" applyProtection="0"/>
    <xf numFmtId="10"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22" fillId="0" borderId="0" applyFont="0" applyFill="0" applyBorder="0" applyAlignment="0" applyProtection="0"/>
    <xf numFmtId="9" fontId="24" fillId="0" borderId="0" applyFont="0" applyFill="0" applyBorder="0" applyAlignment="0" applyProtection="0"/>
    <xf numFmtId="0" fontId="96" fillId="0" borderId="0" applyFont="0"/>
    <xf numFmtId="206" fontId="69" fillId="37" borderId="0"/>
    <xf numFmtId="202" fontId="22" fillId="0" borderId="0" applyFill="0" applyBorder="0" applyAlignment="0"/>
    <xf numFmtId="172" fontId="80" fillId="0" borderId="0" applyFill="0" applyBorder="0" applyAlignment="0"/>
    <xf numFmtId="202" fontId="22" fillId="0" borderId="0" applyFill="0" applyBorder="0" applyAlignment="0"/>
    <xf numFmtId="195" fontId="22" fillId="0" borderId="0" applyFill="0" applyBorder="0" applyAlignment="0"/>
    <xf numFmtId="172" fontId="80" fillId="0" borderId="0" applyFill="0" applyBorder="0" applyAlignment="0"/>
    <xf numFmtId="0" fontId="80" fillId="0" borderId="0">
      <alignment horizontal="left" vertical="top"/>
    </xf>
    <xf numFmtId="0" fontId="84" fillId="0" borderId="0">
      <alignment horizontal="left" vertical="top"/>
    </xf>
    <xf numFmtId="0" fontId="108" fillId="0" borderId="0">
      <alignment horizontal="left" vertical="top"/>
    </xf>
    <xf numFmtId="0" fontId="52" fillId="41" borderId="13">
      <alignment horizontal="left"/>
    </xf>
    <xf numFmtId="0" fontId="89" fillId="1" borderId="0">
      <alignment horizontal="center" vertical="center"/>
    </xf>
    <xf numFmtId="0" fontId="89" fillId="1" borderId="4">
      <alignment horizontal="centerContinuous" vertical="center"/>
    </xf>
    <xf numFmtId="0" fontId="79" fillId="41" borderId="14">
      <alignment horizontal="left" vertical="center"/>
    </xf>
    <xf numFmtId="0" fontId="80" fillId="0" borderId="0">
      <alignment horizontal="left" vertical="top"/>
    </xf>
    <xf numFmtId="201" fontId="80" fillId="0" borderId="0">
      <alignment horizontal="right" vertical="top"/>
    </xf>
    <xf numFmtId="0" fontId="84" fillId="0" borderId="0">
      <alignment horizontal="centerContinuous" vertical="top"/>
    </xf>
    <xf numFmtId="178" fontId="100" fillId="0" borderId="0" applyNumberFormat="0" applyFill="0" applyBorder="0" applyAlignment="0" applyProtection="0">
      <alignment horizontal="left"/>
    </xf>
    <xf numFmtId="0" fontId="93" fillId="0" borderId="0" applyNumberFormat="0" applyFill="0" applyBorder="0" applyAlignment="0" applyProtection="0">
      <alignment vertical="top"/>
      <protection locked="0"/>
    </xf>
    <xf numFmtId="1" fontId="53" fillId="0" borderId="0" applyBorder="0">
      <alignment horizontal="left" vertical="top" wrapText="1"/>
    </xf>
    <xf numFmtId="0" fontId="99" fillId="0" borderId="0"/>
    <xf numFmtId="0" fontId="41" fillId="0" borderId="0"/>
    <xf numFmtId="43" fontId="38" fillId="0" borderId="0">
      <alignment vertical="top"/>
      <protection locked="0"/>
    </xf>
    <xf numFmtId="0" fontId="26" fillId="0" borderId="0"/>
    <xf numFmtId="0" fontId="41" fillId="0" borderId="0"/>
    <xf numFmtId="0" fontId="9" fillId="0" borderId="0"/>
    <xf numFmtId="0" fontId="41" fillId="0" borderId="0"/>
    <xf numFmtId="0" fontId="41" fillId="0" borderId="0"/>
    <xf numFmtId="43" fontId="22" fillId="0" borderId="0" applyFont="0" applyFill="0" applyBorder="0" applyAlignment="0" applyProtection="0"/>
    <xf numFmtId="40" fontId="102" fillId="0" borderId="0" applyBorder="0">
      <alignment horizontal="right"/>
    </xf>
    <xf numFmtId="49" fontId="29" fillId="0" borderId="0" applyFill="0" applyBorder="0" applyAlignment="0"/>
    <xf numFmtId="200" fontId="22" fillId="0" borderId="0" applyFill="0" applyBorder="0" applyAlignment="0"/>
    <xf numFmtId="190" fontId="22" fillId="0" borderId="0" applyFill="0" applyBorder="0" applyAlignment="0"/>
    <xf numFmtId="40" fontId="79" fillId="0" borderId="0"/>
    <xf numFmtId="0" fontId="109" fillId="0" borderId="0" applyFill="0" applyBorder="0" applyProtection="0">
      <alignment horizontal="centerContinuous" vertical="center"/>
    </xf>
    <xf numFmtId="0" fontId="110" fillId="0" borderId="0" applyFill="0" applyBorder="0" applyProtection="0">
      <alignment horizontal="center" vertical="center"/>
    </xf>
    <xf numFmtId="0" fontId="70" fillId="0" borderId="0" applyNumberFormat="0" applyFill="0" applyBorder="0" applyAlignment="0" applyProtection="0"/>
    <xf numFmtId="0" fontId="66" fillId="0" borderId="27" applyNumberFormat="0" applyFill="0" applyAlignment="0" applyProtection="0"/>
    <xf numFmtId="0" fontId="66" fillId="0" borderId="27" applyNumberFormat="0" applyFill="0" applyAlignment="0" applyProtection="0"/>
    <xf numFmtId="0" fontId="66" fillId="0" borderId="27" applyNumberFormat="0" applyFill="0" applyAlignment="0" applyProtection="0"/>
    <xf numFmtId="0" fontId="66" fillId="0" borderId="27" applyNumberFormat="0" applyFill="0" applyAlignment="0" applyProtection="0"/>
    <xf numFmtId="0" fontId="66" fillId="0" borderId="27" applyNumberFormat="0" applyFill="0" applyAlignment="0" applyProtection="0"/>
    <xf numFmtId="187" fontId="22" fillId="0" borderId="0" applyFont="0" applyFill="0" applyBorder="0" applyAlignment="0" applyProtection="0"/>
    <xf numFmtId="174" fontId="22" fillId="0" borderId="0" applyFont="0" applyFill="0" applyBorder="0" applyAlignment="0" applyProtection="0"/>
    <xf numFmtId="191" fontId="22" fillId="0" borderId="0" applyFont="0" applyFill="0" applyBorder="0" applyAlignment="0" applyProtection="0"/>
    <xf numFmtId="186" fontId="22" fillId="0" borderId="0" applyFont="0" applyFill="0" applyBorder="0" applyAlignment="0" applyProtection="0"/>
    <xf numFmtId="49" fontId="111" fillId="42" borderId="0">
      <alignment horizontal="left"/>
    </xf>
    <xf numFmtId="0" fontId="67" fillId="0" borderId="0" applyNumberFormat="0" applyFill="0" applyBorder="0" applyAlignment="0" applyProtection="0"/>
    <xf numFmtId="0" fontId="83" fillId="0" borderId="0" applyNumberFormat="0" applyFill="0" applyBorder="0" applyAlignment="0" applyProtection="0">
      <alignment vertical="top"/>
      <protection locked="0"/>
    </xf>
    <xf numFmtId="0" fontId="101" fillId="0" borderId="0" applyFont="0" applyFill="0" applyBorder="0" applyAlignment="0" applyProtection="0"/>
    <xf numFmtId="9" fontId="97" fillId="0" borderId="0" applyFill="0" applyBorder="0" applyProtection="0">
      <alignment horizontal="right"/>
    </xf>
    <xf numFmtId="10" fontId="97" fillId="0" borderId="0" applyFill="0" applyBorder="0" applyProtection="0">
      <alignment horizontal="right"/>
    </xf>
    <xf numFmtId="9" fontId="22" fillId="0" borderId="0" applyFont="0" applyFill="0" applyBorder="0" applyAlignment="0" applyProtection="0"/>
    <xf numFmtId="0" fontId="103" fillId="0" borderId="0"/>
    <xf numFmtId="164" fontId="74" fillId="0" borderId="0" applyFont="0" applyFill="0" applyBorder="0" applyAlignment="0" applyProtection="0"/>
    <xf numFmtId="164" fontId="74" fillId="0" borderId="0" applyFont="0" applyFill="0" applyBorder="0" applyAlignment="0" applyProtection="0"/>
    <xf numFmtId="187" fontId="91" fillId="0" borderId="0" applyFont="0" applyFill="0" applyBorder="0" applyAlignment="0" applyProtection="0">
      <alignment vertical="center"/>
    </xf>
    <xf numFmtId="41" fontId="74" fillId="0" borderId="0" applyFont="0" applyFill="0" applyBorder="0" applyAlignment="0" applyProtection="0"/>
    <xf numFmtId="41" fontId="74" fillId="0" borderId="0" applyFont="0" applyFill="0" applyBorder="0" applyAlignment="0" applyProtection="0"/>
    <xf numFmtId="0" fontId="41" fillId="0" borderId="0"/>
    <xf numFmtId="0" fontId="82" fillId="0" borderId="0" applyFont="0" applyFill="0" applyBorder="0" applyAlignment="0" applyProtection="0"/>
    <xf numFmtId="207" fontId="97" fillId="0" borderId="0" applyFill="0" applyBorder="0" applyProtection="0">
      <alignment horizontal="right"/>
    </xf>
    <xf numFmtId="0" fontId="82" fillId="0" borderId="0" applyFont="0" applyFill="0" applyBorder="0" applyAlignment="0" applyProtection="0"/>
    <xf numFmtId="0" fontId="22" fillId="0" borderId="0" applyFill="0" applyBorder="0" applyAlignment="0" applyProtection="0"/>
    <xf numFmtId="0" fontId="22" fillId="0" borderId="0" applyFill="0" applyBorder="0" applyAlignment="0" applyProtection="0"/>
    <xf numFmtId="0" fontId="22" fillId="0" borderId="0"/>
    <xf numFmtId="0" fontId="91" fillId="0" borderId="0">
      <alignment vertical="center"/>
    </xf>
    <xf numFmtId="0" fontId="82" fillId="0" borderId="0"/>
    <xf numFmtId="0" fontId="112" fillId="0" borderId="0"/>
    <xf numFmtId="0" fontId="22" fillId="0" borderId="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17" fillId="0" borderId="0">
      <alignment vertical="top"/>
      <protection locked="0"/>
    </xf>
    <xf numFmtId="43" fontId="17" fillId="0" borderId="0">
      <alignment vertical="top"/>
      <protection locked="0"/>
    </xf>
    <xf numFmtId="43" fontId="23" fillId="0" borderId="0">
      <alignment vertical="top"/>
      <protection locked="0"/>
    </xf>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38" fillId="0" borderId="0">
      <alignment vertical="top"/>
      <protection locked="0"/>
    </xf>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lignment vertical="top"/>
      <protection locked="0"/>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4"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38"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4"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4" fontId="24" fillId="0" borderId="0" applyFont="0" applyFill="0" applyBorder="0" applyAlignment="0" applyProtection="0"/>
    <xf numFmtId="173" fontId="22"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50"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8" fillId="0" borderId="0">
      <alignment vertical="top"/>
      <protection locked="0"/>
    </xf>
    <xf numFmtId="43" fontId="22"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38" fillId="0" borderId="0">
      <alignment vertical="top"/>
      <protection locked="0"/>
    </xf>
    <xf numFmtId="43" fontId="23" fillId="0" borderId="0">
      <alignment vertical="top"/>
      <protection locked="0"/>
    </xf>
    <xf numFmtId="43" fontId="17" fillId="0" borderId="0">
      <alignment vertical="top"/>
      <protection locked="0"/>
    </xf>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50"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38" fillId="0" borderId="0">
      <alignment vertical="top"/>
      <protection locked="0"/>
    </xf>
    <xf numFmtId="43" fontId="22" fillId="0" borderId="0" applyFont="0" applyFill="0" applyBorder="0" applyAlignment="0" applyProtection="0"/>
    <xf numFmtId="43" fontId="9" fillId="0" borderId="0" applyFont="0" applyFill="0" applyBorder="0" applyAlignment="0" applyProtection="0"/>
    <xf numFmtId="41" fontId="74" fillId="0" borderId="0" applyFont="0" applyFill="0" applyBorder="0" applyAlignment="0" applyProtection="0"/>
    <xf numFmtId="41" fontId="74" fillId="0" borderId="0" applyFont="0" applyFill="0" applyBorder="0" applyAlignment="0" applyProtection="0"/>
    <xf numFmtId="0" fontId="26" fillId="0" borderId="0"/>
    <xf numFmtId="43" fontId="9"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0" fillId="0" borderId="0" applyFont="0" applyFill="0" applyBorder="0" applyAlignment="0" applyProtection="0">
      <alignment vertical="center"/>
    </xf>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23" fillId="0" borderId="0">
      <alignment vertical="top"/>
      <protection locked="0"/>
    </xf>
    <xf numFmtId="43" fontId="38"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22" fillId="0" borderId="0">
      <alignment vertical="top"/>
      <protection locked="0"/>
    </xf>
    <xf numFmtId="43" fontId="38"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0" fillId="0" borderId="0" applyFont="0" applyFill="0" applyBorder="0" applyAlignment="0" applyProtection="0">
      <alignment vertical="center"/>
    </xf>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0" fillId="0" borderId="0" applyFont="0" applyFill="0" applyBorder="0" applyAlignment="0" applyProtection="0">
      <alignment vertical="center"/>
    </xf>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23" fillId="0" borderId="0">
      <alignment vertical="top"/>
      <protection locked="0"/>
    </xf>
    <xf numFmtId="43" fontId="38"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22" fillId="0" borderId="0">
      <alignment vertical="top"/>
      <protection locked="0"/>
    </xf>
    <xf numFmtId="43" fontId="38"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0" fillId="0" borderId="0" applyFont="0" applyFill="0" applyBorder="0" applyAlignment="0" applyProtection="0">
      <alignment vertical="center"/>
    </xf>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0" fontId="9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4" fillId="0" borderId="0" applyFont="0" applyFill="0" applyBorder="0" applyAlignment="0" applyProtection="0"/>
    <xf numFmtId="43" fontId="22" fillId="0" borderId="0" applyFont="0" applyFill="0" applyBorder="0" applyAlignment="0" applyProtection="0"/>
    <xf numFmtId="43" fontId="38" fillId="0" borderId="0" applyFont="0" applyFill="0" applyBorder="0" applyAlignment="0" applyProtection="0"/>
    <xf numFmtId="43" fontId="22" fillId="0" borderId="0" applyFont="0" applyFill="0" applyBorder="0" applyAlignment="0" applyProtection="0"/>
    <xf numFmtId="43" fontId="24"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98" fillId="0" borderId="0" applyNumberFormat="0" applyAlignment="0">
      <alignment horizontal="left"/>
    </xf>
    <xf numFmtId="172" fontId="106" fillId="0" borderId="10" applyNumberFormat="0" applyBorder="0" applyAlignment="0" applyProtection="0">
      <protection locked="0"/>
    </xf>
    <xf numFmtId="44" fontId="24" fillId="0" borderId="0" applyFont="0" applyFill="0" applyBorder="0" applyAlignment="0" applyProtection="0"/>
    <xf numFmtId="0" fontId="88" fillId="0" borderId="0" applyNumberFormat="0" applyAlignment="0">
      <alignment horizontal="left"/>
    </xf>
    <xf numFmtId="0" fontId="78" fillId="0" borderId="0">
      <protection locked="0"/>
    </xf>
    <xf numFmtId="0" fontId="78" fillId="0" borderId="0">
      <protection locked="0"/>
    </xf>
    <xf numFmtId="0" fontId="81" fillId="0" borderId="0">
      <protection locked="0"/>
    </xf>
    <xf numFmtId="0" fontId="78" fillId="0" borderId="0">
      <protection locked="0"/>
    </xf>
    <xf numFmtId="0" fontId="78" fillId="0" borderId="0">
      <protection locked="0"/>
    </xf>
    <xf numFmtId="0" fontId="78" fillId="0" borderId="0">
      <protection locked="0"/>
    </xf>
    <xf numFmtId="0" fontId="81" fillId="0" borderId="0">
      <protection locked="0"/>
    </xf>
    <xf numFmtId="37" fontId="77" fillId="0" borderId="0"/>
    <xf numFmtId="43" fontId="22" fillId="0" borderId="0" applyFont="0" applyFill="0" applyBorder="0" applyAlignment="0" applyProtection="0"/>
    <xf numFmtId="41" fontId="74" fillId="0" borderId="0" applyFont="0" applyFill="0" applyBorder="0" applyAlignment="0" applyProtection="0"/>
    <xf numFmtId="41" fontId="74" fillId="0" borderId="0" applyFont="0" applyFill="0" applyBorder="0" applyAlignment="0" applyProtection="0"/>
    <xf numFmtId="0" fontId="22"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17" fillId="0" borderId="0">
      <alignment vertical="top"/>
      <protection locked="0"/>
    </xf>
    <xf numFmtId="43" fontId="17" fillId="0" borderId="0">
      <alignment vertical="top"/>
      <protection locked="0"/>
    </xf>
    <xf numFmtId="43" fontId="23" fillId="0" borderId="0">
      <alignment vertical="top"/>
      <protection locked="0"/>
    </xf>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38" fillId="0" borderId="0">
      <alignment vertical="top"/>
      <protection locked="0"/>
    </xf>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lignment vertical="top"/>
      <protection locked="0"/>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4"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4" fillId="0" borderId="0" applyFont="0" applyFill="0" applyBorder="0" applyAlignment="0" applyProtection="0"/>
    <xf numFmtId="43" fontId="38"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4"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4" fontId="24"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22" fillId="0" borderId="0" applyFont="0" applyFill="0" applyBorder="0" applyAlignment="0" applyProtection="0"/>
    <xf numFmtId="0" fontId="22" fillId="0" borderId="0"/>
    <xf numFmtId="0" fontId="9" fillId="0" borderId="0"/>
    <xf numFmtId="43" fontId="22" fillId="0" borderId="0" applyFont="0" applyFill="0" applyBorder="0" applyAlignment="0" applyProtection="0"/>
    <xf numFmtId="43" fontId="22"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23" fillId="0" borderId="0"/>
    <xf numFmtId="0" fontId="24" fillId="0" borderId="0"/>
    <xf numFmtId="0" fontId="9" fillId="0" borderId="0"/>
    <xf numFmtId="0" fontId="115" fillId="0" borderId="0"/>
    <xf numFmtId="0" fontId="24" fillId="0" borderId="0"/>
    <xf numFmtId="0" fontId="22" fillId="0" borderId="0"/>
    <xf numFmtId="0" fontId="115" fillId="0" borderId="0"/>
    <xf numFmtId="0" fontId="9" fillId="0" borderId="0"/>
    <xf numFmtId="0" fontId="9" fillId="0" borderId="0"/>
    <xf numFmtId="0" fontId="17"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165" fontId="9" fillId="0" borderId="0" applyFont="0" applyFill="0" applyBorder="0" applyAlignment="0" applyProtection="0"/>
    <xf numFmtId="44" fontId="2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50"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8" fillId="0" borderId="0">
      <alignment vertical="top"/>
      <protection locked="0"/>
    </xf>
    <xf numFmtId="43" fontId="22"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38" fillId="0" borderId="0">
      <alignment vertical="top"/>
      <protection locked="0"/>
    </xf>
    <xf numFmtId="43" fontId="23" fillId="0" borderId="0">
      <alignment vertical="top"/>
      <protection locked="0"/>
    </xf>
    <xf numFmtId="43" fontId="17" fillId="0" borderId="0">
      <alignment vertical="top"/>
      <protection locked="0"/>
    </xf>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50"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175" fontId="22" fillId="0" borderId="0" applyFont="0" applyFill="0" applyBorder="0" applyAlignment="0" applyProtection="0"/>
    <xf numFmtId="174" fontId="115" fillId="0" borderId="0" applyFont="0" applyFill="0" applyBorder="0" applyAlignment="0" applyProtection="0"/>
    <xf numFmtId="174" fontId="30" fillId="0" borderId="0" applyFont="0" applyFill="0" applyBorder="0" applyAlignment="0" applyProtection="0"/>
    <xf numFmtId="43" fontId="22" fillId="0" borderId="0" applyFont="0" applyFill="0" applyBorder="0" applyAlignment="0" applyProtection="0"/>
    <xf numFmtId="174" fontId="11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38" fillId="0" borderId="0">
      <alignment vertical="top"/>
      <protection locked="0"/>
    </xf>
    <xf numFmtId="43" fontId="22" fillId="0" borderId="0" applyFont="0" applyFill="0" applyBorder="0" applyAlignment="0" applyProtection="0"/>
    <xf numFmtId="43" fontId="9" fillId="0" borderId="0" applyFont="0" applyFill="0" applyBorder="0" applyAlignment="0" applyProtection="0"/>
    <xf numFmtId="41" fontId="74" fillId="0" borderId="0" applyFont="0" applyFill="0" applyBorder="0" applyAlignment="0" applyProtection="0"/>
    <xf numFmtId="41" fontId="7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22" fillId="0" borderId="0" applyFont="0" applyFill="0" applyBorder="0" applyAlignment="0" applyProtection="0"/>
    <xf numFmtId="0" fontId="22"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43" fontId="22" fillId="0" borderId="0" applyFont="0" applyFill="0" applyBorder="0" applyAlignment="0" applyProtection="0"/>
    <xf numFmtId="0" fontId="9" fillId="0" borderId="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174" fontId="4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4" fontId="45"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22" fillId="0" borderId="0" applyFont="0" applyFill="0" applyBorder="0" applyAlignment="0" applyProtection="0"/>
    <xf numFmtId="43" fontId="9" fillId="0" borderId="0" applyFont="0" applyFill="0" applyBorder="0" applyAlignment="0" applyProtection="0"/>
    <xf numFmtId="44" fontId="24"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5" fillId="0" borderId="0"/>
    <xf numFmtId="0" fontId="9" fillId="0" borderId="0"/>
    <xf numFmtId="0" fontId="45"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22" fillId="0" borderId="0" applyFont="0" applyFill="0" applyBorder="0" applyAlignment="0" applyProtection="0"/>
    <xf numFmtId="43" fontId="22"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22" fillId="0" borderId="0"/>
    <xf numFmtId="0" fontId="28" fillId="0" borderId="0"/>
    <xf numFmtId="0" fontId="33" fillId="0" borderId="0"/>
    <xf numFmtId="0" fontId="9" fillId="0" borderId="0"/>
    <xf numFmtId="43" fontId="38" fillId="0" borderId="0" applyFont="0" applyFill="0" applyBorder="0" applyAlignment="0" applyProtection="0"/>
    <xf numFmtId="43" fontId="17" fillId="0" borderId="0" applyFont="0" applyFill="0" applyBorder="0" applyAlignment="0" applyProtection="0"/>
    <xf numFmtId="0" fontId="24" fillId="0" borderId="0"/>
    <xf numFmtId="174" fontId="30" fillId="0" borderId="0" applyFont="0" applyFill="0" applyBorder="0" applyAlignment="0" applyProtection="0"/>
    <xf numFmtId="0" fontId="9" fillId="0" borderId="0"/>
    <xf numFmtId="9" fontId="24" fillId="0" borderId="0" applyFont="0" applyFill="0" applyBorder="0" applyAlignment="0" applyProtection="0"/>
    <xf numFmtId="179" fontId="9" fillId="0" borderId="0"/>
    <xf numFmtId="0" fontId="24" fillId="0" borderId="0"/>
    <xf numFmtId="43" fontId="22" fillId="0" borderId="0" applyFont="0" applyFill="0" applyBorder="0" applyAlignment="0" applyProtection="0"/>
    <xf numFmtId="0" fontId="9" fillId="0" borderId="0"/>
    <xf numFmtId="0" fontId="79" fillId="41" borderId="14">
      <alignment horizontal="lef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62" fillId="23" borderId="18" applyNumberFormat="0" applyAlignment="0" applyProtection="0"/>
    <xf numFmtId="0" fontId="9" fillId="0" borderId="0" applyFont="0" applyFill="0" applyBorder="0" applyAlignment="0" applyProtection="0"/>
    <xf numFmtId="43" fontId="9" fillId="0" borderId="0" applyFont="0" applyFill="0" applyBorder="0" applyAlignment="0" applyProtection="0"/>
    <xf numFmtId="0" fontId="9" fillId="0" borderId="0"/>
    <xf numFmtId="43" fontId="22"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4" borderId="0" applyNumberFormat="0" applyBorder="0" applyAlignment="0" applyProtection="0"/>
    <xf numFmtId="179" fontId="9" fillId="0" borderId="0"/>
    <xf numFmtId="10" fontId="73" fillId="36" borderId="14" applyNumberFormat="0" applyBorder="0" applyAlignment="0" applyProtection="0"/>
    <xf numFmtId="0" fontId="9" fillId="0" borderId="0"/>
    <xf numFmtId="0" fontId="9" fillId="0" borderId="0"/>
    <xf numFmtId="0" fontId="9" fillId="0" borderId="0"/>
    <xf numFmtId="43" fontId="22" fillId="0" borderId="0" applyFont="0" applyFill="0" applyBorder="0" applyAlignment="0" applyProtection="0"/>
    <xf numFmtId="0" fontId="9" fillId="0" borderId="0"/>
    <xf numFmtId="0" fontId="9" fillId="21" borderId="0" applyNumberFormat="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9" fontId="120" fillId="0" borderId="0"/>
    <xf numFmtId="0" fontId="55" fillId="16" borderId="18" applyNumberFormat="0" applyAlignment="0" applyProtection="0"/>
    <xf numFmtId="0" fontId="9" fillId="0" borderId="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7" fillId="0" borderId="12">
      <alignment horizontal="left" vertical="center"/>
    </xf>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174" fontId="9" fillId="0" borderId="0" applyFont="0" applyFill="0" applyBorder="0" applyAlignment="0" applyProtection="0"/>
    <xf numFmtId="0" fontId="24" fillId="0" borderId="0"/>
    <xf numFmtId="0" fontId="9" fillId="0" borderId="0"/>
    <xf numFmtId="43" fontId="9" fillId="0" borderId="0" applyFont="0" applyFill="0" applyBorder="0" applyAlignment="0" applyProtection="0"/>
    <xf numFmtId="43" fontId="24" fillId="0" borderId="0" applyFont="0" applyFill="0" applyBorder="0" applyAlignment="0" applyProtection="0"/>
    <xf numFmtId="0" fontId="9" fillId="0" borderId="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10" fontId="73" fillId="36" borderId="14"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2" fillId="36" borderId="25" applyNumberFormat="0" applyFont="0" applyAlignment="0" applyProtection="0"/>
    <xf numFmtId="0" fontId="65" fillId="16" borderId="26" applyNumberFormat="0" applyAlignment="0" applyProtection="0"/>
    <xf numFmtId="0" fontId="52" fillId="41" borderId="11">
      <alignment horizontal="left"/>
    </xf>
    <xf numFmtId="0" fontId="79" fillId="41" borderId="14">
      <alignment horizontal="left" vertical="center"/>
    </xf>
    <xf numFmtId="0" fontId="66" fillId="0" borderId="27" applyNumberFormat="0" applyFill="0" applyAlignment="0" applyProtection="0"/>
    <xf numFmtId="9" fontId="24" fillId="0" borderId="0" applyFont="0" applyFill="0" applyBorder="0" applyAlignment="0" applyProtection="0"/>
    <xf numFmtId="174" fontId="30"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46" fillId="0" borderId="0"/>
    <xf numFmtId="0" fontId="91" fillId="0" borderId="0"/>
    <xf numFmtId="0" fontId="121" fillId="0" borderId="0"/>
    <xf numFmtId="0" fontId="91" fillId="0" borderId="0"/>
    <xf numFmtId="0" fontId="121" fillId="0" borderId="0"/>
    <xf numFmtId="0" fontId="33" fillId="0" borderId="0"/>
    <xf numFmtId="0" fontId="46" fillId="0" borderId="0"/>
    <xf numFmtId="0" fontId="33" fillId="0" borderId="0"/>
    <xf numFmtId="0" fontId="46" fillId="0" borderId="0"/>
    <xf numFmtId="0" fontId="26" fillId="0" borderId="0"/>
    <xf numFmtId="0" fontId="46" fillId="0" borderId="0"/>
    <xf numFmtId="0" fontId="46" fillId="0" borderId="0"/>
    <xf numFmtId="0" fontId="46" fillId="0" borderId="0"/>
    <xf numFmtId="0" fontId="46" fillId="0" borderId="0"/>
    <xf numFmtId="0" fontId="46" fillId="0" borderId="0"/>
    <xf numFmtId="0" fontId="46" fillId="0" borderId="0"/>
    <xf numFmtId="0" fontId="33" fillId="0" borderId="0"/>
    <xf numFmtId="0" fontId="46" fillId="0" borderId="0"/>
    <xf numFmtId="0" fontId="33" fillId="0" borderId="0"/>
    <xf numFmtId="0" fontId="46" fillId="0" borderId="0"/>
    <xf numFmtId="0" fontId="33" fillId="0" borderId="0"/>
    <xf numFmtId="0" fontId="46" fillId="0" borderId="0"/>
    <xf numFmtId="0" fontId="26" fillId="0" borderId="0"/>
    <xf numFmtId="0" fontId="46" fillId="0" borderId="0"/>
    <xf numFmtId="0" fontId="26" fillId="0" borderId="0"/>
    <xf numFmtId="0" fontId="46" fillId="0" borderId="0"/>
    <xf numFmtId="0" fontId="33" fillId="0" borderId="0"/>
    <xf numFmtId="0" fontId="46" fillId="0" borderId="0"/>
    <xf numFmtId="0" fontId="26" fillId="0" borderId="0"/>
    <xf numFmtId="0" fontId="46" fillId="0" borderId="0"/>
    <xf numFmtId="0" fontId="46" fillId="0" borderId="0"/>
    <xf numFmtId="0" fontId="26" fillId="0" borderId="0"/>
    <xf numFmtId="0" fontId="46" fillId="0" borderId="0"/>
    <xf numFmtId="0" fontId="33" fillId="0" borderId="0"/>
    <xf numFmtId="0" fontId="46" fillId="0" borderId="0"/>
    <xf numFmtId="0" fontId="26" fillId="0" borderId="0"/>
    <xf numFmtId="0" fontId="46" fillId="0" borderId="0"/>
    <xf numFmtId="0" fontId="33" fillId="0" borderId="0"/>
    <xf numFmtId="0" fontId="46" fillId="0" borderId="0"/>
    <xf numFmtId="0" fontId="33" fillId="0" borderId="0"/>
    <xf numFmtId="0" fontId="46" fillId="0" borderId="0"/>
    <xf numFmtId="0" fontId="33" fillId="0" borderId="0"/>
    <xf numFmtId="0" fontId="46" fillId="0" borderId="0"/>
    <xf numFmtId="0" fontId="33" fillId="0" borderId="0"/>
    <xf numFmtId="0" fontId="46" fillId="0" borderId="0"/>
    <xf numFmtId="0" fontId="26" fillId="0" borderId="0"/>
    <xf numFmtId="0" fontId="46" fillId="0" borderId="0"/>
    <xf numFmtId="0" fontId="46" fillId="0" borderId="0"/>
    <xf numFmtId="0" fontId="46" fillId="0" borderId="0"/>
    <xf numFmtId="0" fontId="26" fillId="0" borderId="0"/>
    <xf numFmtId="0" fontId="46" fillId="0" borderId="0"/>
    <xf numFmtId="0" fontId="33" fillId="0" borderId="0"/>
    <xf numFmtId="0" fontId="46" fillId="0" borderId="0"/>
    <xf numFmtId="0" fontId="46" fillId="0" borderId="0"/>
    <xf numFmtId="0" fontId="26" fillId="0" borderId="0"/>
    <xf numFmtId="0" fontId="46" fillId="0" borderId="0"/>
    <xf numFmtId="0" fontId="33" fillId="0" borderId="0"/>
    <xf numFmtId="0" fontId="33" fillId="0" borderId="0"/>
    <xf numFmtId="0" fontId="46" fillId="0" borderId="0"/>
    <xf numFmtId="0" fontId="46" fillId="0" borderId="0"/>
    <xf numFmtId="0" fontId="33" fillId="0" borderId="0"/>
    <xf numFmtId="0" fontId="46" fillId="0" borderId="0"/>
    <xf numFmtId="0" fontId="46" fillId="0" borderId="0"/>
    <xf numFmtId="0" fontId="46" fillId="0" borderId="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46" fillId="0" borderId="0"/>
    <xf numFmtId="0" fontId="46" fillId="0" borderId="0"/>
    <xf numFmtId="0" fontId="46" fillId="0" borderId="0"/>
    <xf numFmtId="0" fontId="46" fillId="0" borderId="0"/>
    <xf numFmtId="0" fontId="46" fillId="0" borderId="0"/>
    <xf numFmtId="0" fontId="46" fillId="0" borderId="0"/>
    <xf numFmtId="0" fontId="26" fillId="0" borderId="0"/>
    <xf numFmtId="0" fontId="46" fillId="0" borderId="0"/>
    <xf numFmtId="0" fontId="26" fillId="0" borderId="0"/>
    <xf numFmtId="0" fontId="46" fillId="0" borderId="0"/>
    <xf numFmtId="0" fontId="26" fillId="0" borderId="0"/>
    <xf numFmtId="0" fontId="46" fillId="0" borderId="0"/>
    <xf numFmtId="0" fontId="46" fillId="0" borderId="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33" fillId="0" borderId="0"/>
    <xf numFmtId="0" fontId="46" fillId="0" borderId="0"/>
    <xf numFmtId="0" fontId="33" fillId="0" borderId="0"/>
    <xf numFmtId="0" fontId="46" fillId="0" borderId="0"/>
    <xf numFmtId="0" fontId="26" fillId="0" borderId="0"/>
    <xf numFmtId="0" fontId="46" fillId="0" borderId="0"/>
    <xf numFmtId="0" fontId="26" fillId="0" borderId="0"/>
    <xf numFmtId="0" fontId="46" fillId="0" borderId="0"/>
    <xf numFmtId="0" fontId="46" fillId="0" borderId="0"/>
    <xf numFmtId="0" fontId="26" fillId="0" borderId="0"/>
    <xf numFmtId="0" fontId="46" fillId="0" borderId="0"/>
    <xf numFmtId="0" fontId="46" fillId="0" borderId="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46" fillId="0" borderId="0"/>
    <xf numFmtId="0" fontId="26" fillId="0" borderId="0"/>
    <xf numFmtId="0" fontId="46" fillId="0" borderId="0"/>
    <xf numFmtId="0" fontId="46" fillId="0" borderId="0"/>
    <xf numFmtId="0" fontId="46" fillId="0" borderId="0"/>
    <xf numFmtId="0" fontId="46" fillId="0" borderId="0"/>
    <xf numFmtId="0" fontId="26" fillId="0" borderId="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33" fillId="0" borderId="0"/>
    <xf numFmtId="0" fontId="46" fillId="0" borderId="0"/>
    <xf numFmtId="0" fontId="46" fillId="0" borderId="0"/>
    <xf numFmtId="0" fontId="46" fillId="0" borderId="0"/>
    <xf numFmtId="0" fontId="46" fillId="0" borderId="0"/>
    <xf numFmtId="0" fontId="26" fillId="0" borderId="0"/>
    <xf numFmtId="0" fontId="46" fillId="0" borderId="0"/>
    <xf numFmtId="0" fontId="33" fillId="0" borderId="0"/>
    <xf numFmtId="0" fontId="46" fillId="0" borderId="0"/>
    <xf numFmtId="0" fontId="26" fillId="0" borderId="0"/>
    <xf numFmtId="0" fontId="46" fillId="0" borderId="0"/>
    <xf numFmtId="0" fontId="26" fillId="0" borderId="0"/>
    <xf numFmtId="0" fontId="46" fillId="0" borderId="0"/>
    <xf numFmtId="0" fontId="33" fillId="0" borderId="0"/>
    <xf numFmtId="0" fontId="46" fillId="0" borderId="0"/>
    <xf numFmtId="0" fontId="46" fillId="0" borderId="0"/>
    <xf numFmtId="0" fontId="33" fillId="0" borderId="0"/>
    <xf numFmtId="0" fontId="46" fillId="0" borderId="0"/>
    <xf numFmtId="0" fontId="46" fillId="0" borderId="0"/>
    <xf numFmtId="0" fontId="46" fillId="0" borderId="0"/>
    <xf numFmtId="0" fontId="46" fillId="0" borderId="0"/>
    <xf numFmtId="0" fontId="33" fillId="0" borderId="0"/>
    <xf numFmtId="0" fontId="46" fillId="0" borderId="0"/>
    <xf numFmtId="0" fontId="46" fillId="0" borderId="0"/>
    <xf numFmtId="0" fontId="26" fillId="0" borderId="0"/>
    <xf numFmtId="0" fontId="46" fillId="0" borderId="0"/>
    <xf numFmtId="0" fontId="33" fillId="0" borderId="0"/>
    <xf numFmtId="0" fontId="46" fillId="0" borderId="0"/>
    <xf numFmtId="0" fontId="26" fillId="0" borderId="0"/>
    <xf numFmtId="0" fontId="46" fillId="0" borderId="0"/>
    <xf numFmtId="0" fontId="46" fillId="0" borderId="0"/>
    <xf numFmtId="0" fontId="26" fillId="0" borderId="0"/>
    <xf numFmtId="0" fontId="46" fillId="0" borderId="0"/>
    <xf numFmtId="0" fontId="33" fillId="0" borderId="0"/>
    <xf numFmtId="0" fontId="46" fillId="0" borderId="0"/>
    <xf numFmtId="0" fontId="46" fillId="0" borderId="0"/>
    <xf numFmtId="0" fontId="33" fillId="0" borderId="0"/>
    <xf numFmtId="0" fontId="46" fillId="0" borderId="0"/>
    <xf numFmtId="0" fontId="26" fillId="0" borderId="0"/>
    <xf numFmtId="0" fontId="46" fillId="0" borderId="0"/>
    <xf numFmtId="0" fontId="46" fillId="0" borderId="0"/>
    <xf numFmtId="0" fontId="33" fillId="0" borderId="0"/>
    <xf numFmtId="0" fontId="46" fillId="0" borderId="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46" fillId="0" borderId="0"/>
    <xf numFmtId="0" fontId="26" fillId="0" borderId="0"/>
    <xf numFmtId="0" fontId="46" fillId="0" borderId="0"/>
    <xf numFmtId="0" fontId="33" fillId="0" borderId="0"/>
    <xf numFmtId="0" fontId="46" fillId="0" borderId="0"/>
    <xf numFmtId="0" fontId="46" fillId="0" borderId="0"/>
    <xf numFmtId="0" fontId="33" fillId="0" borderId="0"/>
    <xf numFmtId="0" fontId="46" fillId="0" borderId="0"/>
    <xf numFmtId="0" fontId="26" fillId="0" borderId="0"/>
    <xf numFmtId="0" fontId="46" fillId="0" borderId="0"/>
    <xf numFmtId="0" fontId="46" fillId="0" borderId="0"/>
    <xf numFmtId="0" fontId="46" fillId="0" borderId="0"/>
    <xf numFmtId="0" fontId="26" fillId="0" borderId="0"/>
    <xf numFmtId="0" fontId="46" fillId="0" borderId="0"/>
    <xf numFmtId="0" fontId="33" fillId="0" borderId="0"/>
    <xf numFmtId="0" fontId="46" fillId="0" borderId="0"/>
    <xf numFmtId="0" fontId="33" fillId="0" borderId="0"/>
    <xf numFmtId="0" fontId="46" fillId="0" borderId="0"/>
    <xf numFmtId="0" fontId="33" fillId="0" borderId="0"/>
    <xf numFmtId="0" fontId="46" fillId="0" borderId="0"/>
    <xf numFmtId="0" fontId="46" fillId="0" borderId="0"/>
    <xf numFmtId="0" fontId="46" fillId="0" borderId="0"/>
    <xf numFmtId="0" fontId="26" fillId="0" borderId="0"/>
    <xf numFmtId="0" fontId="46" fillId="0" borderId="0"/>
    <xf numFmtId="0" fontId="33" fillId="0" borderId="0"/>
    <xf numFmtId="0" fontId="46" fillId="0" borderId="0"/>
    <xf numFmtId="0" fontId="26" fillId="0" borderId="0"/>
    <xf numFmtId="0" fontId="46" fillId="0" borderId="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6" fillId="0" borderId="0"/>
    <xf numFmtId="0" fontId="46" fillId="0" borderId="0"/>
    <xf numFmtId="0" fontId="26" fillId="0" borderId="0"/>
    <xf numFmtId="0" fontId="46" fillId="0" borderId="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33" fillId="0" borderId="0"/>
    <xf numFmtId="0" fontId="46" fillId="0" borderId="0"/>
    <xf numFmtId="0" fontId="26" fillId="0" borderId="0"/>
    <xf numFmtId="0" fontId="46" fillId="0" borderId="0"/>
    <xf numFmtId="0" fontId="26" fillId="0" borderId="0"/>
    <xf numFmtId="0" fontId="46" fillId="0" borderId="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46" fillId="0" borderId="0"/>
    <xf numFmtId="0" fontId="26" fillId="0" borderId="0"/>
    <xf numFmtId="0" fontId="46" fillId="0" borderId="0"/>
    <xf numFmtId="0" fontId="26" fillId="0" borderId="0"/>
    <xf numFmtId="0" fontId="46" fillId="0" borderId="0"/>
    <xf numFmtId="0" fontId="33" fillId="0" borderId="0"/>
    <xf numFmtId="0" fontId="46" fillId="0" borderId="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33" fillId="0" borderId="0"/>
    <xf numFmtId="0" fontId="46" fillId="0" borderId="0"/>
    <xf numFmtId="0" fontId="46" fillId="0" borderId="0"/>
    <xf numFmtId="0" fontId="26" fillId="0" borderId="0"/>
    <xf numFmtId="0" fontId="46" fillId="0" borderId="0"/>
    <xf numFmtId="0" fontId="33" fillId="0" borderId="0"/>
    <xf numFmtId="0" fontId="46" fillId="0" borderId="0"/>
    <xf numFmtId="0" fontId="26" fillId="0" borderId="0"/>
    <xf numFmtId="0" fontId="46" fillId="0" borderId="0"/>
    <xf numFmtId="0" fontId="26" fillId="0" borderId="0"/>
    <xf numFmtId="0" fontId="46" fillId="0" borderId="0"/>
    <xf numFmtId="0" fontId="46" fillId="0" borderId="0"/>
    <xf numFmtId="0" fontId="46" fillId="0" borderId="0"/>
    <xf numFmtId="0" fontId="33" fillId="0" borderId="0"/>
    <xf numFmtId="0" fontId="46" fillId="0" borderId="0"/>
    <xf numFmtId="0" fontId="26" fillId="0" borderId="0"/>
    <xf numFmtId="0" fontId="46" fillId="0" borderId="0"/>
    <xf numFmtId="0" fontId="121" fillId="0" borderId="0"/>
    <xf numFmtId="0" fontId="17" fillId="0" borderId="0"/>
    <xf numFmtId="0" fontId="121" fillId="0" borderId="0"/>
    <xf numFmtId="0" fontId="17" fillId="47"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47"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7"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20"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20"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47"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47"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47"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47"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47"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47"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47"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49"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49"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49"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21" borderId="0" applyNumberFormat="0" applyBorder="0" applyAlignment="0" applyProtection="0"/>
    <xf numFmtId="0" fontId="17" fillId="49"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21"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49" borderId="0" applyNumberFormat="0" applyBorder="0" applyAlignment="0" applyProtection="0"/>
    <xf numFmtId="0" fontId="9" fillId="11"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49"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49"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49"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49"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49"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49"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49"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51" borderId="0" applyNumberFormat="0" applyBorder="0" applyAlignment="0" applyProtection="0"/>
    <xf numFmtId="0" fontId="17" fillId="51" borderId="0" applyNumberFormat="0" applyBorder="0" applyAlignment="0" applyProtection="0"/>
    <xf numFmtId="0" fontId="17" fillId="51"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51"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51" borderId="0" applyNumberFormat="0" applyBorder="0" applyAlignment="0" applyProtection="0"/>
    <xf numFmtId="0" fontId="17" fillId="51"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9" fillId="12"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1"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4"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4"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1" borderId="0" applyNumberFormat="0" applyBorder="0" applyAlignment="0" applyProtection="0"/>
    <xf numFmtId="0" fontId="9" fillId="1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1" borderId="0" applyNumberFormat="0" applyBorder="0" applyAlignment="0" applyProtection="0"/>
    <xf numFmtId="0" fontId="17" fillId="51" borderId="0" applyNumberFormat="0" applyBorder="0" applyAlignment="0" applyProtection="0"/>
    <xf numFmtId="0" fontId="17" fillId="51"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51"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51" borderId="0" applyNumberFormat="0" applyBorder="0" applyAlignment="0" applyProtection="0"/>
    <xf numFmtId="0" fontId="17" fillId="51" borderId="0" applyNumberFormat="0" applyBorder="0" applyAlignment="0" applyProtection="0"/>
    <xf numFmtId="0" fontId="17" fillId="51"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51"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51" borderId="0" applyNumberFormat="0" applyBorder="0" applyAlignment="0" applyProtection="0"/>
    <xf numFmtId="0" fontId="17" fillId="51" borderId="0" applyNumberFormat="0" applyBorder="0" applyAlignment="0" applyProtection="0"/>
    <xf numFmtId="0" fontId="17" fillId="51"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51"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51" borderId="0" applyNumberFormat="0" applyBorder="0" applyAlignment="0" applyProtection="0"/>
    <xf numFmtId="0" fontId="17" fillId="51" borderId="0" applyNumberFormat="0" applyBorder="0" applyAlignment="0" applyProtection="0"/>
    <xf numFmtId="0" fontId="17" fillId="51"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51"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51" borderId="0" applyNumberFormat="0" applyBorder="0" applyAlignment="0" applyProtection="0"/>
    <xf numFmtId="0" fontId="17" fillId="51" borderId="0" applyNumberFormat="0" applyBorder="0" applyAlignment="0" applyProtection="0"/>
    <xf numFmtId="0" fontId="17" fillId="51"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51"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51" borderId="0" applyNumberFormat="0" applyBorder="0" applyAlignment="0" applyProtection="0"/>
    <xf numFmtId="0" fontId="17" fillId="51" borderId="0" applyNumberFormat="0" applyBorder="0" applyAlignment="0" applyProtection="0"/>
    <xf numFmtId="0" fontId="17" fillId="51"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51"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51" borderId="0" applyNumberFormat="0" applyBorder="0" applyAlignment="0" applyProtection="0"/>
    <xf numFmtId="0" fontId="17" fillId="51" borderId="0" applyNumberFormat="0" applyBorder="0" applyAlignment="0" applyProtection="0"/>
    <xf numFmtId="0" fontId="17" fillId="51"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51"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17"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5" borderId="0" applyNumberFormat="0" applyBorder="0" applyAlignment="0" applyProtection="0"/>
    <xf numFmtId="0" fontId="17" fillId="55" borderId="0" applyNumberFormat="0" applyBorder="0" applyAlignment="0" applyProtection="0"/>
    <xf numFmtId="0" fontId="17" fillId="55"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55"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55" borderId="0" applyNumberFormat="0" applyBorder="0" applyAlignment="0" applyProtection="0"/>
    <xf numFmtId="0" fontId="17" fillId="55"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9" fillId="1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5"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55"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3" borderId="0" applyNumberFormat="0" applyBorder="0" applyAlignment="0" applyProtection="0"/>
    <xf numFmtId="0" fontId="17" fillId="55"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3"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5" borderId="0" applyNumberFormat="0" applyBorder="0" applyAlignment="0" applyProtection="0"/>
    <xf numFmtId="0" fontId="17" fillId="55" borderId="0" applyNumberFormat="0" applyBorder="0" applyAlignment="0" applyProtection="0"/>
    <xf numFmtId="0" fontId="17" fillId="55"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55"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55" borderId="0" applyNumberFormat="0" applyBorder="0" applyAlignment="0" applyProtection="0"/>
    <xf numFmtId="0" fontId="17" fillId="55" borderId="0" applyNumberFormat="0" applyBorder="0" applyAlignment="0" applyProtection="0"/>
    <xf numFmtId="0" fontId="17" fillId="55"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55"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55" borderId="0" applyNumberFormat="0" applyBorder="0" applyAlignment="0" applyProtection="0"/>
    <xf numFmtId="0" fontId="17" fillId="55" borderId="0" applyNumberFormat="0" applyBorder="0" applyAlignment="0" applyProtection="0"/>
    <xf numFmtId="0" fontId="17" fillId="55"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55"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55" borderId="0" applyNumberFormat="0" applyBorder="0" applyAlignment="0" applyProtection="0"/>
    <xf numFmtId="0" fontId="17" fillId="55" borderId="0" applyNumberFormat="0" applyBorder="0" applyAlignment="0" applyProtection="0"/>
    <xf numFmtId="0" fontId="17" fillId="55"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55"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55" borderId="0" applyNumberFormat="0" applyBorder="0" applyAlignment="0" applyProtection="0"/>
    <xf numFmtId="0" fontId="17" fillId="55" borderId="0" applyNumberFormat="0" applyBorder="0" applyAlignment="0" applyProtection="0"/>
    <xf numFmtId="0" fontId="17" fillId="55"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55"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55" borderId="0" applyNumberFormat="0" applyBorder="0" applyAlignment="0" applyProtection="0"/>
    <xf numFmtId="0" fontId="17" fillId="55" borderId="0" applyNumberFormat="0" applyBorder="0" applyAlignment="0" applyProtection="0"/>
    <xf numFmtId="0" fontId="17" fillId="55"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55"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55" borderId="0" applyNumberFormat="0" applyBorder="0" applyAlignment="0" applyProtection="0"/>
    <xf numFmtId="0" fontId="17" fillId="55" borderId="0" applyNumberFormat="0" applyBorder="0" applyAlignment="0" applyProtection="0"/>
    <xf numFmtId="0" fontId="17" fillId="55"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55"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2"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23" borderId="0" applyNumberFormat="0" applyBorder="0" applyAlignment="0" applyProtection="0"/>
    <xf numFmtId="0" fontId="17" fillId="22"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23"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24"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60" borderId="0" applyNumberFormat="0" applyBorder="0" applyAlignment="0" applyProtection="0"/>
    <xf numFmtId="0" fontId="17" fillId="60" borderId="0" applyNumberFormat="0" applyBorder="0" applyAlignment="0" applyProtection="0"/>
    <xf numFmtId="0" fontId="17" fillId="60"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60"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60" borderId="0" applyNumberFormat="0" applyBorder="0" applyAlignment="0" applyProtection="0"/>
    <xf numFmtId="0" fontId="17" fillId="60"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0"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60"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25" borderId="0" applyNumberFormat="0" applyBorder="0" applyAlignment="0" applyProtection="0"/>
    <xf numFmtId="0" fontId="17" fillId="60"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25"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0" borderId="0" applyNumberFormat="0" applyBorder="0" applyAlignment="0" applyProtection="0"/>
    <xf numFmtId="0" fontId="17" fillId="60" borderId="0" applyNumberFormat="0" applyBorder="0" applyAlignment="0" applyProtection="0"/>
    <xf numFmtId="0" fontId="17" fillId="60"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60"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60" borderId="0" applyNumberFormat="0" applyBorder="0" applyAlignment="0" applyProtection="0"/>
    <xf numFmtId="0" fontId="17" fillId="60" borderId="0" applyNumberFormat="0" applyBorder="0" applyAlignment="0" applyProtection="0"/>
    <xf numFmtId="0" fontId="17" fillId="60"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60"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60" borderId="0" applyNumberFormat="0" applyBorder="0" applyAlignment="0" applyProtection="0"/>
    <xf numFmtId="0" fontId="17" fillId="60" borderId="0" applyNumberFormat="0" applyBorder="0" applyAlignment="0" applyProtection="0"/>
    <xf numFmtId="0" fontId="17" fillId="60"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60"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60" borderId="0" applyNumberFormat="0" applyBorder="0" applyAlignment="0" applyProtection="0"/>
    <xf numFmtId="0" fontId="17" fillId="60" borderId="0" applyNumberFormat="0" applyBorder="0" applyAlignment="0" applyProtection="0"/>
    <xf numFmtId="0" fontId="17" fillId="60"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60"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60" borderId="0" applyNumberFormat="0" applyBorder="0" applyAlignment="0" applyProtection="0"/>
    <xf numFmtId="0" fontId="17" fillId="60" borderId="0" applyNumberFormat="0" applyBorder="0" applyAlignment="0" applyProtection="0"/>
    <xf numFmtId="0" fontId="17" fillId="60"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60"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60" borderId="0" applyNumberFormat="0" applyBorder="0" applyAlignment="0" applyProtection="0"/>
    <xf numFmtId="0" fontId="17" fillId="60" borderId="0" applyNumberFormat="0" applyBorder="0" applyAlignment="0" applyProtection="0"/>
    <xf numFmtId="0" fontId="17" fillId="60"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60"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60" borderId="0" applyNumberFormat="0" applyBorder="0" applyAlignment="0" applyProtection="0"/>
    <xf numFmtId="0" fontId="17" fillId="60" borderId="0" applyNumberFormat="0" applyBorder="0" applyAlignment="0" applyProtection="0"/>
    <xf numFmtId="0" fontId="17" fillId="60"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60"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62" borderId="0" applyNumberFormat="0" applyBorder="0" applyAlignment="0" applyProtection="0"/>
    <xf numFmtId="0" fontId="17" fillId="62" borderId="0" applyNumberFormat="0" applyBorder="0" applyAlignment="0" applyProtection="0"/>
    <xf numFmtId="0" fontId="17" fillId="62"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62"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62" borderId="0" applyNumberFormat="0" applyBorder="0" applyAlignment="0" applyProtection="0"/>
    <xf numFmtId="0" fontId="17" fillId="62"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2"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62"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26" borderId="0" applyNumberFormat="0" applyBorder="0" applyAlignment="0" applyProtection="0"/>
    <xf numFmtId="0" fontId="17" fillId="62"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26"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2" borderId="0" applyNumberFormat="0" applyBorder="0" applyAlignment="0" applyProtection="0"/>
    <xf numFmtId="0" fontId="17" fillId="62" borderId="0" applyNumberFormat="0" applyBorder="0" applyAlignment="0" applyProtection="0"/>
    <xf numFmtId="0" fontId="17" fillId="62"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62"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62" borderId="0" applyNumberFormat="0" applyBorder="0" applyAlignment="0" applyProtection="0"/>
    <xf numFmtId="0" fontId="17" fillId="62" borderId="0" applyNumberFormat="0" applyBorder="0" applyAlignment="0" applyProtection="0"/>
    <xf numFmtId="0" fontId="17" fillId="62"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62"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62" borderId="0" applyNumberFormat="0" applyBorder="0" applyAlignment="0" applyProtection="0"/>
    <xf numFmtId="0" fontId="17" fillId="62" borderId="0" applyNumberFormat="0" applyBorder="0" applyAlignment="0" applyProtection="0"/>
    <xf numFmtId="0" fontId="17" fillId="62"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62"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62" borderId="0" applyNumberFormat="0" applyBorder="0" applyAlignment="0" applyProtection="0"/>
    <xf numFmtId="0" fontId="17" fillId="62" borderId="0" applyNumberFormat="0" applyBorder="0" applyAlignment="0" applyProtection="0"/>
    <xf numFmtId="0" fontId="17" fillId="62"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62"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62" borderId="0" applyNumberFormat="0" applyBorder="0" applyAlignment="0" applyProtection="0"/>
    <xf numFmtId="0" fontId="17" fillId="62" borderId="0" applyNumberFormat="0" applyBorder="0" applyAlignment="0" applyProtection="0"/>
    <xf numFmtId="0" fontId="17" fillId="62"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62"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62" borderId="0" applyNumberFormat="0" applyBorder="0" applyAlignment="0" applyProtection="0"/>
    <xf numFmtId="0" fontId="17" fillId="62" borderId="0" applyNumberFormat="0" applyBorder="0" applyAlignment="0" applyProtection="0"/>
    <xf numFmtId="0" fontId="17" fillId="62"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62"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62" borderId="0" applyNumberFormat="0" applyBorder="0" applyAlignment="0" applyProtection="0"/>
    <xf numFmtId="0" fontId="17" fillId="62" borderId="0" applyNumberFormat="0" applyBorder="0" applyAlignment="0" applyProtection="0"/>
    <xf numFmtId="0" fontId="17" fillId="62"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62"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17"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24"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64"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4"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64"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27" borderId="0" applyNumberFormat="0" applyBorder="0" applyAlignment="0" applyProtection="0"/>
    <xf numFmtId="0" fontId="17" fillId="64"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27"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64"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64"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64"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64"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64"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64"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64"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44" fillId="66" borderId="0" applyNumberFormat="0" applyBorder="0" applyAlignment="0" applyProtection="0"/>
    <xf numFmtId="0" fontId="44" fillId="66" borderId="0" applyNumberFormat="0" applyBorder="0" applyAlignment="0" applyProtection="0"/>
    <xf numFmtId="0" fontId="44" fillId="28" borderId="0" applyNumberFormat="0" applyBorder="0" applyAlignment="0" applyProtection="0"/>
    <xf numFmtId="0" fontId="44" fillId="28" borderId="0" applyNumberFormat="0" applyBorder="0" applyAlignment="0" applyProtection="0"/>
    <xf numFmtId="0" fontId="44" fillId="66" borderId="0" applyNumberFormat="0" applyBorder="0" applyAlignment="0" applyProtection="0"/>
    <xf numFmtId="0" fontId="44" fillId="28" borderId="0" applyNumberFormat="0" applyBorder="0" applyAlignment="0" applyProtection="0"/>
    <xf numFmtId="0" fontId="44" fillId="28" borderId="0" applyNumberFormat="0" applyBorder="0" applyAlignment="0" applyProtection="0"/>
    <xf numFmtId="0" fontId="44" fillId="67" borderId="0" applyNumberFormat="0" applyBorder="0" applyAlignment="0" applyProtection="0"/>
    <xf numFmtId="0" fontId="44" fillId="67" borderId="0" applyNumberFormat="0" applyBorder="0" applyAlignment="0" applyProtection="0"/>
    <xf numFmtId="0" fontId="44" fillId="67" borderId="0" applyNumberFormat="0" applyBorder="0" applyAlignment="0" applyProtection="0"/>
    <xf numFmtId="0" fontId="44" fillId="67" borderId="0" applyNumberFormat="0" applyBorder="0" applyAlignment="0" applyProtection="0"/>
    <xf numFmtId="0" fontId="44" fillId="67" borderId="0" applyNumberFormat="0" applyBorder="0" applyAlignment="0" applyProtection="0"/>
    <xf numFmtId="0" fontId="44" fillId="67" borderId="0" applyNumberFormat="0" applyBorder="0" applyAlignment="0" applyProtection="0"/>
    <xf numFmtId="0" fontId="44" fillId="67" borderId="0" applyNumberFormat="0" applyBorder="0" applyAlignment="0" applyProtection="0"/>
    <xf numFmtId="0" fontId="44" fillId="67" borderId="0" applyNumberFormat="0" applyBorder="0" applyAlignment="0" applyProtection="0"/>
    <xf numFmtId="0" fontId="44" fillId="67" borderId="0" applyNumberFormat="0" applyBorder="0" applyAlignment="0" applyProtection="0"/>
    <xf numFmtId="0" fontId="44" fillId="67" borderId="0" applyNumberFormat="0" applyBorder="0" applyAlignment="0" applyProtection="0"/>
    <xf numFmtId="0" fontId="44" fillId="67" borderId="0" applyNumberFormat="0" applyBorder="0" applyAlignment="0" applyProtection="0"/>
    <xf numFmtId="0" fontId="44" fillId="28" borderId="0" applyNumberFormat="0" applyBorder="0" applyAlignment="0" applyProtection="0"/>
    <xf numFmtId="0" fontId="44" fillId="66" borderId="0" applyNumberFormat="0" applyBorder="0" applyAlignment="0" applyProtection="0"/>
    <xf numFmtId="0" fontId="44" fillId="67" borderId="0" applyNumberFormat="0" applyBorder="0" applyAlignment="0" applyProtection="0"/>
    <xf numFmtId="0" fontId="44" fillId="67" borderId="0" applyNumberFormat="0" applyBorder="0" applyAlignment="0" applyProtection="0"/>
    <xf numFmtId="0" fontId="44" fillId="67" borderId="0" applyNumberFormat="0" applyBorder="0" applyAlignment="0" applyProtection="0"/>
    <xf numFmtId="0" fontId="44" fillId="67" borderId="0" applyNumberFormat="0" applyBorder="0" applyAlignment="0" applyProtection="0"/>
    <xf numFmtId="0" fontId="44" fillId="67" borderId="0" applyNumberFormat="0" applyBorder="0" applyAlignment="0" applyProtection="0"/>
    <xf numFmtId="0" fontId="44" fillId="67" borderId="0" applyNumberFormat="0" applyBorder="0" applyAlignment="0" applyProtection="0"/>
    <xf numFmtId="0" fontId="44" fillId="67" borderId="0" applyNumberFormat="0" applyBorder="0" applyAlignment="0" applyProtection="0"/>
    <xf numFmtId="0" fontId="44" fillId="67" borderId="0" applyNumberFormat="0" applyBorder="0" applyAlignment="0" applyProtection="0"/>
    <xf numFmtId="0" fontId="44" fillId="67" borderId="0" applyNumberFormat="0" applyBorder="0" applyAlignment="0" applyProtection="0"/>
    <xf numFmtId="0" fontId="44" fillId="67" borderId="0" applyNumberFormat="0" applyBorder="0" applyAlignment="0" applyProtection="0"/>
    <xf numFmtId="0" fontId="44" fillId="67" borderId="0" applyNumberFormat="0" applyBorder="0" applyAlignment="0" applyProtection="0"/>
    <xf numFmtId="0" fontId="44" fillId="28" borderId="0" applyNumberFormat="0" applyBorder="0" applyAlignment="0" applyProtection="0"/>
    <xf numFmtId="0" fontId="44" fillId="67" borderId="0" applyNumberFormat="0" applyBorder="0" applyAlignment="0" applyProtection="0"/>
    <xf numFmtId="0" fontId="44" fillId="67" borderId="0" applyNumberFormat="0" applyBorder="0" applyAlignment="0" applyProtection="0"/>
    <xf numFmtId="0" fontId="44" fillId="67" borderId="0" applyNumberFormat="0" applyBorder="0" applyAlignment="0" applyProtection="0"/>
    <xf numFmtId="0" fontId="44" fillId="67" borderId="0" applyNumberFormat="0" applyBorder="0" applyAlignment="0" applyProtection="0"/>
    <xf numFmtId="0" fontId="44" fillId="67" borderId="0" applyNumberFormat="0" applyBorder="0" applyAlignment="0" applyProtection="0"/>
    <xf numFmtId="0" fontId="44" fillId="67" borderId="0" applyNumberFormat="0" applyBorder="0" applyAlignment="0" applyProtection="0"/>
    <xf numFmtId="0" fontId="44" fillId="67" borderId="0" applyNumberFormat="0" applyBorder="0" applyAlignment="0" applyProtection="0"/>
    <xf numFmtId="0" fontId="44" fillId="67" borderId="0" applyNumberFormat="0" applyBorder="0" applyAlignment="0" applyProtection="0"/>
    <xf numFmtId="0" fontId="44" fillId="67" borderId="0" applyNumberFormat="0" applyBorder="0" applyAlignment="0" applyProtection="0"/>
    <xf numFmtId="0" fontId="44" fillId="67" borderId="0" applyNumberFormat="0" applyBorder="0" applyAlignment="0" applyProtection="0"/>
    <xf numFmtId="0" fontId="44" fillId="67" borderId="0" applyNumberFormat="0" applyBorder="0" applyAlignment="0" applyProtection="0"/>
    <xf numFmtId="0" fontId="44" fillId="67" borderId="0" applyNumberFormat="0" applyBorder="0" applyAlignment="0" applyProtection="0"/>
    <xf numFmtId="0" fontId="44" fillId="67" borderId="0" applyNumberFormat="0" applyBorder="0" applyAlignment="0" applyProtection="0"/>
    <xf numFmtId="0" fontId="44" fillId="67" borderId="0" applyNumberFormat="0" applyBorder="0" applyAlignment="0" applyProtection="0"/>
    <xf numFmtId="0" fontId="44" fillId="67" borderId="0" applyNumberFormat="0" applyBorder="0" applyAlignment="0" applyProtection="0"/>
    <xf numFmtId="0" fontId="44" fillId="67" borderId="0" applyNumberFormat="0" applyBorder="0" applyAlignment="0" applyProtection="0"/>
    <xf numFmtId="0" fontId="44" fillId="67" borderId="0" applyNumberFormat="0" applyBorder="0" applyAlignment="0" applyProtection="0"/>
    <xf numFmtId="0" fontId="44" fillId="67" borderId="0" applyNumberFormat="0" applyBorder="0" applyAlignment="0" applyProtection="0"/>
    <xf numFmtId="0" fontId="44" fillId="67" borderId="0" applyNumberFormat="0" applyBorder="0" applyAlignment="0" applyProtection="0"/>
    <xf numFmtId="0" fontId="44" fillId="67" borderId="0" applyNumberFormat="0" applyBorder="0" applyAlignment="0" applyProtection="0"/>
    <xf numFmtId="0" fontId="44" fillId="67" borderId="0" applyNumberFormat="0" applyBorder="0" applyAlignment="0" applyProtection="0"/>
    <xf numFmtId="0" fontId="44" fillId="67" borderId="0" applyNumberFormat="0" applyBorder="0" applyAlignment="0" applyProtection="0"/>
    <xf numFmtId="0" fontId="44" fillId="67" borderId="0" applyNumberFormat="0" applyBorder="0" applyAlignment="0" applyProtection="0"/>
    <xf numFmtId="0" fontId="44" fillId="67" borderId="0" applyNumberFormat="0" applyBorder="0" applyAlignment="0" applyProtection="0"/>
    <xf numFmtId="0" fontId="44" fillId="67" borderId="0" applyNumberFormat="0" applyBorder="0" applyAlignment="0" applyProtection="0"/>
    <xf numFmtId="0" fontId="44" fillId="67" borderId="0" applyNumberFormat="0" applyBorder="0" applyAlignment="0" applyProtection="0"/>
    <xf numFmtId="0" fontId="44" fillId="66" borderId="0" applyNumberFormat="0" applyBorder="0" applyAlignment="0" applyProtection="0"/>
    <xf numFmtId="0" fontId="44" fillId="66" borderId="0" applyNumberFormat="0" applyBorder="0" applyAlignment="0" applyProtection="0"/>
    <xf numFmtId="0" fontId="44" fillId="28" borderId="0" applyNumberFormat="0" applyBorder="0" applyAlignment="0" applyProtection="0"/>
    <xf numFmtId="0" fontId="44" fillId="28" borderId="0" applyNumberFormat="0" applyBorder="0" applyAlignment="0" applyProtection="0"/>
    <xf numFmtId="0" fontId="44" fillId="66" borderId="0" applyNumberFormat="0" applyBorder="0" applyAlignment="0" applyProtection="0"/>
    <xf numFmtId="0" fontId="44" fillId="66" borderId="0" applyNumberFormat="0" applyBorder="0" applyAlignment="0" applyProtection="0"/>
    <xf numFmtId="0" fontId="44" fillId="28" borderId="0" applyNumberFormat="0" applyBorder="0" applyAlignment="0" applyProtection="0"/>
    <xf numFmtId="0" fontId="44" fillId="28" borderId="0" applyNumberFormat="0" applyBorder="0" applyAlignment="0" applyProtection="0"/>
    <xf numFmtId="0" fontId="44" fillId="66" borderId="0" applyNumberFormat="0" applyBorder="0" applyAlignment="0" applyProtection="0"/>
    <xf numFmtId="0" fontId="44" fillId="66" borderId="0" applyNumberFormat="0" applyBorder="0" applyAlignment="0" applyProtection="0"/>
    <xf numFmtId="0" fontId="44" fillId="28" borderId="0" applyNumberFormat="0" applyBorder="0" applyAlignment="0" applyProtection="0"/>
    <xf numFmtId="0" fontId="44" fillId="28" borderId="0" applyNumberFormat="0" applyBorder="0" applyAlignment="0" applyProtection="0"/>
    <xf numFmtId="0" fontId="44" fillId="66" borderId="0" applyNumberFormat="0" applyBorder="0" applyAlignment="0" applyProtection="0"/>
    <xf numFmtId="0" fontId="44" fillId="66" borderId="0" applyNumberFormat="0" applyBorder="0" applyAlignment="0" applyProtection="0"/>
    <xf numFmtId="0" fontId="44" fillId="28" borderId="0" applyNumberFormat="0" applyBorder="0" applyAlignment="0" applyProtection="0"/>
    <xf numFmtId="0" fontId="44" fillId="28" borderId="0" applyNumberFormat="0" applyBorder="0" applyAlignment="0" applyProtection="0"/>
    <xf numFmtId="0" fontId="44" fillId="66" borderId="0" applyNumberFormat="0" applyBorder="0" applyAlignment="0" applyProtection="0"/>
    <xf numFmtId="0" fontId="44" fillId="66" borderId="0" applyNumberFormat="0" applyBorder="0" applyAlignment="0" applyProtection="0"/>
    <xf numFmtId="0" fontId="44" fillId="28" borderId="0" applyNumberFormat="0" applyBorder="0" applyAlignment="0" applyProtection="0"/>
    <xf numFmtId="0" fontId="44" fillId="28" borderId="0" applyNumberFormat="0" applyBorder="0" applyAlignment="0" applyProtection="0"/>
    <xf numFmtId="0" fontId="44" fillId="66" borderId="0" applyNumberFormat="0" applyBorder="0" applyAlignment="0" applyProtection="0"/>
    <xf numFmtId="0" fontId="44" fillId="66" borderId="0" applyNumberFormat="0" applyBorder="0" applyAlignment="0" applyProtection="0"/>
    <xf numFmtId="0" fontId="44" fillId="28" borderId="0" applyNumberFormat="0" applyBorder="0" applyAlignment="0" applyProtection="0"/>
    <xf numFmtId="0" fontId="44" fillId="28" borderId="0" applyNumberFormat="0" applyBorder="0" applyAlignment="0" applyProtection="0"/>
    <xf numFmtId="0" fontId="44" fillId="66" borderId="0" applyNumberFormat="0" applyBorder="0" applyAlignment="0" applyProtection="0"/>
    <xf numFmtId="0" fontId="44" fillId="66" borderId="0" applyNumberFormat="0" applyBorder="0" applyAlignment="0" applyProtection="0"/>
    <xf numFmtId="0" fontId="44" fillId="28" borderId="0" applyNumberFormat="0" applyBorder="0" applyAlignment="0" applyProtection="0"/>
    <xf numFmtId="0" fontId="44" fillId="28" borderId="0" applyNumberFormat="0" applyBorder="0" applyAlignment="0" applyProtection="0"/>
    <xf numFmtId="0" fontId="44" fillId="60" borderId="0" applyNumberFormat="0" applyBorder="0" applyAlignment="0" applyProtection="0"/>
    <xf numFmtId="0" fontId="44" fillId="60" borderId="0" applyNumberFormat="0" applyBorder="0" applyAlignment="0" applyProtection="0"/>
    <xf numFmtId="0" fontId="44" fillId="25" borderId="0" applyNumberFormat="0" applyBorder="0" applyAlignment="0" applyProtection="0"/>
    <xf numFmtId="0" fontId="44" fillId="25" borderId="0" applyNumberFormat="0" applyBorder="0" applyAlignment="0" applyProtection="0"/>
    <xf numFmtId="0" fontId="44" fillId="60" borderId="0" applyNumberFormat="0" applyBorder="0" applyAlignment="0" applyProtection="0"/>
    <xf numFmtId="0" fontId="44" fillId="25" borderId="0" applyNumberFormat="0" applyBorder="0" applyAlignment="0" applyProtection="0"/>
    <xf numFmtId="0" fontId="44" fillId="25" borderId="0" applyNumberFormat="0" applyBorder="0" applyAlignment="0" applyProtection="0"/>
    <xf numFmtId="0" fontId="44" fillId="61" borderId="0" applyNumberFormat="0" applyBorder="0" applyAlignment="0" applyProtection="0"/>
    <xf numFmtId="0" fontId="44" fillId="61" borderId="0" applyNumberFormat="0" applyBorder="0" applyAlignment="0" applyProtection="0"/>
    <xf numFmtId="0" fontId="44" fillId="61" borderId="0" applyNumberFormat="0" applyBorder="0" applyAlignment="0" applyProtection="0"/>
    <xf numFmtId="0" fontId="44" fillId="61" borderId="0" applyNumberFormat="0" applyBorder="0" applyAlignment="0" applyProtection="0"/>
    <xf numFmtId="0" fontId="44" fillId="61" borderId="0" applyNumberFormat="0" applyBorder="0" applyAlignment="0" applyProtection="0"/>
    <xf numFmtId="0" fontId="44" fillId="61" borderId="0" applyNumberFormat="0" applyBorder="0" applyAlignment="0" applyProtection="0"/>
    <xf numFmtId="0" fontId="44" fillId="61" borderId="0" applyNumberFormat="0" applyBorder="0" applyAlignment="0" applyProtection="0"/>
    <xf numFmtId="0" fontId="44" fillId="61" borderId="0" applyNumberFormat="0" applyBorder="0" applyAlignment="0" applyProtection="0"/>
    <xf numFmtId="0" fontId="44" fillId="61" borderId="0" applyNumberFormat="0" applyBorder="0" applyAlignment="0" applyProtection="0"/>
    <xf numFmtId="0" fontId="44" fillId="61" borderId="0" applyNumberFormat="0" applyBorder="0" applyAlignment="0" applyProtection="0"/>
    <xf numFmtId="0" fontId="44" fillId="61" borderId="0" applyNumberFormat="0" applyBorder="0" applyAlignment="0" applyProtection="0"/>
    <xf numFmtId="0" fontId="44" fillId="25" borderId="0" applyNumberFormat="0" applyBorder="0" applyAlignment="0" applyProtection="0"/>
    <xf numFmtId="0" fontId="44" fillId="60" borderId="0" applyNumberFormat="0" applyBorder="0" applyAlignment="0" applyProtection="0"/>
    <xf numFmtId="0" fontId="44" fillId="61" borderId="0" applyNumberFormat="0" applyBorder="0" applyAlignment="0" applyProtection="0"/>
    <xf numFmtId="0" fontId="44" fillId="61" borderId="0" applyNumberFormat="0" applyBorder="0" applyAlignment="0" applyProtection="0"/>
    <xf numFmtId="0" fontId="44" fillId="61" borderId="0" applyNumberFormat="0" applyBorder="0" applyAlignment="0" applyProtection="0"/>
    <xf numFmtId="0" fontId="44" fillId="61" borderId="0" applyNumberFormat="0" applyBorder="0" applyAlignment="0" applyProtection="0"/>
    <xf numFmtId="0" fontId="44" fillId="61" borderId="0" applyNumberFormat="0" applyBorder="0" applyAlignment="0" applyProtection="0"/>
    <xf numFmtId="0" fontId="44" fillId="61" borderId="0" applyNumberFormat="0" applyBorder="0" applyAlignment="0" applyProtection="0"/>
    <xf numFmtId="0" fontId="44" fillId="61" borderId="0" applyNumberFormat="0" applyBorder="0" applyAlignment="0" applyProtection="0"/>
    <xf numFmtId="0" fontId="44" fillId="61" borderId="0" applyNumberFormat="0" applyBorder="0" applyAlignment="0" applyProtection="0"/>
    <xf numFmtId="0" fontId="44" fillId="61" borderId="0" applyNumberFormat="0" applyBorder="0" applyAlignment="0" applyProtection="0"/>
    <xf numFmtId="0" fontId="44" fillId="61" borderId="0" applyNumberFormat="0" applyBorder="0" applyAlignment="0" applyProtection="0"/>
    <xf numFmtId="0" fontId="44" fillId="61" borderId="0" applyNumberFormat="0" applyBorder="0" applyAlignment="0" applyProtection="0"/>
    <xf numFmtId="0" fontId="44" fillId="25" borderId="0" applyNumberFormat="0" applyBorder="0" applyAlignment="0" applyProtection="0"/>
    <xf numFmtId="0" fontId="44" fillId="61" borderId="0" applyNumberFormat="0" applyBorder="0" applyAlignment="0" applyProtection="0"/>
    <xf numFmtId="0" fontId="44" fillId="61" borderId="0" applyNumberFormat="0" applyBorder="0" applyAlignment="0" applyProtection="0"/>
    <xf numFmtId="0" fontId="44" fillId="61" borderId="0" applyNumberFormat="0" applyBorder="0" applyAlignment="0" applyProtection="0"/>
    <xf numFmtId="0" fontId="44" fillId="61" borderId="0" applyNumberFormat="0" applyBorder="0" applyAlignment="0" applyProtection="0"/>
    <xf numFmtId="0" fontId="44" fillId="61" borderId="0" applyNumberFormat="0" applyBorder="0" applyAlignment="0" applyProtection="0"/>
    <xf numFmtId="0" fontId="44" fillId="61" borderId="0" applyNumberFormat="0" applyBorder="0" applyAlignment="0" applyProtection="0"/>
    <xf numFmtId="0" fontId="44" fillId="61" borderId="0" applyNumberFormat="0" applyBorder="0" applyAlignment="0" applyProtection="0"/>
    <xf numFmtId="0" fontId="44" fillId="61" borderId="0" applyNumberFormat="0" applyBorder="0" applyAlignment="0" applyProtection="0"/>
    <xf numFmtId="0" fontId="44" fillId="61" borderId="0" applyNumberFormat="0" applyBorder="0" applyAlignment="0" applyProtection="0"/>
    <xf numFmtId="0" fontId="44" fillId="61" borderId="0" applyNumberFormat="0" applyBorder="0" applyAlignment="0" applyProtection="0"/>
    <xf numFmtId="0" fontId="44" fillId="61" borderId="0" applyNumberFormat="0" applyBorder="0" applyAlignment="0" applyProtection="0"/>
    <xf numFmtId="0" fontId="44" fillId="61" borderId="0" applyNumberFormat="0" applyBorder="0" applyAlignment="0" applyProtection="0"/>
    <xf numFmtId="0" fontId="44" fillId="61" borderId="0" applyNumberFormat="0" applyBorder="0" applyAlignment="0" applyProtection="0"/>
    <xf numFmtId="0" fontId="44" fillId="61" borderId="0" applyNumberFormat="0" applyBorder="0" applyAlignment="0" applyProtection="0"/>
    <xf numFmtId="0" fontId="44" fillId="61" borderId="0" applyNumberFormat="0" applyBorder="0" applyAlignment="0" applyProtection="0"/>
    <xf numFmtId="0" fontId="44" fillId="61" borderId="0" applyNumberFormat="0" applyBorder="0" applyAlignment="0" applyProtection="0"/>
    <xf numFmtId="0" fontId="44" fillId="61" borderId="0" applyNumberFormat="0" applyBorder="0" applyAlignment="0" applyProtection="0"/>
    <xf numFmtId="0" fontId="44" fillId="61" borderId="0" applyNumberFormat="0" applyBorder="0" applyAlignment="0" applyProtection="0"/>
    <xf numFmtId="0" fontId="44" fillId="61" borderId="0" applyNumberFormat="0" applyBorder="0" applyAlignment="0" applyProtection="0"/>
    <xf numFmtId="0" fontId="44" fillId="61" borderId="0" applyNumberFormat="0" applyBorder="0" applyAlignment="0" applyProtection="0"/>
    <xf numFmtId="0" fontId="44" fillId="61" borderId="0" applyNumberFormat="0" applyBorder="0" applyAlignment="0" applyProtection="0"/>
    <xf numFmtId="0" fontId="44" fillId="61" borderId="0" applyNumberFormat="0" applyBorder="0" applyAlignment="0" applyProtection="0"/>
    <xf numFmtId="0" fontId="44" fillId="61" borderId="0" applyNumberFormat="0" applyBorder="0" applyAlignment="0" applyProtection="0"/>
    <xf numFmtId="0" fontId="44" fillId="61" borderId="0" applyNumberFormat="0" applyBorder="0" applyAlignment="0" applyProtection="0"/>
    <xf numFmtId="0" fontId="44" fillId="61" borderId="0" applyNumberFormat="0" applyBorder="0" applyAlignment="0" applyProtection="0"/>
    <xf numFmtId="0" fontId="44" fillId="61" borderId="0" applyNumberFormat="0" applyBorder="0" applyAlignment="0" applyProtection="0"/>
    <xf numFmtId="0" fontId="44" fillId="60" borderId="0" applyNumberFormat="0" applyBorder="0" applyAlignment="0" applyProtection="0"/>
    <xf numFmtId="0" fontId="44" fillId="60" borderId="0" applyNumberFormat="0" applyBorder="0" applyAlignment="0" applyProtection="0"/>
    <xf numFmtId="0" fontId="44" fillId="25" borderId="0" applyNumberFormat="0" applyBorder="0" applyAlignment="0" applyProtection="0"/>
    <xf numFmtId="0" fontId="44" fillId="25" borderId="0" applyNumberFormat="0" applyBorder="0" applyAlignment="0" applyProtection="0"/>
    <xf numFmtId="0" fontId="44" fillId="60" borderId="0" applyNumberFormat="0" applyBorder="0" applyAlignment="0" applyProtection="0"/>
    <xf numFmtId="0" fontId="44" fillId="60" borderId="0" applyNumberFormat="0" applyBorder="0" applyAlignment="0" applyProtection="0"/>
    <xf numFmtId="0" fontId="44" fillId="25" borderId="0" applyNumberFormat="0" applyBorder="0" applyAlignment="0" applyProtection="0"/>
    <xf numFmtId="0" fontId="44" fillId="25" borderId="0" applyNumberFormat="0" applyBorder="0" applyAlignment="0" applyProtection="0"/>
    <xf numFmtId="0" fontId="44" fillId="60" borderId="0" applyNumberFormat="0" applyBorder="0" applyAlignment="0" applyProtection="0"/>
    <xf numFmtId="0" fontId="44" fillId="60" borderId="0" applyNumberFormat="0" applyBorder="0" applyAlignment="0" applyProtection="0"/>
    <xf numFmtId="0" fontId="44" fillId="25" borderId="0" applyNumberFormat="0" applyBorder="0" applyAlignment="0" applyProtection="0"/>
    <xf numFmtId="0" fontId="44" fillId="25" borderId="0" applyNumberFormat="0" applyBorder="0" applyAlignment="0" applyProtection="0"/>
    <xf numFmtId="0" fontId="44" fillId="60" borderId="0" applyNumberFormat="0" applyBorder="0" applyAlignment="0" applyProtection="0"/>
    <xf numFmtId="0" fontId="44" fillId="60" borderId="0" applyNumberFormat="0" applyBorder="0" applyAlignment="0" applyProtection="0"/>
    <xf numFmtId="0" fontId="44" fillId="25" borderId="0" applyNumberFormat="0" applyBorder="0" applyAlignment="0" applyProtection="0"/>
    <xf numFmtId="0" fontId="44" fillId="25" borderId="0" applyNumberFormat="0" applyBorder="0" applyAlignment="0" applyProtection="0"/>
    <xf numFmtId="0" fontId="44" fillId="60" borderId="0" applyNumberFormat="0" applyBorder="0" applyAlignment="0" applyProtection="0"/>
    <xf numFmtId="0" fontId="44" fillId="60" borderId="0" applyNumberFormat="0" applyBorder="0" applyAlignment="0" applyProtection="0"/>
    <xf numFmtId="0" fontId="44" fillId="25" borderId="0" applyNumberFormat="0" applyBorder="0" applyAlignment="0" applyProtection="0"/>
    <xf numFmtId="0" fontId="44" fillId="25" borderId="0" applyNumberFormat="0" applyBorder="0" applyAlignment="0" applyProtection="0"/>
    <xf numFmtId="0" fontId="44" fillId="60" borderId="0" applyNumberFormat="0" applyBorder="0" applyAlignment="0" applyProtection="0"/>
    <xf numFmtId="0" fontId="44" fillId="60" borderId="0" applyNumberFormat="0" applyBorder="0" applyAlignment="0" applyProtection="0"/>
    <xf numFmtId="0" fontId="44" fillId="25" borderId="0" applyNumberFormat="0" applyBorder="0" applyAlignment="0" applyProtection="0"/>
    <xf numFmtId="0" fontId="44" fillId="25" borderId="0" applyNumberFormat="0" applyBorder="0" applyAlignment="0" applyProtection="0"/>
    <xf numFmtId="0" fontId="44" fillId="60" borderId="0" applyNumberFormat="0" applyBorder="0" applyAlignment="0" applyProtection="0"/>
    <xf numFmtId="0" fontId="44" fillId="60" borderId="0" applyNumberFormat="0" applyBorder="0" applyAlignment="0" applyProtection="0"/>
    <xf numFmtId="0" fontId="44" fillId="25" borderId="0" applyNumberFormat="0" applyBorder="0" applyAlignment="0" applyProtection="0"/>
    <xf numFmtId="0" fontId="44" fillId="25" borderId="0" applyNumberFormat="0" applyBorder="0" applyAlignment="0" applyProtection="0"/>
    <xf numFmtId="0" fontId="44" fillId="62" borderId="0" applyNumberFormat="0" applyBorder="0" applyAlignment="0" applyProtection="0"/>
    <xf numFmtId="0" fontId="44" fillId="62" borderId="0" applyNumberFormat="0" applyBorder="0" applyAlignment="0" applyProtection="0"/>
    <xf numFmtId="0" fontId="44" fillId="26" borderId="0" applyNumberFormat="0" applyBorder="0" applyAlignment="0" applyProtection="0"/>
    <xf numFmtId="0" fontId="44" fillId="26" borderId="0" applyNumberFormat="0" applyBorder="0" applyAlignment="0" applyProtection="0"/>
    <xf numFmtId="0" fontId="44" fillId="62" borderId="0" applyNumberFormat="0" applyBorder="0" applyAlignment="0" applyProtection="0"/>
    <xf numFmtId="0" fontId="44" fillId="26" borderId="0" applyNumberFormat="0" applyBorder="0" applyAlignment="0" applyProtection="0"/>
    <xf numFmtId="0" fontId="44" fillId="26" borderId="0" applyNumberFormat="0" applyBorder="0" applyAlignment="0" applyProtection="0"/>
    <xf numFmtId="0" fontId="44" fillId="63" borderId="0" applyNumberFormat="0" applyBorder="0" applyAlignment="0" applyProtection="0"/>
    <xf numFmtId="0" fontId="44" fillId="63" borderId="0" applyNumberFormat="0" applyBorder="0" applyAlignment="0" applyProtection="0"/>
    <xf numFmtId="0" fontId="44" fillId="63" borderId="0" applyNumberFormat="0" applyBorder="0" applyAlignment="0" applyProtection="0"/>
    <xf numFmtId="0" fontId="44" fillId="63" borderId="0" applyNumberFormat="0" applyBorder="0" applyAlignment="0" applyProtection="0"/>
    <xf numFmtId="0" fontId="44" fillId="63" borderId="0" applyNumberFormat="0" applyBorder="0" applyAlignment="0" applyProtection="0"/>
    <xf numFmtId="0" fontId="44" fillId="63" borderId="0" applyNumberFormat="0" applyBorder="0" applyAlignment="0" applyProtection="0"/>
    <xf numFmtId="0" fontId="44" fillId="63" borderId="0" applyNumberFormat="0" applyBorder="0" applyAlignment="0" applyProtection="0"/>
    <xf numFmtId="0" fontId="44" fillId="63" borderId="0" applyNumberFormat="0" applyBorder="0" applyAlignment="0" applyProtection="0"/>
    <xf numFmtId="0" fontId="44" fillId="63" borderId="0" applyNumberFormat="0" applyBorder="0" applyAlignment="0" applyProtection="0"/>
    <xf numFmtId="0" fontId="44" fillId="63" borderId="0" applyNumberFormat="0" applyBorder="0" applyAlignment="0" applyProtection="0"/>
    <xf numFmtId="0" fontId="44" fillId="63" borderId="0" applyNumberFormat="0" applyBorder="0" applyAlignment="0" applyProtection="0"/>
    <xf numFmtId="0" fontId="44" fillId="26" borderId="0" applyNumberFormat="0" applyBorder="0" applyAlignment="0" applyProtection="0"/>
    <xf numFmtId="0" fontId="44" fillId="62" borderId="0" applyNumberFormat="0" applyBorder="0" applyAlignment="0" applyProtection="0"/>
    <xf numFmtId="0" fontId="44" fillId="63" borderId="0" applyNumberFormat="0" applyBorder="0" applyAlignment="0" applyProtection="0"/>
    <xf numFmtId="0" fontId="44" fillId="63" borderId="0" applyNumberFormat="0" applyBorder="0" applyAlignment="0" applyProtection="0"/>
    <xf numFmtId="0" fontId="44" fillId="63" borderId="0" applyNumberFormat="0" applyBorder="0" applyAlignment="0" applyProtection="0"/>
    <xf numFmtId="0" fontId="44" fillId="63" borderId="0" applyNumberFormat="0" applyBorder="0" applyAlignment="0" applyProtection="0"/>
    <xf numFmtId="0" fontId="44" fillId="63" borderId="0" applyNumberFormat="0" applyBorder="0" applyAlignment="0" applyProtection="0"/>
    <xf numFmtId="0" fontId="44" fillId="63" borderId="0" applyNumberFormat="0" applyBorder="0" applyAlignment="0" applyProtection="0"/>
    <xf numFmtId="0" fontId="44" fillId="63" borderId="0" applyNumberFormat="0" applyBorder="0" applyAlignment="0" applyProtection="0"/>
    <xf numFmtId="0" fontId="44" fillId="63" borderId="0" applyNumberFormat="0" applyBorder="0" applyAlignment="0" applyProtection="0"/>
    <xf numFmtId="0" fontId="44" fillId="63" borderId="0" applyNumberFormat="0" applyBorder="0" applyAlignment="0" applyProtection="0"/>
    <xf numFmtId="0" fontId="44" fillId="63" borderId="0" applyNumberFormat="0" applyBorder="0" applyAlignment="0" applyProtection="0"/>
    <xf numFmtId="0" fontId="44" fillId="63" borderId="0" applyNumberFormat="0" applyBorder="0" applyAlignment="0" applyProtection="0"/>
    <xf numFmtId="0" fontId="44" fillId="26" borderId="0" applyNumberFormat="0" applyBorder="0" applyAlignment="0" applyProtection="0"/>
    <xf numFmtId="0" fontId="44" fillId="63" borderId="0" applyNumberFormat="0" applyBorder="0" applyAlignment="0" applyProtection="0"/>
    <xf numFmtId="0" fontId="44" fillId="63" borderId="0" applyNumberFormat="0" applyBorder="0" applyAlignment="0" applyProtection="0"/>
    <xf numFmtId="0" fontId="44" fillId="63" borderId="0" applyNumberFormat="0" applyBorder="0" applyAlignment="0" applyProtection="0"/>
    <xf numFmtId="0" fontId="44" fillId="63" borderId="0" applyNumberFormat="0" applyBorder="0" applyAlignment="0" applyProtection="0"/>
    <xf numFmtId="0" fontId="44" fillId="63" borderId="0" applyNumberFormat="0" applyBorder="0" applyAlignment="0" applyProtection="0"/>
    <xf numFmtId="0" fontId="44" fillId="63" borderId="0" applyNumberFormat="0" applyBorder="0" applyAlignment="0" applyProtection="0"/>
    <xf numFmtId="0" fontId="44" fillId="63" borderId="0" applyNumberFormat="0" applyBorder="0" applyAlignment="0" applyProtection="0"/>
    <xf numFmtId="0" fontId="44" fillId="63" borderId="0" applyNumberFormat="0" applyBorder="0" applyAlignment="0" applyProtection="0"/>
    <xf numFmtId="0" fontId="44" fillId="63" borderId="0" applyNumberFormat="0" applyBorder="0" applyAlignment="0" applyProtection="0"/>
    <xf numFmtId="0" fontId="44" fillId="63" borderId="0" applyNumberFormat="0" applyBorder="0" applyAlignment="0" applyProtection="0"/>
    <xf numFmtId="0" fontId="44" fillId="63" borderId="0" applyNumberFormat="0" applyBorder="0" applyAlignment="0" applyProtection="0"/>
    <xf numFmtId="0" fontId="44" fillId="63" borderId="0" applyNumberFormat="0" applyBorder="0" applyAlignment="0" applyProtection="0"/>
    <xf numFmtId="0" fontId="44" fillId="63" borderId="0" applyNumberFormat="0" applyBorder="0" applyAlignment="0" applyProtection="0"/>
    <xf numFmtId="0" fontId="44" fillId="63" borderId="0" applyNumberFormat="0" applyBorder="0" applyAlignment="0" applyProtection="0"/>
    <xf numFmtId="0" fontId="44" fillId="63" borderId="0" applyNumberFormat="0" applyBorder="0" applyAlignment="0" applyProtection="0"/>
    <xf numFmtId="0" fontId="44" fillId="63" borderId="0" applyNumberFormat="0" applyBorder="0" applyAlignment="0" applyProtection="0"/>
    <xf numFmtId="0" fontId="44" fillId="63" borderId="0" applyNumberFormat="0" applyBorder="0" applyAlignment="0" applyProtection="0"/>
    <xf numFmtId="0" fontId="44" fillId="63" borderId="0" applyNumberFormat="0" applyBorder="0" applyAlignment="0" applyProtection="0"/>
    <xf numFmtId="0" fontId="44" fillId="63" borderId="0" applyNumberFormat="0" applyBorder="0" applyAlignment="0" applyProtection="0"/>
    <xf numFmtId="0" fontId="44" fillId="63" borderId="0" applyNumberFormat="0" applyBorder="0" applyAlignment="0" applyProtection="0"/>
    <xf numFmtId="0" fontId="44" fillId="63" borderId="0" applyNumberFormat="0" applyBorder="0" applyAlignment="0" applyProtection="0"/>
    <xf numFmtId="0" fontId="44" fillId="63" borderId="0" applyNumberFormat="0" applyBorder="0" applyAlignment="0" applyProtection="0"/>
    <xf numFmtId="0" fontId="44" fillId="63" borderId="0" applyNumberFormat="0" applyBorder="0" applyAlignment="0" applyProtection="0"/>
    <xf numFmtId="0" fontId="44" fillId="63" borderId="0" applyNumberFormat="0" applyBorder="0" applyAlignment="0" applyProtection="0"/>
    <xf numFmtId="0" fontId="44" fillId="63" borderId="0" applyNumberFormat="0" applyBorder="0" applyAlignment="0" applyProtection="0"/>
    <xf numFmtId="0" fontId="44" fillId="63" borderId="0" applyNumberFormat="0" applyBorder="0" applyAlignment="0" applyProtection="0"/>
    <xf numFmtId="0" fontId="44" fillId="62" borderId="0" applyNumberFormat="0" applyBorder="0" applyAlignment="0" applyProtection="0"/>
    <xf numFmtId="0" fontId="44" fillId="62" borderId="0" applyNumberFormat="0" applyBorder="0" applyAlignment="0" applyProtection="0"/>
    <xf numFmtId="0" fontId="44" fillId="26" borderId="0" applyNumberFormat="0" applyBorder="0" applyAlignment="0" applyProtection="0"/>
    <xf numFmtId="0" fontId="44" fillId="26" borderId="0" applyNumberFormat="0" applyBorder="0" applyAlignment="0" applyProtection="0"/>
    <xf numFmtId="0" fontId="44" fillId="62" borderId="0" applyNumberFormat="0" applyBorder="0" applyAlignment="0" applyProtection="0"/>
    <xf numFmtId="0" fontId="44" fillId="62" borderId="0" applyNumberFormat="0" applyBorder="0" applyAlignment="0" applyProtection="0"/>
    <xf numFmtId="0" fontId="44" fillId="26" borderId="0" applyNumberFormat="0" applyBorder="0" applyAlignment="0" applyProtection="0"/>
    <xf numFmtId="0" fontId="44" fillId="26" borderId="0" applyNumberFormat="0" applyBorder="0" applyAlignment="0" applyProtection="0"/>
    <xf numFmtId="0" fontId="44" fillId="62" borderId="0" applyNumberFormat="0" applyBorder="0" applyAlignment="0" applyProtection="0"/>
    <xf numFmtId="0" fontId="44" fillId="62" borderId="0" applyNumberFormat="0" applyBorder="0" applyAlignment="0" applyProtection="0"/>
    <xf numFmtId="0" fontId="44" fillId="26" borderId="0" applyNumberFormat="0" applyBorder="0" applyAlignment="0" applyProtection="0"/>
    <xf numFmtId="0" fontId="44" fillId="26" borderId="0" applyNumberFormat="0" applyBorder="0" applyAlignment="0" applyProtection="0"/>
    <xf numFmtId="0" fontId="44" fillId="62" borderId="0" applyNumberFormat="0" applyBorder="0" applyAlignment="0" applyProtection="0"/>
    <xf numFmtId="0" fontId="44" fillId="62" borderId="0" applyNumberFormat="0" applyBorder="0" applyAlignment="0" applyProtection="0"/>
    <xf numFmtId="0" fontId="44" fillId="26" borderId="0" applyNumberFormat="0" applyBorder="0" applyAlignment="0" applyProtection="0"/>
    <xf numFmtId="0" fontId="44" fillId="26" borderId="0" applyNumberFormat="0" applyBorder="0" applyAlignment="0" applyProtection="0"/>
    <xf numFmtId="0" fontId="44" fillId="62" borderId="0" applyNumberFormat="0" applyBorder="0" applyAlignment="0" applyProtection="0"/>
    <xf numFmtId="0" fontId="44" fillId="62" borderId="0" applyNumberFormat="0" applyBorder="0" applyAlignment="0" applyProtection="0"/>
    <xf numFmtId="0" fontId="44" fillId="26" borderId="0" applyNumberFormat="0" applyBorder="0" applyAlignment="0" applyProtection="0"/>
    <xf numFmtId="0" fontId="44" fillId="26" borderId="0" applyNumberFormat="0" applyBorder="0" applyAlignment="0" applyProtection="0"/>
    <xf numFmtId="0" fontId="44" fillId="62" borderId="0" applyNumberFormat="0" applyBorder="0" applyAlignment="0" applyProtection="0"/>
    <xf numFmtId="0" fontId="44" fillId="62" borderId="0" applyNumberFormat="0" applyBorder="0" applyAlignment="0" applyProtection="0"/>
    <xf numFmtId="0" fontId="44" fillId="26" borderId="0" applyNumberFormat="0" applyBorder="0" applyAlignment="0" applyProtection="0"/>
    <xf numFmtId="0" fontId="44" fillId="26" borderId="0" applyNumberFormat="0" applyBorder="0" applyAlignment="0" applyProtection="0"/>
    <xf numFmtId="0" fontId="44" fillId="62" borderId="0" applyNumberFormat="0" applyBorder="0" applyAlignment="0" applyProtection="0"/>
    <xf numFmtId="0" fontId="44" fillId="62" borderId="0" applyNumberFormat="0" applyBorder="0" applyAlignment="0" applyProtection="0"/>
    <xf numFmtId="0" fontId="44" fillId="26" borderId="0" applyNumberFormat="0" applyBorder="0" applyAlignment="0" applyProtection="0"/>
    <xf numFmtId="0" fontId="44" fillId="26" borderId="0" applyNumberFormat="0" applyBorder="0" applyAlignment="0" applyProtection="0"/>
    <xf numFmtId="0" fontId="44" fillId="68" borderId="0" applyNumberFormat="0" applyBorder="0" applyAlignment="0" applyProtection="0"/>
    <xf numFmtId="0" fontId="44" fillId="68" borderId="0" applyNumberFormat="0" applyBorder="0" applyAlignment="0" applyProtection="0"/>
    <xf numFmtId="0" fontId="44" fillId="29" borderId="0" applyNumberFormat="0" applyBorder="0" applyAlignment="0" applyProtection="0"/>
    <xf numFmtId="0" fontId="44" fillId="29" borderId="0" applyNumberFormat="0" applyBorder="0" applyAlignment="0" applyProtection="0"/>
    <xf numFmtId="0" fontId="44" fillId="68" borderId="0" applyNumberFormat="0" applyBorder="0" applyAlignment="0" applyProtection="0"/>
    <xf numFmtId="0" fontId="44" fillId="29" borderId="0" applyNumberFormat="0" applyBorder="0" applyAlignment="0" applyProtection="0"/>
    <xf numFmtId="0" fontId="44" fillId="2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29" borderId="0" applyNumberFormat="0" applyBorder="0" applyAlignment="0" applyProtection="0"/>
    <xf numFmtId="0" fontId="44" fillId="68"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2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8" borderId="0" applyNumberFormat="0" applyBorder="0" applyAlignment="0" applyProtection="0"/>
    <xf numFmtId="0" fontId="44" fillId="68" borderId="0" applyNumberFormat="0" applyBorder="0" applyAlignment="0" applyProtection="0"/>
    <xf numFmtId="0" fontId="44" fillId="29" borderId="0" applyNumberFormat="0" applyBorder="0" applyAlignment="0" applyProtection="0"/>
    <xf numFmtId="0" fontId="44" fillId="29" borderId="0" applyNumberFormat="0" applyBorder="0" applyAlignment="0" applyProtection="0"/>
    <xf numFmtId="0" fontId="44" fillId="68" borderId="0" applyNumberFormat="0" applyBorder="0" applyAlignment="0" applyProtection="0"/>
    <xf numFmtId="0" fontId="44" fillId="68" borderId="0" applyNumberFormat="0" applyBorder="0" applyAlignment="0" applyProtection="0"/>
    <xf numFmtId="0" fontId="44" fillId="29" borderId="0" applyNumberFormat="0" applyBorder="0" applyAlignment="0" applyProtection="0"/>
    <xf numFmtId="0" fontId="44" fillId="29" borderId="0" applyNumberFormat="0" applyBorder="0" applyAlignment="0" applyProtection="0"/>
    <xf numFmtId="0" fontId="44" fillId="68" borderId="0" applyNumberFormat="0" applyBorder="0" applyAlignment="0" applyProtection="0"/>
    <xf numFmtId="0" fontId="44" fillId="68" borderId="0" applyNumberFormat="0" applyBorder="0" applyAlignment="0" applyProtection="0"/>
    <xf numFmtId="0" fontId="44" fillId="29" borderId="0" applyNumberFormat="0" applyBorder="0" applyAlignment="0" applyProtection="0"/>
    <xf numFmtId="0" fontId="44" fillId="29" borderId="0" applyNumberFormat="0" applyBorder="0" applyAlignment="0" applyProtection="0"/>
    <xf numFmtId="0" fontId="44" fillId="68" borderId="0" applyNumberFormat="0" applyBorder="0" applyAlignment="0" applyProtection="0"/>
    <xf numFmtId="0" fontId="44" fillId="68" borderId="0" applyNumberFormat="0" applyBorder="0" applyAlignment="0" applyProtection="0"/>
    <xf numFmtId="0" fontId="44" fillId="29" borderId="0" applyNumberFormat="0" applyBorder="0" applyAlignment="0" applyProtection="0"/>
    <xf numFmtId="0" fontId="44" fillId="29" borderId="0" applyNumberFormat="0" applyBorder="0" applyAlignment="0" applyProtection="0"/>
    <xf numFmtId="0" fontId="44" fillId="68" borderId="0" applyNumberFormat="0" applyBorder="0" applyAlignment="0" applyProtection="0"/>
    <xf numFmtId="0" fontId="44" fillId="68" borderId="0" applyNumberFormat="0" applyBorder="0" applyAlignment="0" applyProtection="0"/>
    <xf numFmtId="0" fontId="44" fillId="29" borderId="0" applyNumberFormat="0" applyBorder="0" applyAlignment="0" applyProtection="0"/>
    <xf numFmtId="0" fontId="44" fillId="29" borderId="0" applyNumberFormat="0" applyBorder="0" applyAlignment="0" applyProtection="0"/>
    <xf numFmtId="0" fontId="44" fillId="68" borderId="0" applyNumberFormat="0" applyBorder="0" applyAlignment="0" applyProtection="0"/>
    <xf numFmtId="0" fontId="44" fillId="68" borderId="0" applyNumberFormat="0" applyBorder="0" applyAlignment="0" applyProtection="0"/>
    <xf numFmtId="0" fontId="44" fillId="29" borderId="0" applyNumberFormat="0" applyBorder="0" applyAlignment="0" applyProtection="0"/>
    <xf numFmtId="0" fontId="44" fillId="29" borderId="0" applyNumberFormat="0" applyBorder="0" applyAlignment="0" applyProtection="0"/>
    <xf numFmtId="0" fontId="44" fillId="68" borderId="0" applyNumberFormat="0" applyBorder="0" applyAlignment="0" applyProtection="0"/>
    <xf numFmtId="0" fontId="44" fillId="68" borderId="0" applyNumberFormat="0" applyBorder="0" applyAlignment="0" applyProtection="0"/>
    <xf numFmtId="0" fontId="44" fillId="29" borderId="0" applyNumberFormat="0" applyBorder="0" applyAlignment="0" applyProtection="0"/>
    <xf numFmtId="0" fontId="44" fillId="29" borderId="0" applyNumberFormat="0" applyBorder="0" applyAlignment="0" applyProtection="0"/>
    <xf numFmtId="0" fontId="44" fillId="70" borderId="0" applyNumberFormat="0" applyBorder="0" applyAlignment="0" applyProtection="0"/>
    <xf numFmtId="0" fontId="44" fillId="70" borderId="0" applyNumberFormat="0" applyBorder="0" applyAlignment="0" applyProtection="0"/>
    <xf numFmtId="0" fontId="44" fillId="30" borderId="0" applyNumberFormat="0" applyBorder="0" applyAlignment="0" applyProtection="0"/>
    <xf numFmtId="0" fontId="44" fillId="30" borderId="0" applyNumberFormat="0" applyBorder="0" applyAlignment="0" applyProtection="0"/>
    <xf numFmtId="0" fontId="44" fillId="70" borderId="0" applyNumberFormat="0" applyBorder="0" applyAlignment="0" applyProtection="0"/>
    <xf numFmtId="0" fontId="44" fillId="30" borderId="0" applyNumberFormat="0" applyBorder="0" applyAlignment="0" applyProtection="0"/>
    <xf numFmtId="0" fontId="37" fillId="14" borderId="0" applyNumberFormat="0" applyBorder="0" applyAlignment="0" applyProtection="0"/>
    <xf numFmtId="0" fontId="44" fillId="30" borderId="0" applyNumberFormat="0" applyBorder="0" applyAlignment="0" applyProtection="0"/>
    <xf numFmtId="0" fontId="44" fillId="30"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30" borderId="0" applyNumberFormat="0" applyBorder="0" applyAlignment="0" applyProtection="0"/>
    <xf numFmtId="0" fontId="44" fillId="70"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30"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0" borderId="0" applyNumberFormat="0" applyBorder="0" applyAlignment="0" applyProtection="0"/>
    <xf numFmtId="0" fontId="37" fillId="14"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0" borderId="0" applyNumberFormat="0" applyBorder="0" applyAlignment="0" applyProtection="0"/>
    <xf numFmtId="0" fontId="44" fillId="70" borderId="0" applyNumberFormat="0" applyBorder="0" applyAlignment="0" applyProtection="0"/>
    <xf numFmtId="0" fontId="44" fillId="30" borderId="0" applyNumberFormat="0" applyBorder="0" applyAlignment="0" applyProtection="0"/>
    <xf numFmtId="0" fontId="44" fillId="30" borderId="0" applyNumberFormat="0" applyBorder="0" applyAlignment="0" applyProtection="0"/>
    <xf numFmtId="0" fontId="44" fillId="70" borderId="0" applyNumberFormat="0" applyBorder="0" applyAlignment="0" applyProtection="0"/>
    <xf numFmtId="0" fontId="44" fillId="70" borderId="0" applyNumberFormat="0" applyBorder="0" applyAlignment="0" applyProtection="0"/>
    <xf numFmtId="0" fontId="44" fillId="30" borderId="0" applyNumberFormat="0" applyBorder="0" applyAlignment="0" applyProtection="0"/>
    <xf numFmtId="0" fontId="44" fillId="30" borderId="0" applyNumberFormat="0" applyBorder="0" applyAlignment="0" applyProtection="0"/>
    <xf numFmtId="0" fontId="44" fillId="70" borderId="0" applyNumberFormat="0" applyBorder="0" applyAlignment="0" applyProtection="0"/>
    <xf numFmtId="0" fontId="44" fillId="70" borderId="0" applyNumberFormat="0" applyBorder="0" applyAlignment="0" applyProtection="0"/>
    <xf numFmtId="0" fontId="44" fillId="30" borderId="0" applyNumberFormat="0" applyBorder="0" applyAlignment="0" applyProtection="0"/>
    <xf numFmtId="0" fontId="44" fillId="30" borderId="0" applyNumberFormat="0" applyBorder="0" applyAlignment="0" applyProtection="0"/>
    <xf numFmtId="0" fontId="44" fillId="70" borderId="0" applyNumberFormat="0" applyBorder="0" applyAlignment="0" applyProtection="0"/>
    <xf numFmtId="0" fontId="44" fillId="70" borderId="0" applyNumberFormat="0" applyBorder="0" applyAlignment="0" applyProtection="0"/>
    <xf numFmtId="0" fontId="44" fillId="30" borderId="0" applyNumberFormat="0" applyBorder="0" applyAlignment="0" applyProtection="0"/>
    <xf numFmtId="0" fontId="44" fillId="30" borderId="0" applyNumberFormat="0" applyBorder="0" applyAlignment="0" applyProtection="0"/>
    <xf numFmtId="0" fontId="44" fillId="70" borderId="0" applyNumberFormat="0" applyBorder="0" applyAlignment="0" applyProtection="0"/>
    <xf numFmtId="0" fontId="44" fillId="70" borderId="0" applyNumberFormat="0" applyBorder="0" applyAlignment="0" applyProtection="0"/>
    <xf numFmtId="0" fontId="44" fillId="30" borderId="0" applyNumberFormat="0" applyBorder="0" applyAlignment="0" applyProtection="0"/>
    <xf numFmtId="0" fontId="44" fillId="30" borderId="0" applyNumberFormat="0" applyBorder="0" applyAlignment="0" applyProtection="0"/>
    <xf numFmtId="0" fontId="44" fillId="70" borderId="0" applyNumberFormat="0" applyBorder="0" applyAlignment="0" applyProtection="0"/>
    <xf numFmtId="0" fontId="44" fillId="70" borderId="0" applyNumberFormat="0" applyBorder="0" applyAlignment="0" applyProtection="0"/>
    <xf numFmtId="0" fontId="44" fillId="30" borderId="0" applyNumberFormat="0" applyBorder="0" applyAlignment="0" applyProtection="0"/>
    <xf numFmtId="0" fontId="44" fillId="30" borderId="0" applyNumberFormat="0" applyBorder="0" applyAlignment="0" applyProtection="0"/>
    <xf numFmtId="0" fontId="44" fillId="70" borderId="0" applyNumberFormat="0" applyBorder="0" applyAlignment="0" applyProtection="0"/>
    <xf numFmtId="0" fontId="44" fillId="70" borderId="0" applyNumberFormat="0" applyBorder="0" applyAlignment="0" applyProtection="0"/>
    <xf numFmtId="0" fontId="44" fillId="30" borderId="0" applyNumberFormat="0" applyBorder="0" applyAlignment="0" applyProtection="0"/>
    <xf numFmtId="0" fontId="44" fillId="30" borderId="0" applyNumberFormat="0" applyBorder="0" applyAlignment="0" applyProtection="0"/>
    <xf numFmtId="0" fontId="44" fillId="72" borderId="0" applyNumberFormat="0" applyBorder="0" applyAlignment="0" applyProtection="0"/>
    <xf numFmtId="0" fontId="44" fillId="72" borderId="0" applyNumberFormat="0" applyBorder="0" applyAlignment="0" applyProtection="0"/>
    <xf numFmtId="0" fontId="44" fillId="31" borderId="0" applyNumberFormat="0" applyBorder="0" applyAlignment="0" applyProtection="0"/>
    <xf numFmtId="0" fontId="44" fillId="31" borderId="0" applyNumberFormat="0" applyBorder="0" applyAlignment="0" applyProtection="0"/>
    <xf numFmtId="0" fontId="44" fillId="72" borderId="0" applyNumberFormat="0" applyBorder="0" applyAlignment="0" applyProtection="0"/>
    <xf numFmtId="0" fontId="44" fillId="31" borderId="0" applyNumberFormat="0" applyBorder="0" applyAlignment="0" applyProtection="0"/>
    <xf numFmtId="0" fontId="44" fillId="31" borderId="0" applyNumberFormat="0" applyBorder="0" applyAlignment="0" applyProtection="0"/>
    <xf numFmtId="0" fontId="44" fillId="73" borderId="0" applyNumberFormat="0" applyBorder="0" applyAlignment="0" applyProtection="0"/>
    <xf numFmtId="0" fontId="44" fillId="73" borderId="0" applyNumberFormat="0" applyBorder="0" applyAlignment="0" applyProtection="0"/>
    <xf numFmtId="0" fontId="44" fillId="73" borderId="0" applyNumberFormat="0" applyBorder="0" applyAlignment="0" applyProtection="0"/>
    <xf numFmtId="0" fontId="44" fillId="73" borderId="0" applyNumberFormat="0" applyBorder="0" applyAlignment="0" applyProtection="0"/>
    <xf numFmtId="0" fontId="44" fillId="73" borderId="0" applyNumberFormat="0" applyBorder="0" applyAlignment="0" applyProtection="0"/>
    <xf numFmtId="0" fontId="44" fillId="73" borderId="0" applyNumberFormat="0" applyBorder="0" applyAlignment="0" applyProtection="0"/>
    <xf numFmtId="0" fontId="44" fillId="73" borderId="0" applyNumberFormat="0" applyBorder="0" applyAlignment="0" applyProtection="0"/>
    <xf numFmtId="0" fontId="44" fillId="73" borderId="0" applyNumberFormat="0" applyBorder="0" applyAlignment="0" applyProtection="0"/>
    <xf numFmtId="0" fontId="44" fillId="73" borderId="0" applyNumberFormat="0" applyBorder="0" applyAlignment="0" applyProtection="0"/>
    <xf numFmtId="0" fontId="44" fillId="73" borderId="0" applyNumberFormat="0" applyBorder="0" applyAlignment="0" applyProtection="0"/>
    <xf numFmtId="0" fontId="44" fillId="31" borderId="0" applyNumberFormat="0" applyBorder="0" applyAlignment="0" applyProtection="0"/>
    <xf numFmtId="0" fontId="44" fillId="72" borderId="0" applyNumberFormat="0" applyBorder="0" applyAlignment="0" applyProtection="0"/>
    <xf numFmtId="0" fontId="44" fillId="73" borderId="0" applyNumberFormat="0" applyBorder="0" applyAlignment="0" applyProtection="0"/>
    <xf numFmtId="0" fontId="44" fillId="73" borderId="0" applyNumberFormat="0" applyBorder="0" applyAlignment="0" applyProtection="0"/>
    <xf numFmtId="0" fontId="44" fillId="73" borderId="0" applyNumberFormat="0" applyBorder="0" applyAlignment="0" applyProtection="0"/>
    <xf numFmtId="0" fontId="44" fillId="73" borderId="0" applyNumberFormat="0" applyBorder="0" applyAlignment="0" applyProtection="0"/>
    <xf numFmtId="0" fontId="44" fillId="73" borderId="0" applyNumberFormat="0" applyBorder="0" applyAlignment="0" applyProtection="0"/>
    <xf numFmtId="0" fontId="44" fillId="73" borderId="0" applyNumberFormat="0" applyBorder="0" applyAlignment="0" applyProtection="0"/>
    <xf numFmtId="0" fontId="44" fillId="73" borderId="0" applyNumberFormat="0" applyBorder="0" applyAlignment="0" applyProtection="0"/>
    <xf numFmtId="0" fontId="44" fillId="73" borderId="0" applyNumberFormat="0" applyBorder="0" applyAlignment="0" applyProtection="0"/>
    <xf numFmtId="0" fontId="44" fillId="73" borderId="0" applyNumberFormat="0" applyBorder="0" applyAlignment="0" applyProtection="0"/>
    <xf numFmtId="0" fontId="44" fillId="73" borderId="0" applyNumberFormat="0" applyBorder="0" applyAlignment="0" applyProtection="0"/>
    <xf numFmtId="0" fontId="44" fillId="73" borderId="0" applyNumberFormat="0" applyBorder="0" applyAlignment="0" applyProtection="0"/>
    <xf numFmtId="0" fontId="44" fillId="31" borderId="0" applyNumberFormat="0" applyBorder="0" applyAlignment="0" applyProtection="0"/>
    <xf numFmtId="0" fontId="44" fillId="73" borderId="0" applyNumberFormat="0" applyBorder="0" applyAlignment="0" applyProtection="0"/>
    <xf numFmtId="0" fontId="44" fillId="73" borderId="0" applyNumberFormat="0" applyBorder="0" applyAlignment="0" applyProtection="0"/>
    <xf numFmtId="0" fontId="44" fillId="73" borderId="0" applyNumberFormat="0" applyBorder="0" applyAlignment="0" applyProtection="0"/>
    <xf numFmtId="0" fontId="44" fillId="73" borderId="0" applyNumberFormat="0" applyBorder="0" applyAlignment="0" applyProtection="0"/>
    <xf numFmtId="0" fontId="44" fillId="73" borderId="0" applyNumberFormat="0" applyBorder="0" applyAlignment="0" applyProtection="0"/>
    <xf numFmtId="0" fontId="44" fillId="73" borderId="0" applyNumberFormat="0" applyBorder="0" applyAlignment="0" applyProtection="0"/>
    <xf numFmtId="0" fontId="44" fillId="73" borderId="0" applyNumberFormat="0" applyBorder="0" applyAlignment="0" applyProtection="0"/>
    <xf numFmtId="0" fontId="44" fillId="73" borderId="0" applyNumberFormat="0" applyBorder="0" applyAlignment="0" applyProtection="0"/>
    <xf numFmtId="0" fontId="44" fillId="73" borderId="0" applyNumberFormat="0" applyBorder="0" applyAlignment="0" applyProtection="0"/>
    <xf numFmtId="0" fontId="44" fillId="73" borderId="0" applyNumberFormat="0" applyBorder="0" applyAlignment="0" applyProtection="0"/>
    <xf numFmtId="0" fontId="44" fillId="73" borderId="0" applyNumberFormat="0" applyBorder="0" applyAlignment="0" applyProtection="0"/>
    <xf numFmtId="0" fontId="44" fillId="73" borderId="0" applyNumberFormat="0" applyBorder="0" applyAlignment="0" applyProtection="0"/>
    <xf numFmtId="0" fontId="44" fillId="73" borderId="0" applyNumberFormat="0" applyBorder="0" applyAlignment="0" applyProtection="0"/>
    <xf numFmtId="0" fontId="44" fillId="73" borderId="0" applyNumberFormat="0" applyBorder="0" applyAlignment="0" applyProtection="0"/>
    <xf numFmtId="0" fontId="44" fillId="73" borderId="0" applyNumberFormat="0" applyBorder="0" applyAlignment="0" applyProtection="0"/>
    <xf numFmtId="0" fontId="44" fillId="73" borderId="0" applyNumberFormat="0" applyBorder="0" applyAlignment="0" applyProtection="0"/>
    <xf numFmtId="0" fontId="44" fillId="73" borderId="0" applyNumberFormat="0" applyBorder="0" applyAlignment="0" applyProtection="0"/>
    <xf numFmtId="0" fontId="44" fillId="73" borderId="0" applyNumberFormat="0" applyBorder="0" applyAlignment="0" applyProtection="0"/>
    <xf numFmtId="0" fontId="44" fillId="73" borderId="0" applyNumberFormat="0" applyBorder="0" applyAlignment="0" applyProtection="0"/>
    <xf numFmtId="0" fontId="44" fillId="73" borderId="0" applyNumberFormat="0" applyBorder="0" applyAlignment="0" applyProtection="0"/>
    <xf numFmtId="0" fontId="44" fillId="73" borderId="0" applyNumberFormat="0" applyBorder="0" applyAlignment="0" applyProtection="0"/>
    <xf numFmtId="0" fontId="44" fillId="73" borderId="0" applyNumberFormat="0" applyBorder="0" applyAlignment="0" applyProtection="0"/>
    <xf numFmtId="0" fontId="44" fillId="72" borderId="0" applyNumberFormat="0" applyBorder="0" applyAlignment="0" applyProtection="0"/>
    <xf numFmtId="0" fontId="37" fillId="15" borderId="0" applyNumberFormat="0" applyBorder="0" applyAlignment="0" applyProtection="0"/>
    <xf numFmtId="0" fontId="44" fillId="73" borderId="0" applyNumberFormat="0" applyBorder="0" applyAlignment="0" applyProtection="0"/>
    <xf numFmtId="0" fontId="44" fillId="73" borderId="0" applyNumberFormat="0" applyBorder="0" applyAlignment="0" applyProtection="0"/>
    <xf numFmtId="0" fontId="44" fillId="73" borderId="0" applyNumberFormat="0" applyBorder="0" applyAlignment="0" applyProtection="0"/>
    <xf numFmtId="0" fontId="44" fillId="73" borderId="0" applyNumberFormat="0" applyBorder="0" applyAlignment="0" applyProtection="0"/>
    <xf numFmtId="0" fontId="44" fillId="72" borderId="0" applyNumberFormat="0" applyBorder="0" applyAlignment="0" applyProtection="0"/>
    <xf numFmtId="0" fontId="44" fillId="72" borderId="0" applyNumberFormat="0" applyBorder="0" applyAlignment="0" applyProtection="0"/>
    <xf numFmtId="0" fontId="44" fillId="31" borderId="0" applyNumberFormat="0" applyBorder="0" applyAlignment="0" applyProtection="0"/>
    <xf numFmtId="0" fontId="44" fillId="31" borderId="0" applyNumberFormat="0" applyBorder="0" applyAlignment="0" applyProtection="0"/>
    <xf numFmtId="0" fontId="44" fillId="72" borderId="0" applyNumberFormat="0" applyBorder="0" applyAlignment="0" applyProtection="0"/>
    <xf numFmtId="0" fontId="44" fillId="72" borderId="0" applyNumberFormat="0" applyBorder="0" applyAlignment="0" applyProtection="0"/>
    <xf numFmtId="0" fontId="44" fillId="31" borderId="0" applyNumberFormat="0" applyBorder="0" applyAlignment="0" applyProtection="0"/>
    <xf numFmtId="0" fontId="44" fillId="31" borderId="0" applyNumberFormat="0" applyBorder="0" applyAlignment="0" applyProtection="0"/>
    <xf numFmtId="0" fontId="44" fillId="72" borderId="0" applyNumberFormat="0" applyBorder="0" applyAlignment="0" applyProtection="0"/>
    <xf numFmtId="0" fontId="44" fillId="72" borderId="0" applyNumberFormat="0" applyBorder="0" applyAlignment="0" applyProtection="0"/>
    <xf numFmtId="0" fontId="44" fillId="31" borderId="0" applyNumberFormat="0" applyBorder="0" applyAlignment="0" applyProtection="0"/>
    <xf numFmtId="0" fontId="44" fillId="31" borderId="0" applyNumberFormat="0" applyBorder="0" applyAlignment="0" applyProtection="0"/>
    <xf numFmtId="0" fontId="44" fillId="72" borderId="0" applyNumberFormat="0" applyBorder="0" applyAlignment="0" applyProtection="0"/>
    <xf numFmtId="0" fontId="44" fillId="72" borderId="0" applyNumberFormat="0" applyBorder="0" applyAlignment="0" applyProtection="0"/>
    <xf numFmtId="0" fontId="44" fillId="31" borderId="0" applyNumberFormat="0" applyBorder="0" applyAlignment="0" applyProtection="0"/>
    <xf numFmtId="0" fontId="44" fillId="31" borderId="0" applyNumberFormat="0" applyBorder="0" applyAlignment="0" applyProtection="0"/>
    <xf numFmtId="0" fontId="44" fillId="72" borderId="0" applyNumberFormat="0" applyBorder="0" applyAlignment="0" applyProtection="0"/>
    <xf numFmtId="0" fontId="44" fillId="72" borderId="0" applyNumberFormat="0" applyBorder="0" applyAlignment="0" applyProtection="0"/>
    <xf numFmtId="0" fontId="44" fillId="31" borderId="0" applyNumberFormat="0" applyBorder="0" applyAlignment="0" applyProtection="0"/>
    <xf numFmtId="0" fontId="44" fillId="31" borderId="0" applyNumberFormat="0" applyBorder="0" applyAlignment="0" applyProtection="0"/>
    <xf numFmtId="0" fontId="44" fillId="72" borderId="0" applyNumberFormat="0" applyBorder="0" applyAlignment="0" applyProtection="0"/>
    <xf numFmtId="0" fontId="44" fillId="72" borderId="0" applyNumberFormat="0" applyBorder="0" applyAlignment="0" applyProtection="0"/>
    <xf numFmtId="0" fontId="44" fillId="31" borderId="0" applyNumberFormat="0" applyBorder="0" applyAlignment="0" applyProtection="0"/>
    <xf numFmtId="0" fontId="44" fillId="31" borderId="0" applyNumberFormat="0" applyBorder="0" applyAlignment="0" applyProtection="0"/>
    <xf numFmtId="0" fontId="44" fillId="72" borderId="0" applyNumberFormat="0" applyBorder="0" applyAlignment="0" applyProtection="0"/>
    <xf numFmtId="0" fontId="44" fillId="72" borderId="0" applyNumberFormat="0" applyBorder="0" applyAlignment="0" applyProtection="0"/>
    <xf numFmtId="0" fontId="44" fillId="31" borderId="0" applyNumberFormat="0" applyBorder="0" applyAlignment="0" applyProtection="0"/>
    <xf numFmtId="0" fontId="44" fillId="31" borderId="0" applyNumberFormat="0" applyBorder="0" applyAlignment="0" applyProtection="0"/>
    <xf numFmtId="0" fontId="44" fillId="74" borderId="0" applyNumberFormat="0" applyBorder="0" applyAlignment="0" applyProtection="0"/>
    <xf numFmtId="0" fontId="44" fillId="74"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74"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75" borderId="0" applyNumberFormat="0" applyBorder="0" applyAlignment="0" applyProtection="0"/>
    <xf numFmtId="0" fontId="44" fillId="75" borderId="0" applyNumberFormat="0" applyBorder="0" applyAlignment="0" applyProtection="0"/>
    <xf numFmtId="0" fontId="44" fillId="75" borderId="0" applyNumberFormat="0" applyBorder="0" applyAlignment="0" applyProtection="0"/>
    <xf numFmtId="0" fontId="44" fillId="75" borderId="0" applyNumberFormat="0" applyBorder="0" applyAlignment="0" applyProtection="0"/>
    <xf numFmtId="0" fontId="44" fillId="75" borderId="0" applyNumberFormat="0" applyBorder="0" applyAlignment="0" applyProtection="0"/>
    <xf numFmtId="0" fontId="44" fillId="75" borderId="0" applyNumberFormat="0" applyBorder="0" applyAlignment="0" applyProtection="0"/>
    <xf numFmtId="0" fontId="44" fillId="75" borderId="0" applyNumberFormat="0" applyBorder="0" applyAlignment="0" applyProtection="0"/>
    <xf numFmtId="0" fontId="44" fillId="75" borderId="0" applyNumberFormat="0" applyBorder="0" applyAlignment="0" applyProtection="0"/>
    <xf numFmtId="0" fontId="44" fillId="75" borderId="0" applyNumberFormat="0" applyBorder="0" applyAlignment="0" applyProtection="0"/>
    <xf numFmtId="0" fontId="44" fillId="75" borderId="0" applyNumberFormat="0" applyBorder="0" applyAlignment="0" applyProtection="0"/>
    <xf numFmtId="0" fontId="44" fillId="75" borderId="0" applyNumberFormat="0" applyBorder="0" applyAlignment="0" applyProtection="0"/>
    <xf numFmtId="0" fontId="44" fillId="5" borderId="0" applyNumberFormat="0" applyBorder="0" applyAlignment="0" applyProtection="0"/>
    <xf numFmtId="0" fontId="44" fillId="74" borderId="0" applyNumberFormat="0" applyBorder="0" applyAlignment="0" applyProtection="0"/>
    <xf numFmtId="0" fontId="44" fillId="75" borderId="0" applyNumberFormat="0" applyBorder="0" applyAlignment="0" applyProtection="0"/>
    <xf numFmtId="0" fontId="44" fillId="75" borderId="0" applyNumberFormat="0" applyBorder="0" applyAlignment="0" applyProtection="0"/>
    <xf numFmtId="0" fontId="44" fillId="75" borderId="0" applyNumberFormat="0" applyBorder="0" applyAlignment="0" applyProtection="0"/>
    <xf numFmtId="0" fontId="44" fillId="75" borderId="0" applyNumberFormat="0" applyBorder="0" applyAlignment="0" applyProtection="0"/>
    <xf numFmtId="0" fontId="44" fillId="75" borderId="0" applyNumberFormat="0" applyBorder="0" applyAlignment="0" applyProtection="0"/>
    <xf numFmtId="0" fontId="44" fillId="75" borderId="0" applyNumberFormat="0" applyBorder="0" applyAlignment="0" applyProtection="0"/>
    <xf numFmtId="0" fontId="44" fillId="75" borderId="0" applyNumberFormat="0" applyBorder="0" applyAlignment="0" applyProtection="0"/>
    <xf numFmtId="0" fontId="44" fillId="75" borderId="0" applyNumberFormat="0" applyBorder="0" applyAlignment="0" applyProtection="0"/>
    <xf numFmtId="0" fontId="44" fillId="75" borderId="0" applyNumberFormat="0" applyBorder="0" applyAlignment="0" applyProtection="0"/>
    <xf numFmtId="0" fontId="44" fillId="75" borderId="0" applyNumberFormat="0" applyBorder="0" applyAlignment="0" applyProtection="0"/>
    <xf numFmtId="0" fontId="44" fillId="75" borderId="0" applyNumberFormat="0" applyBorder="0" applyAlignment="0" applyProtection="0"/>
    <xf numFmtId="0" fontId="44" fillId="5" borderId="0" applyNumberFormat="0" applyBorder="0" applyAlignment="0" applyProtection="0"/>
    <xf numFmtId="0" fontId="44" fillId="75" borderId="0" applyNumberFormat="0" applyBorder="0" applyAlignment="0" applyProtection="0"/>
    <xf numFmtId="0" fontId="44" fillId="75" borderId="0" applyNumberFormat="0" applyBorder="0" applyAlignment="0" applyProtection="0"/>
    <xf numFmtId="0" fontId="44" fillId="75" borderId="0" applyNumberFormat="0" applyBorder="0" applyAlignment="0" applyProtection="0"/>
    <xf numFmtId="0" fontId="44" fillId="75" borderId="0" applyNumberFormat="0" applyBorder="0" applyAlignment="0" applyProtection="0"/>
    <xf numFmtId="0" fontId="44" fillId="75" borderId="0" applyNumberFormat="0" applyBorder="0" applyAlignment="0" applyProtection="0"/>
    <xf numFmtId="0" fontId="44" fillId="75" borderId="0" applyNumberFormat="0" applyBorder="0" applyAlignment="0" applyProtection="0"/>
    <xf numFmtId="0" fontId="44" fillId="75" borderId="0" applyNumberFormat="0" applyBorder="0" applyAlignment="0" applyProtection="0"/>
    <xf numFmtId="0" fontId="44" fillId="75" borderId="0" applyNumberFormat="0" applyBorder="0" applyAlignment="0" applyProtection="0"/>
    <xf numFmtId="0" fontId="44" fillId="75" borderId="0" applyNumberFormat="0" applyBorder="0" applyAlignment="0" applyProtection="0"/>
    <xf numFmtId="0" fontId="44" fillId="75" borderId="0" applyNumberFormat="0" applyBorder="0" applyAlignment="0" applyProtection="0"/>
    <xf numFmtId="0" fontId="44" fillId="75" borderId="0" applyNumberFormat="0" applyBorder="0" applyAlignment="0" applyProtection="0"/>
    <xf numFmtId="0" fontId="44" fillId="75" borderId="0" applyNumberFormat="0" applyBorder="0" applyAlignment="0" applyProtection="0"/>
    <xf numFmtId="0" fontId="44" fillId="75" borderId="0" applyNumberFormat="0" applyBorder="0" applyAlignment="0" applyProtection="0"/>
    <xf numFmtId="0" fontId="44" fillId="75" borderId="0" applyNumberFormat="0" applyBorder="0" applyAlignment="0" applyProtection="0"/>
    <xf numFmtId="0" fontId="44" fillId="75" borderId="0" applyNumberFormat="0" applyBorder="0" applyAlignment="0" applyProtection="0"/>
    <xf numFmtId="0" fontId="44" fillId="75" borderId="0" applyNumberFormat="0" applyBorder="0" applyAlignment="0" applyProtection="0"/>
    <xf numFmtId="0" fontId="44" fillId="75" borderId="0" applyNumberFormat="0" applyBorder="0" applyAlignment="0" applyProtection="0"/>
    <xf numFmtId="0" fontId="44" fillId="75" borderId="0" applyNumberFormat="0" applyBorder="0" applyAlignment="0" applyProtection="0"/>
    <xf numFmtId="0" fontId="44" fillId="75" borderId="0" applyNumberFormat="0" applyBorder="0" applyAlignment="0" applyProtection="0"/>
    <xf numFmtId="0" fontId="44" fillId="75" borderId="0" applyNumberFormat="0" applyBorder="0" applyAlignment="0" applyProtection="0"/>
    <xf numFmtId="0" fontId="44" fillId="75" borderId="0" applyNumberFormat="0" applyBorder="0" applyAlignment="0" applyProtection="0"/>
    <xf numFmtId="0" fontId="44" fillId="75" borderId="0" applyNumberFormat="0" applyBorder="0" applyAlignment="0" applyProtection="0"/>
    <xf numFmtId="0" fontId="44" fillId="75" borderId="0" applyNumberFormat="0" applyBorder="0" applyAlignment="0" applyProtection="0"/>
    <xf numFmtId="0" fontId="44" fillId="75" borderId="0" applyNumberFormat="0" applyBorder="0" applyAlignment="0" applyProtection="0"/>
    <xf numFmtId="0" fontId="44" fillId="75" borderId="0" applyNumberFormat="0" applyBorder="0" applyAlignment="0" applyProtection="0"/>
    <xf numFmtId="0" fontId="44" fillId="75" borderId="0" applyNumberFormat="0" applyBorder="0" applyAlignment="0" applyProtection="0"/>
    <xf numFmtId="0" fontId="44" fillId="74" borderId="0" applyNumberFormat="0" applyBorder="0" applyAlignment="0" applyProtection="0"/>
    <xf numFmtId="0" fontId="44" fillId="74"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74" borderId="0" applyNumberFormat="0" applyBorder="0" applyAlignment="0" applyProtection="0"/>
    <xf numFmtId="0" fontId="44" fillId="74"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74" borderId="0" applyNumberFormat="0" applyBorder="0" applyAlignment="0" applyProtection="0"/>
    <xf numFmtId="0" fontId="44" fillId="74"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74" borderId="0" applyNumberFormat="0" applyBorder="0" applyAlignment="0" applyProtection="0"/>
    <xf numFmtId="0" fontId="44" fillId="74"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74" borderId="0" applyNumberFormat="0" applyBorder="0" applyAlignment="0" applyProtection="0"/>
    <xf numFmtId="0" fontId="44" fillId="74"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74" borderId="0" applyNumberFormat="0" applyBorder="0" applyAlignment="0" applyProtection="0"/>
    <xf numFmtId="0" fontId="44" fillId="74"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74" borderId="0" applyNumberFormat="0" applyBorder="0" applyAlignment="0" applyProtection="0"/>
    <xf numFmtId="0" fontId="44" fillId="74"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76" borderId="0" applyNumberFormat="0" applyBorder="0" applyAlignment="0" applyProtection="0"/>
    <xf numFmtId="0" fontId="44" fillId="76" borderId="0" applyNumberFormat="0" applyBorder="0" applyAlignment="0" applyProtection="0"/>
    <xf numFmtId="0" fontId="44" fillId="18" borderId="0" applyNumberFormat="0" applyBorder="0" applyAlignment="0" applyProtection="0"/>
    <xf numFmtId="0" fontId="44" fillId="18" borderId="0" applyNumberFormat="0" applyBorder="0" applyAlignment="0" applyProtection="0"/>
    <xf numFmtId="0" fontId="44" fillId="76" borderId="0" applyNumberFormat="0" applyBorder="0" applyAlignment="0" applyProtection="0"/>
    <xf numFmtId="0" fontId="44" fillId="18" borderId="0" applyNumberFormat="0" applyBorder="0" applyAlignment="0" applyProtection="0"/>
    <xf numFmtId="0" fontId="44" fillId="18" borderId="0" applyNumberFormat="0" applyBorder="0" applyAlignment="0" applyProtection="0"/>
    <xf numFmtId="0" fontId="44" fillId="77" borderId="0" applyNumberFormat="0" applyBorder="0" applyAlignment="0" applyProtection="0"/>
    <xf numFmtId="0" fontId="44" fillId="77" borderId="0" applyNumberFormat="0" applyBorder="0" applyAlignment="0" applyProtection="0"/>
    <xf numFmtId="0" fontId="44" fillId="77" borderId="0" applyNumberFormat="0" applyBorder="0" applyAlignment="0" applyProtection="0"/>
    <xf numFmtId="0" fontId="44" fillId="77" borderId="0" applyNumberFormat="0" applyBorder="0" applyAlignment="0" applyProtection="0"/>
    <xf numFmtId="0" fontId="44" fillId="77" borderId="0" applyNumberFormat="0" applyBorder="0" applyAlignment="0" applyProtection="0"/>
    <xf numFmtId="0" fontId="44" fillId="77" borderId="0" applyNumberFormat="0" applyBorder="0" applyAlignment="0" applyProtection="0"/>
    <xf numFmtId="0" fontId="44" fillId="77" borderId="0" applyNumberFormat="0" applyBorder="0" applyAlignment="0" applyProtection="0"/>
    <xf numFmtId="0" fontId="44" fillId="77" borderId="0" applyNumberFormat="0" applyBorder="0" applyAlignment="0" applyProtection="0"/>
    <xf numFmtId="0" fontId="44" fillId="77" borderId="0" applyNumberFormat="0" applyBorder="0" applyAlignment="0" applyProtection="0"/>
    <xf numFmtId="0" fontId="44" fillId="77" borderId="0" applyNumberFormat="0" applyBorder="0" applyAlignment="0" applyProtection="0"/>
    <xf numFmtId="0" fontId="44" fillId="77" borderId="0" applyNumberFormat="0" applyBorder="0" applyAlignment="0" applyProtection="0"/>
    <xf numFmtId="0" fontId="44" fillId="18" borderId="0" applyNumberFormat="0" applyBorder="0" applyAlignment="0" applyProtection="0"/>
    <xf numFmtId="0" fontId="44" fillId="76" borderId="0" applyNumberFormat="0" applyBorder="0" applyAlignment="0" applyProtection="0"/>
    <xf numFmtId="0" fontId="44" fillId="77" borderId="0" applyNumberFormat="0" applyBorder="0" applyAlignment="0" applyProtection="0"/>
    <xf numFmtId="0" fontId="44" fillId="77" borderId="0" applyNumberFormat="0" applyBorder="0" applyAlignment="0" applyProtection="0"/>
    <xf numFmtId="0" fontId="44" fillId="77" borderId="0" applyNumberFormat="0" applyBorder="0" applyAlignment="0" applyProtection="0"/>
    <xf numFmtId="0" fontId="44" fillId="77" borderId="0" applyNumberFormat="0" applyBorder="0" applyAlignment="0" applyProtection="0"/>
    <xf numFmtId="0" fontId="44" fillId="77" borderId="0" applyNumberFormat="0" applyBorder="0" applyAlignment="0" applyProtection="0"/>
    <xf numFmtId="0" fontId="44" fillId="77" borderId="0" applyNumberFormat="0" applyBorder="0" applyAlignment="0" applyProtection="0"/>
    <xf numFmtId="0" fontId="44" fillId="77" borderId="0" applyNumberFormat="0" applyBorder="0" applyAlignment="0" applyProtection="0"/>
    <xf numFmtId="0" fontId="44" fillId="77" borderId="0" applyNumberFormat="0" applyBorder="0" applyAlignment="0" applyProtection="0"/>
    <xf numFmtId="0" fontId="44" fillId="77" borderId="0" applyNumberFormat="0" applyBorder="0" applyAlignment="0" applyProtection="0"/>
    <xf numFmtId="0" fontId="44" fillId="77" borderId="0" applyNumberFormat="0" applyBorder="0" applyAlignment="0" applyProtection="0"/>
    <xf numFmtId="0" fontId="44" fillId="77" borderId="0" applyNumberFormat="0" applyBorder="0" applyAlignment="0" applyProtection="0"/>
    <xf numFmtId="0" fontId="44" fillId="18" borderId="0" applyNumberFormat="0" applyBorder="0" applyAlignment="0" applyProtection="0"/>
    <xf numFmtId="0" fontId="44" fillId="77" borderId="0" applyNumberFormat="0" applyBorder="0" applyAlignment="0" applyProtection="0"/>
    <xf numFmtId="0" fontId="44" fillId="77" borderId="0" applyNumberFormat="0" applyBorder="0" applyAlignment="0" applyProtection="0"/>
    <xf numFmtId="0" fontId="44" fillId="77" borderId="0" applyNumberFormat="0" applyBorder="0" applyAlignment="0" applyProtection="0"/>
    <xf numFmtId="0" fontId="44" fillId="77" borderId="0" applyNumberFormat="0" applyBorder="0" applyAlignment="0" applyProtection="0"/>
    <xf numFmtId="0" fontId="44" fillId="77" borderId="0" applyNumberFormat="0" applyBorder="0" applyAlignment="0" applyProtection="0"/>
    <xf numFmtId="0" fontId="44" fillId="77" borderId="0" applyNumberFormat="0" applyBorder="0" applyAlignment="0" applyProtection="0"/>
    <xf numFmtId="0" fontId="44" fillId="77" borderId="0" applyNumberFormat="0" applyBorder="0" applyAlignment="0" applyProtection="0"/>
    <xf numFmtId="0" fontId="44" fillId="77" borderId="0" applyNumberFormat="0" applyBorder="0" applyAlignment="0" applyProtection="0"/>
    <xf numFmtId="0" fontId="44" fillId="77" borderId="0" applyNumberFormat="0" applyBorder="0" applyAlignment="0" applyProtection="0"/>
    <xf numFmtId="0" fontId="44" fillId="77" borderId="0" applyNumberFormat="0" applyBorder="0" applyAlignment="0" applyProtection="0"/>
    <xf numFmtId="0" fontId="44" fillId="77" borderId="0" applyNumberFormat="0" applyBorder="0" applyAlignment="0" applyProtection="0"/>
    <xf numFmtId="0" fontId="44" fillId="77" borderId="0" applyNumberFormat="0" applyBorder="0" applyAlignment="0" applyProtection="0"/>
    <xf numFmtId="0" fontId="44" fillId="77" borderId="0" applyNumberFormat="0" applyBorder="0" applyAlignment="0" applyProtection="0"/>
    <xf numFmtId="0" fontId="44" fillId="77" borderId="0" applyNumberFormat="0" applyBorder="0" applyAlignment="0" applyProtection="0"/>
    <xf numFmtId="0" fontId="44" fillId="77" borderId="0" applyNumberFormat="0" applyBorder="0" applyAlignment="0" applyProtection="0"/>
    <xf numFmtId="0" fontId="44" fillId="77" borderId="0" applyNumberFormat="0" applyBorder="0" applyAlignment="0" applyProtection="0"/>
    <xf numFmtId="0" fontId="44" fillId="77" borderId="0" applyNumberFormat="0" applyBorder="0" applyAlignment="0" applyProtection="0"/>
    <xf numFmtId="0" fontId="44" fillId="77" borderId="0" applyNumberFormat="0" applyBorder="0" applyAlignment="0" applyProtection="0"/>
    <xf numFmtId="0" fontId="44" fillId="77" borderId="0" applyNumberFormat="0" applyBorder="0" applyAlignment="0" applyProtection="0"/>
    <xf numFmtId="0" fontId="44" fillId="77" borderId="0" applyNumberFormat="0" applyBorder="0" applyAlignment="0" applyProtection="0"/>
    <xf numFmtId="0" fontId="44" fillId="77" borderId="0" applyNumberFormat="0" applyBorder="0" applyAlignment="0" applyProtection="0"/>
    <xf numFmtId="0" fontId="44" fillId="77" borderId="0" applyNumberFormat="0" applyBorder="0" applyAlignment="0" applyProtection="0"/>
    <xf numFmtId="0" fontId="44" fillId="77" borderId="0" applyNumberFormat="0" applyBorder="0" applyAlignment="0" applyProtection="0"/>
    <xf numFmtId="0" fontId="44" fillId="77" borderId="0" applyNumberFormat="0" applyBorder="0" applyAlignment="0" applyProtection="0"/>
    <xf numFmtId="0" fontId="44" fillId="77" borderId="0" applyNumberFormat="0" applyBorder="0" applyAlignment="0" applyProtection="0"/>
    <xf numFmtId="0" fontId="44" fillId="77" borderId="0" applyNumberFormat="0" applyBorder="0" applyAlignment="0" applyProtection="0"/>
    <xf numFmtId="0" fontId="44" fillId="76" borderId="0" applyNumberFormat="0" applyBorder="0" applyAlignment="0" applyProtection="0"/>
    <xf numFmtId="0" fontId="44" fillId="76" borderId="0" applyNumberFormat="0" applyBorder="0" applyAlignment="0" applyProtection="0"/>
    <xf numFmtId="0" fontId="44" fillId="18" borderId="0" applyNumberFormat="0" applyBorder="0" applyAlignment="0" applyProtection="0"/>
    <xf numFmtId="0" fontId="44" fillId="18" borderId="0" applyNumberFormat="0" applyBorder="0" applyAlignment="0" applyProtection="0"/>
    <xf numFmtId="0" fontId="44" fillId="76" borderId="0" applyNumberFormat="0" applyBorder="0" applyAlignment="0" applyProtection="0"/>
    <xf numFmtId="0" fontId="44" fillId="76" borderId="0" applyNumberFormat="0" applyBorder="0" applyAlignment="0" applyProtection="0"/>
    <xf numFmtId="0" fontId="44" fillId="18" borderId="0" applyNumberFormat="0" applyBorder="0" applyAlignment="0" applyProtection="0"/>
    <xf numFmtId="0" fontId="44" fillId="18" borderId="0" applyNumberFormat="0" applyBorder="0" applyAlignment="0" applyProtection="0"/>
    <xf numFmtId="0" fontId="44" fillId="76" borderId="0" applyNumberFormat="0" applyBorder="0" applyAlignment="0" applyProtection="0"/>
    <xf numFmtId="0" fontId="44" fillId="76" borderId="0" applyNumberFormat="0" applyBorder="0" applyAlignment="0" applyProtection="0"/>
    <xf numFmtId="0" fontId="44" fillId="18" borderId="0" applyNumberFormat="0" applyBorder="0" applyAlignment="0" applyProtection="0"/>
    <xf numFmtId="0" fontId="44" fillId="18" borderId="0" applyNumberFormat="0" applyBorder="0" applyAlignment="0" applyProtection="0"/>
    <xf numFmtId="0" fontId="44" fillId="76" borderId="0" applyNumberFormat="0" applyBorder="0" applyAlignment="0" applyProtection="0"/>
    <xf numFmtId="0" fontId="44" fillId="76" borderId="0" applyNumberFormat="0" applyBorder="0" applyAlignment="0" applyProtection="0"/>
    <xf numFmtId="0" fontId="44" fillId="18" borderId="0" applyNumberFormat="0" applyBorder="0" applyAlignment="0" applyProtection="0"/>
    <xf numFmtId="0" fontId="44" fillId="18" borderId="0" applyNumberFormat="0" applyBorder="0" applyAlignment="0" applyProtection="0"/>
    <xf numFmtId="0" fontId="44" fillId="76" borderId="0" applyNumberFormat="0" applyBorder="0" applyAlignment="0" applyProtection="0"/>
    <xf numFmtId="0" fontId="44" fillId="76" borderId="0" applyNumberFormat="0" applyBorder="0" applyAlignment="0" applyProtection="0"/>
    <xf numFmtId="0" fontId="44" fillId="18" borderId="0" applyNumberFormat="0" applyBorder="0" applyAlignment="0" applyProtection="0"/>
    <xf numFmtId="0" fontId="44" fillId="18" borderId="0" applyNumberFormat="0" applyBorder="0" applyAlignment="0" applyProtection="0"/>
    <xf numFmtId="0" fontId="44" fillId="76" borderId="0" applyNumberFormat="0" applyBorder="0" applyAlignment="0" applyProtection="0"/>
    <xf numFmtId="0" fontId="44" fillId="76" borderId="0" applyNumberFormat="0" applyBorder="0" applyAlignment="0" applyProtection="0"/>
    <xf numFmtId="0" fontId="44" fillId="18" borderId="0" applyNumberFormat="0" applyBorder="0" applyAlignment="0" applyProtection="0"/>
    <xf numFmtId="0" fontId="44" fillId="18" borderId="0" applyNumberFormat="0" applyBorder="0" applyAlignment="0" applyProtection="0"/>
    <xf numFmtId="0" fontId="44" fillId="76" borderId="0" applyNumberFormat="0" applyBorder="0" applyAlignment="0" applyProtection="0"/>
    <xf numFmtId="0" fontId="44" fillId="76" borderId="0" applyNumberFormat="0" applyBorder="0" applyAlignment="0" applyProtection="0"/>
    <xf numFmtId="0" fontId="44" fillId="18" borderId="0" applyNumberFormat="0" applyBorder="0" applyAlignment="0" applyProtection="0"/>
    <xf numFmtId="0" fontId="44" fillId="18" borderId="0" applyNumberFormat="0" applyBorder="0" applyAlignment="0" applyProtection="0"/>
    <xf numFmtId="0" fontId="44" fillId="78" borderId="0" applyNumberFormat="0" applyBorder="0" applyAlignment="0" applyProtection="0"/>
    <xf numFmtId="0" fontId="44" fillId="78" borderId="0" applyNumberFormat="0" applyBorder="0" applyAlignment="0" applyProtection="0"/>
    <xf numFmtId="0" fontId="44" fillId="32" borderId="0" applyNumberFormat="0" applyBorder="0" applyAlignment="0" applyProtection="0"/>
    <xf numFmtId="0" fontId="44" fillId="32" borderId="0" applyNumberFormat="0" applyBorder="0" applyAlignment="0" applyProtection="0"/>
    <xf numFmtId="0" fontId="44" fillId="78" borderId="0" applyNumberFormat="0" applyBorder="0" applyAlignment="0" applyProtection="0"/>
    <xf numFmtId="0" fontId="44" fillId="32" borderId="0" applyNumberFormat="0" applyBorder="0" applyAlignment="0" applyProtection="0"/>
    <xf numFmtId="0" fontId="44" fillId="32" borderId="0" applyNumberFormat="0" applyBorder="0" applyAlignment="0" applyProtection="0"/>
    <xf numFmtId="0" fontId="44" fillId="79" borderId="0" applyNumberFormat="0" applyBorder="0" applyAlignment="0" applyProtection="0"/>
    <xf numFmtId="0" fontId="44" fillId="79" borderId="0" applyNumberFormat="0" applyBorder="0" applyAlignment="0" applyProtection="0"/>
    <xf numFmtId="0" fontId="44" fillId="79" borderId="0" applyNumberFormat="0" applyBorder="0" applyAlignment="0" applyProtection="0"/>
    <xf numFmtId="0" fontId="44" fillId="79" borderId="0" applyNumberFormat="0" applyBorder="0" applyAlignment="0" applyProtection="0"/>
    <xf numFmtId="0" fontId="44" fillId="79" borderId="0" applyNumberFormat="0" applyBorder="0" applyAlignment="0" applyProtection="0"/>
    <xf numFmtId="0" fontId="44" fillId="79" borderId="0" applyNumberFormat="0" applyBorder="0" applyAlignment="0" applyProtection="0"/>
    <xf numFmtId="0" fontId="44" fillId="79" borderId="0" applyNumberFormat="0" applyBorder="0" applyAlignment="0" applyProtection="0"/>
    <xf numFmtId="0" fontId="44" fillId="79" borderId="0" applyNumberFormat="0" applyBorder="0" applyAlignment="0" applyProtection="0"/>
    <xf numFmtId="0" fontId="44" fillId="79" borderId="0" applyNumberFormat="0" applyBorder="0" applyAlignment="0" applyProtection="0"/>
    <xf numFmtId="0" fontId="44" fillId="79" borderId="0" applyNumberFormat="0" applyBorder="0" applyAlignment="0" applyProtection="0"/>
    <xf numFmtId="0" fontId="44" fillId="79" borderId="0" applyNumberFormat="0" applyBorder="0" applyAlignment="0" applyProtection="0"/>
    <xf numFmtId="0" fontId="44" fillId="32" borderId="0" applyNumberFormat="0" applyBorder="0" applyAlignment="0" applyProtection="0"/>
    <xf numFmtId="0" fontId="44" fillId="78" borderId="0" applyNumberFormat="0" applyBorder="0" applyAlignment="0" applyProtection="0"/>
    <xf numFmtId="0" fontId="44" fillId="79" borderId="0" applyNumberFormat="0" applyBorder="0" applyAlignment="0" applyProtection="0"/>
    <xf numFmtId="0" fontId="44" fillId="79" borderId="0" applyNumberFormat="0" applyBorder="0" applyAlignment="0" applyProtection="0"/>
    <xf numFmtId="0" fontId="44" fillId="79" borderId="0" applyNumberFormat="0" applyBorder="0" applyAlignment="0" applyProtection="0"/>
    <xf numFmtId="0" fontId="44" fillId="79" borderId="0" applyNumberFormat="0" applyBorder="0" applyAlignment="0" applyProtection="0"/>
    <xf numFmtId="0" fontId="44" fillId="79" borderId="0" applyNumberFormat="0" applyBorder="0" applyAlignment="0" applyProtection="0"/>
    <xf numFmtId="0" fontId="44" fillId="79" borderId="0" applyNumberFormat="0" applyBorder="0" applyAlignment="0" applyProtection="0"/>
    <xf numFmtId="0" fontId="44" fillId="79" borderId="0" applyNumberFormat="0" applyBorder="0" applyAlignment="0" applyProtection="0"/>
    <xf numFmtId="0" fontId="44" fillId="79" borderId="0" applyNumberFormat="0" applyBorder="0" applyAlignment="0" applyProtection="0"/>
    <xf numFmtId="0" fontId="44" fillId="79" borderId="0" applyNumberFormat="0" applyBorder="0" applyAlignment="0" applyProtection="0"/>
    <xf numFmtId="0" fontId="44" fillId="79" borderId="0" applyNumberFormat="0" applyBorder="0" applyAlignment="0" applyProtection="0"/>
    <xf numFmtId="0" fontId="44" fillId="79" borderId="0" applyNumberFormat="0" applyBorder="0" applyAlignment="0" applyProtection="0"/>
    <xf numFmtId="0" fontId="44" fillId="32" borderId="0" applyNumberFormat="0" applyBorder="0" applyAlignment="0" applyProtection="0"/>
    <xf numFmtId="0" fontId="44" fillId="79" borderId="0" applyNumberFormat="0" applyBorder="0" applyAlignment="0" applyProtection="0"/>
    <xf numFmtId="0" fontId="44" fillId="79" borderId="0" applyNumberFormat="0" applyBorder="0" applyAlignment="0" applyProtection="0"/>
    <xf numFmtId="0" fontId="44" fillId="79" borderId="0" applyNumberFormat="0" applyBorder="0" applyAlignment="0" applyProtection="0"/>
    <xf numFmtId="0" fontId="44" fillId="79" borderId="0" applyNumberFormat="0" applyBorder="0" applyAlignment="0" applyProtection="0"/>
    <xf numFmtId="0" fontId="44" fillId="79" borderId="0" applyNumberFormat="0" applyBorder="0" applyAlignment="0" applyProtection="0"/>
    <xf numFmtId="0" fontId="44" fillId="79" borderId="0" applyNumberFormat="0" applyBorder="0" applyAlignment="0" applyProtection="0"/>
    <xf numFmtId="0" fontId="44" fillId="79" borderId="0" applyNumberFormat="0" applyBorder="0" applyAlignment="0" applyProtection="0"/>
    <xf numFmtId="0" fontId="44" fillId="79" borderId="0" applyNumberFormat="0" applyBorder="0" applyAlignment="0" applyProtection="0"/>
    <xf numFmtId="0" fontId="44" fillId="79" borderId="0" applyNumberFormat="0" applyBorder="0" applyAlignment="0" applyProtection="0"/>
    <xf numFmtId="0" fontId="44" fillId="79" borderId="0" applyNumberFormat="0" applyBorder="0" applyAlignment="0" applyProtection="0"/>
    <xf numFmtId="0" fontId="44" fillId="79" borderId="0" applyNumberFormat="0" applyBorder="0" applyAlignment="0" applyProtection="0"/>
    <xf numFmtId="0" fontId="44" fillId="79" borderId="0" applyNumberFormat="0" applyBorder="0" applyAlignment="0" applyProtection="0"/>
    <xf numFmtId="0" fontId="44" fillId="79" borderId="0" applyNumberFormat="0" applyBorder="0" applyAlignment="0" applyProtection="0"/>
    <xf numFmtId="0" fontId="44" fillId="79" borderId="0" applyNumberFormat="0" applyBorder="0" applyAlignment="0" applyProtection="0"/>
    <xf numFmtId="0" fontId="44" fillId="79" borderId="0" applyNumberFormat="0" applyBorder="0" applyAlignment="0" applyProtection="0"/>
    <xf numFmtId="0" fontId="44" fillId="79" borderId="0" applyNumberFormat="0" applyBorder="0" applyAlignment="0" applyProtection="0"/>
    <xf numFmtId="0" fontId="44" fillId="79" borderId="0" applyNumberFormat="0" applyBorder="0" applyAlignment="0" applyProtection="0"/>
    <xf numFmtId="0" fontId="44" fillId="79" borderId="0" applyNumberFormat="0" applyBorder="0" applyAlignment="0" applyProtection="0"/>
    <xf numFmtId="0" fontId="44" fillId="79" borderId="0" applyNumberFormat="0" applyBorder="0" applyAlignment="0" applyProtection="0"/>
    <xf numFmtId="0" fontId="44" fillId="79" borderId="0" applyNumberFormat="0" applyBorder="0" applyAlignment="0" applyProtection="0"/>
    <xf numFmtId="0" fontId="44" fillId="79" borderId="0" applyNumberFormat="0" applyBorder="0" applyAlignment="0" applyProtection="0"/>
    <xf numFmtId="0" fontId="44" fillId="79" borderId="0" applyNumberFormat="0" applyBorder="0" applyAlignment="0" applyProtection="0"/>
    <xf numFmtId="0" fontId="44" fillId="79" borderId="0" applyNumberFormat="0" applyBorder="0" applyAlignment="0" applyProtection="0"/>
    <xf numFmtId="0" fontId="44" fillId="79" borderId="0" applyNumberFormat="0" applyBorder="0" applyAlignment="0" applyProtection="0"/>
    <xf numFmtId="0" fontId="44" fillId="79" borderId="0" applyNumberFormat="0" applyBorder="0" applyAlignment="0" applyProtection="0"/>
    <xf numFmtId="0" fontId="44" fillId="79" borderId="0" applyNumberFormat="0" applyBorder="0" applyAlignment="0" applyProtection="0"/>
    <xf numFmtId="0" fontId="44" fillId="78" borderId="0" applyNumberFormat="0" applyBorder="0" applyAlignment="0" applyProtection="0"/>
    <xf numFmtId="0" fontId="44" fillId="78" borderId="0" applyNumberFormat="0" applyBorder="0" applyAlignment="0" applyProtection="0"/>
    <xf numFmtId="0" fontId="44" fillId="32" borderId="0" applyNumberFormat="0" applyBorder="0" applyAlignment="0" applyProtection="0"/>
    <xf numFmtId="0" fontId="44" fillId="32" borderId="0" applyNumberFormat="0" applyBorder="0" applyAlignment="0" applyProtection="0"/>
    <xf numFmtId="0" fontId="44" fillId="78" borderId="0" applyNumberFormat="0" applyBorder="0" applyAlignment="0" applyProtection="0"/>
    <xf numFmtId="0" fontId="44" fillId="78" borderId="0" applyNumberFormat="0" applyBorder="0" applyAlignment="0" applyProtection="0"/>
    <xf numFmtId="0" fontId="44" fillId="32" borderId="0" applyNumberFormat="0" applyBorder="0" applyAlignment="0" applyProtection="0"/>
    <xf numFmtId="0" fontId="44" fillId="32" borderId="0" applyNumberFormat="0" applyBorder="0" applyAlignment="0" applyProtection="0"/>
    <xf numFmtId="0" fontId="44" fillId="78" borderId="0" applyNumberFormat="0" applyBorder="0" applyAlignment="0" applyProtection="0"/>
    <xf numFmtId="0" fontId="44" fillId="78" borderId="0" applyNumberFormat="0" applyBorder="0" applyAlignment="0" applyProtection="0"/>
    <xf numFmtId="0" fontId="44" fillId="32" borderId="0" applyNumberFormat="0" applyBorder="0" applyAlignment="0" applyProtection="0"/>
    <xf numFmtId="0" fontId="44" fillId="32" borderId="0" applyNumberFormat="0" applyBorder="0" applyAlignment="0" applyProtection="0"/>
    <xf numFmtId="0" fontId="44" fillId="78" borderId="0" applyNumberFormat="0" applyBorder="0" applyAlignment="0" applyProtection="0"/>
    <xf numFmtId="0" fontId="44" fillId="78" borderId="0" applyNumberFormat="0" applyBorder="0" applyAlignment="0" applyProtection="0"/>
    <xf numFmtId="0" fontId="44" fillId="32" borderId="0" applyNumberFormat="0" applyBorder="0" applyAlignment="0" applyProtection="0"/>
    <xf numFmtId="0" fontId="44" fillId="32" borderId="0" applyNumberFormat="0" applyBorder="0" applyAlignment="0" applyProtection="0"/>
    <xf numFmtId="0" fontId="44" fillId="78" borderId="0" applyNumberFormat="0" applyBorder="0" applyAlignment="0" applyProtection="0"/>
    <xf numFmtId="0" fontId="44" fillId="78" borderId="0" applyNumberFormat="0" applyBorder="0" applyAlignment="0" applyProtection="0"/>
    <xf numFmtId="0" fontId="44" fillId="32" borderId="0" applyNumberFormat="0" applyBorder="0" applyAlignment="0" applyProtection="0"/>
    <xf numFmtId="0" fontId="44" fillId="32" borderId="0" applyNumberFormat="0" applyBorder="0" applyAlignment="0" applyProtection="0"/>
    <xf numFmtId="0" fontId="44" fillId="78" borderId="0" applyNumberFormat="0" applyBorder="0" applyAlignment="0" applyProtection="0"/>
    <xf numFmtId="0" fontId="44" fillId="78" borderId="0" applyNumberFormat="0" applyBorder="0" applyAlignment="0" applyProtection="0"/>
    <xf numFmtId="0" fontId="44" fillId="32" borderId="0" applyNumberFormat="0" applyBorder="0" applyAlignment="0" applyProtection="0"/>
    <xf numFmtId="0" fontId="44" fillId="32" borderId="0" applyNumberFormat="0" applyBorder="0" applyAlignment="0" applyProtection="0"/>
    <xf numFmtId="0" fontId="44" fillId="78" borderId="0" applyNumberFormat="0" applyBorder="0" applyAlignment="0" applyProtection="0"/>
    <xf numFmtId="0" fontId="44" fillId="78" borderId="0" applyNumberFormat="0" applyBorder="0" applyAlignment="0" applyProtection="0"/>
    <xf numFmtId="0" fontId="44" fillId="32" borderId="0" applyNumberFormat="0" applyBorder="0" applyAlignment="0" applyProtection="0"/>
    <xf numFmtId="0" fontId="44" fillId="32" borderId="0" applyNumberFormat="0" applyBorder="0" applyAlignment="0" applyProtection="0"/>
    <xf numFmtId="0" fontId="44" fillId="68" borderId="0" applyNumberFormat="0" applyBorder="0" applyAlignment="0" applyProtection="0"/>
    <xf numFmtId="0" fontId="44" fillId="68" borderId="0" applyNumberFormat="0" applyBorder="0" applyAlignment="0" applyProtection="0"/>
    <xf numFmtId="0" fontId="44" fillId="29" borderId="0" applyNumberFormat="0" applyBorder="0" applyAlignment="0" applyProtection="0"/>
    <xf numFmtId="0" fontId="44" fillId="29" borderId="0" applyNumberFormat="0" applyBorder="0" applyAlignment="0" applyProtection="0"/>
    <xf numFmtId="0" fontId="44" fillId="68" borderId="0" applyNumberFormat="0" applyBorder="0" applyAlignment="0" applyProtection="0"/>
    <xf numFmtId="0" fontId="44" fillId="29" borderId="0" applyNumberFormat="0" applyBorder="0" applyAlignment="0" applyProtection="0"/>
    <xf numFmtId="0" fontId="44" fillId="2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29" borderId="0" applyNumberFormat="0" applyBorder="0" applyAlignment="0" applyProtection="0"/>
    <xf numFmtId="0" fontId="44" fillId="68"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2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9" borderId="0" applyNumberFormat="0" applyBorder="0" applyAlignment="0" applyProtection="0"/>
    <xf numFmtId="0" fontId="44" fillId="68" borderId="0" applyNumberFormat="0" applyBorder="0" applyAlignment="0" applyProtection="0"/>
    <xf numFmtId="0" fontId="44" fillId="68" borderId="0" applyNumberFormat="0" applyBorder="0" applyAlignment="0" applyProtection="0"/>
    <xf numFmtId="0" fontId="44" fillId="29" borderId="0" applyNumberFormat="0" applyBorder="0" applyAlignment="0" applyProtection="0"/>
    <xf numFmtId="0" fontId="44" fillId="29" borderId="0" applyNumberFormat="0" applyBorder="0" applyAlignment="0" applyProtection="0"/>
    <xf numFmtId="0" fontId="44" fillId="68" borderId="0" applyNumberFormat="0" applyBorder="0" applyAlignment="0" applyProtection="0"/>
    <xf numFmtId="0" fontId="44" fillId="68" borderId="0" applyNumberFormat="0" applyBorder="0" applyAlignment="0" applyProtection="0"/>
    <xf numFmtId="0" fontId="44" fillId="29" borderId="0" applyNumberFormat="0" applyBorder="0" applyAlignment="0" applyProtection="0"/>
    <xf numFmtId="0" fontId="44" fillId="29" borderId="0" applyNumberFormat="0" applyBorder="0" applyAlignment="0" applyProtection="0"/>
    <xf numFmtId="0" fontId="44" fillId="68" borderId="0" applyNumberFormat="0" applyBorder="0" applyAlignment="0" applyProtection="0"/>
    <xf numFmtId="0" fontId="44" fillId="68" borderId="0" applyNumberFormat="0" applyBorder="0" applyAlignment="0" applyProtection="0"/>
    <xf numFmtId="0" fontId="44" fillId="29" borderId="0" applyNumberFormat="0" applyBorder="0" applyAlignment="0" applyProtection="0"/>
    <xf numFmtId="0" fontId="44" fillId="29" borderId="0" applyNumberFormat="0" applyBorder="0" applyAlignment="0" applyProtection="0"/>
    <xf numFmtId="0" fontId="44" fillId="68" borderId="0" applyNumberFormat="0" applyBorder="0" applyAlignment="0" applyProtection="0"/>
    <xf numFmtId="0" fontId="44" fillId="68" borderId="0" applyNumberFormat="0" applyBorder="0" applyAlignment="0" applyProtection="0"/>
    <xf numFmtId="0" fontId="44" fillId="29" borderId="0" applyNumberFormat="0" applyBorder="0" applyAlignment="0" applyProtection="0"/>
    <xf numFmtId="0" fontId="44" fillId="29" borderId="0" applyNumberFormat="0" applyBorder="0" applyAlignment="0" applyProtection="0"/>
    <xf numFmtId="0" fontId="44" fillId="68" borderId="0" applyNumberFormat="0" applyBorder="0" applyAlignment="0" applyProtection="0"/>
    <xf numFmtId="0" fontId="44" fillId="68" borderId="0" applyNumberFormat="0" applyBorder="0" applyAlignment="0" applyProtection="0"/>
    <xf numFmtId="0" fontId="44" fillId="29" borderId="0" applyNumberFormat="0" applyBorder="0" applyAlignment="0" applyProtection="0"/>
    <xf numFmtId="0" fontId="44" fillId="29" borderId="0" applyNumberFormat="0" applyBorder="0" applyAlignment="0" applyProtection="0"/>
    <xf numFmtId="0" fontId="44" fillId="68" borderId="0" applyNumberFormat="0" applyBorder="0" applyAlignment="0" applyProtection="0"/>
    <xf numFmtId="0" fontId="44" fillId="68" borderId="0" applyNumberFormat="0" applyBorder="0" applyAlignment="0" applyProtection="0"/>
    <xf numFmtId="0" fontId="44" fillId="29" borderId="0" applyNumberFormat="0" applyBorder="0" applyAlignment="0" applyProtection="0"/>
    <xf numFmtId="0" fontId="44" fillId="29" borderId="0" applyNumberFormat="0" applyBorder="0" applyAlignment="0" applyProtection="0"/>
    <xf numFmtId="0" fontId="44" fillId="68" borderId="0" applyNumberFormat="0" applyBorder="0" applyAlignment="0" applyProtection="0"/>
    <xf numFmtId="0" fontId="44" fillId="68" borderId="0" applyNumberFormat="0" applyBorder="0" applyAlignment="0" applyProtection="0"/>
    <xf numFmtId="0" fontId="44" fillId="29" borderId="0" applyNumberFormat="0" applyBorder="0" applyAlignment="0" applyProtection="0"/>
    <xf numFmtId="0" fontId="44" fillId="29" borderId="0" applyNumberFormat="0" applyBorder="0" applyAlignment="0" applyProtection="0"/>
    <xf numFmtId="0" fontId="44" fillId="70" borderId="0" applyNumberFormat="0" applyBorder="0" applyAlignment="0" applyProtection="0"/>
    <xf numFmtId="0" fontId="44" fillId="70" borderId="0" applyNumberFormat="0" applyBorder="0" applyAlignment="0" applyProtection="0"/>
    <xf numFmtId="0" fontId="44" fillId="30" borderId="0" applyNumberFormat="0" applyBorder="0" applyAlignment="0" applyProtection="0"/>
    <xf numFmtId="0" fontId="44" fillId="30" borderId="0" applyNumberFormat="0" applyBorder="0" applyAlignment="0" applyProtection="0"/>
    <xf numFmtId="0" fontId="44" fillId="70" borderId="0" applyNumberFormat="0" applyBorder="0" applyAlignment="0" applyProtection="0"/>
    <xf numFmtId="0" fontId="44" fillId="30" borderId="0" applyNumberFormat="0" applyBorder="0" applyAlignment="0" applyProtection="0"/>
    <xf numFmtId="0" fontId="44" fillId="30"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30" borderId="0" applyNumberFormat="0" applyBorder="0" applyAlignment="0" applyProtection="0"/>
    <xf numFmtId="0" fontId="44" fillId="70"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30"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1" borderId="0" applyNumberFormat="0" applyBorder="0" applyAlignment="0" applyProtection="0"/>
    <xf numFmtId="0" fontId="44" fillId="70" borderId="0" applyNumberFormat="0" applyBorder="0" applyAlignment="0" applyProtection="0"/>
    <xf numFmtId="0" fontId="44" fillId="70" borderId="0" applyNumberFormat="0" applyBorder="0" applyAlignment="0" applyProtection="0"/>
    <xf numFmtId="0" fontId="44" fillId="30" borderId="0" applyNumberFormat="0" applyBorder="0" applyAlignment="0" applyProtection="0"/>
    <xf numFmtId="0" fontId="44" fillId="30" borderId="0" applyNumberFormat="0" applyBorder="0" applyAlignment="0" applyProtection="0"/>
    <xf numFmtId="0" fontId="44" fillId="70" borderId="0" applyNumberFormat="0" applyBorder="0" applyAlignment="0" applyProtection="0"/>
    <xf numFmtId="0" fontId="44" fillId="70" borderId="0" applyNumberFormat="0" applyBorder="0" applyAlignment="0" applyProtection="0"/>
    <xf numFmtId="0" fontId="44" fillId="30" borderId="0" applyNumberFormat="0" applyBorder="0" applyAlignment="0" applyProtection="0"/>
    <xf numFmtId="0" fontId="44" fillId="30" borderId="0" applyNumberFormat="0" applyBorder="0" applyAlignment="0" applyProtection="0"/>
    <xf numFmtId="0" fontId="44" fillId="70" borderId="0" applyNumberFormat="0" applyBorder="0" applyAlignment="0" applyProtection="0"/>
    <xf numFmtId="0" fontId="44" fillId="70" borderId="0" applyNumberFormat="0" applyBorder="0" applyAlignment="0" applyProtection="0"/>
    <xf numFmtId="0" fontId="44" fillId="30" borderId="0" applyNumberFormat="0" applyBorder="0" applyAlignment="0" applyProtection="0"/>
    <xf numFmtId="0" fontId="44" fillId="30" borderId="0" applyNumberFormat="0" applyBorder="0" applyAlignment="0" applyProtection="0"/>
    <xf numFmtId="0" fontId="44" fillId="70" borderId="0" applyNumberFormat="0" applyBorder="0" applyAlignment="0" applyProtection="0"/>
    <xf numFmtId="0" fontId="44" fillId="70" borderId="0" applyNumberFormat="0" applyBorder="0" applyAlignment="0" applyProtection="0"/>
    <xf numFmtId="0" fontId="44" fillId="30" borderId="0" applyNumberFormat="0" applyBorder="0" applyAlignment="0" applyProtection="0"/>
    <xf numFmtId="0" fontId="44" fillId="30" borderId="0" applyNumberFormat="0" applyBorder="0" applyAlignment="0" applyProtection="0"/>
    <xf numFmtId="0" fontId="44" fillId="70" borderId="0" applyNumberFormat="0" applyBorder="0" applyAlignment="0" applyProtection="0"/>
    <xf numFmtId="0" fontId="44" fillId="70" borderId="0" applyNumberFormat="0" applyBorder="0" applyAlignment="0" applyProtection="0"/>
    <xf numFmtId="0" fontId="44" fillId="30" borderId="0" applyNumberFormat="0" applyBorder="0" applyAlignment="0" applyProtection="0"/>
    <xf numFmtId="0" fontId="44" fillId="30" borderId="0" applyNumberFormat="0" applyBorder="0" applyAlignment="0" applyProtection="0"/>
    <xf numFmtId="0" fontId="44" fillId="70" borderId="0" applyNumberFormat="0" applyBorder="0" applyAlignment="0" applyProtection="0"/>
    <xf numFmtId="0" fontId="44" fillId="70" borderId="0" applyNumberFormat="0" applyBorder="0" applyAlignment="0" applyProtection="0"/>
    <xf numFmtId="0" fontId="44" fillId="30" borderId="0" applyNumberFormat="0" applyBorder="0" applyAlignment="0" applyProtection="0"/>
    <xf numFmtId="0" fontId="44" fillId="30" borderId="0" applyNumberFormat="0" applyBorder="0" applyAlignment="0" applyProtection="0"/>
    <xf numFmtId="0" fontId="44" fillId="70" borderId="0" applyNumberFormat="0" applyBorder="0" applyAlignment="0" applyProtection="0"/>
    <xf numFmtId="0" fontId="44" fillId="70" borderId="0" applyNumberFormat="0" applyBorder="0" applyAlignment="0" applyProtection="0"/>
    <xf numFmtId="0" fontId="44" fillId="30" borderId="0" applyNumberFormat="0" applyBorder="0" applyAlignment="0" applyProtection="0"/>
    <xf numFmtId="0" fontId="44" fillId="30" borderId="0" applyNumberFormat="0" applyBorder="0" applyAlignment="0" applyProtection="0"/>
    <xf numFmtId="0" fontId="44" fillId="33" borderId="0" applyNumberFormat="0" applyBorder="0" applyAlignment="0" applyProtection="0"/>
    <xf numFmtId="0" fontId="44" fillId="33" borderId="0" applyNumberFormat="0" applyBorder="0" applyAlignment="0" applyProtection="0"/>
    <xf numFmtId="0" fontId="44" fillId="19" borderId="0" applyNumberFormat="0" applyBorder="0" applyAlignment="0" applyProtection="0"/>
    <xf numFmtId="0" fontId="44" fillId="19" borderId="0" applyNumberFormat="0" applyBorder="0" applyAlignment="0" applyProtection="0"/>
    <xf numFmtId="0" fontId="44" fillId="33" borderId="0" applyNumberFormat="0" applyBorder="0" applyAlignment="0" applyProtection="0"/>
    <xf numFmtId="0" fontId="44" fillId="19" borderId="0" applyNumberFormat="0" applyBorder="0" applyAlignment="0" applyProtection="0"/>
    <xf numFmtId="0" fontId="44" fillId="19" borderId="0" applyNumberFormat="0" applyBorder="0" applyAlignment="0" applyProtection="0"/>
    <xf numFmtId="0" fontId="44" fillId="80" borderId="0" applyNumberFormat="0" applyBorder="0" applyAlignment="0" applyProtection="0"/>
    <xf numFmtId="0" fontId="44" fillId="80" borderId="0" applyNumberFormat="0" applyBorder="0" applyAlignment="0" applyProtection="0"/>
    <xf numFmtId="0" fontId="44" fillId="80" borderId="0" applyNumberFormat="0" applyBorder="0" applyAlignment="0" applyProtection="0"/>
    <xf numFmtId="0" fontId="44" fillId="80" borderId="0" applyNumberFormat="0" applyBorder="0" applyAlignment="0" applyProtection="0"/>
    <xf numFmtId="0" fontId="44" fillId="80" borderId="0" applyNumberFormat="0" applyBorder="0" applyAlignment="0" applyProtection="0"/>
    <xf numFmtId="0" fontId="44" fillId="80" borderId="0" applyNumberFormat="0" applyBorder="0" applyAlignment="0" applyProtection="0"/>
    <xf numFmtId="0" fontId="44" fillId="80" borderId="0" applyNumberFormat="0" applyBorder="0" applyAlignment="0" applyProtection="0"/>
    <xf numFmtId="0" fontId="44" fillId="80" borderId="0" applyNumberFormat="0" applyBorder="0" applyAlignment="0" applyProtection="0"/>
    <xf numFmtId="0" fontId="44" fillId="80" borderId="0" applyNumberFormat="0" applyBorder="0" applyAlignment="0" applyProtection="0"/>
    <xf numFmtId="0" fontId="44" fillId="80" borderId="0" applyNumberFormat="0" applyBorder="0" applyAlignment="0" applyProtection="0"/>
    <xf numFmtId="0" fontId="44" fillId="80" borderId="0" applyNumberFormat="0" applyBorder="0" applyAlignment="0" applyProtection="0"/>
    <xf numFmtId="0" fontId="44" fillId="19" borderId="0" applyNumberFormat="0" applyBorder="0" applyAlignment="0" applyProtection="0"/>
    <xf numFmtId="0" fontId="44" fillId="33" borderId="0" applyNumberFormat="0" applyBorder="0" applyAlignment="0" applyProtection="0"/>
    <xf numFmtId="0" fontId="44" fillId="80" borderId="0" applyNumberFormat="0" applyBorder="0" applyAlignment="0" applyProtection="0"/>
    <xf numFmtId="0" fontId="44" fillId="80" borderId="0" applyNumberFormat="0" applyBorder="0" applyAlignment="0" applyProtection="0"/>
    <xf numFmtId="0" fontId="44" fillId="80" borderId="0" applyNumberFormat="0" applyBorder="0" applyAlignment="0" applyProtection="0"/>
    <xf numFmtId="0" fontId="44" fillId="80" borderId="0" applyNumberFormat="0" applyBorder="0" applyAlignment="0" applyProtection="0"/>
    <xf numFmtId="0" fontId="44" fillId="80" borderId="0" applyNumberFormat="0" applyBorder="0" applyAlignment="0" applyProtection="0"/>
    <xf numFmtId="0" fontId="44" fillId="80" borderId="0" applyNumberFormat="0" applyBorder="0" applyAlignment="0" applyProtection="0"/>
    <xf numFmtId="0" fontId="44" fillId="80" borderId="0" applyNumberFormat="0" applyBorder="0" applyAlignment="0" applyProtection="0"/>
    <xf numFmtId="0" fontId="44" fillId="80" borderId="0" applyNumberFormat="0" applyBorder="0" applyAlignment="0" applyProtection="0"/>
    <xf numFmtId="0" fontId="44" fillId="80" borderId="0" applyNumberFormat="0" applyBorder="0" applyAlignment="0" applyProtection="0"/>
    <xf numFmtId="0" fontId="44" fillId="80" borderId="0" applyNumberFormat="0" applyBorder="0" applyAlignment="0" applyProtection="0"/>
    <xf numFmtId="0" fontId="44" fillId="80" borderId="0" applyNumberFormat="0" applyBorder="0" applyAlignment="0" applyProtection="0"/>
    <xf numFmtId="0" fontId="44" fillId="19" borderId="0" applyNumberFormat="0" applyBorder="0" applyAlignment="0" applyProtection="0"/>
    <xf numFmtId="0" fontId="44" fillId="80" borderId="0" applyNumberFormat="0" applyBorder="0" applyAlignment="0" applyProtection="0"/>
    <xf numFmtId="0" fontId="44" fillId="80" borderId="0" applyNumberFormat="0" applyBorder="0" applyAlignment="0" applyProtection="0"/>
    <xf numFmtId="0" fontId="44" fillId="80" borderId="0" applyNumberFormat="0" applyBorder="0" applyAlignment="0" applyProtection="0"/>
    <xf numFmtId="0" fontId="44" fillId="80" borderId="0" applyNumberFormat="0" applyBorder="0" applyAlignment="0" applyProtection="0"/>
    <xf numFmtId="0" fontId="44" fillId="80" borderId="0" applyNumberFormat="0" applyBorder="0" applyAlignment="0" applyProtection="0"/>
    <xf numFmtId="0" fontId="44" fillId="80" borderId="0" applyNumberFormat="0" applyBorder="0" applyAlignment="0" applyProtection="0"/>
    <xf numFmtId="0" fontId="44" fillId="80" borderId="0" applyNumberFormat="0" applyBorder="0" applyAlignment="0" applyProtection="0"/>
    <xf numFmtId="0" fontId="44" fillId="80" borderId="0" applyNumberFormat="0" applyBorder="0" applyAlignment="0" applyProtection="0"/>
    <xf numFmtId="0" fontId="44" fillId="80" borderId="0" applyNumberFormat="0" applyBorder="0" applyAlignment="0" applyProtection="0"/>
    <xf numFmtId="0" fontId="44" fillId="80" borderId="0" applyNumberFormat="0" applyBorder="0" applyAlignment="0" applyProtection="0"/>
    <xf numFmtId="0" fontId="44" fillId="80" borderId="0" applyNumberFormat="0" applyBorder="0" applyAlignment="0" applyProtection="0"/>
    <xf numFmtId="0" fontId="44" fillId="80" borderId="0" applyNumberFormat="0" applyBorder="0" applyAlignment="0" applyProtection="0"/>
    <xf numFmtId="0" fontId="44" fillId="80" borderId="0" applyNumberFormat="0" applyBorder="0" applyAlignment="0" applyProtection="0"/>
    <xf numFmtId="0" fontId="44" fillId="80" borderId="0" applyNumberFormat="0" applyBorder="0" applyAlignment="0" applyProtection="0"/>
    <xf numFmtId="0" fontId="44" fillId="80" borderId="0" applyNumberFormat="0" applyBorder="0" applyAlignment="0" applyProtection="0"/>
    <xf numFmtId="0" fontId="44" fillId="80" borderId="0" applyNumberFormat="0" applyBorder="0" applyAlignment="0" applyProtection="0"/>
    <xf numFmtId="0" fontId="44" fillId="80" borderId="0" applyNumberFormat="0" applyBorder="0" applyAlignment="0" applyProtection="0"/>
    <xf numFmtId="0" fontId="44" fillId="80" borderId="0" applyNumberFormat="0" applyBorder="0" applyAlignment="0" applyProtection="0"/>
    <xf numFmtId="0" fontId="44" fillId="80" borderId="0" applyNumberFormat="0" applyBorder="0" applyAlignment="0" applyProtection="0"/>
    <xf numFmtId="0" fontId="44" fillId="80" borderId="0" applyNumberFormat="0" applyBorder="0" applyAlignment="0" applyProtection="0"/>
    <xf numFmtId="0" fontId="44" fillId="80" borderId="0" applyNumberFormat="0" applyBorder="0" applyAlignment="0" applyProtection="0"/>
    <xf numFmtId="0" fontId="44" fillId="80" borderId="0" applyNumberFormat="0" applyBorder="0" applyAlignment="0" applyProtection="0"/>
    <xf numFmtId="0" fontId="44" fillId="80" borderId="0" applyNumberFormat="0" applyBorder="0" applyAlignment="0" applyProtection="0"/>
    <xf numFmtId="0" fontId="44" fillId="80" borderId="0" applyNumberFormat="0" applyBorder="0" applyAlignment="0" applyProtection="0"/>
    <xf numFmtId="0" fontId="44" fillId="80" borderId="0" applyNumberFormat="0" applyBorder="0" applyAlignment="0" applyProtection="0"/>
    <xf numFmtId="0" fontId="44" fillId="80" borderId="0" applyNumberFormat="0" applyBorder="0" applyAlignment="0" applyProtection="0"/>
    <xf numFmtId="0" fontId="44" fillId="33" borderId="0" applyNumberFormat="0" applyBorder="0" applyAlignment="0" applyProtection="0"/>
    <xf numFmtId="0" fontId="44" fillId="33" borderId="0" applyNumberFormat="0" applyBorder="0" applyAlignment="0" applyProtection="0"/>
    <xf numFmtId="0" fontId="44" fillId="19" borderId="0" applyNumberFormat="0" applyBorder="0" applyAlignment="0" applyProtection="0"/>
    <xf numFmtId="0" fontId="44" fillId="19" borderId="0" applyNumberFormat="0" applyBorder="0" applyAlignment="0" applyProtection="0"/>
    <xf numFmtId="0" fontId="44" fillId="33" borderId="0" applyNumberFormat="0" applyBorder="0" applyAlignment="0" applyProtection="0"/>
    <xf numFmtId="0" fontId="44" fillId="33" borderId="0" applyNumberFormat="0" applyBorder="0" applyAlignment="0" applyProtection="0"/>
    <xf numFmtId="0" fontId="44" fillId="19" borderId="0" applyNumberFormat="0" applyBorder="0" applyAlignment="0" applyProtection="0"/>
    <xf numFmtId="0" fontId="44" fillId="19" borderId="0" applyNumberFormat="0" applyBorder="0" applyAlignment="0" applyProtection="0"/>
    <xf numFmtId="0" fontId="44" fillId="33" borderId="0" applyNumberFormat="0" applyBorder="0" applyAlignment="0" applyProtection="0"/>
    <xf numFmtId="0" fontId="44" fillId="33" borderId="0" applyNumberFormat="0" applyBorder="0" applyAlignment="0" applyProtection="0"/>
    <xf numFmtId="0" fontId="44" fillId="19" borderId="0" applyNumberFormat="0" applyBorder="0" applyAlignment="0" applyProtection="0"/>
    <xf numFmtId="0" fontId="44" fillId="19" borderId="0" applyNumberFormat="0" applyBorder="0" applyAlignment="0" applyProtection="0"/>
    <xf numFmtId="0" fontId="44" fillId="33" borderId="0" applyNumberFormat="0" applyBorder="0" applyAlignment="0" applyProtection="0"/>
    <xf numFmtId="0" fontId="44" fillId="33" borderId="0" applyNumberFormat="0" applyBorder="0" applyAlignment="0" applyProtection="0"/>
    <xf numFmtId="0" fontId="44" fillId="19" borderId="0" applyNumberFormat="0" applyBorder="0" applyAlignment="0" applyProtection="0"/>
    <xf numFmtId="0" fontId="44" fillId="19" borderId="0" applyNumberFormat="0" applyBorder="0" applyAlignment="0" applyProtection="0"/>
    <xf numFmtId="0" fontId="44" fillId="33" borderId="0" applyNumberFormat="0" applyBorder="0" applyAlignment="0" applyProtection="0"/>
    <xf numFmtId="0" fontId="44" fillId="33" borderId="0" applyNumberFormat="0" applyBorder="0" applyAlignment="0" applyProtection="0"/>
    <xf numFmtId="0" fontId="44" fillId="19" borderId="0" applyNumberFormat="0" applyBorder="0" applyAlignment="0" applyProtection="0"/>
    <xf numFmtId="0" fontId="44" fillId="19" borderId="0" applyNumberFormat="0" applyBorder="0" applyAlignment="0" applyProtection="0"/>
    <xf numFmtId="0" fontId="44" fillId="33" borderId="0" applyNumberFormat="0" applyBorder="0" applyAlignment="0" applyProtection="0"/>
    <xf numFmtId="0" fontId="44" fillId="33" borderId="0" applyNumberFormat="0" applyBorder="0" applyAlignment="0" applyProtection="0"/>
    <xf numFmtId="0" fontId="44" fillId="19" borderId="0" applyNumberFormat="0" applyBorder="0" applyAlignment="0" applyProtection="0"/>
    <xf numFmtId="0" fontId="44" fillId="19" borderId="0" applyNumberFormat="0" applyBorder="0" applyAlignment="0" applyProtection="0"/>
    <xf numFmtId="0" fontId="44" fillId="33" borderId="0" applyNumberFormat="0" applyBorder="0" applyAlignment="0" applyProtection="0"/>
    <xf numFmtId="0" fontId="44" fillId="33" borderId="0" applyNumberFormat="0" applyBorder="0" applyAlignment="0" applyProtection="0"/>
    <xf numFmtId="0" fontId="44" fillId="19" borderId="0" applyNumberFormat="0" applyBorder="0" applyAlignment="0" applyProtection="0"/>
    <xf numFmtId="0" fontId="44" fillId="19" borderId="0" applyNumberFormat="0" applyBorder="0" applyAlignment="0" applyProtection="0"/>
    <xf numFmtId="0" fontId="54" fillId="49" borderId="0" applyNumberFormat="0" applyBorder="0" applyAlignment="0" applyProtection="0"/>
    <xf numFmtId="0" fontId="54" fillId="49" borderId="0" applyNumberFormat="0" applyBorder="0" applyAlignment="0" applyProtection="0"/>
    <xf numFmtId="0" fontId="54" fillId="21" borderId="0" applyNumberFormat="0" applyBorder="0" applyAlignment="0" applyProtection="0"/>
    <xf numFmtId="0" fontId="54" fillId="21" borderId="0" applyNumberFormat="0" applyBorder="0" applyAlignment="0" applyProtection="0"/>
    <xf numFmtId="0" fontId="54" fillId="49" borderId="0" applyNumberFormat="0" applyBorder="0" applyAlignment="0" applyProtection="0"/>
    <xf numFmtId="0" fontId="54" fillId="21" borderId="0" applyNumberFormat="0" applyBorder="0" applyAlignment="0" applyProtection="0"/>
    <xf numFmtId="0" fontId="54" fillId="21"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21" borderId="0" applyNumberFormat="0" applyBorder="0" applyAlignment="0" applyProtection="0"/>
    <xf numFmtId="0" fontId="54" fillId="49"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21"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49" borderId="0" applyNumberFormat="0" applyBorder="0" applyAlignment="0" applyProtection="0"/>
    <xf numFmtId="0" fontId="54" fillId="49" borderId="0" applyNumberFormat="0" applyBorder="0" applyAlignment="0" applyProtection="0"/>
    <xf numFmtId="0" fontId="54" fillId="21" borderId="0" applyNumberFormat="0" applyBorder="0" applyAlignment="0" applyProtection="0"/>
    <xf numFmtId="0" fontId="54" fillId="21" borderId="0" applyNumberFormat="0" applyBorder="0" applyAlignment="0" applyProtection="0"/>
    <xf numFmtId="0" fontId="54" fillId="49" borderId="0" applyNumberFormat="0" applyBorder="0" applyAlignment="0" applyProtection="0"/>
    <xf numFmtId="0" fontId="54" fillId="49" borderId="0" applyNumberFormat="0" applyBorder="0" applyAlignment="0" applyProtection="0"/>
    <xf numFmtId="0" fontId="54" fillId="21" borderId="0" applyNumberFormat="0" applyBorder="0" applyAlignment="0" applyProtection="0"/>
    <xf numFmtId="0" fontId="54" fillId="21" borderId="0" applyNumberFormat="0" applyBorder="0" applyAlignment="0" applyProtection="0"/>
    <xf numFmtId="0" fontId="54" fillId="49" borderId="0" applyNumberFormat="0" applyBorder="0" applyAlignment="0" applyProtection="0"/>
    <xf numFmtId="0" fontId="54" fillId="49" borderId="0" applyNumberFormat="0" applyBorder="0" applyAlignment="0" applyProtection="0"/>
    <xf numFmtId="0" fontId="54" fillId="21" borderId="0" applyNumberFormat="0" applyBorder="0" applyAlignment="0" applyProtection="0"/>
    <xf numFmtId="0" fontId="54" fillId="21" borderId="0" applyNumberFormat="0" applyBorder="0" applyAlignment="0" applyProtection="0"/>
    <xf numFmtId="0" fontId="54" fillId="49" borderId="0" applyNumberFormat="0" applyBorder="0" applyAlignment="0" applyProtection="0"/>
    <xf numFmtId="0" fontId="54" fillId="49" borderId="0" applyNumberFormat="0" applyBorder="0" applyAlignment="0" applyProtection="0"/>
    <xf numFmtId="0" fontId="54" fillId="21" borderId="0" applyNumberFormat="0" applyBorder="0" applyAlignment="0" applyProtection="0"/>
    <xf numFmtId="0" fontId="54" fillId="21" borderId="0" applyNumberFormat="0" applyBorder="0" applyAlignment="0" applyProtection="0"/>
    <xf numFmtId="0" fontId="54" fillId="49" borderId="0" applyNumberFormat="0" applyBorder="0" applyAlignment="0" applyProtection="0"/>
    <xf numFmtId="0" fontId="54" fillId="49" borderId="0" applyNumberFormat="0" applyBorder="0" applyAlignment="0" applyProtection="0"/>
    <xf numFmtId="0" fontId="54" fillId="21" borderId="0" applyNumberFormat="0" applyBorder="0" applyAlignment="0" applyProtection="0"/>
    <xf numFmtId="0" fontId="54" fillId="21" borderId="0" applyNumberFormat="0" applyBorder="0" applyAlignment="0" applyProtection="0"/>
    <xf numFmtId="0" fontId="54" fillId="49" borderId="0" applyNumberFormat="0" applyBorder="0" applyAlignment="0" applyProtection="0"/>
    <xf numFmtId="0" fontId="54" fillId="49" borderId="0" applyNumberFormat="0" applyBorder="0" applyAlignment="0" applyProtection="0"/>
    <xf numFmtId="0" fontId="54" fillId="21" borderId="0" applyNumberFormat="0" applyBorder="0" applyAlignment="0" applyProtection="0"/>
    <xf numFmtId="0" fontId="54" fillId="21" borderId="0" applyNumberFormat="0" applyBorder="0" applyAlignment="0" applyProtection="0"/>
    <xf numFmtId="0" fontId="54" fillId="49" borderId="0" applyNumberFormat="0" applyBorder="0" applyAlignment="0" applyProtection="0"/>
    <xf numFmtId="0" fontId="54" fillId="49" borderId="0" applyNumberFormat="0" applyBorder="0" applyAlignment="0" applyProtection="0"/>
    <xf numFmtId="0" fontId="54" fillId="21" borderId="0" applyNumberFormat="0" applyBorder="0" applyAlignment="0" applyProtection="0"/>
    <xf numFmtId="0" fontId="54" fillId="21" borderId="0" applyNumberFormat="0" applyBorder="0" applyAlignment="0" applyProtection="0"/>
    <xf numFmtId="0" fontId="55" fillId="34" borderId="18" applyNumberFormat="0" applyAlignment="0" applyProtection="0"/>
    <xf numFmtId="0" fontId="55" fillId="34" borderId="18" applyNumberFormat="0" applyAlignment="0" applyProtection="0"/>
    <xf numFmtId="0" fontId="55" fillId="16" borderId="18" applyNumberFormat="0" applyAlignment="0" applyProtection="0"/>
    <xf numFmtId="0" fontId="55" fillId="16" borderId="18" applyNumberFormat="0" applyAlignment="0" applyProtection="0"/>
    <xf numFmtId="0" fontId="55" fillId="34" borderId="18" applyNumberFormat="0" applyAlignment="0" applyProtection="0"/>
    <xf numFmtId="0" fontId="55" fillId="16" borderId="18" applyNumberFormat="0" applyAlignment="0" applyProtection="0"/>
    <xf numFmtId="0" fontId="55" fillId="16"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16" borderId="18" applyNumberFormat="0" applyAlignment="0" applyProtection="0"/>
    <xf numFmtId="0" fontId="55" fillId="34"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16"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34" borderId="18" applyNumberFormat="0" applyAlignment="0" applyProtection="0"/>
    <xf numFmtId="0" fontId="36" fillId="8" borderId="15"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34" borderId="18" applyNumberFormat="0" applyAlignment="0" applyProtection="0"/>
    <xf numFmtId="0" fontId="55" fillId="34" borderId="18" applyNumberFormat="0" applyAlignment="0" applyProtection="0"/>
    <xf numFmtId="0" fontId="55" fillId="16" borderId="18" applyNumberFormat="0" applyAlignment="0" applyProtection="0"/>
    <xf numFmtId="0" fontId="55" fillId="16" borderId="18" applyNumberFormat="0" applyAlignment="0" applyProtection="0"/>
    <xf numFmtId="0" fontId="55" fillId="34" borderId="18" applyNumberFormat="0" applyAlignment="0" applyProtection="0"/>
    <xf numFmtId="0" fontId="55" fillId="34" borderId="18" applyNumberFormat="0" applyAlignment="0" applyProtection="0"/>
    <xf numFmtId="0" fontId="55" fillId="16" borderId="18" applyNumberFormat="0" applyAlignment="0" applyProtection="0"/>
    <xf numFmtId="0" fontId="55" fillId="16" borderId="18" applyNumberFormat="0" applyAlignment="0" applyProtection="0"/>
    <xf numFmtId="0" fontId="55" fillId="34" borderId="18" applyNumberFormat="0" applyAlignment="0" applyProtection="0"/>
    <xf numFmtId="0" fontId="55" fillId="34" borderId="18" applyNumberFormat="0" applyAlignment="0" applyProtection="0"/>
    <xf numFmtId="0" fontId="55" fillId="16" borderId="18" applyNumberFormat="0" applyAlignment="0" applyProtection="0"/>
    <xf numFmtId="0" fontId="55" fillId="16" borderId="18" applyNumberFormat="0" applyAlignment="0" applyProtection="0"/>
    <xf numFmtId="0" fontId="55" fillId="34" borderId="18" applyNumberFormat="0" applyAlignment="0" applyProtection="0"/>
    <xf numFmtId="0" fontId="55" fillId="34" borderId="18" applyNumberFormat="0" applyAlignment="0" applyProtection="0"/>
    <xf numFmtId="0" fontId="55" fillId="16" borderId="18" applyNumberFormat="0" applyAlignment="0" applyProtection="0"/>
    <xf numFmtId="0" fontId="55" fillId="16" borderId="18" applyNumberFormat="0" applyAlignment="0" applyProtection="0"/>
    <xf numFmtId="0" fontId="55" fillId="34" borderId="18" applyNumberFormat="0" applyAlignment="0" applyProtection="0"/>
    <xf numFmtId="0" fontId="55" fillId="34" borderId="18" applyNumberFormat="0" applyAlignment="0" applyProtection="0"/>
    <xf numFmtId="0" fontId="55" fillId="16" borderId="18" applyNumberFormat="0" applyAlignment="0" applyProtection="0"/>
    <xf numFmtId="0" fontId="55" fillId="16" borderId="18" applyNumberFormat="0" applyAlignment="0" applyProtection="0"/>
    <xf numFmtId="0" fontId="55" fillId="34" borderId="18" applyNumberFormat="0" applyAlignment="0" applyProtection="0"/>
    <xf numFmtId="0" fontId="55" fillId="34" borderId="18" applyNumberFormat="0" applyAlignment="0" applyProtection="0"/>
    <xf numFmtId="0" fontId="55" fillId="16" borderId="18" applyNumberFormat="0" applyAlignment="0" applyProtection="0"/>
    <xf numFmtId="0" fontId="55" fillId="16" borderId="18" applyNumberFormat="0" applyAlignment="0" applyProtection="0"/>
    <xf numFmtId="0" fontId="55" fillId="34" borderId="18" applyNumberFormat="0" applyAlignment="0" applyProtection="0"/>
    <xf numFmtId="0" fontId="55" fillId="34" borderId="18" applyNumberFormat="0" applyAlignment="0" applyProtection="0"/>
    <xf numFmtId="0" fontId="55" fillId="16" borderId="18" applyNumberFormat="0" applyAlignment="0" applyProtection="0"/>
    <xf numFmtId="0" fontId="55" fillId="16" borderId="18" applyNumberFormat="0" applyAlignment="0" applyProtection="0"/>
    <xf numFmtId="0" fontId="56" fillId="82" borderId="19" applyNumberFormat="0" applyAlignment="0" applyProtection="0"/>
    <xf numFmtId="0" fontId="56" fillId="82" borderId="19" applyNumberFormat="0" applyAlignment="0" applyProtection="0"/>
    <xf numFmtId="0" fontId="56" fillId="35" borderId="19" applyNumberFormat="0" applyAlignment="0" applyProtection="0"/>
    <xf numFmtId="0" fontId="56" fillId="35" borderId="19" applyNumberFormat="0" applyAlignment="0" applyProtection="0"/>
    <xf numFmtId="0" fontId="56" fillId="82" borderId="19" applyNumberFormat="0" applyAlignment="0" applyProtection="0"/>
    <xf numFmtId="0" fontId="56" fillId="35" borderId="19" applyNumberFormat="0" applyAlignment="0" applyProtection="0"/>
    <xf numFmtId="0" fontId="56" fillId="35" borderId="19" applyNumberFormat="0" applyAlignment="0" applyProtection="0"/>
    <xf numFmtId="0" fontId="56" fillId="83" borderId="19" applyNumberFormat="0" applyAlignment="0" applyProtection="0"/>
    <xf numFmtId="0" fontId="56" fillId="83" borderId="19" applyNumberFormat="0" applyAlignment="0" applyProtection="0"/>
    <xf numFmtId="0" fontId="56" fillId="83" borderId="19" applyNumberFormat="0" applyAlignment="0" applyProtection="0"/>
    <xf numFmtId="0" fontId="56" fillId="83" borderId="19" applyNumberFormat="0" applyAlignment="0" applyProtection="0"/>
    <xf numFmtId="0" fontId="56" fillId="83" borderId="19" applyNumberFormat="0" applyAlignment="0" applyProtection="0"/>
    <xf numFmtId="0" fontId="56" fillId="83" borderId="19" applyNumberFormat="0" applyAlignment="0" applyProtection="0"/>
    <xf numFmtId="0" fontId="56" fillId="83" borderId="19" applyNumberFormat="0" applyAlignment="0" applyProtection="0"/>
    <xf numFmtId="0" fontId="56" fillId="83" borderId="19" applyNumberFormat="0" applyAlignment="0" applyProtection="0"/>
    <xf numFmtId="0" fontId="56" fillId="83" borderId="19" applyNumberFormat="0" applyAlignment="0" applyProtection="0"/>
    <xf numFmtId="0" fontId="56" fillId="83" borderId="19" applyNumberFormat="0" applyAlignment="0" applyProtection="0"/>
    <xf numFmtId="0" fontId="56" fillId="83" borderId="19" applyNumberFormat="0" applyAlignment="0" applyProtection="0"/>
    <xf numFmtId="0" fontId="56" fillId="35" borderId="19" applyNumberFormat="0" applyAlignment="0" applyProtection="0"/>
    <xf numFmtId="0" fontId="56" fillId="82" borderId="19" applyNumberFormat="0" applyAlignment="0" applyProtection="0"/>
    <xf numFmtId="0" fontId="56" fillId="83" borderId="19" applyNumberFormat="0" applyAlignment="0" applyProtection="0"/>
    <xf numFmtId="0" fontId="56" fillId="83" borderId="19" applyNumberFormat="0" applyAlignment="0" applyProtection="0"/>
    <xf numFmtId="0" fontId="56" fillId="83" borderId="19" applyNumberFormat="0" applyAlignment="0" applyProtection="0"/>
    <xf numFmtId="0" fontId="56" fillId="83" borderId="19" applyNumberFormat="0" applyAlignment="0" applyProtection="0"/>
    <xf numFmtId="0" fontId="56" fillId="83" borderId="19" applyNumberFormat="0" applyAlignment="0" applyProtection="0"/>
    <xf numFmtId="0" fontId="56" fillId="83" borderId="19" applyNumberFormat="0" applyAlignment="0" applyProtection="0"/>
    <xf numFmtId="0" fontId="56" fillId="83" borderId="19" applyNumberFormat="0" applyAlignment="0" applyProtection="0"/>
    <xf numFmtId="0" fontId="56" fillId="83" borderId="19" applyNumberFormat="0" applyAlignment="0" applyProtection="0"/>
    <xf numFmtId="0" fontId="56" fillId="83" borderId="19" applyNumberFormat="0" applyAlignment="0" applyProtection="0"/>
    <xf numFmtId="0" fontId="56" fillId="83" borderId="19" applyNumberFormat="0" applyAlignment="0" applyProtection="0"/>
    <xf numFmtId="0" fontId="56" fillId="83" borderId="19" applyNumberFormat="0" applyAlignment="0" applyProtection="0"/>
    <xf numFmtId="0" fontId="56" fillId="35" borderId="19" applyNumberFormat="0" applyAlignment="0" applyProtection="0"/>
    <xf numFmtId="0" fontId="56" fillId="83" borderId="19" applyNumberFormat="0" applyAlignment="0" applyProtection="0"/>
    <xf numFmtId="0" fontId="56" fillId="83" borderId="19" applyNumberFormat="0" applyAlignment="0" applyProtection="0"/>
    <xf numFmtId="0" fontId="56" fillId="83" borderId="19" applyNumberFormat="0" applyAlignment="0" applyProtection="0"/>
    <xf numFmtId="0" fontId="56" fillId="83" borderId="19" applyNumberFormat="0" applyAlignment="0" applyProtection="0"/>
    <xf numFmtId="0" fontId="56" fillId="83" borderId="19" applyNumberFormat="0" applyAlignment="0" applyProtection="0"/>
    <xf numFmtId="0" fontId="56" fillId="83" borderId="19" applyNumberFormat="0" applyAlignment="0" applyProtection="0"/>
    <xf numFmtId="0" fontId="56" fillId="83" borderId="19" applyNumberFormat="0" applyAlignment="0" applyProtection="0"/>
    <xf numFmtId="0" fontId="56" fillId="83" borderId="19" applyNumberFormat="0" applyAlignment="0" applyProtection="0"/>
    <xf numFmtId="0" fontId="56" fillId="83" borderId="19" applyNumberFormat="0" applyAlignment="0" applyProtection="0"/>
    <xf numFmtId="0" fontId="56" fillId="83" borderId="19" applyNumberFormat="0" applyAlignment="0" applyProtection="0"/>
    <xf numFmtId="0" fontId="56" fillId="83" borderId="19" applyNumberFormat="0" applyAlignment="0" applyProtection="0"/>
    <xf numFmtId="0" fontId="56" fillId="83" borderId="19" applyNumberFormat="0" applyAlignment="0" applyProtection="0"/>
    <xf numFmtId="0" fontId="56" fillId="83" borderId="19" applyNumberFormat="0" applyAlignment="0" applyProtection="0"/>
    <xf numFmtId="0" fontId="56" fillId="83" borderId="19" applyNumberFormat="0" applyAlignment="0" applyProtection="0"/>
    <xf numFmtId="0" fontId="56" fillId="83" borderId="19" applyNumberFormat="0" applyAlignment="0" applyProtection="0"/>
    <xf numFmtId="0" fontId="56" fillId="83" borderId="19" applyNumberFormat="0" applyAlignment="0" applyProtection="0"/>
    <xf numFmtId="0" fontId="56" fillId="83" borderId="19" applyNumberFormat="0" applyAlignment="0" applyProtection="0"/>
    <xf numFmtId="0" fontId="56" fillId="83" borderId="19" applyNumberFormat="0" applyAlignment="0" applyProtection="0"/>
    <xf numFmtId="0" fontId="56" fillId="83" borderId="19" applyNumberFormat="0" applyAlignment="0" applyProtection="0"/>
    <xf numFmtId="0" fontId="56" fillId="83" borderId="19" applyNumberFormat="0" applyAlignment="0" applyProtection="0"/>
    <xf numFmtId="0" fontId="56" fillId="83" borderId="19" applyNumberFormat="0" applyAlignment="0" applyProtection="0"/>
    <xf numFmtId="0" fontId="56" fillId="83" borderId="19" applyNumberFormat="0" applyAlignment="0" applyProtection="0"/>
    <xf numFmtId="0" fontId="56" fillId="83" borderId="19" applyNumberFormat="0" applyAlignment="0" applyProtection="0"/>
    <xf numFmtId="0" fontId="56" fillId="83" borderId="19" applyNumberFormat="0" applyAlignment="0" applyProtection="0"/>
    <xf numFmtId="0" fontId="56" fillId="83" borderId="19" applyNumberFormat="0" applyAlignment="0" applyProtection="0"/>
    <xf numFmtId="0" fontId="56" fillId="83" borderId="19" applyNumberFormat="0" applyAlignment="0" applyProtection="0"/>
    <xf numFmtId="0" fontId="56" fillId="82" borderId="19" applyNumberFormat="0" applyAlignment="0" applyProtection="0"/>
    <xf numFmtId="0" fontId="56" fillId="35" borderId="19" applyNumberFormat="0" applyAlignment="0" applyProtection="0"/>
    <xf numFmtId="0" fontId="56" fillId="35" borderId="19" applyNumberFormat="0" applyAlignment="0" applyProtection="0"/>
    <xf numFmtId="0" fontId="56" fillId="82" borderId="19" applyNumberFormat="0" applyAlignment="0" applyProtection="0"/>
    <xf numFmtId="0" fontId="56" fillId="82" borderId="19" applyNumberFormat="0" applyAlignment="0" applyProtection="0"/>
    <xf numFmtId="0" fontId="56" fillId="35" borderId="19" applyNumberFormat="0" applyAlignment="0" applyProtection="0"/>
    <xf numFmtId="0" fontId="56" fillId="35" borderId="19" applyNumberFormat="0" applyAlignment="0" applyProtection="0"/>
    <xf numFmtId="0" fontId="56" fillId="82" borderId="19" applyNumberFormat="0" applyAlignment="0" applyProtection="0"/>
    <xf numFmtId="0" fontId="56" fillId="82" borderId="19" applyNumberFormat="0" applyAlignment="0" applyProtection="0"/>
    <xf numFmtId="0" fontId="56" fillId="35" borderId="19" applyNumberFormat="0" applyAlignment="0" applyProtection="0"/>
    <xf numFmtId="0" fontId="56" fillId="35" borderId="19" applyNumberFormat="0" applyAlignment="0" applyProtection="0"/>
    <xf numFmtId="0" fontId="56" fillId="82" borderId="19" applyNumberFormat="0" applyAlignment="0" applyProtection="0"/>
    <xf numFmtId="0" fontId="56" fillId="82" borderId="19" applyNumberFormat="0" applyAlignment="0" applyProtection="0"/>
    <xf numFmtId="0" fontId="56" fillId="35" borderId="19" applyNumberFormat="0" applyAlignment="0" applyProtection="0"/>
    <xf numFmtId="0" fontId="56" fillId="35" borderId="19" applyNumberFormat="0" applyAlignment="0" applyProtection="0"/>
    <xf numFmtId="0" fontId="56" fillId="82" borderId="19" applyNumberFormat="0" applyAlignment="0" applyProtection="0"/>
    <xf numFmtId="0" fontId="56" fillId="82" borderId="19" applyNumberFormat="0" applyAlignment="0" applyProtection="0"/>
    <xf numFmtId="0" fontId="56" fillId="35" borderId="19" applyNumberFormat="0" applyAlignment="0" applyProtection="0"/>
    <xf numFmtId="0" fontId="56" fillId="35" borderId="19" applyNumberFormat="0" applyAlignment="0" applyProtection="0"/>
    <xf numFmtId="0" fontId="56" fillId="82" borderId="19" applyNumberFormat="0" applyAlignment="0" applyProtection="0"/>
    <xf numFmtId="0" fontId="56" fillId="82" borderId="19" applyNumberFormat="0" applyAlignment="0" applyProtection="0"/>
    <xf numFmtId="0" fontId="56" fillId="35" borderId="19" applyNumberFormat="0" applyAlignment="0" applyProtection="0"/>
    <xf numFmtId="0" fontId="56" fillId="35" borderId="19" applyNumberFormat="0" applyAlignment="0" applyProtection="0"/>
    <xf numFmtId="0" fontId="56" fillId="82" borderId="19" applyNumberFormat="0" applyAlignment="0" applyProtection="0"/>
    <xf numFmtId="0" fontId="56" fillId="82" borderId="19" applyNumberFormat="0" applyAlignment="0" applyProtection="0"/>
    <xf numFmtId="0" fontId="56" fillId="35" borderId="19" applyNumberFormat="0" applyAlignment="0" applyProtection="0"/>
    <xf numFmtId="0" fontId="56" fillId="35" borderId="19" applyNumberFormat="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43" fontId="17"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174"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122" fillId="0" borderId="0" applyFill="0" applyBorder="0" applyAlignment="0" applyProtection="0"/>
    <xf numFmtId="174" fontId="9" fillId="0" borderId="0" applyFont="0" applyFill="0" applyBorder="0" applyAlignment="0" applyProtection="0"/>
    <xf numFmtId="193" fontId="22" fillId="0" borderId="0" applyFill="0" applyBorder="0" applyAlignment="0" applyProtection="0"/>
    <xf numFmtId="193" fontId="22" fillId="0" borderId="0" applyFill="0" applyBorder="0" applyAlignment="0" applyProtection="0"/>
    <xf numFmtId="193" fontId="22" fillId="0" borderId="0" applyFill="0" applyBorder="0" applyAlignment="0" applyProtection="0"/>
    <xf numFmtId="193" fontId="22" fillId="0" borderId="0" applyFill="0" applyBorder="0" applyAlignment="0" applyProtection="0"/>
    <xf numFmtId="193" fontId="22" fillId="0" borderId="0" applyFill="0" applyBorder="0" applyAlignment="0" applyProtection="0"/>
    <xf numFmtId="177" fontId="122" fillId="0" borderId="0" applyFill="0" applyBorder="0" applyAlignment="0" applyProtection="0"/>
    <xf numFmtId="177" fontId="122" fillId="0" borderId="0" applyFill="0" applyBorder="0" applyAlignment="0" applyProtection="0"/>
    <xf numFmtId="177" fontId="122" fillId="0" borderId="0" applyFill="0" applyBorder="0" applyAlignment="0" applyProtection="0"/>
    <xf numFmtId="177" fontId="122" fillId="0" borderId="0" applyFill="0" applyBorder="0" applyAlignment="0" applyProtection="0"/>
    <xf numFmtId="177" fontId="122" fillId="0" borderId="0" applyFill="0" applyBorder="0" applyAlignment="0" applyProtection="0"/>
    <xf numFmtId="43" fontId="17" fillId="0" borderId="0" applyFont="0" applyFill="0" applyBorder="0" applyAlignment="0" applyProtection="0"/>
    <xf numFmtId="0" fontId="122" fillId="0" borderId="0" applyFill="0" applyBorder="0" applyAlignment="0" applyProtection="0"/>
    <xf numFmtId="174" fontId="22" fillId="0" borderId="0" applyFont="0" applyFill="0" applyBorder="0" applyAlignment="0" applyProtection="0"/>
    <xf numFmtId="43" fontId="22" fillId="0" borderId="0" applyFont="0" applyFill="0" applyBorder="0" applyAlignment="0" applyProtection="0"/>
    <xf numFmtId="177" fontId="122" fillId="0" borderId="0" applyFill="0" applyBorder="0" applyAlignment="0" applyProtection="0"/>
    <xf numFmtId="43" fontId="22" fillId="0" borderId="0" applyFont="0" applyFill="0" applyBorder="0" applyAlignment="0" applyProtection="0"/>
    <xf numFmtId="177" fontId="122" fillId="0" borderId="0" applyFill="0" applyBorder="0" applyAlignment="0" applyProtection="0"/>
    <xf numFmtId="43" fontId="22" fillId="0" borderId="0" applyFont="0" applyFill="0" applyBorder="0" applyAlignment="0" applyProtection="0"/>
    <xf numFmtId="177" fontId="122" fillId="0" borderId="0" applyFill="0" applyBorder="0" applyAlignment="0" applyProtection="0"/>
    <xf numFmtId="177" fontId="122" fillId="0" borderId="0" applyFill="0" applyBorder="0" applyAlignment="0" applyProtection="0"/>
    <xf numFmtId="43" fontId="22" fillId="0" borderId="0" applyFont="0" applyFill="0" applyBorder="0" applyAlignment="0" applyProtection="0"/>
    <xf numFmtId="0" fontId="122" fillId="0" borderId="0" applyFill="0" applyBorder="0" applyAlignment="0" applyProtection="0"/>
    <xf numFmtId="0" fontId="122" fillId="0" borderId="0" applyFill="0" applyBorder="0" applyAlignment="0" applyProtection="0"/>
    <xf numFmtId="0" fontId="122" fillId="0" borderId="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3" fontId="22" fillId="0" borderId="0" applyFont="0" applyFill="0" applyBorder="0" applyAlignment="0" applyProtection="0"/>
    <xf numFmtId="177" fontId="122" fillId="0" borderId="0" applyFill="0" applyBorder="0" applyAlignment="0" applyProtection="0"/>
    <xf numFmtId="177" fontId="122" fillId="0" borderId="0" applyFill="0" applyBorder="0" applyAlignment="0" applyProtection="0"/>
    <xf numFmtId="193" fontId="22" fillId="0" borderId="0" applyFill="0" applyBorder="0" applyAlignment="0" applyProtection="0"/>
    <xf numFmtId="193" fontId="22" fillId="0" borderId="0" applyFill="0" applyBorder="0" applyAlignment="0" applyProtection="0"/>
    <xf numFmtId="193" fontId="22" fillId="0" borderId="0" applyFill="0" applyBorder="0" applyAlignment="0" applyProtection="0"/>
    <xf numFmtId="193" fontId="22" fillId="0" borderId="0" applyFill="0" applyBorder="0" applyAlignment="0" applyProtection="0"/>
    <xf numFmtId="193" fontId="22" fillId="0" borderId="0" applyFill="0" applyBorder="0" applyAlignment="0" applyProtection="0"/>
    <xf numFmtId="177" fontId="22" fillId="0" borderId="0" applyFill="0" applyBorder="0" applyAlignment="0" applyProtection="0"/>
    <xf numFmtId="43" fontId="123"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122" fillId="0" borderId="0" applyFill="0" applyBorder="0" applyAlignment="0" applyProtection="0"/>
    <xf numFmtId="43" fontId="22" fillId="0" borderId="0" applyFont="0" applyFill="0" applyBorder="0" applyAlignment="0" applyProtection="0"/>
    <xf numFmtId="0" fontId="122" fillId="0" borderId="0" applyFill="0" applyBorder="0" applyAlignment="0" applyProtection="0"/>
    <xf numFmtId="0" fontId="122" fillId="0" borderId="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122" fillId="0" borderId="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1" fontId="22" fillId="0" borderId="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122" fillId="0" borderId="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122" fillId="0" borderId="0" applyFill="0" applyBorder="0" applyAlignment="0" applyProtection="0"/>
    <xf numFmtId="0" fontId="122" fillId="0" borderId="0" applyFill="0" applyBorder="0" applyAlignment="0" applyProtection="0"/>
    <xf numFmtId="0" fontId="122" fillId="0" borderId="0" applyFill="0" applyBorder="0" applyAlignment="0" applyProtection="0"/>
    <xf numFmtId="0" fontId="122" fillId="0" borderId="0" applyFill="0" applyBorder="0" applyAlignment="0" applyProtection="0"/>
    <xf numFmtId="0" fontId="122" fillId="0" borderId="0" applyFill="0" applyBorder="0" applyAlignment="0" applyProtection="0"/>
    <xf numFmtId="0" fontId="122" fillId="0" borderId="0" applyFill="0" applyBorder="0" applyAlignment="0" applyProtection="0"/>
    <xf numFmtId="0" fontId="122" fillId="0" borderId="0" applyFill="0" applyBorder="0" applyAlignment="0" applyProtection="0"/>
    <xf numFmtId="0" fontId="122" fillId="0" borderId="0" applyFill="0" applyBorder="0" applyAlignment="0" applyProtection="0"/>
    <xf numFmtId="0" fontId="122" fillId="0" borderId="0" applyFill="0" applyBorder="0" applyAlignment="0" applyProtection="0"/>
    <xf numFmtId="43" fontId="9" fillId="0" borderId="0" applyFont="0" applyFill="0" applyBorder="0" applyAlignment="0" applyProtection="0"/>
    <xf numFmtId="177" fontId="122" fillId="0" borderId="0" applyFill="0" applyBorder="0" applyAlignment="0" applyProtection="0"/>
    <xf numFmtId="177" fontId="122" fillId="0" borderId="0" applyFill="0" applyBorder="0" applyAlignment="0" applyProtection="0"/>
    <xf numFmtId="177" fontId="122" fillId="0" borderId="0" applyFill="0" applyBorder="0" applyAlignment="0" applyProtection="0"/>
    <xf numFmtId="177" fontId="122" fillId="0" borderId="0" applyFill="0" applyBorder="0" applyAlignment="0" applyProtection="0"/>
    <xf numFmtId="177" fontId="122" fillId="0" borderId="0" applyFill="0" applyBorder="0" applyAlignment="0" applyProtection="0"/>
    <xf numFmtId="43" fontId="22" fillId="0" borderId="0" applyFont="0" applyFill="0" applyBorder="0" applyAlignment="0" applyProtection="0"/>
    <xf numFmtId="177" fontId="122" fillId="0" borderId="0" applyFill="0" applyBorder="0" applyAlignment="0" applyProtection="0"/>
    <xf numFmtId="177" fontId="122" fillId="0" borderId="0" applyFill="0" applyBorder="0" applyAlignment="0" applyProtection="0"/>
    <xf numFmtId="177" fontId="122" fillId="0" borderId="0" applyFill="0" applyBorder="0" applyAlignment="0" applyProtection="0"/>
    <xf numFmtId="177" fontId="122" fillId="0" borderId="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7" fontId="122" fillId="0" borderId="0" applyFill="0" applyBorder="0" applyAlignment="0" applyProtection="0"/>
    <xf numFmtId="177" fontId="122" fillId="0" borderId="0" applyFill="0" applyBorder="0" applyAlignment="0" applyProtection="0"/>
    <xf numFmtId="177" fontId="122" fillId="0" borderId="0" applyFill="0" applyBorder="0" applyAlignment="0" applyProtection="0"/>
    <xf numFmtId="43" fontId="22" fillId="0" borderId="0" applyFont="0" applyFill="0" applyBorder="0" applyAlignment="0" applyProtection="0"/>
    <xf numFmtId="177" fontId="122" fillId="0" borderId="0" applyFill="0" applyBorder="0" applyAlignment="0" applyProtection="0"/>
    <xf numFmtId="177" fontId="122" fillId="0" borderId="0" applyFill="0" applyBorder="0" applyAlignment="0" applyProtection="0"/>
    <xf numFmtId="43" fontId="22" fillId="0" borderId="0" applyFont="0" applyFill="0" applyBorder="0" applyAlignment="0" applyProtection="0"/>
    <xf numFmtId="177" fontId="22" fillId="0" borderId="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122" fillId="0" borderId="0" applyFill="0" applyBorder="0" applyAlignment="0" applyProtection="0"/>
    <xf numFmtId="0" fontId="122" fillId="0" borderId="0" applyFill="0" applyBorder="0" applyAlignment="0" applyProtection="0"/>
    <xf numFmtId="0" fontId="122" fillId="0" borderId="0" applyFill="0" applyBorder="0" applyAlignment="0" applyProtection="0"/>
    <xf numFmtId="0" fontId="122" fillId="0" borderId="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23" fillId="0" borderId="0" applyFont="0" applyFill="0" applyBorder="0" applyAlignment="0" applyProtection="0"/>
    <xf numFmtId="43" fontId="123"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24" fillId="0" borderId="0" applyFont="0" applyFill="0" applyBorder="0" applyAlignment="0" applyProtection="0"/>
    <xf numFmtId="43" fontId="124"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212" fontId="125" fillId="84" borderId="0" applyFill="0">
      <alignment horizontal="left" vertical="top"/>
      <protection locked="0"/>
    </xf>
    <xf numFmtId="213" fontId="26" fillId="0" borderId="0" applyFill="0" applyBorder="0" applyAlignment="0" applyProtection="0"/>
    <xf numFmtId="213" fontId="26" fillId="0" borderId="0" applyFill="0" applyBorder="0" applyAlignment="0" applyProtection="0"/>
    <xf numFmtId="213" fontId="26" fillId="0" borderId="0" applyFill="0" applyBorder="0" applyAlignment="0" applyProtection="0"/>
    <xf numFmtId="213" fontId="26" fillId="0" borderId="0" applyFill="0" applyBorder="0" applyAlignment="0" applyProtection="0"/>
    <xf numFmtId="213" fontId="26" fillId="0" borderId="0" applyFill="0" applyBorder="0" applyAlignment="0" applyProtection="0"/>
    <xf numFmtId="213" fontId="26" fillId="0" borderId="0" applyFill="0" applyBorder="0" applyAlignment="0" applyProtection="0"/>
    <xf numFmtId="213" fontId="26" fillId="0" borderId="0" applyFill="0" applyBorder="0" applyAlignment="0" applyProtection="0"/>
    <xf numFmtId="213" fontId="26" fillId="0" borderId="0" applyFill="0" applyBorder="0" applyAlignment="0" applyProtection="0"/>
    <xf numFmtId="213" fontId="26" fillId="0" borderId="0" applyFill="0" applyBorder="0" applyAlignment="0" applyProtection="0"/>
    <xf numFmtId="213" fontId="26" fillId="0" borderId="0" applyFill="0" applyBorder="0" applyAlignment="0" applyProtection="0"/>
    <xf numFmtId="165" fontId="22" fillId="0" borderId="0" applyFont="0" applyFill="0" applyBorder="0" applyAlignment="0" applyProtection="0"/>
    <xf numFmtId="165" fontId="22" fillId="0" borderId="0" applyFont="0" applyFill="0" applyBorder="0" applyAlignment="0" applyProtection="0"/>
    <xf numFmtId="213" fontId="26" fillId="0" borderId="0" applyFill="0" applyBorder="0" applyAlignment="0" applyProtection="0"/>
    <xf numFmtId="213" fontId="26" fillId="0" borderId="0" applyFill="0" applyBorder="0" applyAlignment="0" applyProtection="0"/>
    <xf numFmtId="213" fontId="26" fillId="0" borderId="0" applyFill="0" applyBorder="0" applyAlignment="0" applyProtection="0"/>
    <xf numFmtId="213" fontId="26" fillId="0" borderId="0" applyFill="0" applyBorder="0" applyAlignment="0" applyProtection="0"/>
    <xf numFmtId="213" fontId="26" fillId="0" borderId="0" applyFill="0" applyBorder="0" applyAlignment="0" applyProtection="0"/>
    <xf numFmtId="213" fontId="26" fillId="0" borderId="0" applyFill="0" applyBorder="0" applyAlignment="0" applyProtection="0"/>
    <xf numFmtId="213" fontId="26" fillId="0" borderId="0" applyFill="0" applyBorder="0" applyAlignment="0" applyProtection="0"/>
    <xf numFmtId="213" fontId="26" fillId="0" borderId="0" applyFill="0" applyBorder="0" applyAlignment="0" applyProtection="0"/>
    <xf numFmtId="213" fontId="26" fillId="0" borderId="0" applyFill="0" applyBorder="0" applyAlignment="0" applyProtection="0"/>
    <xf numFmtId="213" fontId="26" fillId="0" borderId="0" applyFill="0" applyBorder="0" applyAlignment="0" applyProtection="0"/>
    <xf numFmtId="213" fontId="26" fillId="0" borderId="0" applyFill="0" applyBorder="0" applyAlignment="0" applyProtection="0"/>
    <xf numFmtId="213" fontId="26" fillId="0" borderId="0" applyFill="0" applyBorder="0" applyAlignment="0" applyProtection="0"/>
    <xf numFmtId="213" fontId="26" fillId="0" borderId="0" applyFill="0" applyBorder="0" applyAlignment="0" applyProtection="0"/>
    <xf numFmtId="213" fontId="26" fillId="0" borderId="0" applyFill="0" applyBorder="0" applyAlignment="0" applyProtection="0"/>
    <xf numFmtId="213" fontId="26" fillId="0" borderId="0" applyFill="0" applyBorder="0" applyAlignment="0" applyProtection="0"/>
    <xf numFmtId="213" fontId="26" fillId="0" borderId="0" applyFill="0" applyBorder="0" applyAlignment="0" applyProtection="0"/>
    <xf numFmtId="213" fontId="26" fillId="0" borderId="0" applyFill="0" applyBorder="0" applyAlignment="0" applyProtection="0"/>
    <xf numFmtId="213" fontId="26" fillId="0" borderId="0" applyFill="0" applyBorder="0" applyAlignment="0" applyProtection="0"/>
    <xf numFmtId="213" fontId="26" fillId="0" borderId="0" applyFill="0" applyBorder="0" applyAlignment="0" applyProtection="0"/>
    <xf numFmtId="213" fontId="26" fillId="0" borderId="0" applyFill="0" applyBorder="0" applyAlignment="0" applyProtection="0"/>
    <xf numFmtId="165" fontId="22" fillId="0" borderId="0" applyFont="0" applyFill="0" applyBorder="0" applyAlignment="0" applyProtection="0"/>
    <xf numFmtId="165" fontId="22" fillId="0" borderId="0" applyFont="0" applyFill="0" applyBorder="0" applyAlignment="0" applyProtection="0"/>
    <xf numFmtId="165" fontId="22" fillId="0" borderId="0" applyFont="0" applyFill="0" applyBorder="0" applyAlignment="0" applyProtection="0"/>
    <xf numFmtId="213" fontId="26" fillId="0" borderId="0" applyFill="0" applyBorder="0" applyAlignment="0" applyProtection="0"/>
    <xf numFmtId="213" fontId="26" fillId="0" borderId="0" applyFill="0" applyBorder="0" applyAlignment="0" applyProtection="0"/>
    <xf numFmtId="213" fontId="26" fillId="0" borderId="0" applyFill="0" applyBorder="0" applyAlignment="0" applyProtection="0"/>
    <xf numFmtId="213" fontId="26" fillId="0" borderId="0" applyFill="0" applyBorder="0" applyAlignment="0" applyProtection="0"/>
    <xf numFmtId="213" fontId="26" fillId="0" borderId="0" applyFill="0" applyBorder="0" applyAlignment="0" applyProtection="0"/>
    <xf numFmtId="213" fontId="26" fillId="0" borderId="0" applyFill="0" applyBorder="0" applyAlignment="0" applyProtection="0"/>
    <xf numFmtId="213" fontId="26" fillId="0" borderId="0" applyFill="0" applyBorder="0" applyAlignment="0" applyProtection="0"/>
    <xf numFmtId="213" fontId="26" fillId="0" borderId="0" applyFill="0" applyBorder="0" applyAlignment="0" applyProtection="0"/>
    <xf numFmtId="213" fontId="26" fillId="0" borderId="0" applyFill="0" applyBorder="0" applyAlignment="0" applyProtection="0"/>
    <xf numFmtId="213" fontId="26" fillId="0" borderId="0" applyFill="0" applyBorder="0" applyAlignment="0" applyProtection="0"/>
    <xf numFmtId="213" fontId="26" fillId="0" borderId="0" applyFill="0" applyBorder="0" applyAlignment="0" applyProtection="0"/>
    <xf numFmtId="165" fontId="22" fillId="0" borderId="0" applyFont="0" applyFill="0" applyBorder="0" applyAlignment="0" applyProtection="0"/>
    <xf numFmtId="165" fontId="22" fillId="0" borderId="0" applyFont="0" applyFill="0" applyBorder="0" applyAlignment="0" applyProtection="0"/>
    <xf numFmtId="213" fontId="26" fillId="0" borderId="0" applyFill="0" applyBorder="0" applyAlignment="0" applyProtection="0"/>
    <xf numFmtId="213" fontId="26" fillId="0" borderId="0" applyFill="0" applyBorder="0" applyAlignment="0" applyProtection="0"/>
    <xf numFmtId="213" fontId="26" fillId="0" borderId="0" applyFill="0" applyBorder="0" applyAlignment="0" applyProtection="0"/>
    <xf numFmtId="213" fontId="26" fillId="0" borderId="0" applyFill="0" applyBorder="0" applyAlignment="0" applyProtection="0"/>
    <xf numFmtId="165" fontId="22" fillId="0" borderId="0" applyFont="0" applyFill="0" applyBorder="0" applyAlignment="0" applyProtection="0"/>
    <xf numFmtId="165" fontId="17" fillId="0" borderId="0" applyFont="0" applyFill="0" applyBorder="0" applyAlignment="0" applyProtection="0"/>
    <xf numFmtId="165" fontId="22" fillId="0" borderId="0" applyFont="0" applyFill="0" applyBorder="0" applyAlignment="0" applyProtection="0"/>
    <xf numFmtId="165" fontId="17" fillId="0" borderId="0" applyFont="0" applyFill="0" applyBorder="0" applyAlignment="0" applyProtection="0"/>
    <xf numFmtId="165" fontId="22" fillId="0" borderId="0" applyFont="0" applyFill="0" applyBorder="0" applyAlignment="0" applyProtection="0"/>
    <xf numFmtId="165" fontId="17" fillId="0" borderId="0" applyFont="0" applyFill="0" applyBorder="0" applyAlignment="0" applyProtection="0"/>
    <xf numFmtId="165" fontId="22" fillId="0" borderId="0" applyFont="0" applyFill="0" applyBorder="0" applyAlignment="0" applyProtection="0"/>
    <xf numFmtId="165" fontId="22" fillId="0" borderId="0" applyFont="0" applyFill="0" applyBorder="0" applyAlignment="0" applyProtection="0"/>
    <xf numFmtId="165" fontId="22" fillId="0" borderId="0" applyFont="0" applyFill="0" applyBorder="0" applyAlignment="0" applyProtection="0"/>
    <xf numFmtId="165" fontId="22" fillId="0" borderId="0" applyFont="0" applyFill="0" applyBorder="0" applyAlignment="0" applyProtection="0"/>
    <xf numFmtId="214" fontId="126" fillId="0" borderId="0">
      <protection locked="0"/>
    </xf>
    <xf numFmtId="215" fontId="122" fillId="0" borderId="0" applyFill="0" applyBorder="0">
      <alignment horizontal="left" vertical="top" wrapText="1"/>
      <protection locked="0"/>
    </xf>
    <xf numFmtId="215" fontId="22" fillId="0" borderId="0" applyFont="0" applyFill="0" applyBorder="0">
      <alignment horizontal="left" vertical="top" wrapText="1"/>
      <protection locked="0"/>
    </xf>
    <xf numFmtId="215" fontId="117" fillId="0" borderId="0" applyFont="0" applyFill="0" applyBorder="0">
      <alignment horizontal="left" vertical="top" wrapText="1"/>
      <protection locked="0"/>
    </xf>
    <xf numFmtId="216" fontId="119" fillId="0" borderId="0"/>
    <xf numFmtId="0" fontId="54" fillId="50" borderId="0" applyNumberFormat="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214" fontId="126" fillId="0" borderId="0">
      <protection locked="0"/>
    </xf>
    <xf numFmtId="214" fontId="126" fillId="0" borderId="0">
      <protection locked="0"/>
    </xf>
    <xf numFmtId="214" fontId="127" fillId="0" borderId="0">
      <protection locked="0"/>
    </xf>
    <xf numFmtId="214" fontId="126" fillId="0" borderId="0">
      <protection locked="0"/>
    </xf>
    <xf numFmtId="214" fontId="126" fillId="0" borderId="0">
      <protection locked="0"/>
    </xf>
    <xf numFmtId="214" fontId="126" fillId="0" borderId="0">
      <protection locked="0"/>
    </xf>
    <xf numFmtId="214" fontId="127" fillId="0" borderId="0">
      <protection locked="0"/>
    </xf>
    <xf numFmtId="214" fontId="126" fillId="0" borderId="0">
      <protection locked="0"/>
    </xf>
    <xf numFmtId="217" fontId="117" fillId="0" borderId="0" applyFont="0">
      <alignment horizontal="left"/>
      <protection locked="0"/>
    </xf>
    <xf numFmtId="217" fontId="22" fillId="0" borderId="0" applyFont="0">
      <alignment horizontal="left"/>
      <protection locked="0"/>
    </xf>
    <xf numFmtId="0" fontId="58" fillId="51" borderId="0" applyNumberFormat="0" applyBorder="0" applyAlignment="0" applyProtection="0"/>
    <xf numFmtId="0" fontId="58" fillId="51" borderId="0" applyNumberFormat="0" applyBorder="0" applyAlignment="0" applyProtection="0"/>
    <xf numFmtId="0" fontId="58" fillId="4" borderId="0" applyNumberFormat="0" applyBorder="0" applyAlignment="0" applyProtection="0"/>
    <xf numFmtId="0" fontId="58" fillId="4" borderId="0" applyNumberFormat="0" applyBorder="0" applyAlignment="0" applyProtection="0"/>
    <xf numFmtId="0" fontId="58" fillId="51" borderId="0" applyNumberFormat="0" applyBorder="0" applyAlignment="0" applyProtection="0"/>
    <xf numFmtId="0" fontId="58" fillId="4" borderId="0" applyNumberFormat="0" applyBorder="0" applyAlignment="0" applyProtection="0"/>
    <xf numFmtId="0" fontId="58" fillId="4"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4" borderId="0" applyNumberFormat="0" applyBorder="0" applyAlignment="0" applyProtection="0"/>
    <xf numFmtId="0" fontId="58" fillId="51"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4"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1" borderId="0" applyNumberFormat="0" applyBorder="0" applyAlignment="0" applyProtection="0"/>
    <xf numFmtId="0" fontId="35" fillId="6"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1" borderId="0" applyNumberFormat="0" applyBorder="0" applyAlignment="0" applyProtection="0"/>
    <xf numFmtId="0" fontId="58" fillId="51" borderId="0" applyNumberFormat="0" applyBorder="0" applyAlignment="0" applyProtection="0"/>
    <xf numFmtId="0" fontId="58" fillId="4" borderId="0" applyNumberFormat="0" applyBorder="0" applyAlignment="0" applyProtection="0"/>
    <xf numFmtId="0" fontId="58" fillId="4" borderId="0" applyNumberFormat="0" applyBorder="0" applyAlignment="0" applyProtection="0"/>
    <xf numFmtId="0" fontId="58" fillId="51" borderId="0" applyNumberFormat="0" applyBorder="0" applyAlignment="0" applyProtection="0"/>
    <xf numFmtId="0" fontId="58" fillId="51" borderId="0" applyNumberFormat="0" applyBorder="0" applyAlignment="0" applyProtection="0"/>
    <xf numFmtId="0" fontId="58" fillId="4" borderId="0" applyNumberFormat="0" applyBorder="0" applyAlignment="0" applyProtection="0"/>
    <xf numFmtId="0" fontId="58" fillId="4" borderId="0" applyNumberFormat="0" applyBorder="0" applyAlignment="0" applyProtection="0"/>
    <xf numFmtId="0" fontId="58" fillId="51" borderId="0" applyNumberFormat="0" applyBorder="0" applyAlignment="0" applyProtection="0"/>
    <xf numFmtId="0" fontId="58" fillId="51" borderId="0" applyNumberFormat="0" applyBorder="0" applyAlignment="0" applyProtection="0"/>
    <xf numFmtId="0" fontId="58" fillId="4" borderId="0" applyNumberFormat="0" applyBorder="0" applyAlignment="0" applyProtection="0"/>
    <xf numFmtId="0" fontId="58" fillId="4" borderId="0" applyNumberFormat="0" applyBorder="0" applyAlignment="0" applyProtection="0"/>
    <xf numFmtId="0" fontId="58" fillId="51" borderId="0" applyNumberFormat="0" applyBorder="0" applyAlignment="0" applyProtection="0"/>
    <xf numFmtId="0" fontId="58" fillId="51" borderId="0" applyNumberFormat="0" applyBorder="0" applyAlignment="0" applyProtection="0"/>
    <xf numFmtId="0" fontId="58" fillId="4" borderId="0" applyNumberFormat="0" applyBorder="0" applyAlignment="0" applyProtection="0"/>
    <xf numFmtId="0" fontId="58" fillId="4" borderId="0" applyNumberFormat="0" applyBorder="0" applyAlignment="0" applyProtection="0"/>
    <xf numFmtId="0" fontId="58" fillId="51" borderId="0" applyNumberFormat="0" applyBorder="0" applyAlignment="0" applyProtection="0"/>
    <xf numFmtId="0" fontId="58" fillId="51" borderId="0" applyNumberFormat="0" applyBorder="0" applyAlignment="0" applyProtection="0"/>
    <xf numFmtId="0" fontId="58" fillId="4" borderId="0" applyNumberFormat="0" applyBorder="0" applyAlignment="0" applyProtection="0"/>
    <xf numFmtId="0" fontId="58" fillId="4" borderId="0" applyNumberFormat="0" applyBorder="0" applyAlignment="0" applyProtection="0"/>
    <xf numFmtId="0" fontId="58" fillId="51" borderId="0" applyNumberFormat="0" applyBorder="0" applyAlignment="0" applyProtection="0"/>
    <xf numFmtId="0" fontId="58" fillId="51" borderId="0" applyNumberFormat="0" applyBorder="0" applyAlignment="0" applyProtection="0"/>
    <xf numFmtId="0" fontId="58" fillId="4" borderId="0" applyNumberFormat="0" applyBorder="0" applyAlignment="0" applyProtection="0"/>
    <xf numFmtId="0" fontId="58" fillId="4" borderId="0" applyNumberFormat="0" applyBorder="0" applyAlignment="0" applyProtection="0"/>
    <xf numFmtId="0" fontId="58" fillId="51" borderId="0" applyNumberFormat="0" applyBorder="0" applyAlignment="0" applyProtection="0"/>
    <xf numFmtId="0" fontId="58" fillId="51" borderId="0" applyNumberFormat="0" applyBorder="0" applyAlignment="0" applyProtection="0"/>
    <xf numFmtId="0" fontId="58" fillId="4" borderId="0" applyNumberFormat="0" applyBorder="0" applyAlignment="0" applyProtection="0"/>
    <xf numFmtId="0" fontId="58" fillId="4" borderId="0" applyNumberFormat="0" applyBorder="0" applyAlignment="0" applyProtection="0"/>
    <xf numFmtId="0" fontId="73" fillId="16" borderId="0" applyNumberFormat="0" applyBorder="0" applyAlignment="0" applyProtection="0"/>
    <xf numFmtId="212" fontId="118" fillId="0" borderId="0">
      <alignment horizontal="left"/>
    </xf>
    <xf numFmtId="0" fontId="59" fillId="0" borderId="21" applyNumberFormat="0" applyFill="0" applyAlignment="0" applyProtection="0"/>
    <xf numFmtId="0" fontId="59" fillId="0" borderId="21" applyNumberFormat="0" applyFill="0" applyAlignment="0" applyProtection="0"/>
    <xf numFmtId="0" fontId="59" fillId="0" borderId="21" applyNumberFormat="0" applyFill="0" applyAlignment="0" applyProtection="0"/>
    <xf numFmtId="0" fontId="59" fillId="0" borderId="21" applyNumberFormat="0" applyFill="0" applyAlignment="0" applyProtection="0"/>
    <xf numFmtId="0" fontId="59" fillId="0" borderId="21" applyNumberFormat="0" applyFill="0" applyAlignment="0" applyProtection="0"/>
    <xf numFmtId="0" fontId="59" fillId="0" borderId="21" applyNumberFormat="0" applyFill="0" applyAlignment="0" applyProtection="0"/>
    <xf numFmtId="0" fontId="59" fillId="0" borderId="21" applyNumberFormat="0" applyFill="0" applyAlignment="0" applyProtection="0"/>
    <xf numFmtId="0" fontId="59" fillId="0" borderId="21" applyNumberFormat="0" applyFill="0" applyAlignment="0" applyProtection="0"/>
    <xf numFmtId="0" fontId="59" fillId="0" borderId="21" applyNumberFormat="0" applyFill="0" applyAlignment="0" applyProtection="0"/>
    <xf numFmtId="0" fontId="59" fillId="0" borderId="21" applyNumberFormat="0" applyFill="0" applyAlignment="0" applyProtection="0"/>
    <xf numFmtId="0" fontId="59" fillId="0" borderId="21" applyNumberFormat="0" applyFill="0" applyAlignment="0" applyProtection="0"/>
    <xf numFmtId="0" fontId="59" fillId="0" borderId="21" applyNumberFormat="0" applyFill="0" applyAlignment="0" applyProtection="0"/>
    <xf numFmtId="0" fontId="59" fillId="0" borderId="21" applyNumberFormat="0" applyFill="0" applyAlignment="0" applyProtection="0"/>
    <xf numFmtId="0" fontId="59" fillId="0" borderId="21" applyNumberFormat="0" applyFill="0" applyAlignment="0" applyProtection="0"/>
    <xf numFmtId="0" fontId="59" fillId="0" borderId="21" applyNumberFormat="0" applyFill="0" applyAlignment="0" applyProtection="0"/>
    <xf numFmtId="0" fontId="59" fillId="0" borderId="21" applyNumberFormat="0" applyFill="0" applyAlignment="0" applyProtection="0"/>
    <xf numFmtId="0" fontId="59" fillId="0" borderId="21" applyNumberFormat="0" applyFill="0" applyAlignment="0" applyProtection="0"/>
    <xf numFmtId="0" fontId="59" fillId="0" borderId="21" applyNumberFormat="0" applyFill="0" applyAlignment="0" applyProtection="0"/>
    <xf numFmtId="0" fontId="60" fillId="0" borderId="22" applyNumberFormat="0" applyFill="0" applyAlignment="0" applyProtection="0"/>
    <xf numFmtId="0" fontId="60" fillId="0" borderId="22" applyNumberFormat="0" applyFill="0" applyAlignment="0" applyProtection="0"/>
    <xf numFmtId="0" fontId="60" fillId="0" borderId="22" applyNumberFormat="0" applyFill="0" applyAlignment="0" applyProtection="0"/>
    <xf numFmtId="0" fontId="60" fillId="0" borderId="22" applyNumberFormat="0" applyFill="0" applyAlignment="0" applyProtection="0"/>
    <xf numFmtId="0" fontId="60" fillId="0" borderId="22" applyNumberFormat="0" applyFill="0" applyAlignment="0" applyProtection="0"/>
    <xf numFmtId="0" fontId="60" fillId="0" borderId="22" applyNumberFormat="0" applyFill="0" applyAlignment="0" applyProtection="0"/>
    <xf numFmtId="0" fontId="60" fillId="0" borderId="22" applyNumberFormat="0" applyFill="0" applyAlignment="0" applyProtection="0"/>
    <xf numFmtId="0" fontId="60" fillId="0" borderId="22" applyNumberFormat="0" applyFill="0" applyAlignment="0" applyProtection="0"/>
    <xf numFmtId="0" fontId="60" fillId="0" borderId="22" applyNumberFormat="0" applyFill="0" applyAlignment="0" applyProtection="0"/>
    <xf numFmtId="0" fontId="60" fillId="0" borderId="22" applyNumberFormat="0" applyFill="0" applyAlignment="0" applyProtection="0"/>
    <xf numFmtId="0" fontId="60" fillId="0" borderId="22" applyNumberFormat="0" applyFill="0" applyAlignment="0" applyProtection="0"/>
    <xf numFmtId="0" fontId="60" fillId="0" borderId="22" applyNumberFormat="0" applyFill="0" applyAlignment="0" applyProtection="0"/>
    <xf numFmtId="0" fontId="60" fillId="0" borderId="22" applyNumberFormat="0" applyFill="0" applyAlignment="0" applyProtection="0"/>
    <xf numFmtId="0" fontId="60" fillId="0" borderId="22" applyNumberFormat="0" applyFill="0" applyAlignment="0" applyProtection="0"/>
    <xf numFmtId="0" fontId="60" fillId="0" borderId="22" applyNumberFormat="0" applyFill="0" applyAlignment="0" applyProtection="0"/>
    <xf numFmtId="0" fontId="60" fillId="0" borderId="22" applyNumberFormat="0" applyFill="0" applyAlignment="0" applyProtection="0"/>
    <xf numFmtId="0" fontId="60" fillId="0" borderId="22" applyNumberFormat="0" applyFill="0" applyAlignment="0" applyProtection="0"/>
    <xf numFmtId="0" fontId="60" fillId="0" borderId="22"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214" fontId="128" fillId="0" borderId="0">
      <protection locked="0"/>
    </xf>
    <xf numFmtId="214" fontId="128" fillId="0" borderId="0">
      <protection locked="0"/>
    </xf>
    <xf numFmtId="0" fontId="72" fillId="0" borderId="0" applyNumberFormat="0" applyFill="0" applyBorder="0" applyAlignment="0" applyProtection="0">
      <alignment vertical="top"/>
      <protection locked="0"/>
    </xf>
    <xf numFmtId="0" fontId="129" fillId="0" borderId="0" applyNumberFormat="0" applyFill="0" applyBorder="0" applyAlignment="0" applyProtection="0">
      <alignment vertical="top"/>
      <protection locked="0"/>
    </xf>
    <xf numFmtId="0" fontId="73" fillId="36" borderId="14" applyNumberFormat="0" applyBorder="0" applyAlignment="0" applyProtection="0"/>
    <xf numFmtId="0" fontId="62" fillId="22" borderId="18" applyNumberFormat="0" applyAlignment="0" applyProtection="0"/>
    <xf numFmtId="0" fontId="62" fillId="22" borderId="18" applyNumberFormat="0" applyAlignment="0" applyProtection="0"/>
    <xf numFmtId="0" fontId="62" fillId="23" borderId="18" applyNumberFormat="0" applyAlignment="0" applyProtection="0"/>
    <xf numFmtId="0" fontId="62" fillId="23" borderId="18" applyNumberFormat="0" applyAlignment="0" applyProtection="0"/>
    <xf numFmtId="0" fontId="62" fillId="22" borderId="18" applyNumberFormat="0" applyAlignment="0" applyProtection="0"/>
    <xf numFmtId="0" fontId="62" fillId="23" borderId="18" applyNumberFormat="0" applyAlignment="0" applyProtection="0"/>
    <xf numFmtId="0" fontId="62" fillId="22" borderId="18" applyNumberFormat="0" applyAlignment="0" applyProtection="0"/>
    <xf numFmtId="0" fontId="62" fillId="23" borderId="18" applyNumberFormat="0" applyAlignment="0" applyProtection="0"/>
    <xf numFmtId="0" fontId="62" fillId="22" borderId="18" applyNumberFormat="0" applyAlignment="0" applyProtection="0"/>
    <xf numFmtId="0" fontId="62" fillId="23" borderId="18" applyNumberFormat="0" applyAlignment="0" applyProtection="0"/>
    <xf numFmtId="0" fontId="62" fillId="22" borderId="18" applyNumberFormat="0" applyAlignment="0" applyProtection="0"/>
    <xf numFmtId="0" fontId="62" fillId="23" borderId="18" applyNumberFormat="0" applyAlignment="0" applyProtection="0"/>
    <xf numFmtId="0" fontId="62" fillId="22" borderId="18" applyNumberFormat="0" applyAlignment="0" applyProtection="0"/>
    <xf numFmtId="0" fontId="62" fillId="23" borderId="18" applyNumberFormat="0" applyAlignment="0" applyProtection="0"/>
    <xf numFmtId="0" fontId="62" fillId="22" borderId="18" applyNumberFormat="0" applyAlignment="0" applyProtection="0"/>
    <xf numFmtId="0" fontId="62" fillId="23" borderId="18" applyNumberFormat="0" applyAlignment="0" applyProtection="0"/>
    <xf numFmtId="0" fontId="62" fillId="22" borderId="18" applyNumberFormat="0" applyAlignment="0" applyProtection="0"/>
    <xf numFmtId="0" fontId="62" fillId="23" borderId="18" applyNumberFormat="0" applyAlignment="0" applyProtection="0"/>
    <xf numFmtId="0" fontId="62" fillId="22" borderId="18" applyNumberFormat="0" applyAlignment="0" applyProtection="0"/>
    <xf numFmtId="0" fontId="62" fillId="23" borderId="18" applyNumberFormat="0" applyAlignment="0" applyProtection="0"/>
    <xf numFmtId="0" fontId="62" fillId="22" borderId="18" applyNumberFormat="0" applyAlignment="0" applyProtection="0"/>
    <xf numFmtId="0" fontId="62" fillId="23" borderId="18" applyNumberFormat="0" applyAlignment="0" applyProtection="0"/>
    <xf numFmtId="0" fontId="62" fillId="57" borderId="18" applyNumberFormat="0" applyAlignment="0" applyProtection="0"/>
    <xf numFmtId="0" fontId="62" fillId="57" borderId="18" applyNumberFormat="0" applyAlignment="0" applyProtection="0"/>
    <xf numFmtId="0" fontId="62" fillId="57" borderId="18" applyNumberFormat="0" applyAlignment="0" applyProtection="0"/>
    <xf numFmtId="0" fontId="62" fillId="57" borderId="18" applyNumberFormat="0" applyAlignment="0" applyProtection="0"/>
    <xf numFmtId="0" fontId="62" fillId="57" borderId="18" applyNumberFormat="0" applyAlignment="0" applyProtection="0"/>
    <xf numFmtId="0" fontId="62" fillId="57" borderId="18" applyNumberFormat="0" applyAlignment="0" applyProtection="0"/>
    <xf numFmtId="0" fontId="62" fillId="57" borderId="18" applyNumberFormat="0" applyAlignment="0" applyProtection="0"/>
    <xf numFmtId="0" fontId="62" fillId="57" borderId="18" applyNumberFormat="0" applyAlignment="0" applyProtection="0"/>
    <xf numFmtId="0" fontId="62" fillId="57" borderId="18" applyNumberFormat="0" applyAlignment="0" applyProtection="0"/>
    <xf numFmtId="0" fontId="62" fillId="57" borderId="18" applyNumberFormat="0" applyAlignment="0" applyProtection="0"/>
    <xf numFmtId="0" fontId="62" fillId="57" borderId="18" applyNumberFormat="0" applyAlignment="0" applyProtection="0"/>
    <xf numFmtId="0" fontId="62" fillId="23" borderId="18" applyNumberFormat="0" applyAlignment="0" applyProtection="0"/>
    <xf numFmtId="0" fontId="62" fillId="22" borderId="18" applyNumberFormat="0" applyAlignment="0" applyProtection="0"/>
    <xf numFmtId="0" fontId="62" fillId="57" borderId="18" applyNumberFormat="0" applyAlignment="0" applyProtection="0"/>
    <xf numFmtId="0" fontId="62" fillId="57" borderId="18" applyNumberFormat="0" applyAlignment="0" applyProtection="0"/>
    <xf numFmtId="0" fontId="62" fillId="57" borderId="18" applyNumberFormat="0" applyAlignment="0" applyProtection="0"/>
    <xf numFmtId="0" fontId="62" fillId="57" borderId="18" applyNumberFormat="0" applyAlignment="0" applyProtection="0"/>
    <xf numFmtId="0" fontId="62" fillId="57" borderId="18" applyNumberFormat="0" applyAlignment="0" applyProtection="0"/>
    <xf numFmtId="0" fontId="62" fillId="57" borderId="18" applyNumberFormat="0" applyAlignment="0" applyProtection="0"/>
    <xf numFmtId="0" fontId="62" fillId="57" borderId="18" applyNumberFormat="0" applyAlignment="0" applyProtection="0"/>
    <xf numFmtId="0" fontId="62" fillId="57" borderId="18" applyNumberFormat="0" applyAlignment="0" applyProtection="0"/>
    <xf numFmtId="0" fontId="62" fillId="57" borderId="18" applyNumberFormat="0" applyAlignment="0" applyProtection="0"/>
    <xf numFmtId="0" fontId="62" fillId="57" borderId="18" applyNumberFormat="0" applyAlignment="0" applyProtection="0"/>
    <xf numFmtId="0" fontId="62" fillId="57" borderId="18" applyNumberFormat="0" applyAlignment="0" applyProtection="0"/>
    <xf numFmtId="0" fontId="62" fillId="23" borderId="18" applyNumberFormat="0" applyAlignment="0" applyProtection="0"/>
    <xf numFmtId="0" fontId="62" fillId="57" borderId="18" applyNumberFormat="0" applyAlignment="0" applyProtection="0"/>
    <xf numFmtId="0" fontId="62" fillId="57" borderId="18" applyNumberFormat="0" applyAlignment="0" applyProtection="0"/>
    <xf numFmtId="0" fontId="62" fillId="57" borderId="18" applyNumberFormat="0" applyAlignment="0" applyProtection="0"/>
    <xf numFmtId="0" fontId="62" fillId="57" borderId="18" applyNumberFormat="0" applyAlignment="0" applyProtection="0"/>
    <xf numFmtId="0" fontId="62" fillId="57" borderId="18" applyNumberFormat="0" applyAlignment="0" applyProtection="0"/>
    <xf numFmtId="0" fontId="62" fillId="57" borderId="18" applyNumberFormat="0" applyAlignment="0" applyProtection="0"/>
    <xf numFmtId="0" fontId="62" fillId="57" borderId="18" applyNumberFormat="0" applyAlignment="0" applyProtection="0"/>
    <xf numFmtId="0" fontId="62" fillId="57" borderId="18" applyNumberFormat="0" applyAlignment="0" applyProtection="0"/>
    <xf numFmtId="0" fontId="62" fillId="57" borderId="18" applyNumberFormat="0" applyAlignment="0" applyProtection="0"/>
    <xf numFmtId="0" fontId="62" fillId="57" borderId="18" applyNumberFormat="0" applyAlignment="0" applyProtection="0"/>
    <xf numFmtId="0" fontId="62" fillId="57" borderId="18" applyNumberFormat="0" applyAlignment="0" applyProtection="0"/>
    <xf numFmtId="0" fontId="62" fillId="57" borderId="18" applyNumberFormat="0" applyAlignment="0" applyProtection="0"/>
    <xf numFmtId="0" fontId="62" fillId="57" borderId="18" applyNumberFormat="0" applyAlignment="0" applyProtection="0"/>
    <xf numFmtId="0" fontId="62" fillId="57" borderId="18" applyNumberFormat="0" applyAlignment="0" applyProtection="0"/>
    <xf numFmtId="0" fontId="62" fillId="57" borderId="18" applyNumberFormat="0" applyAlignment="0" applyProtection="0"/>
    <xf numFmtId="0" fontId="62" fillId="57" borderId="18" applyNumberFormat="0" applyAlignment="0" applyProtection="0"/>
    <xf numFmtId="0" fontId="62" fillId="57" borderId="18" applyNumberFormat="0" applyAlignment="0" applyProtection="0"/>
    <xf numFmtId="0" fontId="62" fillId="57" borderId="18" applyNumberFormat="0" applyAlignment="0" applyProtection="0"/>
    <xf numFmtId="0" fontId="62" fillId="57" borderId="18" applyNumberFormat="0" applyAlignment="0" applyProtection="0"/>
    <xf numFmtId="0" fontId="62" fillId="57" borderId="18" applyNumberFormat="0" applyAlignment="0" applyProtection="0"/>
    <xf numFmtId="0" fontId="62" fillId="57" borderId="18" applyNumberFormat="0" applyAlignment="0" applyProtection="0"/>
    <xf numFmtId="0" fontId="62" fillId="57" borderId="18" applyNumberFormat="0" applyAlignment="0" applyProtection="0"/>
    <xf numFmtId="0" fontId="62" fillId="57" borderId="18" applyNumberFormat="0" applyAlignment="0" applyProtection="0"/>
    <xf numFmtId="0" fontId="62" fillId="57" borderId="18" applyNumberFormat="0" applyAlignment="0" applyProtection="0"/>
    <xf numFmtId="0" fontId="62" fillId="57" borderId="18" applyNumberFormat="0" applyAlignment="0" applyProtection="0"/>
    <xf numFmtId="0" fontId="62" fillId="57" borderId="18" applyNumberFormat="0" applyAlignment="0" applyProtection="0"/>
    <xf numFmtId="0" fontId="62" fillId="22" borderId="18" applyNumberFormat="0" applyAlignment="0" applyProtection="0"/>
    <xf numFmtId="0" fontId="62" fillId="23" borderId="18" applyNumberFormat="0" applyAlignment="0" applyProtection="0"/>
    <xf numFmtId="0" fontId="62" fillId="22" borderId="18" applyNumberFormat="0" applyAlignment="0" applyProtection="0"/>
    <xf numFmtId="0" fontId="62" fillId="23" borderId="18" applyNumberFormat="0" applyAlignment="0" applyProtection="0"/>
    <xf numFmtId="0" fontId="62" fillId="22" borderId="18" applyNumberFormat="0" applyAlignment="0" applyProtection="0"/>
    <xf numFmtId="0" fontId="62" fillId="23" borderId="18" applyNumberFormat="0" applyAlignment="0" applyProtection="0"/>
    <xf numFmtId="0" fontId="62" fillId="22" borderId="18" applyNumberFormat="0" applyAlignment="0" applyProtection="0"/>
    <xf numFmtId="0" fontId="62" fillId="23" borderId="18" applyNumberFormat="0" applyAlignment="0" applyProtection="0"/>
    <xf numFmtId="0" fontId="62" fillId="23" borderId="18" applyNumberFormat="0" applyAlignment="0" applyProtection="0"/>
    <xf numFmtId="0" fontId="62" fillId="22" borderId="18" applyNumberFormat="0" applyAlignment="0" applyProtection="0"/>
    <xf numFmtId="0" fontId="62" fillId="22" borderId="18" applyNumberFormat="0" applyAlignment="0" applyProtection="0"/>
    <xf numFmtId="0" fontId="62" fillId="22" borderId="18" applyNumberFormat="0" applyAlignment="0" applyProtection="0"/>
    <xf numFmtId="0" fontId="62" fillId="22" borderId="18" applyNumberFormat="0" applyAlignment="0" applyProtection="0"/>
    <xf numFmtId="0" fontId="62" fillId="22" borderId="18" applyNumberFormat="0" applyAlignment="0" applyProtection="0"/>
    <xf numFmtId="0" fontId="62" fillId="22" borderId="18" applyNumberFormat="0" applyAlignment="0" applyProtection="0"/>
    <xf numFmtId="0" fontId="62" fillId="22" borderId="18" applyNumberFormat="0" applyAlignment="0" applyProtection="0"/>
    <xf numFmtId="0" fontId="62" fillId="23" borderId="18" applyNumberFormat="0" applyAlignment="0" applyProtection="0"/>
    <xf numFmtId="0" fontId="62" fillId="23" borderId="18" applyNumberFormat="0" applyAlignment="0" applyProtection="0"/>
    <xf numFmtId="0" fontId="62" fillId="22" borderId="18" applyNumberFormat="0" applyAlignment="0" applyProtection="0"/>
    <xf numFmtId="0" fontId="62" fillId="22" borderId="18" applyNumberFormat="0" applyAlignment="0" applyProtection="0"/>
    <xf numFmtId="0" fontId="62" fillId="22" borderId="18" applyNumberFormat="0" applyAlignment="0" applyProtection="0"/>
    <xf numFmtId="0" fontId="62" fillId="22" borderId="18" applyNumberFormat="0" applyAlignment="0" applyProtection="0"/>
    <xf numFmtId="0" fontId="62" fillId="22" borderId="18" applyNumberFormat="0" applyAlignment="0" applyProtection="0"/>
    <xf numFmtId="0" fontId="62" fillId="22" borderId="18" applyNumberFormat="0" applyAlignment="0" applyProtection="0"/>
    <xf numFmtId="0" fontId="62" fillId="22" borderId="18" applyNumberFormat="0" applyAlignment="0" applyProtection="0"/>
    <xf numFmtId="0" fontId="62" fillId="22" borderId="18" applyNumberFormat="0" applyAlignment="0" applyProtection="0"/>
    <xf numFmtId="0" fontId="62" fillId="23" borderId="18" applyNumberFormat="0" applyAlignment="0" applyProtection="0"/>
    <xf numFmtId="0" fontId="62" fillId="23" borderId="18" applyNumberFormat="0" applyAlignment="0" applyProtection="0"/>
    <xf numFmtId="0" fontId="62" fillId="22" borderId="18" applyNumberFormat="0" applyAlignment="0" applyProtection="0"/>
    <xf numFmtId="0" fontId="62" fillId="22" borderId="18" applyNumberFormat="0" applyAlignment="0" applyProtection="0"/>
    <xf numFmtId="0" fontId="62" fillId="23" borderId="18" applyNumberFormat="0" applyAlignment="0" applyProtection="0"/>
    <xf numFmtId="0" fontId="62" fillId="23" borderId="18" applyNumberFormat="0" applyAlignment="0" applyProtection="0"/>
    <xf numFmtId="0" fontId="62" fillId="22" borderId="18" applyNumberFormat="0" applyAlignment="0" applyProtection="0"/>
    <xf numFmtId="0" fontId="62" fillId="22" borderId="18" applyNumberFormat="0" applyAlignment="0" applyProtection="0"/>
    <xf numFmtId="0" fontId="62" fillId="23" borderId="18" applyNumberFormat="0" applyAlignment="0" applyProtection="0"/>
    <xf numFmtId="0" fontId="62" fillId="23" borderId="18" applyNumberFormat="0" applyAlignment="0" applyProtection="0"/>
    <xf numFmtId="0" fontId="62" fillId="22" borderId="18" applyNumberFormat="0" applyAlignment="0" applyProtection="0"/>
    <xf numFmtId="0" fontId="62" fillId="22" borderId="18" applyNumberFormat="0" applyAlignment="0" applyProtection="0"/>
    <xf numFmtId="0" fontId="62" fillId="23" borderId="18" applyNumberFormat="0" applyAlignment="0" applyProtection="0"/>
    <xf numFmtId="0" fontId="62" fillId="23" borderId="18" applyNumberFormat="0" applyAlignment="0" applyProtection="0"/>
    <xf numFmtId="0" fontId="62" fillId="22" borderId="18" applyNumberFormat="0" applyAlignment="0" applyProtection="0"/>
    <xf numFmtId="0" fontId="62" fillId="22" borderId="18" applyNumberFormat="0" applyAlignment="0" applyProtection="0"/>
    <xf numFmtId="0" fontId="62" fillId="23" borderId="18" applyNumberFormat="0" applyAlignment="0" applyProtection="0"/>
    <xf numFmtId="0" fontId="62" fillId="23" borderId="18" applyNumberFormat="0" applyAlignment="0" applyProtection="0"/>
    <xf numFmtId="0" fontId="62" fillId="22" borderId="18" applyNumberFormat="0" applyAlignment="0" applyProtection="0"/>
    <xf numFmtId="0" fontId="62" fillId="22" borderId="18" applyNumberFormat="0" applyAlignment="0" applyProtection="0"/>
    <xf numFmtId="0" fontId="62" fillId="23" borderId="18" applyNumberFormat="0" applyAlignment="0" applyProtection="0"/>
    <xf numFmtId="0" fontId="62" fillId="23" borderId="18" applyNumberFormat="0" applyAlignment="0" applyProtection="0"/>
    <xf numFmtId="0" fontId="22" fillId="0" borderId="0"/>
    <xf numFmtId="212" fontId="117" fillId="0" borderId="0" applyFont="0">
      <alignment horizontal="left"/>
    </xf>
    <xf numFmtId="212" fontId="22" fillId="0" borderId="0" applyFont="0">
      <alignment horizontal="left"/>
    </xf>
    <xf numFmtId="212" fontId="117" fillId="0" borderId="0" applyFont="0" applyFill="0" applyBorder="0">
      <alignment horizontal="left"/>
    </xf>
    <xf numFmtId="212" fontId="22" fillId="0" borderId="0" applyFont="0" applyFill="0" applyBorder="0">
      <alignment horizontal="left"/>
    </xf>
    <xf numFmtId="40" fontId="73" fillId="0" borderId="0" applyFont="0">
      <protection locked="0"/>
    </xf>
    <xf numFmtId="40" fontId="22" fillId="0" borderId="0" applyFont="0">
      <protection locked="0"/>
    </xf>
    <xf numFmtId="0" fontId="63" fillId="0" borderId="24" applyNumberFormat="0" applyFill="0" applyAlignment="0" applyProtection="0"/>
    <xf numFmtId="0" fontId="63" fillId="0" borderId="24" applyNumberFormat="0" applyFill="0" applyAlignment="0" applyProtection="0"/>
    <xf numFmtId="0" fontId="63" fillId="0" borderId="24" applyNumberFormat="0" applyFill="0" applyAlignment="0" applyProtection="0"/>
    <xf numFmtId="0" fontId="63" fillId="0" borderId="24" applyNumberFormat="0" applyFill="0" applyAlignment="0" applyProtection="0"/>
    <xf numFmtId="0" fontId="63" fillId="0" borderId="24" applyNumberFormat="0" applyFill="0" applyAlignment="0" applyProtection="0"/>
    <xf numFmtId="0" fontId="63" fillId="0" borderId="24" applyNumberFormat="0" applyFill="0" applyAlignment="0" applyProtection="0"/>
    <xf numFmtId="0" fontId="63" fillId="0" borderId="24" applyNumberFormat="0" applyFill="0" applyAlignment="0" applyProtection="0"/>
    <xf numFmtId="0" fontId="63" fillId="0" borderId="24" applyNumberFormat="0" applyFill="0" applyAlignment="0" applyProtection="0"/>
    <xf numFmtId="0" fontId="63" fillId="0" borderId="24" applyNumberFormat="0" applyFill="0" applyAlignment="0" applyProtection="0"/>
    <xf numFmtId="0" fontId="63" fillId="0" borderId="24" applyNumberFormat="0" applyFill="0" applyAlignment="0" applyProtection="0"/>
    <xf numFmtId="0" fontId="63" fillId="0" borderId="24" applyNumberFormat="0" applyFill="0" applyAlignment="0" applyProtection="0"/>
    <xf numFmtId="0" fontId="63" fillId="0" borderId="24" applyNumberFormat="0" applyFill="0" applyAlignment="0" applyProtection="0"/>
    <xf numFmtId="0" fontId="63" fillId="0" borderId="24" applyNumberFormat="0" applyFill="0" applyAlignment="0" applyProtection="0"/>
    <xf numFmtId="0" fontId="63" fillId="0" borderId="24" applyNumberFormat="0" applyFill="0" applyAlignment="0" applyProtection="0"/>
    <xf numFmtId="0" fontId="63" fillId="0" borderId="24" applyNumberFormat="0" applyFill="0" applyAlignment="0" applyProtection="0"/>
    <xf numFmtId="0" fontId="63" fillId="0" borderId="24" applyNumberFormat="0" applyFill="0" applyAlignment="0" applyProtection="0"/>
    <xf numFmtId="0" fontId="63" fillId="0" borderId="24" applyNumberFormat="0" applyFill="0" applyAlignment="0" applyProtection="0"/>
    <xf numFmtId="0" fontId="63" fillId="0" borderId="24" applyNumberFormat="0" applyFill="0" applyAlignment="0" applyProtection="0"/>
    <xf numFmtId="212" fontId="117" fillId="0" borderId="0" applyFont="0" applyFill="0" applyBorder="0">
      <alignment horizontal="left"/>
    </xf>
    <xf numFmtId="212" fontId="22" fillId="0" borderId="0" applyFont="0" applyFill="0" applyBorder="0">
      <alignment horizontal="left"/>
    </xf>
    <xf numFmtId="212" fontId="117" fillId="0" borderId="0" applyFont="0" applyFill="0" applyBorder="0">
      <alignment horizontal="left"/>
    </xf>
    <xf numFmtId="212" fontId="22" fillId="0" borderId="0" applyFont="0" applyFill="0" applyBorder="0">
      <alignment horizontal="left"/>
    </xf>
    <xf numFmtId="215" fontId="116" fillId="0" borderId="0">
      <alignment horizontal="left" vertical="top"/>
      <protection locked="0"/>
    </xf>
    <xf numFmtId="215" fontId="73" fillId="0" borderId="0" applyFont="0"/>
    <xf numFmtId="215" fontId="22" fillId="0" borderId="0" applyFont="0"/>
    <xf numFmtId="212" fontId="117" fillId="0" borderId="0" applyFont="0" applyFill="0" applyBorder="0">
      <alignment horizontal="left"/>
    </xf>
    <xf numFmtId="212" fontId="22" fillId="0" borderId="0" applyFont="0" applyFill="0" applyBorder="0">
      <alignment horizontal="left"/>
    </xf>
    <xf numFmtId="212" fontId="117" fillId="0" borderId="0" applyFont="0">
      <alignment horizontal="left"/>
    </xf>
    <xf numFmtId="212" fontId="22" fillId="0" borderId="0" applyFont="0">
      <alignment horizontal="left"/>
    </xf>
    <xf numFmtId="0" fontId="64" fillId="85" borderId="0" applyNumberFormat="0" applyBorder="0" applyAlignment="0" applyProtection="0"/>
    <xf numFmtId="0" fontId="64" fillId="85" borderId="0" applyNumberFormat="0" applyBorder="0" applyAlignment="0" applyProtection="0"/>
    <xf numFmtId="0" fontId="64" fillId="38" borderId="0" applyNumberFormat="0" applyBorder="0" applyAlignment="0" applyProtection="0"/>
    <xf numFmtId="0" fontId="64" fillId="38" borderId="0" applyNumberFormat="0" applyBorder="0" applyAlignment="0" applyProtection="0"/>
    <xf numFmtId="0" fontId="64" fillId="85" borderId="0" applyNumberFormat="0" applyBorder="0" applyAlignment="0" applyProtection="0"/>
    <xf numFmtId="0" fontId="64" fillId="38" borderId="0" applyNumberFormat="0" applyBorder="0" applyAlignment="0" applyProtection="0"/>
    <xf numFmtId="0" fontId="64" fillId="38" borderId="0" applyNumberFormat="0" applyBorder="0" applyAlignment="0" applyProtection="0"/>
    <xf numFmtId="0" fontId="64" fillId="86" borderId="0" applyNumberFormat="0" applyBorder="0" applyAlignment="0" applyProtection="0"/>
    <xf numFmtId="0" fontId="64" fillId="86" borderId="0" applyNumberFormat="0" applyBorder="0" applyAlignment="0" applyProtection="0"/>
    <xf numFmtId="0" fontId="64" fillId="86" borderId="0" applyNumberFormat="0" applyBorder="0" applyAlignment="0" applyProtection="0"/>
    <xf numFmtId="0" fontId="64" fillId="86" borderId="0" applyNumberFormat="0" applyBorder="0" applyAlignment="0" applyProtection="0"/>
    <xf numFmtId="0" fontId="64" fillId="86" borderId="0" applyNumberFormat="0" applyBorder="0" applyAlignment="0" applyProtection="0"/>
    <xf numFmtId="0" fontId="64" fillId="86" borderId="0" applyNumberFormat="0" applyBorder="0" applyAlignment="0" applyProtection="0"/>
    <xf numFmtId="0" fontId="64" fillId="86" borderId="0" applyNumberFormat="0" applyBorder="0" applyAlignment="0" applyProtection="0"/>
    <xf numFmtId="0" fontId="64" fillId="86" borderId="0" applyNumberFormat="0" applyBorder="0" applyAlignment="0" applyProtection="0"/>
    <xf numFmtId="0" fontId="64" fillId="86" borderId="0" applyNumberFormat="0" applyBorder="0" applyAlignment="0" applyProtection="0"/>
    <xf numFmtId="0" fontId="64" fillId="86" borderId="0" applyNumberFormat="0" applyBorder="0" applyAlignment="0" applyProtection="0"/>
    <xf numFmtId="0" fontId="64" fillId="86" borderId="0" applyNumberFormat="0" applyBorder="0" applyAlignment="0" applyProtection="0"/>
    <xf numFmtId="0" fontId="64" fillId="38" borderId="0" applyNumberFormat="0" applyBorder="0" applyAlignment="0" applyProtection="0"/>
    <xf numFmtId="0" fontId="64" fillId="85" borderId="0" applyNumberFormat="0" applyBorder="0" applyAlignment="0" applyProtection="0"/>
    <xf numFmtId="0" fontId="64" fillId="86" borderId="0" applyNumberFormat="0" applyBorder="0" applyAlignment="0" applyProtection="0"/>
    <xf numFmtId="0" fontId="64" fillId="86" borderId="0" applyNumberFormat="0" applyBorder="0" applyAlignment="0" applyProtection="0"/>
    <xf numFmtId="0" fontId="64" fillId="86" borderId="0" applyNumberFormat="0" applyBorder="0" applyAlignment="0" applyProtection="0"/>
    <xf numFmtId="0" fontId="64" fillId="86" borderId="0" applyNumberFormat="0" applyBorder="0" applyAlignment="0" applyProtection="0"/>
    <xf numFmtId="0" fontId="64" fillId="86" borderId="0" applyNumberFormat="0" applyBorder="0" applyAlignment="0" applyProtection="0"/>
    <xf numFmtId="0" fontId="64" fillId="86" borderId="0" applyNumberFormat="0" applyBorder="0" applyAlignment="0" applyProtection="0"/>
    <xf numFmtId="0" fontId="64" fillId="86" borderId="0" applyNumberFormat="0" applyBorder="0" applyAlignment="0" applyProtection="0"/>
    <xf numFmtId="0" fontId="64" fillId="86" borderId="0" applyNumberFormat="0" applyBorder="0" applyAlignment="0" applyProtection="0"/>
    <xf numFmtId="0" fontId="64" fillId="86" borderId="0" applyNumberFormat="0" applyBorder="0" applyAlignment="0" applyProtection="0"/>
    <xf numFmtId="0" fontId="64" fillId="86" borderId="0" applyNumberFormat="0" applyBorder="0" applyAlignment="0" applyProtection="0"/>
    <xf numFmtId="0" fontId="64" fillId="86" borderId="0" applyNumberFormat="0" applyBorder="0" applyAlignment="0" applyProtection="0"/>
    <xf numFmtId="0" fontId="64" fillId="38" borderId="0" applyNumberFormat="0" applyBorder="0" applyAlignment="0" applyProtection="0"/>
    <xf numFmtId="0" fontId="64" fillId="86" borderId="0" applyNumberFormat="0" applyBorder="0" applyAlignment="0" applyProtection="0"/>
    <xf numFmtId="0" fontId="64" fillId="86" borderId="0" applyNumberFormat="0" applyBorder="0" applyAlignment="0" applyProtection="0"/>
    <xf numFmtId="0" fontId="64" fillId="86" borderId="0" applyNumberFormat="0" applyBorder="0" applyAlignment="0" applyProtection="0"/>
    <xf numFmtId="0" fontId="64" fillId="86" borderId="0" applyNumberFormat="0" applyBorder="0" applyAlignment="0" applyProtection="0"/>
    <xf numFmtId="0" fontId="64" fillId="86" borderId="0" applyNumberFormat="0" applyBorder="0" applyAlignment="0" applyProtection="0"/>
    <xf numFmtId="0" fontId="64" fillId="86" borderId="0" applyNumberFormat="0" applyBorder="0" applyAlignment="0" applyProtection="0"/>
    <xf numFmtId="0" fontId="64" fillId="86" borderId="0" applyNumberFormat="0" applyBorder="0" applyAlignment="0" applyProtection="0"/>
    <xf numFmtId="0" fontId="64" fillId="86" borderId="0" applyNumberFormat="0" applyBorder="0" applyAlignment="0" applyProtection="0"/>
    <xf numFmtId="0" fontId="64" fillId="86" borderId="0" applyNumberFormat="0" applyBorder="0" applyAlignment="0" applyProtection="0"/>
    <xf numFmtId="0" fontId="64" fillId="86" borderId="0" applyNumberFormat="0" applyBorder="0" applyAlignment="0" applyProtection="0"/>
    <xf numFmtId="0" fontId="64" fillId="86" borderId="0" applyNumberFormat="0" applyBorder="0" applyAlignment="0" applyProtection="0"/>
    <xf numFmtId="0" fontId="64" fillId="86" borderId="0" applyNumberFormat="0" applyBorder="0" applyAlignment="0" applyProtection="0"/>
    <xf numFmtId="0" fontId="64" fillId="86" borderId="0" applyNumberFormat="0" applyBorder="0" applyAlignment="0" applyProtection="0"/>
    <xf numFmtId="0" fontId="64" fillId="86" borderId="0" applyNumberFormat="0" applyBorder="0" applyAlignment="0" applyProtection="0"/>
    <xf numFmtId="0" fontId="64" fillId="86" borderId="0" applyNumberFormat="0" applyBorder="0" applyAlignment="0" applyProtection="0"/>
    <xf numFmtId="0" fontId="64" fillId="86" borderId="0" applyNumberFormat="0" applyBorder="0" applyAlignment="0" applyProtection="0"/>
    <xf numFmtId="0" fontId="64" fillId="86" borderId="0" applyNumberFormat="0" applyBorder="0" applyAlignment="0" applyProtection="0"/>
    <xf numFmtId="0" fontId="64" fillId="86" borderId="0" applyNumberFormat="0" applyBorder="0" applyAlignment="0" applyProtection="0"/>
    <xf numFmtId="0" fontId="64" fillId="86" borderId="0" applyNumberFormat="0" applyBorder="0" applyAlignment="0" applyProtection="0"/>
    <xf numFmtId="0" fontId="64" fillId="86" borderId="0" applyNumberFormat="0" applyBorder="0" applyAlignment="0" applyProtection="0"/>
    <xf numFmtId="0" fontId="64" fillId="86" borderId="0" applyNumberFormat="0" applyBorder="0" applyAlignment="0" applyProtection="0"/>
    <xf numFmtId="0" fontId="64" fillId="86" borderId="0" applyNumberFormat="0" applyBorder="0" applyAlignment="0" applyProtection="0"/>
    <xf numFmtId="0" fontId="64" fillId="86" borderId="0" applyNumberFormat="0" applyBorder="0" applyAlignment="0" applyProtection="0"/>
    <xf numFmtId="0" fontId="64" fillId="86" borderId="0" applyNumberFormat="0" applyBorder="0" applyAlignment="0" applyProtection="0"/>
    <xf numFmtId="0" fontId="64" fillId="86" borderId="0" applyNumberFormat="0" applyBorder="0" applyAlignment="0" applyProtection="0"/>
    <xf numFmtId="0" fontId="64" fillId="86" borderId="0" applyNumberFormat="0" applyBorder="0" applyAlignment="0" applyProtection="0"/>
    <xf numFmtId="0" fontId="64" fillId="85" borderId="0" applyNumberFormat="0" applyBorder="0" applyAlignment="0" applyProtection="0"/>
    <xf numFmtId="0" fontId="64" fillId="85" borderId="0" applyNumberFormat="0" applyBorder="0" applyAlignment="0" applyProtection="0"/>
    <xf numFmtId="0" fontId="64" fillId="38" borderId="0" applyNumberFormat="0" applyBorder="0" applyAlignment="0" applyProtection="0"/>
    <xf numFmtId="0" fontId="64" fillId="38" borderId="0" applyNumberFormat="0" applyBorder="0" applyAlignment="0" applyProtection="0"/>
    <xf numFmtId="0" fontId="64" fillId="85" borderId="0" applyNumberFormat="0" applyBorder="0" applyAlignment="0" applyProtection="0"/>
    <xf numFmtId="0" fontId="64" fillId="85" borderId="0" applyNumberFormat="0" applyBorder="0" applyAlignment="0" applyProtection="0"/>
    <xf numFmtId="0" fontId="64" fillId="38" borderId="0" applyNumberFormat="0" applyBorder="0" applyAlignment="0" applyProtection="0"/>
    <xf numFmtId="0" fontId="64" fillId="38" borderId="0" applyNumberFormat="0" applyBorder="0" applyAlignment="0" applyProtection="0"/>
    <xf numFmtId="0" fontId="64" fillId="85" borderId="0" applyNumberFormat="0" applyBorder="0" applyAlignment="0" applyProtection="0"/>
    <xf numFmtId="0" fontId="64" fillId="85" borderId="0" applyNumberFormat="0" applyBorder="0" applyAlignment="0" applyProtection="0"/>
    <xf numFmtId="0" fontId="64" fillId="38" borderId="0" applyNumberFormat="0" applyBorder="0" applyAlignment="0" applyProtection="0"/>
    <xf numFmtId="0" fontId="64" fillId="38" borderId="0" applyNumberFormat="0" applyBorder="0" applyAlignment="0" applyProtection="0"/>
    <xf numFmtId="0" fontId="64" fillId="85" borderId="0" applyNumberFormat="0" applyBorder="0" applyAlignment="0" applyProtection="0"/>
    <xf numFmtId="0" fontId="64" fillId="85" borderId="0" applyNumberFormat="0" applyBorder="0" applyAlignment="0" applyProtection="0"/>
    <xf numFmtId="0" fontId="64" fillId="38" borderId="0" applyNumberFormat="0" applyBorder="0" applyAlignment="0" applyProtection="0"/>
    <xf numFmtId="0" fontId="64" fillId="38" borderId="0" applyNumberFormat="0" applyBorder="0" applyAlignment="0" applyProtection="0"/>
    <xf numFmtId="0" fontId="64" fillId="85" borderId="0" applyNumberFormat="0" applyBorder="0" applyAlignment="0" applyProtection="0"/>
    <xf numFmtId="0" fontId="64" fillId="85" borderId="0" applyNumberFormat="0" applyBorder="0" applyAlignment="0" applyProtection="0"/>
    <xf numFmtId="0" fontId="64" fillId="38" borderId="0" applyNumberFormat="0" applyBorder="0" applyAlignment="0" applyProtection="0"/>
    <xf numFmtId="0" fontId="64" fillId="38" borderId="0" applyNumberFormat="0" applyBorder="0" applyAlignment="0" applyProtection="0"/>
    <xf numFmtId="0" fontId="64" fillId="85" borderId="0" applyNumberFormat="0" applyBorder="0" applyAlignment="0" applyProtection="0"/>
    <xf numFmtId="0" fontId="64" fillId="85" borderId="0" applyNumberFormat="0" applyBorder="0" applyAlignment="0" applyProtection="0"/>
    <xf numFmtId="0" fontId="64" fillId="38" borderId="0" applyNumberFormat="0" applyBorder="0" applyAlignment="0" applyProtection="0"/>
    <xf numFmtId="0" fontId="64" fillId="38" borderId="0" applyNumberFormat="0" applyBorder="0" applyAlignment="0" applyProtection="0"/>
    <xf numFmtId="0" fontId="64" fillId="85" borderId="0" applyNumberFormat="0" applyBorder="0" applyAlignment="0" applyProtection="0"/>
    <xf numFmtId="0" fontId="64" fillId="85" borderId="0" applyNumberFormat="0" applyBorder="0" applyAlignment="0" applyProtection="0"/>
    <xf numFmtId="0" fontId="64" fillId="38" borderId="0" applyNumberFormat="0" applyBorder="0" applyAlignment="0" applyProtection="0"/>
    <xf numFmtId="0" fontId="64" fillId="38" borderId="0" applyNumberFormat="0" applyBorder="0" applyAlignment="0" applyProtection="0"/>
    <xf numFmtId="0" fontId="22" fillId="0" borderId="0"/>
    <xf numFmtId="0" fontId="130" fillId="0" borderId="0"/>
    <xf numFmtId="0" fontId="46" fillId="0" borderId="0"/>
    <xf numFmtId="0" fontId="22" fillId="0" borderId="0"/>
    <xf numFmtId="0" fontId="22" fillId="0" borderId="0"/>
    <xf numFmtId="0" fontId="22" fillId="0" borderId="0"/>
    <xf numFmtId="0" fontId="22" fillId="0" borderId="0"/>
    <xf numFmtId="0" fontId="9" fillId="0" borderId="0"/>
    <xf numFmtId="0" fontId="32" fillId="0" borderId="0"/>
    <xf numFmtId="0" fontId="9" fillId="0" borderId="0"/>
    <xf numFmtId="0" fontId="17" fillId="0" borderId="0"/>
    <xf numFmtId="0" fontId="9" fillId="0" borderId="0"/>
    <xf numFmtId="0" fontId="22" fillId="0" borderId="0"/>
    <xf numFmtId="0" fontId="22" fillId="0" borderId="0"/>
    <xf numFmtId="0" fontId="17" fillId="0" borderId="0"/>
    <xf numFmtId="0" fontId="22" fillId="0" borderId="0"/>
    <xf numFmtId="0" fontId="22" fillId="0" borderId="0"/>
    <xf numFmtId="0" fontId="22" fillId="0" borderId="0"/>
    <xf numFmtId="0" fontId="22" fillId="0" borderId="0"/>
    <xf numFmtId="0" fontId="9" fillId="0" borderId="0"/>
    <xf numFmtId="0" fontId="9" fillId="0" borderId="0"/>
    <xf numFmtId="0" fontId="31" fillId="0" borderId="0"/>
    <xf numFmtId="0" fontId="31" fillId="0" borderId="0"/>
    <xf numFmtId="0" fontId="31" fillId="0" borderId="0"/>
    <xf numFmtId="0" fontId="31" fillId="0" borderId="0"/>
    <xf numFmtId="0" fontId="31" fillId="0" borderId="0"/>
    <xf numFmtId="0" fontId="31" fillId="0" borderId="0"/>
    <xf numFmtId="0" fontId="22" fillId="0" borderId="0"/>
    <xf numFmtId="0" fontId="31" fillId="0" borderId="0"/>
    <xf numFmtId="0" fontId="31" fillId="0" borderId="0"/>
    <xf numFmtId="0" fontId="31" fillId="0" borderId="0"/>
    <xf numFmtId="0" fontId="31" fillId="0" borderId="0"/>
    <xf numFmtId="0" fontId="22" fillId="0" borderId="0"/>
    <xf numFmtId="0" fontId="22" fillId="0" borderId="0"/>
    <xf numFmtId="0" fontId="22"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2" fillId="0" borderId="0"/>
    <xf numFmtId="0" fontId="9" fillId="0" borderId="0"/>
    <xf numFmtId="0" fontId="22" fillId="0" borderId="0"/>
    <xf numFmtId="0" fontId="22" fillId="0" borderId="0"/>
    <xf numFmtId="0" fontId="9" fillId="0" borderId="0"/>
    <xf numFmtId="0" fontId="17" fillId="0" borderId="0"/>
    <xf numFmtId="0" fontId="17" fillId="0" borderId="0"/>
    <xf numFmtId="0" fontId="22" fillId="0" borderId="0"/>
    <xf numFmtId="0" fontId="22" fillId="0" borderId="0"/>
    <xf numFmtId="0" fontId="9" fillId="0" borderId="0"/>
    <xf numFmtId="0" fontId="9" fillId="0" borderId="0"/>
    <xf numFmtId="0" fontId="17" fillId="0" borderId="0"/>
    <xf numFmtId="0" fontId="17" fillId="0" borderId="0"/>
    <xf numFmtId="0" fontId="9" fillId="0" borderId="0"/>
    <xf numFmtId="0" fontId="22" fillId="0" borderId="0"/>
    <xf numFmtId="0" fontId="22" fillId="0" borderId="0"/>
    <xf numFmtId="0" fontId="22" fillId="0" borderId="0"/>
    <xf numFmtId="0" fontId="9" fillId="0" borderId="0"/>
    <xf numFmtId="0" fontId="17" fillId="0" borderId="0"/>
    <xf numFmtId="0" fontId="17" fillId="0" borderId="0"/>
    <xf numFmtId="0" fontId="9" fillId="0" borderId="0"/>
    <xf numFmtId="0" fontId="99" fillId="0" borderId="0"/>
    <xf numFmtId="0" fontId="99" fillId="0" borderId="0"/>
    <xf numFmtId="0" fontId="22" fillId="0" borderId="0"/>
    <xf numFmtId="0" fontId="22" fillId="0" borderId="0"/>
    <xf numFmtId="0" fontId="22" fillId="0" borderId="0"/>
    <xf numFmtId="0" fontId="9" fillId="0" borderId="0"/>
    <xf numFmtId="0" fontId="17" fillId="0" borderId="0"/>
    <xf numFmtId="0" fontId="17" fillId="0" borderId="0"/>
    <xf numFmtId="0" fontId="9" fillId="0" borderId="0"/>
    <xf numFmtId="0" fontId="22" fillId="0" borderId="0"/>
    <xf numFmtId="0" fontId="9" fillId="0" borderId="0"/>
    <xf numFmtId="0" fontId="17" fillId="0" borderId="0"/>
    <xf numFmtId="0" fontId="17" fillId="0" borderId="0"/>
    <xf numFmtId="0" fontId="9" fillId="0" borderId="0"/>
    <xf numFmtId="0" fontId="22" fillId="0" borderId="0"/>
    <xf numFmtId="0" fontId="17" fillId="0" borderId="0"/>
    <xf numFmtId="0" fontId="9" fillId="0" borderId="0"/>
    <xf numFmtId="0" fontId="17" fillId="0" borderId="0"/>
    <xf numFmtId="0" fontId="9" fillId="0" borderId="0"/>
    <xf numFmtId="0" fontId="9" fillId="0" borderId="0"/>
    <xf numFmtId="0" fontId="17" fillId="0" borderId="0"/>
    <xf numFmtId="0" fontId="17" fillId="0" borderId="0"/>
    <xf numFmtId="0" fontId="9" fillId="0" borderId="0"/>
    <xf numFmtId="0" fontId="9" fillId="0" borderId="0"/>
    <xf numFmtId="0" fontId="17" fillId="0" borderId="0"/>
    <xf numFmtId="0" fontId="17" fillId="0" borderId="0"/>
    <xf numFmtId="0" fontId="9" fillId="0" borderId="0"/>
    <xf numFmtId="0" fontId="9" fillId="0" borderId="0"/>
    <xf numFmtId="0" fontId="17" fillId="0" borderId="0"/>
    <xf numFmtId="0" fontId="17" fillId="0" borderId="0"/>
    <xf numFmtId="0" fontId="9" fillId="0" borderId="0"/>
    <xf numFmtId="0" fontId="22" fillId="0" borderId="0"/>
    <xf numFmtId="0" fontId="22" fillId="0" borderId="0"/>
    <xf numFmtId="0" fontId="22" fillId="0" borderId="0"/>
    <xf numFmtId="0" fontId="22" fillId="0" borderId="0"/>
    <xf numFmtId="0" fontId="31" fillId="0" borderId="0"/>
    <xf numFmtId="0" fontId="22" fillId="0" borderId="0"/>
    <xf numFmtId="0" fontId="22" fillId="0" borderId="0"/>
    <xf numFmtId="0" fontId="31" fillId="0" borderId="0"/>
    <xf numFmtId="0" fontId="22" fillId="0" borderId="0"/>
    <xf numFmtId="0" fontId="31" fillId="0" borderId="0"/>
    <xf numFmtId="0" fontId="31" fillId="0" borderId="0"/>
    <xf numFmtId="0" fontId="22" fillId="0" borderId="0"/>
    <xf numFmtId="0" fontId="31" fillId="0" borderId="0"/>
    <xf numFmtId="0" fontId="31" fillId="0" borderId="0"/>
    <xf numFmtId="0" fontId="1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17" fillId="0" borderId="0"/>
    <xf numFmtId="0" fontId="22" fillId="0" borderId="0"/>
    <xf numFmtId="172" fontId="43" fillId="0" borderId="0"/>
    <xf numFmtId="0" fontId="31" fillId="0" borderId="0"/>
    <xf numFmtId="0" fontId="22" fillId="0" borderId="0"/>
    <xf numFmtId="0" fontId="31" fillId="0" borderId="0"/>
    <xf numFmtId="0" fontId="31" fillId="0" borderId="0"/>
    <xf numFmtId="0" fontId="31" fillId="0" borderId="0"/>
    <xf numFmtId="172" fontId="43" fillId="0" borderId="0"/>
    <xf numFmtId="0" fontId="9" fillId="0" borderId="0"/>
    <xf numFmtId="0" fontId="9" fillId="0" borderId="0"/>
    <xf numFmtId="172" fontId="43" fillId="0" borderId="0"/>
    <xf numFmtId="172" fontId="43" fillId="0" borderId="0"/>
    <xf numFmtId="0" fontId="22" fillId="0" borderId="0"/>
    <xf numFmtId="0" fontId="22" fillId="0" borderId="0"/>
    <xf numFmtId="0" fontId="22" fillId="0" borderId="0"/>
    <xf numFmtId="0" fontId="31" fillId="0" borderId="0"/>
    <xf numFmtId="0" fontId="9" fillId="0" borderId="0"/>
    <xf numFmtId="0" fontId="9" fillId="0" borderId="0"/>
    <xf numFmtId="0" fontId="31" fillId="0" borderId="0"/>
    <xf numFmtId="0" fontId="31" fillId="0" borderId="0"/>
    <xf numFmtId="0" fontId="31" fillId="0" borderId="0"/>
    <xf numFmtId="0" fontId="31" fillId="0" borderId="0"/>
    <xf numFmtId="0" fontId="31" fillId="0" borderId="0"/>
    <xf numFmtId="172" fontId="43" fillId="0" borderId="0"/>
    <xf numFmtId="172" fontId="43" fillId="0" borderId="0"/>
    <xf numFmtId="0" fontId="17" fillId="0" borderId="0"/>
    <xf numFmtId="172" fontId="43" fillId="0" borderId="0"/>
    <xf numFmtId="172" fontId="43" fillId="0" borderId="0"/>
    <xf numFmtId="172" fontId="43" fillId="0" borderId="0"/>
    <xf numFmtId="0" fontId="22" fillId="0" borderId="0"/>
    <xf numFmtId="0" fontId="9" fillId="0" borderId="0"/>
    <xf numFmtId="0" fontId="22" fillId="0" borderId="0"/>
    <xf numFmtId="0" fontId="9" fillId="0" borderId="0"/>
    <xf numFmtId="0" fontId="9" fillId="0" borderId="0"/>
    <xf numFmtId="172" fontId="43" fillId="0" borderId="0"/>
    <xf numFmtId="0" fontId="132" fillId="0" borderId="0"/>
    <xf numFmtId="0" fontId="51" fillId="0" borderId="0"/>
    <xf numFmtId="2" fontId="22" fillId="0" borderId="0" applyFill="0">
      <alignment horizontal="center"/>
    </xf>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9" fillId="0" borderId="0"/>
    <xf numFmtId="0" fontId="17" fillId="0" borderId="0"/>
    <xf numFmtId="0" fontId="17" fillId="0" borderId="0"/>
    <xf numFmtId="0" fontId="9" fillId="0" borderId="0"/>
    <xf numFmtId="0" fontId="22" fillId="0" borderId="0"/>
    <xf numFmtId="0" fontId="22" fillId="0" borderId="0"/>
    <xf numFmtId="0" fontId="22" fillId="0" borderId="0"/>
    <xf numFmtId="0" fontId="22" fillId="0" borderId="0"/>
    <xf numFmtId="0" fontId="20" fillId="0" borderId="0"/>
    <xf numFmtId="0" fontId="22" fillId="0" borderId="0"/>
    <xf numFmtId="0" fontId="22" fillId="0" borderId="0"/>
    <xf numFmtId="0" fontId="22" fillId="0" borderId="0"/>
    <xf numFmtId="0" fontId="123" fillId="0" borderId="0"/>
    <xf numFmtId="0" fontId="123" fillId="0" borderId="0"/>
    <xf numFmtId="0" fontId="22" fillId="0" borderId="0"/>
    <xf numFmtId="0" fontId="22" fillId="0" borderId="0"/>
    <xf numFmtId="0" fontId="22" fillId="0" borderId="0"/>
    <xf numFmtId="0" fontId="22" fillId="0" borderId="0"/>
    <xf numFmtId="0" fontId="9" fillId="0" borderId="0"/>
    <xf numFmtId="0" fontId="17" fillId="0" borderId="0"/>
    <xf numFmtId="0" fontId="17" fillId="0" borderId="0"/>
    <xf numFmtId="0" fontId="9"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17" fillId="0" borderId="0"/>
    <xf numFmtId="0" fontId="9" fillId="0" borderId="0"/>
    <xf numFmtId="0" fontId="22" fillId="0" borderId="0"/>
    <xf numFmtId="0" fontId="17" fillId="0" borderId="0"/>
    <xf numFmtId="0" fontId="9" fillId="0" borderId="0"/>
    <xf numFmtId="0" fontId="31" fillId="0" borderId="0"/>
    <xf numFmtId="0" fontId="31" fillId="0" borderId="0"/>
    <xf numFmtId="0" fontId="31" fillId="0" borderId="0"/>
    <xf numFmtId="0" fontId="31" fillId="0" borderId="0"/>
    <xf numFmtId="0" fontId="31" fillId="0" borderId="0"/>
    <xf numFmtId="0" fontId="22" fillId="0" borderId="0"/>
    <xf numFmtId="0" fontId="17" fillId="0" borderId="0"/>
    <xf numFmtId="0" fontId="9" fillId="0" borderId="0"/>
    <xf numFmtId="0" fontId="22" fillId="0" borderId="0"/>
    <xf numFmtId="0" fontId="17" fillId="0" borderId="0"/>
    <xf numFmtId="0" fontId="9" fillId="0" borderId="0"/>
    <xf numFmtId="0" fontId="17" fillId="0" borderId="0"/>
    <xf numFmtId="0" fontId="9" fillId="0" borderId="0"/>
    <xf numFmtId="0" fontId="22" fillId="0" borderId="0"/>
    <xf numFmtId="0" fontId="17" fillId="0" borderId="0"/>
    <xf numFmtId="0" fontId="9" fillId="0" borderId="0"/>
    <xf numFmtId="0" fontId="17" fillId="0" borderId="0"/>
    <xf numFmtId="0" fontId="9" fillId="0" borderId="0"/>
    <xf numFmtId="0" fontId="17" fillId="0" borderId="0"/>
    <xf numFmtId="0" fontId="9" fillId="0" borderId="0"/>
    <xf numFmtId="0" fontId="17" fillId="0" borderId="0"/>
    <xf numFmtId="0" fontId="9" fillId="0" borderId="0"/>
    <xf numFmtId="0" fontId="17" fillId="0" borderId="0"/>
    <xf numFmtId="0" fontId="9" fillId="0" borderId="0"/>
    <xf numFmtId="0" fontId="17" fillId="0" borderId="0"/>
    <xf numFmtId="0" fontId="9" fillId="0" borderId="0"/>
    <xf numFmtId="0" fontId="17" fillId="0" borderId="0"/>
    <xf numFmtId="0" fontId="9" fillId="0" borderId="0"/>
    <xf numFmtId="0" fontId="31" fillId="0" borderId="0"/>
    <xf numFmtId="0" fontId="31" fillId="0" borderId="0"/>
    <xf numFmtId="0" fontId="31" fillId="0" borderId="0"/>
    <xf numFmtId="0" fontId="31" fillId="0" borderId="0"/>
    <xf numFmtId="0" fontId="31" fillId="0" borderId="0"/>
    <xf numFmtId="0" fontId="31" fillId="0" borderId="0"/>
    <xf numFmtId="0" fontId="32" fillId="0" borderId="0"/>
    <xf numFmtId="0" fontId="133" fillId="0" borderId="0"/>
    <xf numFmtId="0" fontId="133" fillId="0" borderId="0"/>
    <xf numFmtId="0" fontId="133" fillId="0" borderId="0"/>
    <xf numFmtId="0" fontId="133" fillId="0" borderId="0"/>
    <xf numFmtId="0" fontId="133" fillId="0" borderId="0"/>
    <xf numFmtId="0" fontId="133" fillId="0" borderId="0"/>
    <xf numFmtId="0" fontId="133" fillId="0" borderId="0"/>
    <xf numFmtId="0" fontId="133" fillId="0" borderId="0"/>
    <xf numFmtId="0" fontId="133" fillId="0" borderId="0"/>
    <xf numFmtId="0" fontId="22" fillId="0" borderId="0"/>
    <xf numFmtId="0" fontId="22" fillId="0" borderId="0"/>
    <xf numFmtId="0" fontId="22" fillId="0" borderId="0"/>
    <xf numFmtId="0" fontId="133" fillId="0" borderId="0"/>
    <xf numFmtId="0" fontId="133" fillId="0" borderId="0"/>
    <xf numFmtId="0" fontId="133" fillId="0" borderId="0"/>
    <xf numFmtId="0" fontId="133" fillId="0" borderId="0"/>
    <xf numFmtId="0" fontId="133" fillId="0" borderId="0"/>
    <xf numFmtId="0" fontId="133" fillId="0" borderId="0"/>
    <xf numFmtId="0" fontId="133" fillId="0" borderId="0"/>
    <xf numFmtId="0" fontId="31" fillId="0" borderId="0"/>
    <xf numFmtId="0" fontId="31" fillId="0" borderId="0"/>
    <xf numFmtId="0" fontId="31" fillId="0" borderId="0"/>
    <xf numFmtId="0" fontId="31" fillId="0" borderId="0"/>
    <xf numFmtId="0" fontId="9" fillId="0" borderId="0"/>
    <xf numFmtId="0" fontId="17" fillId="0" borderId="0"/>
    <xf numFmtId="0" fontId="9" fillId="0" borderId="0"/>
    <xf numFmtId="0" fontId="17" fillId="0" borderId="0"/>
    <xf numFmtId="0" fontId="9" fillId="0" borderId="0"/>
    <xf numFmtId="0" fontId="17" fillId="0" borderId="0"/>
    <xf numFmtId="0" fontId="9" fillId="0" borderId="0"/>
    <xf numFmtId="0" fontId="17" fillId="0" borderId="0"/>
    <xf numFmtId="0" fontId="9" fillId="0" borderId="0"/>
    <xf numFmtId="0" fontId="17" fillId="0" borderId="0"/>
    <xf numFmtId="0" fontId="9" fillId="0" borderId="0"/>
    <xf numFmtId="0" fontId="17" fillId="0" borderId="0"/>
    <xf numFmtId="0" fontId="9" fillId="0" borderId="0"/>
    <xf numFmtId="0" fontId="17" fillId="0" borderId="0"/>
    <xf numFmtId="0" fontId="9" fillId="0" borderId="0"/>
    <xf numFmtId="0" fontId="17" fillId="0" borderId="0"/>
    <xf numFmtId="0" fontId="17" fillId="0" borderId="0"/>
    <xf numFmtId="0" fontId="31" fillId="0" borderId="0"/>
    <xf numFmtId="0" fontId="31" fillId="0" borderId="0"/>
    <xf numFmtId="0" fontId="31" fillId="0" borderId="0"/>
    <xf numFmtId="0" fontId="31" fillId="0" borderId="0"/>
    <xf numFmtId="0" fontId="31" fillId="0" borderId="0"/>
    <xf numFmtId="0" fontId="74" fillId="0" borderId="0"/>
    <xf numFmtId="0" fontId="22" fillId="0" borderId="0"/>
    <xf numFmtId="0" fontId="22" fillId="0" borderId="0"/>
    <xf numFmtId="0" fontId="22" fillId="0" borderId="0"/>
    <xf numFmtId="0" fontId="31" fillId="0" borderId="0"/>
    <xf numFmtId="0" fontId="31" fillId="0" borderId="0"/>
    <xf numFmtId="0" fontId="31" fillId="0" borderId="0"/>
    <xf numFmtId="0" fontId="31" fillId="0" borderId="0"/>
    <xf numFmtId="0" fontId="22" fillId="0" borderId="0"/>
    <xf numFmtId="0" fontId="22" fillId="0" borderId="0"/>
    <xf numFmtId="0" fontId="31" fillId="0" borderId="0"/>
    <xf numFmtId="0" fontId="31" fillId="0" borderId="0"/>
    <xf numFmtId="0" fontId="31" fillId="0" borderId="0"/>
    <xf numFmtId="0" fontId="9" fillId="0" borderId="0"/>
    <xf numFmtId="0" fontId="31" fillId="0" borderId="0"/>
    <xf numFmtId="0" fontId="31" fillId="0" borderId="0"/>
    <xf numFmtId="0" fontId="31" fillId="0" borderId="0"/>
    <xf numFmtId="0" fontId="17" fillId="0" borderId="0"/>
    <xf numFmtId="0" fontId="9" fillId="0" borderId="0"/>
    <xf numFmtId="0" fontId="17" fillId="0" borderId="0"/>
    <xf numFmtId="0" fontId="9" fillId="0" borderId="0"/>
    <xf numFmtId="0" fontId="22" fillId="0" borderId="0"/>
    <xf numFmtId="0" fontId="22" fillId="0" borderId="0"/>
    <xf numFmtId="0" fontId="9" fillId="0" borderId="0"/>
    <xf numFmtId="0" fontId="17" fillId="0" borderId="0"/>
    <xf numFmtId="0" fontId="22" fillId="0" borderId="0"/>
    <xf numFmtId="0" fontId="134" fillId="0" borderId="0"/>
    <xf numFmtId="0" fontId="135" fillId="0" borderId="0"/>
    <xf numFmtId="0" fontId="134" fillId="0" borderId="0"/>
    <xf numFmtId="0" fontId="22" fillId="0" borderId="0"/>
    <xf numFmtId="0" fontId="9" fillId="0" borderId="0"/>
    <xf numFmtId="0" fontId="9" fillId="0" borderId="0"/>
    <xf numFmtId="0" fontId="9" fillId="0" borderId="0"/>
    <xf numFmtId="0" fontId="17" fillId="0" borderId="0"/>
    <xf numFmtId="0" fontId="9" fillId="0" borderId="0"/>
    <xf numFmtId="0" fontId="17" fillId="0" borderId="0"/>
    <xf numFmtId="0" fontId="9" fillId="0" borderId="0"/>
    <xf numFmtId="0" fontId="17" fillId="0" borderId="0"/>
    <xf numFmtId="0" fontId="17" fillId="0" borderId="0"/>
    <xf numFmtId="0" fontId="9" fillId="0" borderId="0"/>
    <xf numFmtId="0" fontId="22" fillId="0" borderId="0"/>
    <xf numFmtId="0" fontId="9" fillId="0" borderId="0"/>
    <xf numFmtId="0" fontId="9" fillId="0" borderId="0"/>
    <xf numFmtId="0" fontId="9" fillId="0" borderId="0"/>
    <xf numFmtId="0" fontId="9"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7" fillId="0" borderId="0"/>
    <xf numFmtId="0" fontId="22" fillId="0" borderId="0">
      <alignment vertical="center"/>
    </xf>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9" fillId="0" borderId="0"/>
    <xf numFmtId="0" fontId="17" fillId="0" borderId="0"/>
    <xf numFmtId="0" fontId="17" fillId="0" borderId="0"/>
    <xf numFmtId="0" fontId="9" fillId="0" borderId="0"/>
    <xf numFmtId="0" fontId="22" fillId="0" borderId="0"/>
    <xf numFmtId="0" fontId="17" fillId="0" borderId="0"/>
    <xf numFmtId="0" fontId="22" fillId="0" borderId="0"/>
    <xf numFmtId="0" fontId="136" fillId="0" borderId="0"/>
    <xf numFmtId="0" fontId="26" fillId="0" borderId="0"/>
    <xf numFmtId="0" fontId="22" fillId="0" borderId="0"/>
    <xf numFmtId="0" fontId="9" fillId="0" borderId="0"/>
    <xf numFmtId="0" fontId="17" fillId="0" borderId="0"/>
    <xf numFmtId="0" fontId="17" fillId="0" borderId="0"/>
    <xf numFmtId="0" fontId="9" fillId="0" borderId="0"/>
    <xf numFmtId="0" fontId="22" fillId="0" borderId="0"/>
    <xf numFmtId="0" fontId="17" fillId="39" borderId="25" applyNumberFormat="0" applyFont="0" applyAlignment="0" applyProtection="0"/>
    <xf numFmtId="0" fontId="17" fillId="39" borderId="25" applyNumberFormat="0" applyFont="0" applyAlignment="0" applyProtection="0"/>
    <xf numFmtId="0" fontId="17" fillId="39" borderId="25" applyNumberFormat="0" applyFont="0" applyAlignment="0" applyProtection="0"/>
    <xf numFmtId="0" fontId="22" fillId="36" borderId="25" applyNumberFormat="0" applyFont="0" applyAlignment="0" applyProtection="0"/>
    <xf numFmtId="0" fontId="22" fillId="36" borderId="25" applyNumberFormat="0" applyFont="0" applyAlignment="0" applyProtection="0"/>
    <xf numFmtId="0" fontId="17" fillId="39" borderId="25" applyNumberFormat="0" applyFont="0" applyAlignment="0" applyProtection="0"/>
    <xf numFmtId="0" fontId="22" fillId="36" borderId="25" applyNumberFormat="0" applyFont="0" applyAlignment="0" applyProtection="0"/>
    <xf numFmtId="0" fontId="22" fillId="36" borderId="25" applyNumberFormat="0" applyFont="0" applyAlignment="0" applyProtection="0"/>
    <xf numFmtId="0" fontId="17" fillId="39" borderId="25" applyNumberFormat="0" applyFont="0" applyAlignment="0" applyProtection="0"/>
    <xf numFmtId="0" fontId="17" fillId="39" borderId="25" applyNumberFormat="0" applyFont="0" applyAlignment="0" applyProtection="0"/>
    <xf numFmtId="0" fontId="22" fillId="36" borderId="25" applyNumberFormat="0" applyFont="0" applyAlignment="0" applyProtection="0"/>
    <xf numFmtId="0" fontId="22" fillId="36" borderId="25" applyNumberFormat="0" applyFont="0" applyAlignment="0" applyProtection="0"/>
    <xf numFmtId="0" fontId="22" fillId="36" borderId="25" applyNumberFormat="0" applyFont="0" applyAlignment="0" applyProtection="0"/>
    <xf numFmtId="0" fontId="17" fillId="39" borderId="25" applyNumberFormat="0" applyFont="0" applyAlignment="0" applyProtection="0"/>
    <xf numFmtId="0" fontId="26" fillId="87" borderId="25" applyNumberFormat="0" applyAlignment="0" applyProtection="0"/>
    <xf numFmtId="0" fontId="26" fillId="87" borderId="25" applyNumberFormat="0" applyAlignment="0" applyProtection="0"/>
    <xf numFmtId="0" fontId="26" fillId="87" borderId="25" applyNumberFormat="0" applyAlignment="0" applyProtection="0"/>
    <xf numFmtId="0" fontId="26" fillId="87" borderId="25" applyNumberFormat="0" applyAlignment="0" applyProtection="0"/>
    <xf numFmtId="0" fontId="26" fillId="87" borderId="25" applyNumberFormat="0" applyAlignment="0" applyProtection="0"/>
    <xf numFmtId="0" fontId="26" fillId="87" borderId="25" applyNumberFormat="0" applyAlignment="0" applyProtection="0"/>
    <xf numFmtId="0" fontId="26" fillId="87" borderId="25" applyNumberFormat="0" applyAlignment="0" applyProtection="0"/>
    <xf numFmtId="0" fontId="26" fillId="87" borderId="25" applyNumberFormat="0" applyAlignment="0" applyProtection="0"/>
    <xf numFmtId="0" fontId="26" fillId="87" borderId="25" applyNumberFormat="0" applyAlignment="0" applyProtection="0"/>
    <xf numFmtId="0" fontId="26" fillId="87" borderId="25" applyNumberFormat="0" applyAlignment="0" applyProtection="0"/>
    <xf numFmtId="0" fontId="17" fillId="39" borderId="25" applyNumberFormat="0" applyFont="0" applyAlignment="0" applyProtection="0"/>
    <xf numFmtId="0" fontId="22" fillId="36" borderId="25" applyNumberFormat="0" applyFont="0" applyAlignment="0" applyProtection="0"/>
    <xf numFmtId="0" fontId="22" fillId="36" borderId="25" applyNumberFormat="0" applyFont="0" applyAlignment="0" applyProtection="0"/>
    <xf numFmtId="0" fontId="17" fillId="39" borderId="25" applyNumberFormat="0" applyFont="0" applyAlignment="0" applyProtection="0"/>
    <xf numFmtId="0" fontId="26" fillId="87" borderId="25" applyNumberFormat="0" applyAlignment="0" applyProtection="0"/>
    <xf numFmtId="0" fontId="26" fillId="87" borderId="25" applyNumberFormat="0" applyAlignment="0" applyProtection="0"/>
    <xf numFmtId="0" fontId="26" fillId="87" borderId="25" applyNumberFormat="0" applyAlignment="0" applyProtection="0"/>
    <xf numFmtId="0" fontId="26" fillId="87" borderId="25" applyNumberFormat="0" applyAlignment="0" applyProtection="0"/>
    <xf numFmtId="0" fontId="26" fillId="87" borderId="25" applyNumberFormat="0" applyAlignment="0" applyProtection="0"/>
    <xf numFmtId="0" fontId="26" fillId="87" borderId="25" applyNumberFormat="0" applyAlignment="0" applyProtection="0"/>
    <xf numFmtId="0" fontId="26" fillId="87" borderId="25" applyNumberFormat="0" applyAlignment="0" applyProtection="0"/>
    <xf numFmtId="0" fontId="26" fillId="87" borderId="25" applyNumberFormat="0" applyAlignment="0" applyProtection="0"/>
    <xf numFmtId="0" fontId="26" fillId="87" borderId="25" applyNumberFormat="0" applyAlignment="0" applyProtection="0"/>
    <xf numFmtId="0" fontId="26" fillId="87" borderId="25" applyNumberFormat="0" applyAlignment="0" applyProtection="0"/>
    <xf numFmtId="0" fontId="26" fillId="87" borderId="25" applyNumberFormat="0" applyAlignment="0" applyProtection="0"/>
    <xf numFmtId="0" fontId="22" fillId="36" borderId="25" applyNumberFormat="0" applyFont="0" applyAlignment="0" applyProtection="0"/>
    <xf numFmtId="0" fontId="17" fillId="39" borderId="25" applyNumberFormat="0" applyFont="0" applyAlignment="0" applyProtection="0"/>
    <xf numFmtId="0" fontId="26" fillId="87" borderId="25" applyNumberFormat="0" applyAlignment="0" applyProtection="0"/>
    <xf numFmtId="0" fontId="26" fillId="87" borderId="25" applyNumberFormat="0" applyAlignment="0" applyProtection="0"/>
    <xf numFmtId="0" fontId="26" fillId="87" borderId="25" applyNumberFormat="0" applyAlignment="0" applyProtection="0"/>
    <xf numFmtId="0" fontId="26" fillId="87" borderId="25" applyNumberFormat="0" applyAlignment="0" applyProtection="0"/>
    <xf numFmtId="0" fontId="26" fillId="87" borderId="25" applyNumberFormat="0" applyAlignment="0" applyProtection="0"/>
    <xf numFmtId="0" fontId="26" fillId="87" borderId="25" applyNumberFormat="0" applyAlignment="0" applyProtection="0"/>
    <xf numFmtId="0" fontId="26" fillId="87" borderId="25" applyNumberFormat="0" applyAlignment="0" applyProtection="0"/>
    <xf numFmtId="0" fontId="26" fillId="87" borderId="25" applyNumberFormat="0" applyAlignment="0" applyProtection="0"/>
    <xf numFmtId="0" fontId="26" fillId="87" borderId="25" applyNumberFormat="0" applyAlignment="0" applyProtection="0"/>
    <xf numFmtId="0" fontId="26" fillId="87" borderId="25" applyNumberFormat="0" applyAlignment="0" applyProtection="0"/>
    <xf numFmtId="0" fontId="26" fillId="87" borderId="25" applyNumberFormat="0" applyAlignment="0" applyProtection="0"/>
    <xf numFmtId="0" fontId="22" fillId="36" borderId="25" applyNumberFormat="0" applyFont="0" applyAlignment="0" applyProtection="0"/>
    <xf numFmtId="0" fontId="26" fillId="87" borderId="25" applyNumberFormat="0" applyAlignment="0" applyProtection="0"/>
    <xf numFmtId="0" fontId="26" fillId="87" borderId="25" applyNumberFormat="0" applyAlignment="0" applyProtection="0"/>
    <xf numFmtId="0" fontId="26" fillId="87" borderId="25" applyNumberFormat="0" applyAlignment="0" applyProtection="0"/>
    <xf numFmtId="0" fontId="26" fillId="87" borderId="25" applyNumberFormat="0" applyAlignment="0" applyProtection="0"/>
    <xf numFmtId="0" fontId="26" fillId="87" borderId="25" applyNumberFormat="0" applyAlignment="0" applyProtection="0"/>
    <xf numFmtId="0" fontId="26" fillId="87" borderId="25" applyNumberFormat="0" applyAlignment="0" applyProtection="0"/>
    <xf numFmtId="0" fontId="26" fillId="87" borderId="25" applyNumberFormat="0" applyAlignment="0" applyProtection="0"/>
    <xf numFmtId="0" fontId="26" fillId="87" borderId="25" applyNumberFormat="0" applyAlignment="0" applyProtection="0"/>
    <xf numFmtId="0" fontId="26" fillId="87" borderId="25" applyNumberFormat="0" applyAlignment="0" applyProtection="0"/>
    <xf numFmtId="0" fontId="26" fillId="87" borderId="25" applyNumberFormat="0" applyAlignment="0" applyProtection="0"/>
    <xf numFmtId="0" fontId="26" fillId="87" borderId="25" applyNumberFormat="0" applyAlignment="0" applyProtection="0"/>
    <xf numFmtId="0" fontId="17" fillId="39" borderId="25" applyNumberFormat="0" applyFont="0" applyAlignment="0" applyProtection="0"/>
    <xf numFmtId="0" fontId="22" fillId="10" borderId="17" applyNumberFormat="0" applyFont="0" applyAlignment="0" applyProtection="0"/>
    <xf numFmtId="0" fontId="26" fillId="87" borderId="25" applyNumberFormat="0" applyAlignment="0" applyProtection="0"/>
    <xf numFmtId="0" fontId="26" fillId="87" borderId="25" applyNumberFormat="0" applyAlignment="0" applyProtection="0"/>
    <xf numFmtId="0" fontId="26" fillId="87" borderId="25" applyNumberFormat="0" applyAlignment="0" applyProtection="0"/>
    <xf numFmtId="0" fontId="26" fillId="87" borderId="25" applyNumberFormat="0" applyAlignment="0" applyProtection="0"/>
    <xf numFmtId="0" fontId="22" fillId="39" borderId="25" applyNumberFormat="0" applyFont="0" applyAlignment="0" applyProtection="0"/>
    <xf numFmtId="0" fontId="17" fillId="39" borderId="25" applyNumberFormat="0" applyFont="0" applyAlignment="0" applyProtection="0"/>
    <xf numFmtId="0" fontId="17" fillId="39" borderId="25" applyNumberFormat="0" applyFont="0" applyAlignment="0" applyProtection="0"/>
    <xf numFmtId="0" fontId="22" fillId="36" borderId="25" applyNumberFormat="0" applyFont="0" applyAlignment="0" applyProtection="0"/>
    <xf numFmtId="0" fontId="22" fillId="36" borderId="25" applyNumberFormat="0" applyFont="0" applyAlignment="0" applyProtection="0"/>
    <xf numFmtId="0" fontId="17" fillId="39" borderId="25" applyNumberFormat="0" applyFont="0" applyAlignment="0" applyProtection="0"/>
    <xf numFmtId="0" fontId="22" fillId="36" borderId="25" applyNumberFormat="0" applyFont="0" applyAlignment="0" applyProtection="0"/>
    <xf numFmtId="0" fontId="22" fillId="36" borderId="25" applyNumberFormat="0" applyFont="0" applyAlignment="0" applyProtection="0"/>
    <xf numFmtId="0" fontId="17" fillId="39" borderId="25" applyNumberFormat="0" applyFont="0" applyAlignment="0" applyProtection="0"/>
    <xf numFmtId="0" fontId="22" fillId="39" borderId="25" applyNumberFormat="0" applyFont="0" applyAlignment="0" applyProtection="0"/>
    <xf numFmtId="0" fontId="17" fillId="39" borderId="25" applyNumberFormat="0" applyFont="0" applyAlignment="0" applyProtection="0"/>
    <xf numFmtId="0" fontId="17" fillId="39" borderId="25" applyNumberFormat="0" applyFont="0" applyAlignment="0" applyProtection="0"/>
    <xf numFmtId="0" fontId="22" fillId="36" borderId="25" applyNumberFormat="0" applyFont="0" applyAlignment="0" applyProtection="0"/>
    <xf numFmtId="0" fontId="22" fillId="36" borderId="25" applyNumberFormat="0" applyFont="0" applyAlignment="0" applyProtection="0"/>
    <xf numFmtId="0" fontId="17" fillId="39" borderId="25" applyNumberFormat="0" applyFont="0" applyAlignment="0" applyProtection="0"/>
    <xf numFmtId="0" fontId="22" fillId="36" borderId="25" applyNumberFormat="0" applyFont="0" applyAlignment="0" applyProtection="0"/>
    <xf numFmtId="0" fontId="22" fillId="36" borderId="25" applyNumberFormat="0" applyFont="0" applyAlignment="0" applyProtection="0"/>
    <xf numFmtId="0" fontId="17" fillId="39" borderId="25" applyNumberFormat="0" applyFont="0" applyAlignment="0" applyProtection="0"/>
    <xf numFmtId="0" fontId="22" fillId="39" borderId="25" applyNumberFormat="0" applyFont="0" applyAlignment="0" applyProtection="0"/>
    <xf numFmtId="0" fontId="17" fillId="39" borderId="25" applyNumberFormat="0" applyFont="0" applyAlignment="0" applyProtection="0"/>
    <xf numFmtId="0" fontId="17" fillId="39" borderId="25" applyNumberFormat="0" applyFont="0" applyAlignment="0" applyProtection="0"/>
    <xf numFmtId="0" fontId="22" fillId="36" borderId="25" applyNumberFormat="0" applyFont="0" applyAlignment="0" applyProtection="0"/>
    <xf numFmtId="0" fontId="22" fillId="36" borderId="25" applyNumberFormat="0" applyFont="0" applyAlignment="0" applyProtection="0"/>
    <xf numFmtId="0" fontId="17" fillId="39" borderId="25" applyNumberFormat="0" applyFont="0" applyAlignment="0" applyProtection="0"/>
    <xf numFmtId="0" fontId="22" fillId="36" borderId="25" applyNumberFormat="0" applyFont="0" applyAlignment="0" applyProtection="0"/>
    <xf numFmtId="0" fontId="22" fillId="36" borderId="25" applyNumberFormat="0" applyFont="0" applyAlignment="0" applyProtection="0"/>
    <xf numFmtId="0" fontId="17" fillId="39" borderId="25" applyNumberFormat="0" applyFont="0" applyAlignment="0" applyProtection="0"/>
    <xf numFmtId="0" fontId="17" fillId="39" borderId="25" applyNumberFormat="0" applyFont="0" applyAlignment="0" applyProtection="0"/>
    <xf numFmtId="0" fontId="17" fillId="39" borderId="25" applyNumberFormat="0" applyFont="0" applyAlignment="0" applyProtection="0"/>
    <xf numFmtId="0" fontId="17" fillId="39" borderId="25" applyNumberFormat="0" applyFont="0" applyAlignment="0" applyProtection="0"/>
    <xf numFmtId="0" fontId="22" fillId="36" borderId="25" applyNumberFormat="0" applyFont="0" applyAlignment="0" applyProtection="0"/>
    <xf numFmtId="0" fontId="22" fillId="36" borderId="25" applyNumberFormat="0" applyFont="0" applyAlignment="0" applyProtection="0"/>
    <xf numFmtId="0" fontId="17" fillId="39" borderId="25" applyNumberFormat="0" applyFont="0" applyAlignment="0" applyProtection="0"/>
    <xf numFmtId="0" fontId="22" fillId="36" borderId="25" applyNumberFormat="0" applyFont="0" applyAlignment="0" applyProtection="0"/>
    <xf numFmtId="0" fontId="22" fillId="36" borderId="25" applyNumberFormat="0" applyFont="0" applyAlignment="0" applyProtection="0"/>
    <xf numFmtId="0" fontId="17" fillId="39" borderId="25" applyNumberFormat="0" applyFont="0" applyAlignment="0" applyProtection="0"/>
    <xf numFmtId="0" fontId="17" fillId="39" borderId="25" applyNumberFormat="0" applyFont="0" applyAlignment="0" applyProtection="0"/>
    <xf numFmtId="0" fontId="17" fillId="39" borderId="25" applyNumberFormat="0" applyFont="0" applyAlignment="0" applyProtection="0"/>
    <xf numFmtId="0" fontId="22" fillId="36" borderId="25" applyNumberFormat="0" applyFont="0" applyAlignment="0" applyProtection="0"/>
    <xf numFmtId="0" fontId="22" fillId="36" borderId="25" applyNumberFormat="0" applyFont="0" applyAlignment="0" applyProtection="0"/>
    <xf numFmtId="0" fontId="17" fillId="39" borderId="25" applyNumberFormat="0" applyFont="0" applyAlignment="0" applyProtection="0"/>
    <xf numFmtId="0" fontId="22" fillId="36" borderId="25" applyNumberFormat="0" applyFont="0" applyAlignment="0" applyProtection="0"/>
    <xf numFmtId="0" fontId="22" fillId="36" borderId="25" applyNumberFormat="0" applyFont="0" applyAlignment="0" applyProtection="0"/>
    <xf numFmtId="0" fontId="17" fillId="39" borderId="25" applyNumberFormat="0" applyFont="0" applyAlignment="0" applyProtection="0"/>
    <xf numFmtId="0" fontId="17" fillId="39" borderId="25" applyNumberFormat="0" applyFont="0" applyAlignment="0" applyProtection="0"/>
    <xf numFmtId="0" fontId="17" fillId="39" borderId="25" applyNumberFormat="0" applyFont="0" applyAlignment="0" applyProtection="0"/>
    <xf numFmtId="0" fontId="22" fillId="36" borderId="25" applyNumberFormat="0" applyFont="0" applyAlignment="0" applyProtection="0"/>
    <xf numFmtId="0" fontId="22" fillId="36" borderId="25" applyNumberFormat="0" applyFont="0" applyAlignment="0" applyProtection="0"/>
    <xf numFmtId="0" fontId="17" fillId="39" borderId="25" applyNumberFormat="0" applyFont="0" applyAlignment="0" applyProtection="0"/>
    <xf numFmtId="0" fontId="22" fillId="36" borderId="25" applyNumberFormat="0" applyFont="0" applyAlignment="0" applyProtection="0"/>
    <xf numFmtId="0" fontId="22" fillId="36" borderId="25" applyNumberFormat="0" applyFont="0" applyAlignment="0" applyProtection="0"/>
    <xf numFmtId="0" fontId="17" fillId="39" borderId="25" applyNumberFormat="0" applyFont="0" applyAlignment="0" applyProtection="0"/>
    <xf numFmtId="0" fontId="17" fillId="39" borderId="25" applyNumberFormat="0" applyFont="0" applyAlignment="0" applyProtection="0"/>
    <xf numFmtId="0" fontId="17" fillId="39" borderId="25" applyNumberFormat="0" applyFont="0" applyAlignment="0" applyProtection="0"/>
    <xf numFmtId="0" fontId="22" fillId="36" borderId="25" applyNumberFormat="0" applyFont="0" applyAlignment="0" applyProtection="0"/>
    <xf numFmtId="0" fontId="22" fillId="36" borderId="25" applyNumberFormat="0" applyFont="0" applyAlignment="0" applyProtection="0"/>
    <xf numFmtId="0" fontId="17" fillId="39" borderId="25" applyNumberFormat="0" applyFont="0" applyAlignment="0" applyProtection="0"/>
    <xf numFmtId="0" fontId="22" fillId="36" borderId="25" applyNumberFormat="0" applyFont="0" applyAlignment="0" applyProtection="0"/>
    <xf numFmtId="0" fontId="22" fillId="36" borderId="25" applyNumberFormat="0" applyFont="0" applyAlignment="0" applyProtection="0"/>
    <xf numFmtId="217" fontId="73" fillId="0" borderId="0" applyFont="0">
      <protection locked="0"/>
    </xf>
    <xf numFmtId="217" fontId="22" fillId="0" borderId="0" applyFont="0">
      <protection locked="0"/>
    </xf>
    <xf numFmtId="0" fontId="65" fillId="34" borderId="26" applyNumberFormat="0" applyAlignment="0" applyProtection="0"/>
    <xf numFmtId="0" fontId="65" fillId="34" borderId="26" applyNumberFormat="0" applyAlignment="0" applyProtection="0"/>
    <xf numFmtId="0" fontId="65" fillId="16" borderId="26" applyNumberFormat="0" applyAlignment="0" applyProtection="0"/>
    <xf numFmtId="0" fontId="65" fillId="16" borderId="26" applyNumberFormat="0" applyAlignment="0" applyProtection="0"/>
    <xf numFmtId="0" fontId="65" fillId="34" borderId="26" applyNumberFormat="0" applyAlignment="0" applyProtection="0"/>
    <xf numFmtId="0" fontId="65" fillId="16" borderId="26" applyNumberFormat="0" applyAlignment="0" applyProtection="0"/>
    <xf numFmtId="0" fontId="65" fillId="16" borderId="26" applyNumberFormat="0" applyAlignment="0" applyProtection="0"/>
    <xf numFmtId="0" fontId="65" fillId="81" borderId="26" applyNumberFormat="0" applyAlignment="0" applyProtection="0"/>
    <xf numFmtId="0" fontId="65" fillId="81" borderId="26" applyNumberFormat="0" applyAlignment="0" applyProtection="0"/>
    <xf numFmtId="0" fontId="65" fillId="81" borderId="26" applyNumberFormat="0" applyAlignment="0" applyProtection="0"/>
    <xf numFmtId="0" fontId="65" fillId="81" borderId="26" applyNumberFormat="0" applyAlignment="0" applyProtection="0"/>
    <xf numFmtId="0" fontId="65" fillId="81" borderId="26" applyNumberFormat="0" applyAlignment="0" applyProtection="0"/>
    <xf numFmtId="0" fontId="65" fillId="81" borderId="26" applyNumberFormat="0" applyAlignment="0" applyProtection="0"/>
    <xf numFmtId="0" fontId="65" fillId="81" borderId="26" applyNumberFormat="0" applyAlignment="0" applyProtection="0"/>
    <xf numFmtId="0" fontId="65" fillId="81" borderId="26" applyNumberFormat="0" applyAlignment="0" applyProtection="0"/>
    <xf numFmtId="0" fontId="65" fillId="81" borderId="26" applyNumberFormat="0" applyAlignment="0" applyProtection="0"/>
    <xf numFmtId="0" fontId="65" fillId="81" borderId="26" applyNumberFormat="0" applyAlignment="0" applyProtection="0"/>
    <xf numFmtId="0" fontId="65" fillId="81" borderId="26" applyNumberFormat="0" applyAlignment="0" applyProtection="0"/>
    <xf numFmtId="0" fontId="65" fillId="16" borderId="26" applyNumberFormat="0" applyAlignment="0" applyProtection="0"/>
    <xf numFmtId="0" fontId="65" fillId="34" borderId="26" applyNumberFormat="0" applyAlignment="0" applyProtection="0"/>
    <xf numFmtId="0" fontId="65" fillId="81" borderId="26" applyNumberFormat="0" applyAlignment="0" applyProtection="0"/>
    <xf numFmtId="0" fontId="65" fillId="81" borderId="26" applyNumberFormat="0" applyAlignment="0" applyProtection="0"/>
    <xf numFmtId="0" fontId="65" fillId="81" borderId="26" applyNumberFormat="0" applyAlignment="0" applyProtection="0"/>
    <xf numFmtId="0" fontId="65" fillId="81" borderId="26" applyNumberFormat="0" applyAlignment="0" applyProtection="0"/>
    <xf numFmtId="0" fontId="65" fillId="81" borderId="26" applyNumberFormat="0" applyAlignment="0" applyProtection="0"/>
    <xf numFmtId="0" fontId="65" fillId="81" borderId="26" applyNumberFormat="0" applyAlignment="0" applyProtection="0"/>
    <xf numFmtId="0" fontId="65" fillId="81" borderId="26" applyNumberFormat="0" applyAlignment="0" applyProtection="0"/>
    <xf numFmtId="0" fontId="65" fillId="81" borderId="26" applyNumberFormat="0" applyAlignment="0" applyProtection="0"/>
    <xf numFmtId="0" fontId="65" fillId="81" borderId="26" applyNumberFormat="0" applyAlignment="0" applyProtection="0"/>
    <xf numFmtId="0" fontId="65" fillId="81" borderId="26" applyNumberFormat="0" applyAlignment="0" applyProtection="0"/>
    <xf numFmtId="0" fontId="65" fillId="81" borderId="26" applyNumberFormat="0" applyAlignment="0" applyProtection="0"/>
    <xf numFmtId="0" fontId="65" fillId="16" borderId="26" applyNumberFormat="0" applyAlignment="0" applyProtection="0"/>
    <xf numFmtId="0" fontId="65" fillId="81" borderId="26" applyNumberFormat="0" applyAlignment="0" applyProtection="0"/>
    <xf numFmtId="0" fontId="65" fillId="81" borderId="26" applyNumberFormat="0" applyAlignment="0" applyProtection="0"/>
    <xf numFmtId="0" fontId="65" fillId="81" borderId="26" applyNumberFormat="0" applyAlignment="0" applyProtection="0"/>
    <xf numFmtId="0" fontId="65" fillId="81" borderId="26" applyNumberFormat="0" applyAlignment="0" applyProtection="0"/>
    <xf numFmtId="0" fontId="65" fillId="81" borderId="26" applyNumberFormat="0" applyAlignment="0" applyProtection="0"/>
    <xf numFmtId="0" fontId="65" fillId="81" borderId="26" applyNumberFormat="0" applyAlignment="0" applyProtection="0"/>
    <xf numFmtId="0" fontId="65" fillId="81" borderId="26" applyNumberFormat="0" applyAlignment="0" applyProtection="0"/>
    <xf numFmtId="0" fontId="65" fillId="81" borderId="26" applyNumberFormat="0" applyAlignment="0" applyProtection="0"/>
    <xf numFmtId="0" fontId="65" fillId="81" borderId="26" applyNumberFormat="0" applyAlignment="0" applyProtection="0"/>
    <xf numFmtId="0" fontId="65" fillId="81" borderId="26" applyNumberFormat="0" applyAlignment="0" applyProtection="0"/>
    <xf numFmtId="0" fontId="65" fillId="81" borderId="26" applyNumberFormat="0" applyAlignment="0" applyProtection="0"/>
    <xf numFmtId="0" fontId="65" fillId="81" borderId="26" applyNumberFormat="0" applyAlignment="0" applyProtection="0"/>
    <xf numFmtId="0" fontId="65" fillId="81" borderId="26" applyNumberFormat="0" applyAlignment="0" applyProtection="0"/>
    <xf numFmtId="0" fontId="65" fillId="81" borderId="26" applyNumberFormat="0" applyAlignment="0" applyProtection="0"/>
    <xf numFmtId="0" fontId="65" fillId="81" borderId="26" applyNumberFormat="0" applyAlignment="0" applyProtection="0"/>
    <xf numFmtId="0" fontId="65" fillId="81" borderId="26" applyNumberFormat="0" applyAlignment="0" applyProtection="0"/>
    <xf numFmtId="0" fontId="65" fillId="81" borderId="26" applyNumberFormat="0" applyAlignment="0" applyProtection="0"/>
    <xf numFmtId="0" fontId="65" fillId="81" borderId="26" applyNumberFormat="0" applyAlignment="0" applyProtection="0"/>
    <xf numFmtId="0" fontId="65" fillId="81" borderId="26" applyNumberFormat="0" applyAlignment="0" applyProtection="0"/>
    <xf numFmtId="0" fontId="65" fillId="81" borderId="26" applyNumberFormat="0" applyAlignment="0" applyProtection="0"/>
    <xf numFmtId="0" fontId="65" fillId="81" borderId="26" applyNumberFormat="0" applyAlignment="0" applyProtection="0"/>
    <xf numFmtId="0" fontId="65" fillId="81" borderId="26" applyNumberFormat="0" applyAlignment="0" applyProtection="0"/>
    <xf numFmtId="0" fontId="65" fillId="81" borderId="26" applyNumberFormat="0" applyAlignment="0" applyProtection="0"/>
    <xf numFmtId="0" fontId="65" fillId="81" borderId="26" applyNumberFormat="0" applyAlignment="0" applyProtection="0"/>
    <xf numFmtId="0" fontId="65" fillId="81" borderId="26" applyNumberFormat="0" applyAlignment="0" applyProtection="0"/>
    <xf numFmtId="0" fontId="65" fillId="81" borderId="26" applyNumberFormat="0" applyAlignment="0" applyProtection="0"/>
    <xf numFmtId="0" fontId="65" fillId="34" borderId="26" applyNumberFormat="0" applyAlignment="0" applyProtection="0"/>
    <xf numFmtId="0" fontId="65" fillId="34" borderId="26" applyNumberFormat="0" applyAlignment="0" applyProtection="0"/>
    <xf numFmtId="0" fontId="65" fillId="16" borderId="26" applyNumberFormat="0" applyAlignment="0" applyProtection="0"/>
    <xf numFmtId="0" fontId="65" fillId="16" borderId="26" applyNumberFormat="0" applyAlignment="0" applyProtection="0"/>
    <xf numFmtId="0" fontId="65" fillId="34" borderId="26" applyNumberFormat="0" applyAlignment="0" applyProtection="0"/>
    <xf numFmtId="0" fontId="65" fillId="34" borderId="26" applyNumberFormat="0" applyAlignment="0" applyProtection="0"/>
    <xf numFmtId="0" fontId="65" fillId="16" borderId="26" applyNumberFormat="0" applyAlignment="0" applyProtection="0"/>
    <xf numFmtId="0" fontId="65" fillId="16" borderId="26" applyNumberFormat="0" applyAlignment="0" applyProtection="0"/>
    <xf numFmtId="0" fontId="65" fillId="34" borderId="26" applyNumberFormat="0" applyAlignment="0" applyProtection="0"/>
    <xf numFmtId="0" fontId="65" fillId="34" borderId="26" applyNumberFormat="0" applyAlignment="0" applyProtection="0"/>
    <xf numFmtId="0" fontId="65" fillId="16" borderId="26" applyNumberFormat="0" applyAlignment="0" applyProtection="0"/>
    <xf numFmtId="0" fontId="65" fillId="16" borderId="26" applyNumberFormat="0" applyAlignment="0" applyProtection="0"/>
    <xf numFmtId="0" fontId="65" fillId="34" borderId="26" applyNumberFormat="0" applyAlignment="0" applyProtection="0"/>
    <xf numFmtId="0" fontId="65" fillId="34" borderId="26" applyNumberFormat="0" applyAlignment="0" applyProtection="0"/>
    <xf numFmtId="0" fontId="65" fillId="16" borderId="26" applyNumberFormat="0" applyAlignment="0" applyProtection="0"/>
    <xf numFmtId="0" fontId="65" fillId="16" borderId="26" applyNumberFormat="0" applyAlignment="0" applyProtection="0"/>
    <xf numFmtId="0" fontId="65" fillId="34" borderId="26" applyNumberFormat="0" applyAlignment="0" applyProtection="0"/>
    <xf numFmtId="0" fontId="65" fillId="34" borderId="26" applyNumberFormat="0" applyAlignment="0" applyProtection="0"/>
    <xf numFmtId="0" fontId="65" fillId="16" borderId="26" applyNumberFormat="0" applyAlignment="0" applyProtection="0"/>
    <xf numFmtId="0" fontId="65" fillId="16" borderId="26" applyNumberFormat="0" applyAlignment="0" applyProtection="0"/>
    <xf numFmtId="0" fontId="65" fillId="34" borderId="26" applyNumberFormat="0" applyAlignment="0" applyProtection="0"/>
    <xf numFmtId="0" fontId="65" fillId="34" borderId="26" applyNumberFormat="0" applyAlignment="0" applyProtection="0"/>
    <xf numFmtId="0" fontId="65" fillId="16" borderId="26" applyNumberFormat="0" applyAlignment="0" applyProtection="0"/>
    <xf numFmtId="0" fontId="65" fillId="16" borderId="26" applyNumberFormat="0" applyAlignment="0" applyProtection="0"/>
    <xf numFmtId="0" fontId="65" fillId="34" borderId="26" applyNumberFormat="0" applyAlignment="0" applyProtection="0"/>
    <xf numFmtId="0" fontId="65" fillId="34" borderId="26" applyNumberFormat="0" applyAlignment="0" applyProtection="0"/>
    <xf numFmtId="0" fontId="65" fillId="16" borderId="26" applyNumberFormat="0" applyAlignment="0" applyProtection="0"/>
    <xf numFmtId="0" fontId="65" fillId="16" borderId="26" applyNumberFormat="0" applyAlignment="0" applyProtection="0"/>
    <xf numFmtId="10" fontId="22" fillId="0" borderId="0" applyFont="0" applyFill="0" applyBorder="0" applyAlignment="0" applyProtection="0"/>
    <xf numFmtId="10" fontId="22" fillId="0" borderId="0" applyFont="0" applyFill="0" applyBorder="0" applyAlignment="0" applyProtection="0"/>
    <xf numFmtId="9" fontId="2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17"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17"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17" fillId="0" borderId="0" applyFont="0" applyFill="0" applyBorder="0" applyAlignment="0" applyProtection="0"/>
    <xf numFmtId="9" fontId="22" fillId="0" borderId="0" applyFont="0" applyFill="0" applyBorder="0" applyAlignment="0" applyProtection="0"/>
    <xf numFmtId="9" fontId="17"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40" fontId="117" fillId="0" borderId="0" applyFont="0">
      <protection locked="0"/>
    </xf>
    <xf numFmtId="40" fontId="22" fillId="0" borderId="0" applyFont="0">
      <protection locked="0"/>
    </xf>
    <xf numFmtId="40" fontId="118" fillId="0" borderId="0" applyFont="0">
      <protection locked="0"/>
    </xf>
    <xf numFmtId="40" fontId="22" fillId="0" borderId="0" applyFont="0">
      <protection locked="0"/>
    </xf>
    <xf numFmtId="215" fontId="137" fillId="0" borderId="0" applyFont="0">
      <alignment horizontal="left"/>
    </xf>
    <xf numFmtId="215" fontId="22" fillId="0" borderId="0" applyFont="0">
      <alignment horizontal="left"/>
    </xf>
    <xf numFmtId="0" fontId="138" fillId="0" borderId="0"/>
    <xf numFmtId="0" fontId="138" fillId="0" borderId="0"/>
    <xf numFmtId="0" fontId="138" fillId="0" borderId="0"/>
    <xf numFmtId="0" fontId="138" fillId="0" borderId="0"/>
    <xf numFmtId="0" fontId="138" fillId="0" borderId="0"/>
    <xf numFmtId="0" fontId="22" fillId="0" borderId="0"/>
    <xf numFmtId="0" fontId="22" fillId="0" borderId="0"/>
    <xf numFmtId="0" fontId="22" fillId="0" borderId="0"/>
    <xf numFmtId="0" fontId="22" fillId="0" borderId="0"/>
    <xf numFmtId="0" fontId="22" fillId="0" borderId="0"/>
    <xf numFmtId="0" fontId="138" fillId="0" borderId="0"/>
    <xf numFmtId="0" fontId="138" fillId="0" borderId="0"/>
    <xf numFmtId="0" fontId="138" fillId="0" borderId="0"/>
    <xf numFmtId="0" fontId="138" fillId="0" borderId="0"/>
    <xf numFmtId="0" fontId="46" fillId="0" borderId="0"/>
    <xf numFmtId="0" fontId="26" fillId="0" borderId="0"/>
    <xf numFmtId="0" fontId="26" fillId="0" borderId="0"/>
    <xf numFmtId="0" fontId="138" fillId="0" borderId="0"/>
    <xf numFmtId="0" fontId="22" fillId="0" borderId="0"/>
    <xf numFmtId="0" fontId="22" fillId="0" borderId="0"/>
    <xf numFmtId="0" fontId="22" fillId="0" borderId="0"/>
    <xf numFmtId="0" fontId="22" fillId="0" borderId="0"/>
    <xf numFmtId="0" fontId="22" fillId="0" borderId="0"/>
    <xf numFmtId="0" fontId="46" fillId="0" borderId="0"/>
    <xf numFmtId="0" fontId="26" fillId="0" borderId="0"/>
    <xf numFmtId="0" fontId="46" fillId="0" borderId="0"/>
    <xf numFmtId="0" fontId="46" fillId="0" borderId="0"/>
    <xf numFmtId="0" fontId="138" fillId="0" borderId="0"/>
    <xf numFmtId="0" fontId="138" fillId="0" borderId="0"/>
    <xf numFmtId="0" fontId="138" fillId="0" borderId="0"/>
    <xf numFmtId="0" fontId="138" fillId="0" borderId="0"/>
    <xf numFmtId="0" fontId="26" fillId="0" borderId="0"/>
    <xf numFmtId="0" fontId="139" fillId="0" borderId="0" applyNumberFormat="0" applyProtection="0">
      <alignment wrapText="1"/>
      <protection locked="0"/>
    </xf>
    <xf numFmtId="215" fontId="117" fillId="0" borderId="0" applyFont="0">
      <protection locked="0"/>
    </xf>
    <xf numFmtId="215" fontId="22" fillId="0" borderId="0" applyFont="0">
      <protection locked="0"/>
    </xf>
    <xf numFmtId="215" fontId="117" fillId="0" borderId="0" applyFill="0" applyProtection="0">
      <protection locked="0"/>
    </xf>
    <xf numFmtId="212" fontId="87" fillId="88" borderId="0" applyNumberFormat="0" applyAlignment="0">
      <alignment horizontal="left" vertical="top"/>
    </xf>
    <xf numFmtId="0" fontId="140" fillId="0" borderId="0"/>
    <xf numFmtId="0" fontId="22" fillId="0" borderId="0"/>
    <xf numFmtId="0" fontId="141" fillId="0" borderId="0" applyNumberFormat="0" applyFill="0" applyBorder="0" applyAlignment="0" applyProtection="0"/>
    <xf numFmtId="0" fontId="141"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41"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41"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41" fillId="0" borderId="0" applyNumberFormat="0" applyFill="0" applyBorder="0" applyAlignment="0" applyProtection="0"/>
    <xf numFmtId="0" fontId="141"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41" fillId="0" borderId="0" applyNumberFormat="0" applyFill="0" applyBorder="0" applyAlignment="0" applyProtection="0"/>
    <xf numFmtId="0" fontId="141"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41" fillId="0" borderId="0" applyNumberFormat="0" applyFill="0" applyBorder="0" applyAlignment="0" applyProtection="0"/>
    <xf numFmtId="0" fontId="141"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41" fillId="0" borderId="0" applyNumberFormat="0" applyFill="0" applyBorder="0" applyAlignment="0" applyProtection="0"/>
    <xf numFmtId="0" fontId="141"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41" fillId="0" borderId="0" applyNumberFormat="0" applyFill="0" applyBorder="0" applyAlignment="0" applyProtection="0"/>
    <xf numFmtId="0" fontId="141"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41" fillId="0" borderId="0" applyNumberFormat="0" applyFill="0" applyBorder="0" applyAlignment="0" applyProtection="0"/>
    <xf numFmtId="0" fontId="141"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141" fillId="0" borderId="0" applyNumberFormat="0" applyFill="0" applyBorder="0" applyAlignment="0" applyProtection="0"/>
    <xf numFmtId="0" fontId="141"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212" fontId="142" fillId="0" borderId="3" applyNumberFormat="0" applyFill="0" applyProtection="0">
      <alignment horizontal="center"/>
    </xf>
    <xf numFmtId="0" fontId="142" fillId="0" borderId="3" applyNumberFormat="0" applyFill="0" applyProtection="0">
      <alignment horizontal="center"/>
    </xf>
    <xf numFmtId="0" fontId="66" fillId="0" borderId="27" applyNumberFormat="0" applyFill="0" applyAlignment="0" applyProtection="0"/>
    <xf numFmtId="0" fontId="66" fillId="0" borderId="27" applyNumberFormat="0" applyFill="0" applyAlignment="0" applyProtection="0"/>
    <xf numFmtId="0" fontId="66" fillId="0" borderId="27" applyNumberFormat="0" applyFill="0" applyAlignment="0" applyProtection="0"/>
    <xf numFmtId="0" fontId="66" fillId="0" borderId="27" applyNumberFormat="0" applyFill="0" applyAlignment="0" applyProtection="0"/>
    <xf numFmtId="0" fontId="66" fillId="0" borderId="27" applyNumberFormat="0" applyFill="0" applyAlignment="0" applyProtection="0"/>
    <xf numFmtId="0" fontId="66" fillId="0" borderId="27" applyNumberFormat="0" applyFill="0" applyAlignment="0" applyProtection="0"/>
    <xf numFmtId="0" fontId="66" fillId="0" borderId="27" applyNumberFormat="0" applyFill="0" applyAlignment="0" applyProtection="0"/>
    <xf numFmtId="0" fontId="66" fillId="0" borderId="27" applyNumberFormat="0" applyFill="0" applyAlignment="0" applyProtection="0"/>
    <xf numFmtId="0" fontId="66" fillId="0" borderId="27" applyNumberFormat="0" applyFill="0" applyAlignment="0" applyProtection="0"/>
    <xf numFmtId="0" fontId="66" fillId="0" borderId="27" applyNumberFormat="0" applyFill="0" applyAlignment="0" applyProtection="0"/>
    <xf numFmtId="0" fontId="66" fillId="0" borderId="27" applyNumberFormat="0" applyFill="0" applyAlignment="0" applyProtection="0"/>
    <xf numFmtId="0" fontId="66" fillId="0" borderId="27" applyNumberFormat="0" applyFill="0" applyAlignment="0" applyProtection="0"/>
    <xf numFmtId="0" fontId="66" fillId="0" borderId="27" applyNumberFormat="0" applyFill="0" applyAlignment="0" applyProtection="0"/>
    <xf numFmtId="0" fontId="66" fillId="0" borderId="27" applyNumberFormat="0" applyFill="0" applyAlignment="0" applyProtection="0"/>
    <xf numFmtId="0" fontId="66" fillId="0" borderId="27" applyNumberFormat="0" applyFill="0" applyAlignment="0" applyProtection="0"/>
    <xf numFmtId="0" fontId="66" fillId="0" borderId="27" applyNumberFormat="0" applyFill="0" applyAlignment="0" applyProtection="0"/>
    <xf numFmtId="0" fontId="66" fillId="0" borderId="27" applyNumberFormat="0" applyFill="0" applyAlignment="0" applyProtection="0"/>
    <xf numFmtId="0" fontId="66" fillId="0" borderId="27" applyNumberFormat="0" applyFill="0" applyAlignment="0" applyProtection="0"/>
    <xf numFmtId="215" fontId="118" fillId="0" borderId="0"/>
    <xf numFmtId="218" fontId="117" fillId="0" borderId="0" applyFill="0">
      <alignment horizontal="center"/>
    </xf>
    <xf numFmtId="215" fontId="117" fillId="0" borderId="0" applyFont="0">
      <alignment horizontal="center"/>
      <protection locked="0"/>
    </xf>
    <xf numFmtId="215" fontId="22" fillId="0" borderId="0" applyFont="0">
      <alignment horizontal="center"/>
      <protection locked="0"/>
    </xf>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24" fillId="0" borderId="0"/>
    <xf numFmtId="0" fontId="22" fillId="0" borderId="0"/>
    <xf numFmtId="43" fontId="30" fillId="0" borderId="0" applyFont="0" applyFill="0" applyBorder="0" applyAlignment="0" applyProtection="0"/>
    <xf numFmtId="0" fontId="22" fillId="0" borderId="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22" fillId="0" borderId="0"/>
    <xf numFmtId="0" fontId="9" fillId="0" borderId="0"/>
    <xf numFmtId="0" fontId="52" fillId="41" borderId="13">
      <alignment horizontal="left"/>
    </xf>
    <xf numFmtId="174" fontId="30" fillId="0" borderId="0" applyFont="0" applyFill="0" applyBorder="0" applyAlignment="0" applyProtection="0"/>
    <xf numFmtId="9" fontId="24" fillId="0" borderId="0" applyFont="0" applyFill="0" applyBorder="0" applyAlignment="0" applyProtection="0"/>
    <xf numFmtId="174" fontId="30" fillId="0" borderId="0" applyFont="0" applyFill="0" applyBorder="0" applyAlignment="0" applyProtection="0"/>
    <xf numFmtId="9" fontId="24" fillId="0" borderId="0" applyFont="0" applyFill="0" applyBorder="0" applyAlignment="0" applyProtection="0"/>
    <xf numFmtId="0" fontId="24" fillId="0" borderId="0"/>
    <xf numFmtId="9" fontId="24" fillId="0" borderId="0" applyFont="0" applyFill="0" applyBorder="0" applyAlignment="0" applyProtection="0"/>
    <xf numFmtId="0" fontId="55" fillId="34" borderId="18" applyNumberFormat="0" applyAlignment="0" applyProtection="0"/>
    <xf numFmtId="0" fontId="55" fillId="34" borderId="18" applyNumberFormat="0" applyAlignment="0" applyProtection="0"/>
    <xf numFmtId="0" fontId="55" fillId="16" borderId="18" applyNumberFormat="0" applyAlignment="0" applyProtection="0"/>
    <xf numFmtId="0" fontId="55" fillId="16" borderId="18" applyNumberFormat="0" applyAlignment="0" applyProtection="0"/>
    <xf numFmtId="0" fontId="55" fillId="34" borderId="18" applyNumberFormat="0" applyAlignment="0" applyProtection="0"/>
    <xf numFmtId="0" fontId="55" fillId="16" borderId="18" applyNumberFormat="0" applyAlignment="0" applyProtection="0"/>
    <xf numFmtId="0" fontId="55" fillId="16"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16" borderId="18" applyNumberFormat="0" applyAlignment="0" applyProtection="0"/>
    <xf numFmtId="0" fontId="55" fillId="34"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16"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34"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81" borderId="18" applyNumberFormat="0" applyAlignment="0" applyProtection="0"/>
    <xf numFmtId="0" fontId="55" fillId="34" borderId="18" applyNumberFormat="0" applyAlignment="0" applyProtection="0"/>
    <xf numFmtId="0" fontId="55" fillId="34" borderId="18" applyNumberFormat="0" applyAlignment="0" applyProtection="0"/>
    <xf numFmtId="0" fontId="55" fillId="16" borderId="18" applyNumberFormat="0" applyAlignment="0" applyProtection="0"/>
    <xf numFmtId="0" fontId="55" fillId="16" borderId="18" applyNumberFormat="0" applyAlignment="0" applyProtection="0"/>
    <xf numFmtId="0" fontId="55" fillId="34" borderId="18" applyNumberFormat="0" applyAlignment="0" applyProtection="0"/>
    <xf numFmtId="0" fontId="55" fillId="34" borderId="18" applyNumberFormat="0" applyAlignment="0" applyProtection="0"/>
    <xf numFmtId="0" fontId="55" fillId="16" borderId="18" applyNumberFormat="0" applyAlignment="0" applyProtection="0"/>
    <xf numFmtId="0" fontId="55" fillId="16" borderId="18" applyNumberFormat="0" applyAlignment="0" applyProtection="0"/>
    <xf numFmtId="0" fontId="55" fillId="34" borderId="18" applyNumberFormat="0" applyAlignment="0" applyProtection="0"/>
    <xf numFmtId="0" fontId="55" fillId="34" borderId="18" applyNumberFormat="0" applyAlignment="0" applyProtection="0"/>
    <xf numFmtId="0" fontId="55" fillId="16" borderId="18" applyNumberFormat="0" applyAlignment="0" applyProtection="0"/>
    <xf numFmtId="0" fontId="55" fillId="16" borderId="18" applyNumberFormat="0" applyAlignment="0" applyProtection="0"/>
    <xf numFmtId="0" fontId="55" fillId="34" borderId="18" applyNumberFormat="0" applyAlignment="0" applyProtection="0"/>
    <xf numFmtId="0" fontId="55" fillId="34" borderId="18" applyNumberFormat="0" applyAlignment="0" applyProtection="0"/>
    <xf numFmtId="0" fontId="55" fillId="16" borderId="18" applyNumberFormat="0" applyAlignment="0" applyProtection="0"/>
    <xf numFmtId="0" fontId="55" fillId="16" borderId="18" applyNumberFormat="0" applyAlignment="0" applyProtection="0"/>
    <xf numFmtId="0" fontId="55" fillId="34" borderId="18" applyNumberFormat="0" applyAlignment="0" applyProtection="0"/>
    <xf numFmtId="0" fontId="55" fillId="34" borderId="18" applyNumberFormat="0" applyAlignment="0" applyProtection="0"/>
    <xf numFmtId="0" fontId="55" fillId="16" borderId="18" applyNumberFormat="0" applyAlignment="0" applyProtection="0"/>
    <xf numFmtId="0" fontId="55" fillId="16" borderId="18" applyNumberFormat="0" applyAlignment="0" applyProtection="0"/>
    <xf numFmtId="0" fontId="55" fillId="34" borderId="18" applyNumberFormat="0" applyAlignment="0" applyProtection="0"/>
    <xf numFmtId="0" fontId="55" fillId="34" borderId="18" applyNumberFormat="0" applyAlignment="0" applyProtection="0"/>
    <xf numFmtId="0" fontId="55" fillId="16" borderId="18" applyNumberFormat="0" applyAlignment="0" applyProtection="0"/>
    <xf numFmtId="0" fontId="55" fillId="16" borderId="18" applyNumberFormat="0" applyAlignment="0" applyProtection="0"/>
    <xf numFmtId="0" fontId="55" fillId="34" borderId="18" applyNumberFormat="0" applyAlignment="0" applyProtection="0"/>
    <xf numFmtId="0" fontId="55" fillId="34" borderId="18" applyNumberFormat="0" applyAlignment="0" applyProtection="0"/>
    <xf numFmtId="0" fontId="55" fillId="16" borderId="18" applyNumberFormat="0" applyAlignment="0" applyProtection="0"/>
    <xf numFmtId="0" fontId="55" fillId="16" borderId="18" applyNumberFormat="0" applyAlignment="0" applyProtection="0"/>
    <xf numFmtId="0" fontId="73" fillId="36" borderId="14" applyNumberFormat="0" applyBorder="0" applyAlignment="0" applyProtection="0"/>
    <xf numFmtId="9" fontId="24" fillId="0" borderId="0" applyFont="0" applyFill="0" applyBorder="0" applyAlignment="0" applyProtection="0"/>
    <xf numFmtId="0" fontId="24" fillId="0" borderId="0"/>
    <xf numFmtId="174" fontId="30" fillId="0" borderId="0" applyFont="0" applyFill="0" applyBorder="0" applyAlignment="0" applyProtection="0"/>
    <xf numFmtId="174" fontId="30" fillId="0" borderId="0" applyFont="0" applyFill="0" applyBorder="0" applyAlignment="0" applyProtection="0"/>
    <xf numFmtId="0" fontId="24" fillId="0" borderId="0"/>
    <xf numFmtId="43" fontId="22" fillId="0" borderId="0" applyFont="0" applyFill="0" applyBorder="0" applyAlignment="0" applyProtection="0"/>
    <xf numFmtId="0" fontId="9" fillId="0" borderId="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22" fillId="0" borderId="0" applyFont="0" applyFill="0" applyBorder="0" applyAlignment="0" applyProtection="0"/>
    <xf numFmtId="43" fontId="9" fillId="0" borderId="0" applyFont="0" applyFill="0" applyBorder="0" applyAlignment="0" applyProtection="0"/>
    <xf numFmtId="44" fontId="24"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22" fillId="0" borderId="0" applyFont="0" applyFill="0" applyBorder="0" applyAlignment="0" applyProtection="0"/>
    <xf numFmtId="43" fontId="22"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43" fontId="17" fillId="0" borderId="0">
      <alignment vertical="top"/>
      <protection locked="0"/>
    </xf>
    <xf numFmtId="43" fontId="23" fillId="0" borderId="0">
      <alignment vertical="top"/>
      <protection locked="0"/>
    </xf>
    <xf numFmtId="43" fontId="38"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22" fillId="0" borderId="0">
      <alignment vertical="top"/>
      <protection locked="0"/>
    </xf>
    <xf numFmtId="43" fontId="50" fillId="0" borderId="0" applyFont="0" applyFill="0" applyBorder="0" applyAlignment="0" applyProtection="0">
      <alignment vertical="center"/>
    </xf>
    <xf numFmtId="43" fontId="9" fillId="0" borderId="0" applyFont="0" applyFill="0" applyBorder="0" applyAlignment="0" applyProtection="0"/>
    <xf numFmtId="0" fontId="9" fillId="0" borderId="0"/>
    <xf numFmtId="43" fontId="38"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0" fillId="0" borderId="0" applyFont="0" applyFill="0" applyBorder="0" applyAlignment="0" applyProtection="0">
      <alignment vertical="center"/>
    </xf>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23" fillId="0" borderId="0">
      <alignment vertical="top"/>
      <protection locked="0"/>
    </xf>
    <xf numFmtId="43" fontId="38"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22" fillId="0" borderId="0">
      <alignment vertical="top"/>
      <protection locked="0"/>
    </xf>
    <xf numFmtId="43" fontId="38"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0" fillId="0" borderId="0" applyFont="0" applyFill="0" applyBorder="0" applyAlignment="0" applyProtection="0">
      <alignment vertical="center"/>
    </xf>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9" fillId="21" borderId="0" applyNumberFormat="0" applyBorder="0" applyAlignment="0" applyProtection="0"/>
    <xf numFmtId="0" fontId="9" fillId="4" borderId="0" applyNumberFormat="0" applyBorder="0" applyAlignment="0" applyProtection="0"/>
    <xf numFmtId="0" fontId="55" fillId="34" borderId="18" applyNumberFormat="0" applyAlignment="0" applyProtection="0"/>
    <xf numFmtId="0" fontId="55" fillId="16" borderId="18" applyNumberFormat="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17" fillId="0" borderId="0">
      <alignment vertical="top"/>
      <protection locked="0"/>
    </xf>
    <xf numFmtId="43" fontId="17" fillId="0" borderId="0">
      <alignment vertical="top"/>
      <protection locked="0"/>
    </xf>
    <xf numFmtId="0" fontId="9" fillId="0" borderId="0" applyFont="0" applyFill="0" applyBorder="0" applyAlignment="0" applyProtection="0"/>
    <xf numFmtId="0" fontId="9" fillId="0" borderId="0" applyFont="0" applyFill="0" applyBorder="0" applyAlignment="0" applyProtection="0"/>
    <xf numFmtId="43" fontId="23" fillId="0" borderId="0">
      <alignment vertical="top"/>
      <protection locked="0"/>
    </xf>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38" fillId="0" borderId="0">
      <alignment vertical="top"/>
      <protection locked="0"/>
    </xf>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174" fontId="9" fillId="0" borderId="0" applyFont="0" applyFill="0" applyBorder="0" applyAlignment="0" applyProtection="0"/>
    <xf numFmtId="43" fontId="9" fillId="0" borderId="0" applyFont="0" applyFill="0" applyBorder="0" applyAlignment="0" applyProtection="0"/>
    <xf numFmtId="43" fontId="22" fillId="0" borderId="0">
      <alignment vertical="top"/>
      <protection locked="0"/>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4"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38"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4"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4" fontId="24" fillId="0" borderId="0" applyFont="0" applyFill="0" applyBorder="0" applyAlignment="0" applyProtection="0"/>
    <xf numFmtId="0" fontId="61" fillId="0" borderId="23" applyNumberFormat="0" applyFill="0" applyAlignment="0" applyProtection="0"/>
    <xf numFmtId="0" fontId="62" fillId="22" borderId="18" applyNumberFormat="0" applyAlignment="0" applyProtection="0"/>
    <xf numFmtId="0" fontId="62" fillId="23" borderId="18" applyNumberForma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9" fontId="9" fillId="0" borderId="0"/>
    <xf numFmtId="179"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2" fillId="39" borderId="25" applyNumberFormat="0" applyFont="0" applyAlignment="0" applyProtection="0"/>
    <xf numFmtId="0" fontId="22" fillId="39" borderId="25" applyNumberFormat="0" applyFont="0" applyAlignment="0" applyProtection="0"/>
    <xf numFmtId="0" fontId="65" fillId="34" borderId="26" applyNumberFormat="0" applyAlignment="0" applyProtection="0"/>
    <xf numFmtId="0" fontId="65" fillId="16" borderId="26" applyNumberFormat="0" applyAlignment="0" applyProtection="0"/>
    <xf numFmtId="9" fontId="9" fillId="0" borderId="0" applyFont="0" applyFill="0" applyBorder="0" applyAlignment="0" applyProtection="0"/>
    <xf numFmtId="9" fontId="9" fillId="0" borderId="0" applyFont="0" applyFill="0" applyBorder="0" applyAlignment="0" applyProtection="0"/>
    <xf numFmtId="43" fontId="38" fillId="0" borderId="0">
      <alignment vertical="top"/>
      <protection locked="0"/>
    </xf>
    <xf numFmtId="0" fontId="9" fillId="0" borderId="0"/>
    <xf numFmtId="43" fontId="22" fillId="0" borderId="0" applyFont="0" applyFill="0" applyBorder="0" applyAlignment="0" applyProtection="0"/>
    <xf numFmtId="0" fontId="66" fillId="0" borderId="27" applyNumberFormat="0" applyFill="0" applyAlignment="0" applyProtection="0"/>
    <xf numFmtId="0" fontId="66" fillId="0" borderId="27" applyNumberFormat="0" applyFill="0" applyAlignment="0" applyProtection="0"/>
    <xf numFmtId="0" fontId="66" fillId="0" borderId="27" applyNumberFormat="0" applyFill="0" applyAlignment="0" applyProtection="0"/>
    <xf numFmtId="41" fontId="74" fillId="0" borderId="0" applyFont="0" applyFill="0" applyBorder="0" applyAlignment="0" applyProtection="0"/>
    <xf numFmtId="41" fontId="74"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17" fillId="0" borderId="0">
      <alignment vertical="top"/>
      <protection locked="0"/>
    </xf>
    <xf numFmtId="43" fontId="17" fillId="0" borderId="0">
      <alignment vertical="top"/>
      <protection locked="0"/>
    </xf>
    <xf numFmtId="43" fontId="23" fillId="0" borderId="0">
      <alignment vertical="top"/>
      <protection locked="0"/>
    </xf>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38" fillId="0" borderId="0">
      <alignment vertical="top"/>
      <protection locked="0"/>
    </xf>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lignment vertical="top"/>
      <protection locked="0"/>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4"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38"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4"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4" fontId="24"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50"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8" fillId="0" borderId="0">
      <alignment vertical="top"/>
      <protection locked="0"/>
    </xf>
    <xf numFmtId="43" fontId="22"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38" fillId="0" borderId="0">
      <alignment vertical="top"/>
      <protection locked="0"/>
    </xf>
    <xf numFmtId="43" fontId="23" fillId="0" borderId="0">
      <alignment vertical="top"/>
      <protection locked="0"/>
    </xf>
    <xf numFmtId="43" fontId="17" fillId="0" borderId="0">
      <alignment vertical="top"/>
      <protection locked="0"/>
    </xf>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50"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38" fillId="0" borderId="0">
      <alignment vertical="top"/>
      <protection locked="0"/>
    </xf>
    <xf numFmtId="43" fontId="22" fillId="0" borderId="0" applyFont="0" applyFill="0" applyBorder="0" applyAlignment="0" applyProtection="0"/>
    <xf numFmtId="43" fontId="9" fillId="0" borderId="0" applyFont="0" applyFill="0" applyBorder="0" applyAlignment="0" applyProtection="0"/>
    <xf numFmtId="41" fontId="74" fillId="0" borderId="0" applyFont="0" applyFill="0" applyBorder="0" applyAlignment="0" applyProtection="0"/>
    <xf numFmtId="41" fontId="74"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0" fillId="0" borderId="0" applyFont="0" applyFill="0" applyBorder="0" applyAlignment="0" applyProtection="0">
      <alignment vertical="center"/>
    </xf>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23" fillId="0" borderId="0">
      <alignment vertical="top"/>
      <protection locked="0"/>
    </xf>
    <xf numFmtId="43" fontId="38"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22" fillId="0" borderId="0">
      <alignment vertical="top"/>
      <protection locked="0"/>
    </xf>
    <xf numFmtId="43" fontId="38"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0" fillId="0" borderId="0" applyFont="0" applyFill="0" applyBorder="0" applyAlignment="0" applyProtection="0">
      <alignment vertical="center"/>
    </xf>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0" fillId="0" borderId="0" applyFont="0" applyFill="0" applyBorder="0" applyAlignment="0" applyProtection="0">
      <alignment vertical="center"/>
    </xf>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23" fillId="0" borderId="0">
      <alignment vertical="top"/>
      <protection locked="0"/>
    </xf>
    <xf numFmtId="43" fontId="38"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22" fillId="0" borderId="0">
      <alignment vertical="top"/>
      <protection locked="0"/>
    </xf>
    <xf numFmtId="43" fontId="38"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0" fillId="0" borderId="0" applyFont="0" applyFill="0" applyBorder="0" applyAlignment="0" applyProtection="0">
      <alignment vertical="center"/>
    </xf>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4" fillId="0" borderId="0" applyFont="0" applyFill="0" applyBorder="0" applyAlignment="0" applyProtection="0"/>
    <xf numFmtId="43" fontId="22" fillId="0" borderId="0" applyFont="0" applyFill="0" applyBorder="0" applyAlignment="0" applyProtection="0"/>
    <xf numFmtId="43" fontId="38" fillId="0" borderId="0" applyFont="0" applyFill="0" applyBorder="0" applyAlignment="0" applyProtection="0"/>
    <xf numFmtId="43" fontId="22" fillId="0" borderId="0" applyFont="0" applyFill="0" applyBorder="0" applyAlignment="0" applyProtection="0"/>
    <xf numFmtId="43" fontId="24"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4" fontId="24" fillId="0" borderId="0" applyFont="0" applyFill="0" applyBorder="0" applyAlignment="0" applyProtection="0"/>
    <xf numFmtId="43" fontId="22" fillId="0" borderId="0" applyFont="0" applyFill="0" applyBorder="0" applyAlignment="0" applyProtection="0"/>
    <xf numFmtId="41" fontId="74" fillId="0" borderId="0" applyFont="0" applyFill="0" applyBorder="0" applyAlignment="0" applyProtection="0"/>
    <xf numFmtId="41" fontId="7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17" fillId="0" borderId="0">
      <alignment vertical="top"/>
      <protection locked="0"/>
    </xf>
    <xf numFmtId="43" fontId="17" fillId="0" borderId="0">
      <alignment vertical="top"/>
      <protection locked="0"/>
    </xf>
    <xf numFmtId="43" fontId="23" fillId="0" borderId="0">
      <alignment vertical="top"/>
      <protection locked="0"/>
    </xf>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38" fillId="0" borderId="0">
      <alignment vertical="top"/>
      <protection locked="0"/>
    </xf>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lignment vertical="top"/>
      <protection locked="0"/>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4"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4" fillId="0" borderId="0" applyFont="0" applyFill="0" applyBorder="0" applyAlignment="0" applyProtection="0"/>
    <xf numFmtId="43" fontId="38"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4"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4" fontId="24"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22" fillId="0" borderId="0" applyFont="0" applyFill="0" applyBorder="0" applyAlignment="0" applyProtection="0"/>
    <xf numFmtId="0" fontId="9" fillId="0" borderId="0"/>
    <xf numFmtId="43" fontId="22" fillId="0" borderId="0" applyFont="0" applyFill="0" applyBorder="0" applyAlignment="0" applyProtection="0"/>
    <xf numFmtId="43" fontId="22"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165" fontId="9" fillId="0" borderId="0" applyFont="0" applyFill="0" applyBorder="0" applyAlignment="0" applyProtection="0"/>
    <xf numFmtId="44" fontId="2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50"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8" fillId="0" borderId="0">
      <alignment vertical="top"/>
      <protection locked="0"/>
    </xf>
    <xf numFmtId="43" fontId="22"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38" fillId="0" borderId="0">
      <alignment vertical="top"/>
      <protection locked="0"/>
    </xf>
    <xf numFmtId="43" fontId="23" fillId="0" borderId="0">
      <alignment vertical="top"/>
      <protection locked="0"/>
    </xf>
    <xf numFmtId="43" fontId="17" fillId="0" borderId="0">
      <alignment vertical="top"/>
      <protection locked="0"/>
    </xf>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50"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38" fillId="0" borderId="0">
      <alignment vertical="top"/>
      <protection locked="0"/>
    </xf>
    <xf numFmtId="43" fontId="22" fillId="0" borderId="0" applyFont="0" applyFill="0" applyBorder="0" applyAlignment="0" applyProtection="0"/>
    <xf numFmtId="43" fontId="9" fillId="0" borderId="0" applyFont="0" applyFill="0" applyBorder="0" applyAlignment="0" applyProtection="0"/>
    <xf numFmtId="41" fontId="74" fillId="0" borderId="0" applyFont="0" applyFill="0" applyBorder="0" applyAlignment="0" applyProtection="0"/>
    <xf numFmtId="41" fontId="7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43" fontId="22" fillId="0" borderId="0" applyFont="0" applyFill="0" applyBorder="0" applyAlignment="0" applyProtection="0"/>
    <xf numFmtId="0" fontId="9" fillId="0" borderId="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174" fontId="4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4" fontId="45"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22" fillId="0" borderId="0" applyFont="0" applyFill="0" applyBorder="0" applyAlignment="0" applyProtection="0"/>
    <xf numFmtId="43" fontId="9" fillId="0" borderId="0" applyFont="0" applyFill="0" applyBorder="0" applyAlignment="0" applyProtection="0"/>
    <xf numFmtId="44" fontId="24"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5" fillId="0" borderId="0"/>
    <xf numFmtId="0" fontId="9" fillId="0" borderId="0"/>
    <xf numFmtId="0" fontId="45"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22" fillId="0" borderId="0" applyFont="0" applyFill="0" applyBorder="0" applyAlignment="0" applyProtection="0"/>
    <xf numFmtId="43" fontId="22"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38" fillId="0" borderId="0" applyFont="0" applyFill="0" applyBorder="0" applyAlignment="0" applyProtection="0"/>
    <xf numFmtId="43" fontId="17" fillId="0" borderId="0" applyFont="0" applyFill="0" applyBorder="0" applyAlignment="0" applyProtection="0"/>
    <xf numFmtId="0" fontId="9" fillId="0" borderId="0"/>
    <xf numFmtId="179" fontId="9" fillId="0" borderId="0"/>
    <xf numFmtId="43" fontId="22"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0" fontId="9" fillId="0" borderId="0"/>
    <xf numFmtId="43" fontId="22"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4" borderId="0" applyNumberFormat="0" applyBorder="0" applyAlignment="0" applyProtection="0"/>
    <xf numFmtId="179" fontId="9" fillId="0" borderId="0"/>
    <xf numFmtId="0" fontId="9" fillId="0" borderId="0"/>
    <xf numFmtId="0" fontId="9" fillId="0" borderId="0"/>
    <xf numFmtId="0" fontId="9" fillId="0" borderId="0"/>
    <xf numFmtId="43" fontId="22" fillId="0" borderId="0" applyFont="0" applyFill="0" applyBorder="0" applyAlignment="0" applyProtection="0"/>
    <xf numFmtId="0" fontId="9" fillId="0" borderId="0"/>
    <xf numFmtId="0" fontId="9" fillId="21" borderId="0" applyNumberFormat="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174" fontId="9" fillId="0" borderId="0" applyFont="0" applyFill="0" applyBorder="0" applyAlignment="0" applyProtection="0"/>
    <xf numFmtId="0" fontId="9" fillId="0" borderId="0"/>
    <xf numFmtId="43" fontId="9" fillId="0" borderId="0" applyFont="0" applyFill="0" applyBorder="0" applyAlignment="0" applyProtection="0"/>
    <xf numFmtId="43" fontId="24" fillId="0" borderId="0" applyFont="0" applyFill="0" applyBorder="0" applyAlignment="0" applyProtection="0"/>
    <xf numFmtId="0" fontId="9" fillId="0" borderId="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55" fillId="16" borderId="18" applyNumberFormat="0" applyAlignment="0" applyProtection="0"/>
    <xf numFmtId="0" fontId="55" fillId="34" borderId="18" applyNumberFormat="0" applyAlignment="0" applyProtection="0"/>
    <xf numFmtId="0" fontId="55" fillId="81" borderId="18" applyNumberFormat="0" applyAlignment="0" applyProtection="0"/>
    <xf numFmtId="0" fontId="55" fillId="81" borderId="18" applyNumberFormat="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43" fontId="17"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4" fontId="9" fillId="0" borderId="0" applyFont="0" applyFill="0" applyBorder="0" applyAlignment="0" applyProtection="0"/>
    <xf numFmtId="43" fontId="17"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23"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23" fillId="0" borderId="0" applyFont="0" applyFill="0" applyBorder="0" applyAlignment="0" applyProtection="0"/>
    <xf numFmtId="43" fontId="123"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24" fillId="0" borderId="0" applyFont="0" applyFill="0" applyBorder="0" applyAlignment="0" applyProtection="0"/>
    <xf numFmtId="43" fontId="124"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43" fontId="3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22" fillId="0" borderId="0"/>
    <xf numFmtId="0" fontId="9" fillId="0" borderId="0"/>
    <xf numFmtId="43" fontId="22" fillId="0" borderId="0" applyFont="0" applyFill="0" applyBorder="0" applyAlignment="0" applyProtection="0"/>
    <xf numFmtId="0" fontId="9" fillId="0" borderId="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22" fillId="0" borderId="0" applyFont="0" applyFill="0" applyBorder="0" applyAlignment="0" applyProtection="0"/>
    <xf numFmtId="43" fontId="9" fillId="0" borderId="0" applyFont="0" applyFill="0" applyBorder="0" applyAlignment="0" applyProtection="0"/>
    <xf numFmtId="44" fontId="24"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22" fillId="0" borderId="0" applyFont="0" applyFill="0" applyBorder="0" applyAlignment="0" applyProtection="0"/>
    <xf numFmtId="43" fontId="22"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43" fontId="17" fillId="0" borderId="0">
      <alignment vertical="top"/>
      <protection locked="0"/>
    </xf>
    <xf numFmtId="43" fontId="23" fillId="0" borderId="0">
      <alignment vertical="top"/>
      <protection locked="0"/>
    </xf>
    <xf numFmtId="43" fontId="38"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22" fillId="0" borderId="0">
      <alignment vertical="top"/>
      <protection locked="0"/>
    </xf>
    <xf numFmtId="43" fontId="50" fillId="0" borderId="0" applyFont="0" applyFill="0" applyBorder="0" applyAlignment="0" applyProtection="0">
      <alignment vertical="center"/>
    </xf>
    <xf numFmtId="43" fontId="9" fillId="0" borderId="0" applyFont="0" applyFill="0" applyBorder="0" applyAlignment="0" applyProtection="0"/>
    <xf numFmtId="0" fontId="9" fillId="0" borderId="0"/>
    <xf numFmtId="43" fontId="38"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0" fillId="0" borderId="0" applyFont="0" applyFill="0" applyBorder="0" applyAlignment="0" applyProtection="0">
      <alignment vertical="center"/>
    </xf>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23" fillId="0" borderId="0">
      <alignment vertical="top"/>
      <protection locked="0"/>
    </xf>
    <xf numFmtId="43" fontId="38"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22" fillId="0" borderId="0">
      <alignment vertical="top"/>
      <protection locked="0"/>
    </xf>
    <xf numFmtId="43" fontId="38"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0" fillId="0" borderId="0" applyFont="0" applyFill="0" applyBorder="0" applyAlignment="0" applyProtection="0">
      <alignment vertical="center"/>
    </xf>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9" fillId="21" borderId="0" applyNumberFormat="0" applyBorder="0" applyAlignment="0" applyProtection="0"/>
    <xf numFmtId="0" fontId="9" fillId="4" borderId="0" applyNumberFormat="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17" fillId="0" borderId="0">
      <alignment vertical="top"/>
      <protection locked="0"/>
    </xf>
    <xf numFmtId="43" fontId="17" fillId="0" borderId="0">
      <alignment vertical="top"/>
      <protection locked="0"/>
    </xf>
    <xf numFmtId="0" fontId="9" fillId="0" borderId="0" applyFont="0" applyFill="0" applyBorder="0" applyAlignment="0" applyProtection="0"/>
    <xf numFmtId="0" fontId="9" fillId="0" borderId="0" applyFont="0" applyFill="0" applyBorder="0" applyAlignment="0" applyProtection="0"/>
    <xf numFmtId="43" fontId="23" fillId="0" borderId="0">
      <alignment vertical="top"/>
      <protection locked="0"/>
    </xf>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38" fillId="0" borderId="0">
      <alignment vertical="top"/>
      <protection locked="0"/>
    </xf>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174" fontId="9" fillId="0" borderId="0" applyFont="0" applyFill="0" applyBorder="0" applyAlignment="0" applyProtection="0"/>
    <xf numFmtId="43" fontId="9" fillId="0" borderId="0" applyFont="0" applyFill="0" applyBorder="0" applyAlignment="0" applyProtection="0"/>
    <xf numFmtId="43" fontId="22" fillId="0" borderId="0">
      <alignment vertical="top"/>
      <protection locked="0"/>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4"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38"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4"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4" fontId="24"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9" fontId="9" fillId="0" borderId="0"/>
    <xf numFmtId="179"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43" fontId="38" fillId="0" borderId="0">
      <alignment vertical="top"/>
      <protection locked="0"/>
    </xf>
    <xf numFmtId="0" fontId="9" fillId="0" borderId="0"/>
    <xf numFmtId="43" fontId="22" fillId="0" borderId="0" applyFont="0" applyFill="0" applyBorder="0" applyAlignment="0" applyProtection="0"/>
    <xf numFmtId="41" fontId="74" fillId="0" borderId="0" applyFont="0" applyFill="0" applyBorder="0" applyAlignment="0" applyProtection="0"/>
    <xf numFmtId="41" fontId="74"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17" fillId="0" borderId="0">
      <alignment vertical="top"/>
      <protection locked="0"/>
    </xf>
    <xf numFmtId="43" fontId="17" fillId="0" borderId="0">
      <alignment vertical="top"/>
      <protection locked="0"/>
    </xf>
    <xf numFmtId="43" fontId="23" fillId="0" borderId="0">
      <alignment vertical="top"/>
      <protection locked="0"/>
    </xf>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38" fillId="0" borderId="0">
      <alignment vertical="top"/>
      <protection locked="0"/>
    </xf>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lignment vertical="top"/>
      <protection locked="0"/>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4"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38"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4"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4" fontId="24"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50"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8" fillId="0" borderId="0">
      <alignment vertical="top"/>
      <protection locked="0"/>
    </xf>
    <xf numFmtId="43" fontId="22"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38" fillId="0" borderId="0">
      <alignment vertical="top"/>
      <protection locked="0"/>
    </xf>
    <xf numFmtId="43" fontId="23" fillId="0" borderId="0">
      <alignment vertical="top"/>
      <protection locked="0"/>
    </xf>
    <xf numFmtId="43" fontId="17" fillId="0" borderId="0">
      <alignment vertical="top"/>
      <protection locked="0"/>
    </xf>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50"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38" fillId="0" borderId="0">
      <alignment vertical="top"/>
      <protection locked="0"/>
    </xf>
    <xf numFmtId="43" fontId="22" fillId="0" borderId="0" applyFont="0" applyFill="0" applyBorder="0" applyAlignment="0" applyProtection="0"/>
    <xf numFmtId="43" fontId="9" fillId="0" borderId="0" applyFont="0" applyFill="0" applyBorder="0" applyAlignment="0" applyProtection="0"/>
    <xf numFmtId="41" fontId="74" fillId="0" borderId="0" applyFont="0" applyFill="0" applyBorder="0" applyAlignment="0" applyProtection="0"/>
    <xf numFmtId="41" fontId="74"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0" fillId="0" borderId="0" applyFont="0" applyFill="0" applyBorder="0" applyAlignment="0" applyProtection="0">
      <alignment vertical="center"/>
    </xf>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23" fillId="0" borderId="0">
      <alignment vertical="top"/>
      <protection locked="0"/>
    </xf>
    <xf numFmtId="43" fontId="38"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22" fillId="0" borderId="0">
      <alignment vertical="top"/>
      <protection locked="0"/>
    </xf>
    <xf numFmtId="43" fontId="38"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0" fillId="0" borderId="0" applyFont="0" applyFill="0" applyBorder="0" applyAlignment="0" applyProtection="0">
      <alignment vertical="center"/>
    </xf>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0" fillId="0" borderId="0" applyFont="0" applyFill="0" applyBorder="0" applyAlignment="0" applyProtection="0">
      <alignment vertical="center"/>
    </xf>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23" fillId="0" borderId="0">
      <alignment vertical="top"/>
      <protection locked="0"/>
    </xf>
    <xf numFmtId="43" fontId="38"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22" fillId="0" borderId="0">
      <alignment vertical="top"/>
      <protection locked="0"/>
    </xf>
    <xf numFmtId="43" fontId="38"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0" fillId="0" borderId="0" applyFont="0" applyFill="0" applyBorder="0" applyAlignment="0" applyProtection="0">
      <alignment vertical="center"/>
    </xf>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4" fillId="0" borderId="0" applyFont="0" applyFill="0" applyBorder="0" applyAlignment="0" applyProtection="0"/>
    <xf numFmtId="43" fontId="22" fillId="0" borderId="0" applyFont="0" applyFill="0" applyBorder="0" applyAlignment="0" applyProtection="0"/>
    <xf numFmtId="43" fontId="38" fillId="0" borderId="0" applyFont="0" applyFill="0" applyBorder="0" applyAlignment="0" applyProtection="0"/>
    <xf numFmtId="43" fontId="22" fillId="0" borderId="0" applyFont="0" applyFill="0" applyBorder="0" applyAlignment="0" applyProtection="0"/>
    <xf numFmtId="43" fontId="24"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4" fontId="24" fillId="0" borderId="0" applyFont="0" applyFill="0" applyBorder="0" applyAlignment="0" applyProtection="0"/>
    <xf numFmtId="43" fontId="22" fillId="0" borderId="0" applyFont="0" applyFill="0" applyBorder="0" applyAlignment="0" applyProtection="0"/>
    <xf numFmtId="41" fontId="74" fillId="0" borderId="0" applyFont="0" applyFill="0" applyBorder="0" applyAlignment="0" applyProtection="0"/>
    <xf numFmtId="41" fontId="7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17" fillId="0" borderId="0">
      <alignment vertical="top"/>
      <protection locked="0"/>
    </xf>
    <xf numFmtId="43" fontId="17" fillId="0" borderId="0">
      <alignment vertical="top"/>
      <protection locked="0"/>
    </xf>
    <xf numFmtId="43" fontId="23" fillId="0" borderId="0">
      <alignment vertical="top"/>
      <protection locked="0"/>
    </xf>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38" fillId="0" borderId="0">
      <alignment vertical="top"/>
      <protection locked="0"/>
    </xf>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lignment vertical="top"/>
      <protection locked="0"/>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4"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4" fillId="0" borderId="0" applyFont="0" applyFill="0" applyBorder="0" applyAlignment="0" applyProtection="0"/>
    <xf numFmtId="43" fontId="38"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4"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4" fontId="24"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22" fillId="0" borderId="0" applyFont="0" applyFill="0" applyBorder="0" applyAlignment="0" applyProtection="0"/>
    <xf numFmtId="0" fontId="9" fillId="0" borderId="0"/>
    <xf numFmtId="43" fontId="22" fillId="0" borderId="0" applyFont="0" applyFill="0" applyBorder="0" applyAlignment="0" applyProtection="0"/>
    <xf numFmtId="43" fontId="22"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165" fontId="9" fillId="0" borderId="0" applyFont="0" applyFill="0" applyBorder="0" applyAlignment="0" applyProtection="0"/>
    <xf numFmtId="44" fontId="2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50"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8" fillId="0" borderId="0">
      <alignment vertical="top"/>
      <protection locked="0"/>
    </xf>
    <xf numFmtId="43" fontId="22"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38" fillId="0" borderId="0">
      <alignment vertical="top"/>
      <protection locked="0"/>
    </xf>
    <xf numFmtId="43" fontId="23" fillId="0" borderId="0">
      <alignment vertical="top"/>
      <protection locked="0"/>
    </xf>
    <xf numFmtId="43" fontId="17" fillId="0" borderId="0">
      <alignment vertical="top"/>
      <protection locked="0"/>
    </xf>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50"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38" fillId="0" borderId="0">
      <alignment vertical="top"/>
      <protection locked="0"/>
    </xf>
    <xf numFmtId="43" fontId="22" fillId="0" borderId="0" applyFont="0" applyFill="0" applyBorder="0" applyAlignment="0" applyProtection="0"/>
    <xf numFmtId="43" fontId="9" fillId="0" borderId="0" applyFont="0" applyFill="0" applyBorder="0" applyAlignment="0" applyProtection="0"/>
    <xf numFmtId="41" fontId="74" fillId="0" borderId="0" applyFont="0" applyFill="0" applyBorder="0" applyAlignment="0" applyProtection="0"/>
    <xf numFmtId="41" fontId="7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43" fontId="22" fillId="0" borderId="0" applyFont="0" applyFill="0" applyBorder="0" applyAlignment="0" applyProtection="0"/>
    <xf numFmtId="0" fontId="9" fillId="0" borderId="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22" fillId="0" borderId="0" applyFont="0" applyFill="0" applyBorder="0" applyAlignment="0" applyProtection="0"/>
    <xf numFmtId="43" fontId="9" fillId="0" borderId="0" applyFont="0" applyFill="0" applyBorder="0" applyAlignment="0" applyProtection="0"/>
    <xf numFmtId="44" fontId="24"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22" fillId="0" borderId="0" applyFont="0" applyFill="0" applyBorder="0" applyAlignment="0" applyProtection="0"/>
    <xf numFmtId="43" fontId="22"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17" fillId="0" borderId="0" applyFont="0" applyFill="0" applyBorder="0" applyAlignment="0" applyProtection="0"/>
    <xf numFmtId="0" fontId="9" fillId="0" borderId="0"/>
    <xf numFmtId="179" fontId="9" fillId="0" borderId="0"/>
    <xf numFmtId="43" fontId="22"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0" fontId="9" fillId="0" borderId="0"/>
    <xf numFmtId="43" fontId="22"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4" borderId="0" applyNumberFormat="0" applyBorder="0" applyAlignment="0" applyProtection="0"/>
    <xf numFmtId="179" fontId="9" fillId="0" borderId="0"/>
    <xf numFmtId="0" fontId="9" fillId="0" borderId="0"/>
    <xf numFmtId="0" fontId="9" fillId="0" borderId="0"/>
    <xf numFmtId="0" fontId="9" fillId="0" borderId="0"/>
    <xf numFmtId="43" fontId="22" fillId="0" borderId="0" applyFont="0" applyFill="0" applyBorder="0" applyAlignment="0" applyProtection="0"/>
    <xf numFmtId="0" fontId="9" fillId="0" borderId="0"/>
    <xf numFmtId="0" fontId="9" fillId="21" borderId="0" applyNumberFormat="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174" fontId="9" fillId="0" borderId="0" applyFont="0" applyFill="0" applyBorder="0" applyAlignment="0" applyProtection="0"/>
    <xf numFmtId="0" fontId="9" fillId="0" borderId="0"/>
    <xf numFmtId="43" fontId="9" fillId="0" borderId="0" applyFont="0" applyFill="0" applyBorder="0" applyAlignment="0" applyProtection="0"/>
    <xf numFmtId="43" fontId="24" fillId="0" borderId="0" applyFont="0" applyFill="0" applyBorder="0" applyAlignment="0" applyProtection="0"/>
    <xf numFmtId="0" fontId="9" fillId="0" borderId="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43" fontId="17"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4" fontId="9" fillId="0" borderId="0" applyFont="0" applyFill="0" applyBorder="0" applyAlignment="0" applyProtection="0"/>
    <xf numFmtId="43" fontId="17"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23"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23" fillId="0" borderId="0" applyFont="0" applyFill="0" applyBorder="0" applyAlignment="0" applyProtection="0"/>
    <xf numFmtId="43" fontId="123"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24" fillId="0" borderId="0" applyFont="0" applyFill="0" applyBorder="0" applyAlignment="0" applyProtection="0"/>
    <xf numFmtId="43" fontId="124"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43" fontId="3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43" fontId="22" fillId="0" borderId="0" applyFont="0" applyFill="0" applyBorder="0" applyAlignment="0" applyProtection="0"/>
    <xf numFmtId="0" fontId="9" fillId="0" borderId="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22" fillId="0" borderId="0" applyFont="0" applyFill="0" applyBorder="0" applyAlignment="0" applyProtection="0"/>
    <xf numFmtId="43" fontId="9" fillId="0" borderId="0" applyFont="0" applyFill="0" applyBorder="0" applyAlignment="0" applyProtection="0"/>
    <xf numFmtId="44" fontId="24"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22" fillId="0" borderId="0" applyFont="0" applyFill="0" applyBorder="0" applyAlignment="0" applyProtection="0"/>
    <xf numFmtId="43" fontId="22"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43" fontId="17" fillId="0" borderId="0">
      <alignment vertical="top"/>
      <protection locked="0"/>
    </xf>
    <xf numFmtId="43" fontId="23" fillId="0" borderId="0">
      <alignment vertical="top"/>
      <protection locked="0"/>
    </xf>
    <xf numFmtId="43" fontId="38"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22" fillId="0" borderId="0">
      <alignment vertical="top"/>
      <protection locked="0"/>
    </xf>
    <xf numFmtId="43" fontId="50" fillId="0" borderId="0" applyFont="0" applyFill="0" applyBorder="0" applyAlignment="0" applyProtection="0">
      <alignment vertical="center"/>
    </xf>
    <xf numFmtId="43" fontId="9" fillId="0" borderId="0" applyFont="0" applyFill="0" applyBorder="0" applyAlignment="0" applyProtection="0"/>
    <xf numFmtId="0" fontId="9" fillId="0" borderId="0"/>
    <xf numFmtId="43" fontId="38"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0" fillId="0" borderId="0" applyFont="0" applyFill="0" applyBorder="0" applyAlignment="0" applyProtection="0">
      <alignment vertical="center"/>
    </xf>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23" fillId="0" borderId="0">
      <alignment vertical="top"/>
      <protection locked="0"/>
    </xf>
    <xf numFmtId="43" fontId="38"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22" fillId="0" borderId="0">
      <alignment vertical="top"/>
      <protection locked="0"/>
    </xf>
    <xf numFmtId="43" fontId="38"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0" fillId="0" borderId="0" applyFont="0" applyFill="0" applyBorder="0" applyAlignment="0" applyProtection="0">
      <alignment vertical="center"/>
    </xf>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9" fillId="21" borderId="0" applyNumberFormat="0" applyBorder="0" applyAlignment="0" applyProtection="0"/>
    <xf numFmtId="0" fontId="9" fillId="4" borderId="0" applyNumberFormat="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17" fillId="0" borderId="0">
      <alignment vertical="top"/>
      <protection locked="0"/>
    </xf>
    <xf numFmtId="43" fontId="17" fillId="0" borderId="0">
      <alignment vertical="top"/>
      <protection locked="0"/>
    </xf>
    <xf numFmtId="0" fontId="9" fillId="0" borderId="0" applyFont="0" applyFill="0" applyBorder="0" applyAlignment="0" applyProtection="0"/>
    <xf numFmtId="0" fontId="9" fillId="0" borderId="0" applyFont="0" applyFill="0" applyBorder="0" applyAlignment="0" applyProtection="0"/>
    <xf numFmtId="43" fontId="23" fillId="0" borderId="0">
      <alignment vertical="top"/>
      <protection locked="0"/>
    </xf>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38" fillId="0" borderId="0">
      <alignment vertical="top"/>
      <protection locked="0"/>
    </xf>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174" fontId="9" fillId="0" borderId="0" applyFont="0" applyFill="0" applyBorder="0" applyAlignment="0" applyProtection="0"/>
    <xf numFmtId="43" fontId="9" fillId="0" borderId="0" applyFont="0" applyFill="0" applyBorder="0" applyAlignment="0" applyProtection="0"/>
    <xf numFmtId="43" fontId="22" fillId="0" borderId="0">
      <alignment vertical="top"/>
      <protection locked="0"/>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4"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38"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4"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4" fontId="24"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9" fontId="9" fillId="0" borderId="0"/>
    <xf numFmtId="179"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43" fontId="38" fillId="0" borderId="0">
      <alignment vertical="top"/>
      <protection locked="0"/>
    </xf>
    <xf numFmtId="0" fontId="9" fillId="0" borderId="0"/>
    <xf numFmtId="43" fontId="22" fillId="0" borderId="0" applyFont="0" applyFill="0" applyBorder="0" applyAlignment="0" applyProtection="0"/>
    <xf numFmtId="41" fontId="74" fillId="0" borderId="0" applyFont="0" applyFill="0" applyBorder="0" applyAlignment="0" applyProtection="0"/>
    <xf numFmtId="41" fontId="74"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17" fillId="0" borderId="0">
      <alignment vertical="top"/>
      <protection locked="0"/>
    </xf>
    <xf numFmtId="43" fontId="17" fillId="0" borderId="0">
      <alignment vertical="top"/>
      <protection locked="0"/>
    </xf>
    <xf numFmtId="43" fontId="23" fillId="0" borderId="0">
      <alignment vertical="top"/>
      <protection locked="0"/>
    </xf>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38" fillId="0" borderId="0">
      <alignment vertical="top"/>
      <protection locked="0"/>
    </xf>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lignment vertical="top"/>
      <protection locked="0"/>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4"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38"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4"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4" fontId="24"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50"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8" fillId="0" borderId="0">
      <alignment vertical="top"/>
      <protection locked="0"/>
    </xf>
    <xf numFmtId="43" fontId="22"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38" fillId="0" borderId="0">
      <alignment vertical="top"/>
      <protection locked="0"/>
    </xf>
    <xf numFmtId="43" fontId="23" fillId="0" borderId="0">
      <alignment vertical="top"/>
      <protection locked="0"/>
    </xf>
    <xf numFmtId="43" fontId="17" fillId="0" borderId="0">
      <alignment vertical="top"/>
      <protection locked="0"/>
    </xf>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50"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38" fillId="0" borderId="0">
      <alignment vertical="top"/>
      <protection locked="0"/>
    </xf>
    <xf numFmtId="43" fontId="22" fillId="0" borderId="0" applyFont="0" applyFill="0" applyBorder="0" applyAlignment="0" applyProtection="0"/>
    <xf numFmtId="43" fontId="9" fillId="0" borderId="0" applyFont="0" applyFill="0" applyBorder="0" applyAlignment="0" applyProtection="0"/>
    <xf numFmtId="41" fontId="74" fillId="0" borderId="0" applyFont="0" applyFill="0" applyBorder="0" applyAlignment="0" applyProtection="0"/>
    <xf numFmtId="41" fontId="74"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0" fillId="0" borderId="0" applyFont="0" applyFill="0" applyBorder="0" applyAlignment="0" applyProtection="0">
      <alignment vertical="center"/>
    </xf>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23" fillId="0" borderId="0">
      <alignment vertical="top"/>
      <protection locked="0"/>
    </xf>
    <xf numFmtId="43" fontId="38"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22" fillId="0" borderId="0">
      <alignment vertical="top"/>
      <protection locked="0"/>
    </xf>
    <xf numFmtId="43" fontId="38"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0" fillId="0" borderId="0" applyFont="0" applyFill="0" applyBorder="0" applyAlignment="0" applyProtection="0">
      <alignment vertical="center"/>
    </xf>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0" fillId="0" borderId="0" applyFont="0" applyFill="0" applyBorder="0" applyAlignment="0" applyProtection="0">
      <alignment vertical="center"/>
    </xf>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23" fillId="0" borderId="0">
      <alignment vertical="top"/>
      <protection locked="0"/>
    </xf>
    <xf numFmtId="43" fontId="38"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22" fillId="0" borderId="0">
      <alignment vertical="top"/>
      <protection locked="0"/>
    </xf>
    <xf numFmtId="43" fontId="38"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0" fillId="0" borderId="0" applyFont="0" applyFill="0" applyBorder="0" applyAlignment="0" applyProtection="0">
      <alignment vertical="center"/>
    </xf>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4" fillId="0" borderId="0" applyFont="0" applyFill="0" applyBorder="0" applyAlignment="0" applyProtection="0"/>
    <xf numFmtId="43" fontId="22" fillId="0" borderId="0" applyFont="0" applyFill="0" applyBorder="0" applyAlignment="0" applyProtection="0"/>
    <xf numFmtId="43" fontId="38" fillId="0" borderId="0" applyFont="0" applyFill="0" applyBorder="0" applyAlignment="0" applyProtection="0"/>
    <xf numFmtId="43" fontId="22" fillId="0" borderId="0" applyFont="0" applyFill="0" applyBorder="0" applyAlignment="0" applyProtection="0"/>
    <xf numFmtId="43" fontId="24"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4" fontId="24" fillId="0" borderId="0" applyFont="0" applyFill="0" applyBorder="0" applyAlignment="0" applyProtection="0"/>
    <xf numFmtId="43" fontId="22" fillId="0" borderId="0" applyFont="0" applyFill="0" applyBorder="0" applyAlignment="0" applyProtection="0"/>
    <xf numFmtId="41" fontId="74" fillId="0" borderId="0" applyFont="0" applyFill="0" applyBorder="0" applyAlignment="0" applyProtection="0"/>
    <xf numFmtId="41" fontId="7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17" fillId="0" borderId="0">
      <alignment vertical="top"/>
      <protection locked="0"/>
    </xf>
    <xf numFmtId="43" fontId="17" fillId="0" borderId="0">
      <alignment vertical="top"/>
      <protection locked="0"/>
    </xf>
    <xf numFmtId="43" fontId="23" fillId="0" borderId="0">
      <alignment vertical="top"/>
      <protection locked="0"/>
    </xf>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38" fillId="0" borderId="0">
      <alignment vertical="top"/>
      <protection locked="0"/>
    </xf>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lignment vertical="top"/>
      <protection locked="0"/>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4"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4" fillId="0" borderId="0" applyFont="0" applyFill="0" applyBorder="0" applyAlignment="0" applyProtection="0"/>
    <xf numFmtId="43" fontId="38"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4"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4" fontId="24"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22" fillId="0" borderId="0" applyFont="0" applyFill="0" applyBorder="0" applyAlignment="0" applyProtection="0"/>
    <xf numFmtId="0" fontId="9" fillId="0" borderId="0"/>
    <xf numFmtId="43" fontId="22" fillId="0" borderId="0" applyFont="0" applyFill="0" applyBorder="0" applyAlignment="0" applyProtection="0"/>
    <xf numFmtId="43" fontId="22"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165" fontId="9" fillId="0" borderId="0" applyFont="0" applyFill="0" applyBorder="0" applyAlignment="0" applyProtection="0"/>
    <xf numFmtId="44" fontId="2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50"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8" fillId="0" borderId="0">
      <alignment vertical="top"/>
      <protection locked="0"/>
    </xf>
    <xf numFmtId="43" fontId="22"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38" fillId="0" borderId="0">
      <alignment vertical="top"/>
      <protection locked="0"/>
    </xf>
    <xf numFmtId="43" fontId="23" fillId="0" borderId="0">
      <alignment vertical="top"/>
      <protection locked="0"/>
    </xf>
    <xf numFmtId="43" fontId="17" fillId="0" borderId="0">
      <alignment vertical="top"/>
      <protection locked="0"/>
    </xf>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50"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38" fillId="0" borderId="0">
      <alignment vertical="top"/>
      <protection locked="0"/>
    </xf>
    <xf numFmtId="43" fontId="22" fillId="0" borderId="0" applyFont="0" applyFill="0" applyBorder="0" applyAlignment="0" applyProtection="0"/>
    <xf numFmtId="43" fontId="9" fillId="0" borderId="0" applyFont="0" applyFill="0" applyBorder="0" applyAlignment="0" applyProtection="0"/>
    <xf numFmtId="41" fontId="74" fillId="0" borderId="0" applyFont="0" applyFill="0" applyBorder="0" applyAlignment="0" applyProtection="0"/>
    <xf numFmtId="41" fontId="7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43" fontId="22" fillId="0" borderId="0" applyFont="0" applyFill="0" applyBorder="0" applyAlignment="0" applyProtection="0"/>
    <xf numFmtId="0" fontId="9" fillId="0" borderId="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22" fillId="0" borderId="0" applyFont="0" applyFill="0" applyBorder="0" applyAlignment="0" applyProtection="0"/>
    <xf numFmtId="43" fontId="9" fillId="0" borderId="0" applyFont="0" applyFill="0" applyBorder="0" applyAlignment="0" applyProtection="0"/>
    <xf numFmtId="44" fontId="24"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22" fillId="0" borderId="0" applyFont="0" applyFill="0" applyBorder="0" applyAlignment="0" applyProtection="0"/>
    <xf numFmtId="43" fontId="22"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38" fillId="0" borderId="0" applyFont="0" applyFill="0" applyBorder="0" applyAlignment="0" applyProtection="0"/>
    <xf numFmtId="43" fontId="17" fillId="0" borderId="0" applyFont="0" applyFill="0" applyBorder="0" applyAlignment="0" applyProtection="0"/>
    <xf numFmtId="0" fontId="9" fillId="0" borderId="0"/>
    <xf numFmtId="179" fontId="9" fillId="0" borderId="0"/>
    <xf numFmtId="43" fontId="22"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0" fontId="9" fillId="0" borderId="0"/>
    <xf numFmtId="43" fontId="22"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4" borderId="0" applyNumberFormat="0" applyBorder="0" applyAlignment="0" applyProtection="0"/>
    <xf numFmtId="179" fontId="9" fillId="0" borderId="0"/>
    <xf numFmtId="0" fontId="9" fillId="0" borderId="0"/>
    <xf numFmtId="0" fontId="9" fillId="0" borderId="0"/>
    <xf numFmtId="0" fontId="9" fillId="0" borderId="0"/>
    <xf numFmtId="43" fontId="22" fillId="0" borderId="0" applyFont="0" applyFill="0" applyBorder="0" applyAlignment="0" applyProtection="0"/>
    <xf numFmtId="0" fontId="9" fillId="0" borderId="0"/>
    <xf numFmtId="0" fontId="9" fillId="21" borderId="0" applyNumberFormat="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174" fontId="9" fillId="0" borderId="0" applyFont="0" applyFill="0" applyBorder="0" applyAlignment="0" applyProtection="0"/>
    <xf numFmtId="0" fontId="9" fillId="0" borderId="0"/>
    <xf numFmtId="43" fontId="9" fillId="0" borderId="0" applyFont="0" applyFill="0" applyBorder="0" applyAlignment="0" applyProtection="0"/>
    <xf numFmtId="43" fontId="24" fillId="0" borderId="0" applyFont="0" applyFill="0" applyBorder="0" applyAlignment="0" applyProtection="0"/>
    <xf numFmtId="0" fontId="9" fillId="0" borderId="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43" fontId="17"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4" fontId="9" fillId="0" borderId="0" applyFont="0" applyFill="0" applyBorder="0" applyAlignment="0" applyProtection="0"/>
    <xf numFmtId="43" fontId="17"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23"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23" fillId="0" borderId="0" applyFont="0" applyFill="0" applyBorder="0" applyAlignment="0" applyProtection="0"/>
    <xf numFmtId="43" fontId="123"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2" fillId="0" borderId="0" applyFont="0" applyFill="0" applyBorder="0" applyAlignment="0" applyProtection="0"/>
    <xf numFmtId="43" fontId="17"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24" fillId="0" borderId="0" applyFont="0" applyFill="0" applyBorder="0" applyAlignment="0" applyProtection="0"/>
    <xf numFmtId="43" fontId="124"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43" fontId="3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7" fontId="138" fillId="0" borderId="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4" fillId="0" borderId="0"/>
    <xf numFmtId="43" fontId="24" fillId="0" borderId="0" applyFont="0" applyFill="0" applyBorder="0" applyAlignment="0" applyProtection="0"/>
    <xf numFmtId="43" fontId="22" fillId="0" borderId="0" applyFont="0" applyFill="0" applyBorder="0" applyAlignment="0" applyProtection="0">
      <alignment vertical="center"/>
    </xf>
    <xf numFmtId="0" fontId="9" fillId="0" borderId="0"/>
    <xf numFmtId="0" fontId="24" fillId="0" borderId="0"/>
    <xf numFmtId="43" fontId="24" fillId="0" borderId="0" applyFont="0" applyFill="0" applyBorder="0" applyAlignment="0" applyProtection="0"/>
    <xf numFmtId="0" fontId="9" fillId="0" borderId="0"/>
    <xf numFmtId="0" fontId="24" fillId="0" borderId="0"/>
    <xf numFmtId="0" fontId="9" fillId="0" borderId="0"/>
    <xf numFmtId="43" fontId="24" fillId="0" borderId="0" applyFont="0" applyFill="0" applyBorder="0" applyAlignment="0" applyProtection="0"/>
    <xf numFmtId="0" fontId="24" fillId="0" borderId="0"/>
    <xf numFmtId="43" fontId="24" fillId="0" borderId="0" applyFont="0" applyFill="0" applyBorder="0" applyAlignment="0" applyProtection="0"/>
    <xf numFmtId="0" fontId="24" fillId="0" borderId="0"/>
    <xf numFmtId="43" fontId="24" fillId="0" borderId="0" applyFont="0" applyFill="0" applyBorder="0" applyAlignment="0" applyProtection="0"/>
    <xf numFmtId="0" fontId="24" fillId="0" borderId="0"/>
    <xf numFmtId="43" fontId="24" fillId="0" borderId="0" applyFont="0" applyFill="0" applyBorder="0" applyAlignment="0" applyProtection="0"/>
    <xf numFmtId="0" fontId="24" fillId="0" borderId="0"/>
    <xf numFmtId="43" fontId="24" fillId="0" borderId="0" applyFont="0" applyFill="0" applyBorder="0" applyAlignment="0" applyProtection="0"/>
    <xf numFmtId="0" fontId="24" fillId="0" borderId="0"/>
    <xf numFmtId="43" fontId="24" fillId="0" borderId="0" applyFont="0" applyFill="0" applyBorder="0" applyAlignment="0" applyProtection="0"/>
    <xf numFmtId="0" fontId="9" fillId="0" borderId="0"/>
    <xf numFmtId="0" fontId="22" fillId="0" borderId="0"/>
    <xf numFmtId="0" fontId="22" fillId="0" borderId="0"/>
    <xf numFmtId="0" fontId="9" fillId="0" borderId="0"/>
    <xf numFmtId="0" fontId="65" fillId="16" borderId="26" applyNumberFormat="0" applyAlignment="0" applyProtection="0"/>
    <xf numFmtId="0" fontId="65" fillId="34" borderId="26" applyNumberFormat="0" applyAlignment="0" applyProtection="0"/>
    <xf numFmtId="0" fontId="65" fillId="34" borderId="26" applyNumberFormat="0" applyAlignment="0" applyProtection="0"/>
    <xf numFmtId="0" fontId="65" fillId="16" borderId="26" applyNumberFormat="0" applyAlignment="0" applyProtection="0"/>
    <xf numFmtId="0" fontId="65" fillId="16" borderId="26" applyNumberFormat="0" applyAlignment="0" applyProtection="0"/>
    <xf numFmtId="0" fontId="66" fillId="0" borderId="27" applyNumberFormat="0" applyFill="0" applyAlignment="0" applyProtection="0"/>
    <xf numFmtId="0" fontId="66" fillId="0" borderId="27" applyNumberFormat="0" applyFill="0" applyAlignment="0" applyProtection="0"/>
    <xf numFmtId="0" fontId="66" fillId="0" borderId="27" applyNumberFormat="0" applyFill="0" applyAlignment="0" applyProtection="0"/>
    <xf numFmtId="0" fontId="66" fillId="0" borderId="27" applyNumberFormat="0" applyFill="0" applyAlignment="0" applyProtection="0"/>
    <xf numFmtId="0" fontId="66" fillId="0" borderId="27" applyNumberFormat="0" applyFill="0" applyAlignment="0" applyProtection="0"/>
    <xf numFmtId="0" fontId="79" fillId="41" borderId="14">
      <alignment horizontal="left" vertical="center"/>
    </xf>
    <xf numFmtId="10" fontId="73" fillId="36" borderId="14" applyNumberFormat="0" applyBorder="0" applyAlignment="0" applyProtection="0"/>
    <xf numFmtId="0" fontId="52" fillId="41" borderId="13">
      <alignment horizontal="left"/>
    </xf>
    <xf numFmtId="0" fontId="22" fillId="0" borderId="0"/>
    <xf numFmtId="174" fontId="22" fillId="0" borderId="0" applyFont="0" applyFill="0" applyBorder="0" applyAlignment="0" applyProtection="0"/>
    <xf numFmtId="174" fontId="22" fillId="0" borderId="0" applyFont="0" applyFill="0" applyBorder="0" applyAlignment="0" applyProtection="0"/>
    <xf numFmtId="174" fontId="22" fillId="0" borderId="0" applyFont="0" applyFill="0" applyBorder="0" applyAlignment="0" applyProtection="0"/>
    <xf numFmtId="174" fontId="22" fillId="0" borderId="0" applyFont="0" applyFill="0" applyBorder="0" applyAlignment="0" applyProtection="0"/>
    <xf numFmtId="174" fontId="22" fillId="0" borderId="0" applyFont="0" applyFill="0" applyBorder="0" applyAlignment="0" applyProtection="0"/>
    <xf numFmtId="174" fontId="22" fillId="0" borderId="0" applyFont="0" applyFill="0" applyBorder="0" applyAlignment="0" applyProtection="0"/>
    <xf numFmtId="174" fontId="22" fillId="0" borderId="0" applyFont="0" applyFill="0" applyBorder="0" applyAlignment="0" applyProtection="0"/>
    <xf numFmtId="0" fontId="38" fillId="0" borderId="0"/>
    <xf numFmtId="219" fontId="143" fillId="0" borderId="0" applyFill="0" applyBorder="0" applyAlignment="0" applyProtection="0"/>
    <xf numFmtId="0" fontId="32" fillId="0" borderId="0"/>
    <xf numFmtId="0" fontId="24" fillId="0" borderId="0"/>
    <xf numFmtId="0" fontId="40" fillId="0" borderId="0" applyNumberFormat="0" applyFill="0" applyBorder="0" applyAlignment="0" applyProtection="0"/>
    <xf numFmtId="43" fontId="24" fillId="0" borderId="0" applyFont="0" applyFill="0" applyBorder="0" applyAlignment="0" applyProtection="0"/>
    <xf numFmtId="0" fontId="23" fillId="0" borderId="0"/>
    <xf numFmtId="43" fontId="9" fillId="0" borderId="0" applyFont="0" applyFill="0" applyBorder="0" applyAlignment="0" applyProtection="0"/>
    <xf numFmtId="0" fontId="26" fillId="0" borderId="0"/>
    <xf numFmtId="43" fontId="9" fillId="0" borderId="0" applyFont="0" applyFill="0" applyBorder="0" applyAlignment="0" applyProtection="0"/>
    <xf numFmtId="43" fontId="22" fillId="0" borderId="0" applyFont="0" applyFill="0" applyBorder="0" applyAlignment="0" applyProtection="0"/>
    <xf numFmtId="0" fontId="42" fillId="0" borderId="0"/>
    <xf numFmtId="43" fontId="9" fillId="0" borderId="0" applyFont="0" applyFill="0" applyBorder="0" applyAlignment="0" applyProtection="0"/>
    <xf numFmtId="0" fontId="22" fillId="0" borderId="0"/>
    <xf numFmtId="9" fontId="9" fillId="0" borderId="0" applyFont="0" applyFill="0" applyBorder="0" applyAlignment="0" applyProtection="0"/>
    <xf numFmtId="0" fontId="38" fillId="0" borderId="0"/>
    <xf numFmtId="170" fontId="23"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44" fillId="0" borderId="0" applyFont="0" applyFill="0" applyBorder="0" applyAlignment="0" applyProtection="0"/>
    <xf numFmtId="0" fontId="144" fillId="0" borderId="0"/>
    <xf numFmtId="170" fontId="145" fillId="0" borderId="0"/>
    <xf numFmtId="0" fontId="9" fillId="0" borderId="0"/>
    <xf numFmtId="0" fontId="144" fillId="0" borderId="0"/>
    <xf numFmtId="43" fontId="9" fillId="0" borderId="0" applyFont="0" applyFill="0" applyBorder="0" applyAlignment="0" applyProtection="0"/>
    <xf numFmtId="0" fontId="146" fillId="0" borderId="0" applyNumberFormat="0" applyFill="0" applyBorder="0" applyProtection="0"/>
    <xf numFmtId="43" fontId="29" fillId="0" borderId="0" applyFont="0" applyFill="0" applyBorder="0" applyAlignment="0" applyProtection="0"/>
    <xf numFmtId="0" fontId="9" fillId="0" borderId="0"/>
    <xf numFmtId="0" fontId="8" fillId="0" borderId="0"/>
    <xf numFmtId="43" fontId="8"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0" fontId="6" fillId="0" borderId="0"/>
    <xf numFmtId="0" fontId="17" fillId="0" borderId="0"/>
    <xf numFmtId="0" fontId="22" fillId="0" borderId="0"/>
    <xf numFmtId="44" fontId="6" fillId="0" borderId="0" applyFont="0" applyFill="0" applyBorder="0" applyAlignment="0" applyProtection="0"/>
    <xf numFmtId="0" fontId="22" fillId="0" borderId="0"/>
    <xf numFmtId="166" fontId="22" fillId="0" borderId="0" applyFont="0" applyFill="0" applyBorder="0" applyAlignment="0" applyProtection="0"/>
    <xf numFmtId="0" fontId="22" fillId="0" borderId="0"/>
    <xf numFmtId="171" fontId="22" fillId="0" borderId="0" applyFont="0" applyFill="0" applyBorder="0" applyAlignment="0" applyProtection="0"/>
    <xf numFmtId="0" fontId="22" fillId="0" borderId="0">
      <alignment vertical="center"/>
    </xf>
    <xf numFmtId="171" fontId="22" fillId="0" borderId="0" applyFont="0" applyFill="0" applyBorder="0" applyAlignment="0" applyProtection="0"/>
    <xf numFmtId="166" fontId="6" fillId="0" borderId="0" applyFont="0" applyFill="0" applyBorder="0" applyAlignment="0" applyProtection="0"/>
    <xf numFmtId="43" fontId="6" fillId="0" borderId="0" applyFont="0" applyFill="0" applyBorder="0" applyAlignment="0" applyProtection="0"/>
    <xf numFmtId="0" fontId="29" fillId="0" borderId="0" applyNumberFormat="0" applyFill="0" applyBorder="0" applyProtection="0"/>
    <xf numFmtId="166" fontId="29" fillId="0" borderId="0" applyFont="0" applyFill="0" applyBorder="0" applyAlignment="0" applyProtection="0"/>
    <xf numFmtId="0" fontId="6" fillId="0" borderId="0"/>
    <xf numFmtId="0" fontId="31" fillId="0" borderId="0" applyFill="0" applyBorder="0" applyAlignment="0" applyProtection="0"/>
    <xf numFmtId="166" fontId="29" fillId="0" borderId="0" applyFont="0" applyFill="0" applyBorder="0" applyAlignment="0" applyProtection="0"/>
    <xf numFmtId="0" fontId="22" fillId="0" borderId="0"/>
    <xf numFmtId="0" fontId="22" fillId="0" borderId="0"/>
    <xf numFmtId="166" fontId="22" fillId="0" borderId="0" applyFont="0" applyFill="0" applyBorder="0" applyAlignment="0" applyProtection="0"/>
    <xf numFmtId="174" fontId="6" fillId="0" borderId="0" applyFont="0" applyFill="0" applyBorder="0" applyAlignment="0" applyProtection="0"/>
    <xf numFmtId="0" fontId="147" fillId="0" borderId="0" applyNumberFormat="0" applyFill="0" applyBorder="0" applyAlignment="0" applyProtection="0"/>
    <xf numFmtId="0" fontId="23" fillId="0" borderId="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23" fillId="0" borderId="0"/>
    <xf numFmtId="43" fontId="6" fillId="0" borderId="0" applyFont="0" applyFill="0" applyBorder="0" applyAlignment="0" applyProtection="0"/>
    <xf numFmtId="43" fontId="6" fillId="0" borderId="0" applyFont="0" applyFill="0" applyBorder="0" applyAlignment="0" applyProtection="0"/>
    <xf numFmtId="166" fontId="6" fillId="0" borderId="0" applyFont="0" applyFill="0" applyBorder="0" applyAlignment="0" applyProtection="0"/>
    <xf numFmtId="0" fontId="22" fillId="0" borderId="0"/>
    <xf numFmtId="0" fontId="148" fillId="0" borderId="0"/>
    <xf numFmtId="0" fontId="6" fillId="0" borderId="0"/>
    <xf numFmtId="43" fontId="6" fillId="0" borderId="0" applyFont="0" applyFill="0" applyBorder="0" applyAlignment="0" applyProtection="0"/>
    <xf numFmtId="0" fontId="6" fillId="0" borderId="0"/>
    <xf numFmtId="0" fontId="6" fillId="0" borderId="0"/>
    <xf numFmtId="166" fontId="6" fillId="0" borderId="0" applyFont="0" applyFill="0" applyBorder="0" applyAlignment="0" applyProtection="0"/>
    <xf numFmtId="0" fontId="6" fillId="0" borderId="0"/>
    <xf numFmtId="174" fontId="22" fillId="0" borderId="0" applyFont="0" applyFill="0" applyBorder="0" applyAlignment="0" applyProtection="0"/>
    <xf numFmtId="43" fontId="16" fillId="0" borderId="0" applyFont="0" applyFill="0" applyBorder="0" applyAlignment="0" applyProtection="0"/>
    <xf numFmtId="0" fontId="22" fillId="0" borderId="0"/>
    <xf numFmtId="0" fontId="22" fillId="0" borderId="0"/>
    <xf numFmtId="174" fontId="6" fillId="0" borderId="0" applyFont="0" applyFill="0" applyBorder="0" applyAlignment="0" applyProtection="0"/>
    <xf numFmtId="0" fontId="6" fillId="0" borderId="0"/>
    <xf numFmtId="43" fontId="6" fillId="0" borderId="0" applyFont="0" applyFill="0" applyBorder="0" applyAlignment="0" applyProtection="0"/>
    <xf numFmtId="43" fontId="22" fillId="0" borderId="0" applyFont="0" applyFill="0" applyBorder="0" applyAlignment="0" applyProtection="0"/>
    <xf numFmtId="9" fontId="22" fillId="0" borderId="0" applyFont="0" applyFill="0" applyBorder="0" applyAlignment="0" applyProtection="0"/>
    <xf numFmtId="0" fontId="5" fillId="0" borderId="0"/>
    <xf numFmtId="9" fontId="5" fillId="0" borderId="0" applyFont="0" applyFill="0" applyBorder="0" applyAlignment="0" applyProtection="0"/>
    <xf numFmtId="43" fontId="17" fillId="0" borderId="0" applyFont="0" applyFill="0" applyBorder="0" applyAlignment="0" applyProtection="0"/>
    <xf numFmtId="0" fontId="5" fillId="0" borderId="0"/>
    <xf numFmtId="9" fontId="22" fillId="0" borderId="0" applyFont="0" applyFill="0" applyBorder="0" applyAlignment="0" applyProtection="0"/>
    <xf numFmtId="0" fontId="5" fillId="0" borderId="0"/>
    <xf numFmtId="166" fontId="5" fillId="0" borderId="0" applyFont="0" applyFill="0" applyBorder="0" applyAlignment="0" applyProtection="0"/>
    <xf numFmtId="43" fontId="5" fillId="0" borderId="0" applyFont="0" applyFill="0" applyBorder="0" applyAlignment="0" applyProtection="0"/>
    <xf numFmtId="0" fontId="5" fillId="0" borderId="0"/>
    <xf numFmtId="43" fontId="5" fillId="0" borderId="0" applyFont="0" applyFill="0" applyBorder="0" applyAlignment="0" applyProtection="0"/>
    <xf numFmtId="0" fontId="5"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6" fontId="5" fillId="0" borderId="0" applyFont="0" applyFill="0" applyBorder="0" applyAlignment="0" applyProtection="0"/>
    <xf numFmtId="0" fontId="5" fillId="0" borderId="0"/>
    <xf numFmtId="43" fontId="5" fillId="0" borderId="0" applyFont="0" applyFill="0" applyBorder="0" applyAlignment="0" applyProtection="0"/>
    <xf numFmtId="0" fontId="5" fillId="0" borderId="0"/>
    <xf numFmtId="0" fontId="5" fillId="0" borderId="0"/>
    <xf numFmtId="166" fontId="5" fillId="0" borderId="0" applyFont="0" applyFill="0" applyBorder="0" applyAlignment="0" applyProtection="0"/>
    <xf numFmtId="0" fontId="5" fillId="0" borderId="0"/>
    <xf numFmtId="174" fontId="5" fillId="0" borderId="0" applyFont="0" applyFill="0" applyBorder="0" applyAlignment="0" applyProtection="0"/>
    <xf numFmtId="43" fontId="5" fillId="0" borderId="0" applyFont="0" applyFill="0" applyBorder="0" applyAlignment="0" applyProtection="0"/>
    <xf numFmtId="0" fontId="5" fillId="0" borderId="0"/>
    <xf numFmtId="44" fontId="5" fillId="0" borderId="0" applyFont="0" applyFill="0" applyBorder="0" applyAlignment="0" applyProtection="0"/>
    <xf numFmtId="166" fontId="22" fillId="0" borderId="0" applyFont="0" applyFill="0" applyBorder="0" applyAlignment="0" applyProtection="0"/>
    <xf numFmtId="166" fontId="22" fillId="0" borderId="0" applyFont="0" applyFill="0" applyBorder="0" applyAlignment="0" applyProtection="0"/>
    <xf numFmtId="0" fontId="4" fillId="0" borderId="0"/>
    <xf numFmtId="9" fontId="4" fillId="0" borderId="0" applyFont="0" applyFill="0" applyBorder="0" applyAlignment="0" applyProtection="0"/>
    <xf numFmtId="166" fontId="17" fillId="0" borderId="0" applyFont="0" applyFill="0" applyBorder="0" applyAlignment="0" applyProtection="0"/>
    <xf numFmtId="0" fontId="4" fillId="0" borderId="0"/>
    <xf numFmtId="0" fontId="4" fillId="0" borderId="0"/>
    <xf numFmtId="166" fontId="4" fillId="0" borderId="0" applyFont="0" applyFill="0" applyBorder="0" applyAlignment="0" applyProtection="0"/>
    <xf numFmtId="166" fontId="4" fillId="0" borderId="0" applyFont="0" applyFill="0" applyBorder="0" applyAlignment="0" applyProtection="0"/>
    <xf numFmtId="0" fontId="4" fillId="0" borderId="0"/>
    <xf numFmtId="43" fontId="4" fillId="0" borderId="0" applyFont="0" applyFill="0" applyBorder="0" applyAlignment="0" applyProtection="0"/>
    <xf numFmtId="166" fontId="4" fillId="0" borderId="0" applyFont="0" applyFill="0" applyBorder="0" applyAlignment="0" applyProtection="0"/>
    <xf numFmtId="0" fontId="4" fillId="0" borderId="0"/>
    <xf numFmtId="0" fontId="33" fillId="0" borderId="0"/>
    <xf numFmtId="0" fontId="4" fillId="0" borderId="0"/>
    <xf numFmtId="166" fontId="4" fillId="0" borderId="0" applyFont="0" applyFill="0" applyBorder="0" applyAlignment="0" applyProtection="0"/>
    <xf numFmtId="0" fontId="4" fillId="0" borderId="0"/>
    <xf numFmtId="43" fontId="22" fillId="0" borderId="0" applyFont="0" applyFill="0" applyBorder="0" applyAlignment="0" applyProtection="0"/>
    <xf numFmtId="0" fontId="4" fillId="0" borderId="0"/>
    <xf numFmtId="166" fontId="4" fillId="0" borderId="0" applyFont="0" applyFill="0" applyBorder="0" applyAlignment="0" applyProtection="0"/>
    <xf numFmtId="166" fontId="4" fillId="0" borderId="0" applyFont="0" applyFill="0" applyBorder="0" applyAlignment="0" applyProtection="0"/>
    <xf numFmtId="0" fontId="4" fillId="0" borderId="0"/>
    <xf numFmtId="0" fontId="4" fillId="0" borderId="0"/>
    <xf numFmtId="166"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166" fontId="16" fillId="0" borderId="0" applyFont="0" applyFill="0" applyBorder="0" applyAlignment="0" applyProtection="0"/>
    <xf numFmtId="9" fontId="22"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149" fillId="0" borderId="0"/>
    <xf numFmtId="0" fontId="3" fillId="0" borderId="0"/>
    <xf numFmtId="166" fontId="3" fillId="0" borderId="0" applyFont="0" applyFill="0" applyBorder="0" applyAlignment="0" applyProtection="0"/>
    <xf numFmtId="166" fontId="22" fillId="0" borderId="0" applyFont="0" applyFill="0" applyBorder="0" applyAlignment="0" applyProtection="0"/>
    <xf numFmtId="0" fontId="26" fillId="0" borderId="0"/>
    <xf numFmtId="0" fontId="3" fillId="0" borderId="0"/>
    <xf numFmtId="0" fontId="26" fillId="0" borderId="0"/>
    <xf numFmtId="166" fontId="3" fillId="0" borderId="0" applyFont="0" applyFill="0" applyBorder="0" applyAlignment="0" applyProtection="0"/>
    <xf numFmtId="0" fontId="3" fillId="0" borderId="0"/>
    <xf numFmtId="0" fontId="3" fillId="0" borderId="0"/>
    <xf numFmtId="166" fontId="3" fillId="0" borderId="0" applyFont="0" applyFill="0" applyBorder="0" applyAlignment="0" applyProtection="0"/>
    <xf numFmtId="0" fontId="26" fillId="0" borderId="0"/>
    <xf numFmtId="0" fontId="3" fillId="0" borderId="0"/>
    <xf numFmtId="0" fontId="3" fillId="0" borderId="0"/>
    <xf numFmtId="174"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71" fontId="22"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3" fillId="0" borderId="0"/>
    <xf numFmtId="166" fontId="3"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3" fillId="0" borderId="0" applyFont="0" applyFill="0" applyBorder="0" applyAlignment="0" applyProtection="0"/>
    <xf numFmtId="0" fontId="3" fillId="0" borderId="0"/>
    <xf numFmtId="166" fontId="22" fillId="0" borderId="0" applyFont="0" applyFill="0" applyBorder="0" applyAlignment="0" applyProtection="0"/>
    <xf numFmtId="0" fontId="3" fillId="0" borderId="0"/>
    <xf numFmtId="0" fontId="3" fillId="0" borderId="0"/>
    <xf numFmtId="174" fontId="3" fillId="0" borderId="0" applyFont="0" applyFill="0" applyBorder="0" applyAlignment="0" applyProtection="0"/>
    <xf numFmtId="0" fontId="2" fillId="0" borderId="0"/>
    <xf numFmtId="166" fontId="22" fillId="0" borderId="0" applyFont="0" applyFill="0" applyBorder="0" applyAlignment="0" applyProtection="0"/>
    <xf numFmtId="43" fontId="1" fillId="0" borderId="0" applyFont="0" applyFill="0" applyBorder="0" applyAlignment="0" applyProtection="0"/>
    <xf numFmtId="177" fontId="22" fillId="0" borderId="0" applyFill="0" applyBorder="0" applyAlignment="0" applyProtection="0"/>
    <xf numFmtId="0" fontId="22" fillId="0" borderId="0"/>
    <xf numFmtId="43" fontId="23" fillId="0" borderId="0" applyFont="0" applyFill="0" applyBorder="0" applyAlignment="0" applyProtection="0"/>
    <xf numFmtId="43" fontId="156" fillId="0" borderId="0" applyFont="0" applyFill="0" applyBorder="0" applyAlignment="0" applyProtection="0"/>
  </cellStyleXfs>
  <cellXfs count="251">
    <xf numFmtId="0" fontId="0" fillId="0" borderId="0" xfId="0"/>
    <xf numFmtId="0" fontId="150" fillId="0" borderId="0" xfId="10586" applyFont="1" applyAlignment="1">
      <alignment vertical="center"/>
    </xf>
    <xf numFmtId="167" fontId="19" fillId="90" borderId="6" xfId="10584" applyNumberFormat="1" applyFont="1" applyFill="1" applyBorder="1" applyAlignment="1">
      <alignment horizontal="center" vertical="center"/>
    </xf>
    <xf numFmtId="167" fontId="19" fillId="90" borderId="6" xfId="10584" applyNumberFormat="1" applyFont="1" applyFill="1" applyBorder="1" applyAlignment="1">
      <alignment horizontal="center" vertical="center" wrapText="1"/>
    </xf>
    <xf numFmtId="0" fontId="151" fillId="0" borderId="0" xfId="10586" applyFont="1" applyAlignment="1">
      <alignment vertical="center"/>
    </xf>
    <xf numFmtId="167" fontId="18" fillId="0" borderId="6" xfId="10584" applyNumberFormat="1" applyFont="1" applyBorder="1" applyAlignment="1">
      <alignment horizontal="center" vertical="center"/>
    </xf>
    <xf numFmtId="167" fontId="18" fillId="0" borderId="6" xfId="10584" applyNumberFormat="1" applyFont="1" applyBorder="1" applyAlignment="1">
      <alignment vertical="center"/>
    </xf>
    <xf numFmtId="167" fontId="19" fillId="0" borderId="6" xfId="10584" applyNumberFormat="1" applyFont="1" applyBorder="1" applyAlignment="1">
      <alignment horizontal="center" vertical="center"/>
    </xf>
    <xf numFmtId="167" fontId="19" fillId="0" borderId="6" xfId="10584" applyNumberFormat="1" applyFont="1" applyBorder="1" applyAlignment="1">
      <alignment vertical="center"/>
    </xf>
    <xf numFmtId="167" fontId="19" fillId="0" borderId="6" xfId="10584" applyNumberFormat="1" applyFont="1" applyBorder="1" applyAlignment="1">
      <alignment horizontal="justify" vertical="center"/>
    </xf>
    <xf numFmtId="0" fontId="150" fillId="0" borderId="0" xfId="10586" applyFont="1" applyAlignment="1">
      <alignment horizontal="center" vertical="center"/>
    </xf>
    <xf numFmtId="0" fontId="153" fillId="0" borderId="6" xfId="5596" applyFont="1" applyBorder="1" applyAlignment="1">
      <alignment vertical="center" wrapText="1"/>
    </xf>
    <xf numFmtId="0" fontId="154" fillId="0" borderId="28" xfId="0" applyFont="1" applyBorder="1" applyAlignment="1">
      <alignment horizontal="center" vertical="center" wrapText="1"/>
    </xf>
    <xf numFmtId="0" fontId="154" fillId="0" borderId="28" xfId="0" applyFont="1" applyBorder="1" applyAlignment="1">
      <alignment vertical="center" wrapText="1"/>
    </xf>
    <xf numFmtId="167" fontId="154" fillId="0" borderId="28" xfId="10618" applyNumberFormat="1" applyFont="1" applyFill="1" applyBorder="1" applyAlignment="1" applyProtection="1">
      <alignment vertical="center" wrapText="1"/>
      <protection locked="0"/>
    </xf>
    <xf numFmtId="167" fontId="153" fillId="0" borderId="28" xfId="10618" applyNumberFormat="1" applyFont="1" applyFill="1" applyBorder="1" applyAlignment="1" applyProtection="1">
      <alignment vertical="center" wrapText="1"/>
      <protection locked="0"/>
    </xf>
    <xf numFmtId="0" fontId="154" fillId="0" borderId="0" xfId="0" applyFont="1" applyAlignment="1" applyProtection="1">
      <alignment vertical="center" wrapText="1"/>
      <protection locked="0"/>
    </xf>
    <xf numFmtId="14" fontId="153" fillId="0" borderId="6" xfId="5596" applyNumberFormat="1" applyFont="1" applyBorder="1" applyAlignment="1">
      <alignment vertical="center" wrapText="1"/>
    </xf>
    <xf numFmtId="0" fontId="154" fillId="0" borderId="28" xfId="55" quotePrefix="1" applyFont="1" applyBorder="1" applyAlignment="1">
      <alignment horizontal="center" vertical="center"/>
    </xf>
    <xf numFmtId="0" fontId="154" fillId="0" borderId="28" xfId="55" quotePrefix="1" applyFont="1" applyBorder="1" applyAlignment="1">
      <alignment vertical="center"/>
    </xf>
    <xf numFmtId="0" fontId="154" fillId="0" borderId="0" xfId="0" applyFont="1" applyAlignment="1" applyProtection="1">
      <alignment horizontal="center" vertical="center" wrapText="1"/>
      <protection locked="0"/>
    </xf>
    <xf numFmtId="167" fontId="153" fillId="95" borderId="28" xfId="10618" applyNumberFormat="1" applyFont="1" applyFill="1" applyBorder="1" applyAlignment="1" applyProtection="1">
      <alignment horizontal="center" vertical="center" wrapText="1"/>
    </xf>
    <xf numFmtId="171" fontId="153" fillId="0" borderId="28" xfId="10620" applyNumberFormat="1" applyFont="1" applyBorder="1" applyAlignment="1">
      <alignment horizontal="center" vertical="center" wrapText="1"/>
    </xf>
    <xf numFmtId="3" fontId="153" fillId="0" borderId="28" xfId="10620" applyNumberFormat="1" applyFont="1" applyBorder="1" applyAlignment="1">
      <alignment horizontal="left" vertical="center" wrapText="1"/>
    </xf>
    <xf numFmtId="0" fontId="153" fillId="0" borderId="28" xfId="10620" applyFont="1" applyBorder="1" applyAlignment="1">
      <alignment horizontal="center" vertical="center" wrapText="1"/>
    </xf>
    <xf numFmtId="0" fontId="154" fillId="0" borderId="28" xfId="10618" applyNumberFormat="1" applyFont="1" applyFill="1" applyBorder="1" applyAlignment="1" applyProtection="1">
      <alignment vertical="center" wrapText="1"/>
    </xf>
    <xf numFmtId="0" fontId="153" fillId="0" borderId="28" xfId="0" applyFont="1" applyBorder="1" applyAlignment="1">
      <alignment horizontal="center" vertical="center" wrapText="1"/>
    </xf>
    <xf numFmtId="0" fontId="155" fillId="0" borderId="28" xfId="0" applyFont="1" applyBorder="1" applyAlignment="1">
      <alignment horizontal="left" vertical="center" wrapText="1"/>
    </xf>
    <xf numFmtId="167" fontId="153" fillId="0" borderId="0" xfId="10618" applyNumberFormat="1" applyFont="1" applyFill="1" applyBorder="1" applyAlignment="1" applyProtection="1">
      <alignment vertical="center" wrapText="1"/>
      <protection locked="0"/>
    </xf>
    <xf numFmtId="1" fontId="155" fillId="0" borderId="28" xfId="0" applyNumberFormat="1" applyFont="1" applyBorder="1" applyAlignment="1">
      <alignment horizontal="center" vertical="center" wrapText="1"/>
    </xf>
    <xf numFmtId="0" fontId="155" fillId="0" borderId="28" xfId="0" quotePrefix="1" applyFont="1" applyBorder="1" applyAlignment="1">
      <alignment horizontal="left" vertical="center" wrapText="1"/>
    </xf>
    <xf numFmtId="2" fontId="154" fillId="0" borderId="28" xfId="0" applyNumberFormat="1" applyFont="1" applyBorder="1" applyAlignment="1">
      <alignment horizontal="center" vertical="center" wrapText="1"/>
    </xf>
    <xf numFmtId="0" fontId="154" fillId="0" borderId="28" xfId="0" quotePrefix="1" applyFont="1" applyBorder="1" applyAlignment="1">
      <alignment horizontal="left" vertical="center" wrapText="1"/>
    </xf>
    <xf numFmtId="167" fontId="153" fillId="0" borderId="28" xfId="10618" applyNumberFormat="1" applyFont="1" applyFill="1" applyBorder="1" applyAlignment="1" applyProtection="1">
      <alignment vertical="center" wrapText="1"/>
    </xf>
    <xf numFmtId="220" fontId="154" fillId="0" borderId="28" xfId="10619" applyNumberFormat="1" applyFont="1" applyFill="1" applyBorder="1" applyAlignment="1" applyProtection="1">
      <alignment horizontal="center" vertical="center" wrapText="1"/>
    </xf>
    <xf numFmtId="220" fontId="153" fillId="0" borderId="28" xfId="10619" applyNumberFormat="1" applyFont="1" applyFill="1" applyBorder="1" applyAlignment="1" applyProtection="1">
      <alignment horizontal="center" vertical="center" wrapText="1"/>
    </xf>
    <xf numFmtId="220" fontId="154" fillId="0" borderId="0" xfId="0" applyNumberFormat="1" applyFont="1" applyAlignment="1" applyProtection="1">
      <alignment vertical="center" wrapText="1"/>
      <protection locked="0"/>
    </xf>
    <xf numFmtId="1" fontId="154" fillId="0" borderId="28" xfId="0" applyNumberFormat="1" applyFont="1" applyBorder="1" applyAlignment="1">
      <alignment horizontal="center" vertical="center" wrapText="1"/>
    </xf>
    <xf numFmtId="0" fontId="154" fillId="0" borderId="28" xfId="0" applyFont="1" applyBorder="1" applyAlignment="1">
      <alignment horizontal="left" vertical="center" wrapText="1"/>
    </xf>
    <xf numFmtId="2" fontId="153" fillId="0" borderId="28" xfId="0" applyNumberFormat="1" applyFont="1" applyBorder="1" applyAlignment="1">
      <alignment horizontal="center" vertical="center" wrapText="1"/>
    </xf>
    <xf numFmtId="0" fontId="153" fillId="0" borderId="28" xfId="0" applyFont="1" applyBorder="1" applyAlignment="1">
      <alignment horizontal="left" vertical="center" wrapText="1"/>
    </xf>
    <xf numFmtId="171" fontId="154" fillId="0" borderId="28" xfId="0" applyNumberFormat="1" applyFont="1" applyBorder="1" applyAlignment="1">
      <alignment horizontal="center" vertical="center" wrapText="1"/>
    </xf>
    <xf numFmtId="0" fontId="153" fillId="0" borderId="28" xfId="0" quotePrefix="1" applyFont="1" applyBorder="1" applyAlignment="1">
      <alignment horizontal="left" vertical="center" wrapText="1"/>
    </xf>
    <xf numFmtId="1" fontId="155" fillId="96" borderId="28" xfId="0" applyNumberFormat="1" applyFont="1" applyFill="1" applyBorder="1" applyAlignment="1">
      <alignment horizontal="center" vertical="center" wrapText="1"/>
    </xf>
    <xf numFmtId="0" fontId="154" fillId="96" borderId="28" xfId="0" applyFont="1" applyFill="1" applyBorder="1" applyAlignment="1">
      <alignment horizontal="center" vertical="center" wrapText="1"/>
    </xf>
    <xf numFmtId="167" fontId="153" fillId="96" borderId="28" xfId="10618" applyNumberFormat="1" applyFont="1" applyFill="1" applyBorder="1" applyAlignment="1" applyProtection="1">
      <alignment vertical="center" wrapText="1"/>
    </xf>
    <xf numFmtId="167" fontId="154" fillId="96" borderId="28" xfId="10618" applyNumberFormat="1" applyFont="1" applyFill="1" applyBorder="1" applyAlignment="1" applyProtection="1">
      <alignment vertical="center" wrapText="1"/>
      <protection locked="0"/>
    </xf>
    <xf numFmtId="167" fontId="153" fillId="96" borderId="28" xfId="10618" applyNumberFormat="1" applyFont="1" applyFill="1" applyBorder="1" applyAlignment="1" applyProtection="1">
      <alignment vertical="center" wrapText="1"/>
      <protection locked="0"/>
    </xf>
    <xf numFmtId="0" fontId="154" fillId="0" borderId="28" xfId="0" applyFont="1" applyBorder="1" applyAlignment="1">
      <alignment horizontal="justify" vertical="center" wrapText="1"/>
    </xf>
    <xf numFmtId="0" fontId="153" fillId="0" borderId="28" xfId="0" applyFont="1" applyBorder="1" applyAlignment="1">
      <alignment horizontal="justify" vertical="center" wrapText="1"/>
    </xf>
    <xf numFmtId="0" fontId="154" fillId="0" borderId="28" xfId="0" quotePrefix="1" applyFont="1" applyBorder="1" applyAlignment="1">
      <alignment horizontal="justify" vertical="center" wrapText="1"/>
    </xf>
    <xf numFmtId="0" fontId="153" fillId="0" borderId="28" xfId="0" quotePrefix="1" applyFont="1" applyBorder="1" applyAlignment="1">
      <alignment horizontal="justify" vertical="center" wrapText="1"/>
    </xf>
    <xf numFmtId="167" fontId="154" fillId="0" borderId="28" xfId="10621" applyNumberFormat="1" applyFont="1" applyFill="1" applyBorder="1" applyAlignment="1" applyProtection="1">
      <alignment vertical="center" wrapText="1"/>
    </xf>
    <xf numFmtId="0" fontId="155" fillId="96" borderId="28" xfId="0" applyFont="1" applyFill="1" applyBorder="1" applyAlignment="1">
      <alignment horizontal="right" vertical="center" wrapText="1"/>
    </xf>
    <xf numFmtId="167" fontId="154" fillId="96" borderId="28" xfId="10618" applyNumberFormat="1" applyFont="1" applyFill="1" applyBorder="1" applyAlignment="1" applyProtection="1">
      <alignment vertical="center" wrapText="1"/>
    </xf>
    <xf numFmtId="167" fontId="154" fillId="0" borderId="0" xfId="0" applyNumberFormat="1" applyFont="1" applyAlignment="1" applyProtection="1">
      <alignment vertical="center" wrapText="1"/>
      <protection locked="0"/>
    </xf>
    <xf numFmtId="43" fontId="154" fillId="0" borderId="0" xfId="10519" applyFont="1" applyAlignment="1" applyProtection="1">
      <alignment vertical="center" wrapText="1"/>
      <protection locked="0"/>
    </xf>
    <xf numFmtId="43" fontId="153" fillId="0" borderId="0" xfId="0" applyNumberFormat="1" applyFont="1" applyAlignment="1" applyProtection="1">
      <alignment vertical="center" wrapText="1"/>
      <protection locked="0"/>
    </xf>
    <xf numFmtId="43" fontId="153" fillId="96" borderId="28" xfId="10618" applyFont="1" applyFill="1" applyBorder="1" applyAlignment="1" applyProtection="1">
      <alignment horizontal="right" vertical="center" wrapText="1"/>
    </xf>
    <xf numFmtId="0" fontId="153" fillId="96" borderId="28" xfId="10618" applyNumberFormat="1" applyFont="1" applyFill="1" applyBorder="1" applyAlignment="1" applyProtection="1">
      <alignment horizontal="right" vertical="center" wrapText="1"/>
    </xf>
    <xf numFmtId="167" fontId="153" fillId="96" borderId="28" xfId="10618" applyNumberFormat="1" applyFont="1" applyFill="1" applyBorder="1" applyAlignment="1" applyProtection="1">
      <alignment horizontal="right" vertical="center" wrapText="1"/>
      <protection locked="0"/>
    </xf>
    <xf numFmtId="0" fontId="153" fillId="0" borderId="0" xfId="0" applyFont="1" applyAlignment="1" applyProtection="1">
      <alignment vertical="center" wrapText="1"/>
      <protection locked="0"/>
    </xf>
    <xf numFmtId="43" fontId="154" fillId="0" borderId="0" xfId="0" applyNumberFormat="1" applyFont="1" applyAlignment="1" applyProtection="1">
      <alignment vertical="center" wrapText="1"/>
      <protection locked="0"/>
    </xf>
    <xf numFmtId="0" fontId="154" fillId="0" borderId="0" xfId="0" applyFont="1" applyAlignment="1">
      <alignment horizontal="center" vertical="center" wrapText="1"/>
    </xf>
    <xf numFmtId="0" fontId="154" fillId="0" borderId="0" xfId="0" applyFont="1" applyAlignment="1">
      <alignment horizontal="left" vertical="center" wrapText="1"/>
    </xf>
    <xf numFmtId="0" fontId="154" fillId="0" borderId="0" xfId="10618" applyNumberFormat="1" applyFont="1" applyFill="1" applyBorder="1" applyAlignment="1" applyProtection="1">
      <alignment vertical="center" wrapText="1"/>
    </xf>
    <xf numFmtId="167" fontId="154" fillId="0" borderId="0" xfId="10618" applyNumberFormat="1" applyFont="1" applyFill="1" applyBorder="1" applyAlignment="1" applyProtection="1">
      <alignment vertical="center" wrapText="1"/>
      <protection locked="0"/>
    </xf>
    <xf numFmtId="0" fontId="155" fillId="96" borderId="28" xfId="0" applyFont="1" applyFill="1" applyBorder="1" applyAlignment="1">
      <alignment horizontal="left" vertical="center" wrapText="1"/>
    </xf>
    <xf numFmtId="0" fontId="155" fillId="96" borderId="28" xfId="0" quotePrefix="1" applyFont="1" applyFill="1" applyBorder="1" applyAlignment="1">
      <alignment horizontal="left" vertical="center" wrapText="1"/>
    </xf>
    <xf numFmtId="171" fontId="157" fillId="91" borderId="7" xfId="10586" applyNumberFormat="1" applyFont="1" applyFill="1" applyBorder="1" applyAlignment="1">
      <alignment horizontal="center" vertical="center"/>
    </xf>
    <xf numFmtId="0" fontId="157" fillId="91" borderId="7" xfId="10586" applyFont="1" applyFill="1" applyBorder="1" applyAlignment="1">
      <alignment horizontal="center" vertical="center"/>
    </xf>
    <xf numFmtId="0" fontId="157" fillId="91" borderId="7" xfId="10586" applyFont="1" applyFill="1" applyBorder="1" applyAlignment="1">
      <alignment horizontal="center" vertical="center" wrapText="1"/>
    </xf>
    <xf numFmtId="167" fontId="157" fillId="91" borderId="7" xfId="10584" applyNumberFormat="1" applyFont="1" applyFill="1" applyBorder="1" applyAlignment="1">
      <alignment horizontal="center" vertical="center"/>
    </xf>
    <xf numFmtId="167" fontId="157" fillId="91" borderId="7" xfId="10584" applyNumberFormat="1" applyFont="1" applyFill="1" applyBorder="1" applyAlignment="1">
      <alignment vertical="center"/>
    </xf>
    <xf numFmtId="0" fontId="158" fillId="0" borderId="0" xfId="10586" applyFont="1" applyAlignment="1">
      <alignment horizontal="center" vertical="center"/>
    </xf>
    <xf numFmtId="171" fontId="159" fillId="3" borderId="6" xfId="10586" applyNumberFormat="1" applyFont="1" applyFill="1" applyBorder="1" applyAlignment="1">
      <alignment horizontal="center" vertical="center" wrapText="1"/>
    </xf>
    <xf numFmtId="0" fontId="159" fillId="3" borderId="6" xfId="10586" applyFont="1" applyFill="1" applyBorder="1" applyAlignment="1">
      <alignment horizontal="center" vertical="center" wrapText="1"/>
    </xf>
    <xf numFmtId="167" fontId="159" fillId="3" borderId="6" xfId="10584" applyNumberFormat="1" applyFont="1" applyFill="1" applyBorder="1" applyAlignment="1">
      <alignment horizontal="center" vertical="center" wrapText="1"/>
    </xf>
    <xf numFmtId="167" fontId="159" fillId="3" borderId="6" xfId="10584" applyNumberFormat="1" applyFont="1" applyFill="1" applyBorder="1" applyAlignment="1">
      <alignment vertical="center"/>
    </xf>
    <xf numFmtId="167" fontId="159" fillId="3" borderId="6" xfId="10584" applyNumberFormat="1" applyFont="1" applyFill="1" applyBorder="1" applyAlignment="1">
      <alignment horizontal="center" vertical="center"/>
    </xf>
    <xf numFmtId="0" fontId="159" fillId="0" borderId="0" xfId="10586" applyFont="1" applyAlignment="1">
      <alignment vertical="center"/>
    </xf>
    <xf numFmtId="171" fontId="159" fillId="3" borderId="6" xfId="10586" applyNumberFormat="1" applyFont="1" applyFill="1" applyBorder="1" applyAlignment="1">
      <alignment horizontal="center" vertical="center"/>
    </xf>
    <xf numFmtId="0" fontId="159" fillId="3" borderId="6" xfId="10586" applyFont="1" applyFill="1" applyBorder="1" applyAlignment="1">
      <alignment horizontal="center" vertical="center"/>
    </xf>
    <xf numFmtId="0" fontId="159" fillId="0" borderId="0" xfId="10586" applyFont="1" applyAlignment="1">
      <alignment horizontal="center" vertical="center"/>
    </xf>
    <xf numFmtId="171" fontId="159" fillId="3" borderId="6" xfId="10586" applyNumberFormat="1" applyFont="1" applyFill="1" applyBorder="1" applyAlignment="1">
      <alignment horizontal="left" vertical="center"/>
    </xf>
    <xf numFmtId="167" fontId="159" fillId="3" borderId="6" xfId="10584" applyNumberFormat="1" applyFont="1" applyFill="1" applyBorder="1" applyAlignment="1">
      <alignment vertical="center" wrapText="1"/>
    </xf>
    <xf numFmtId="0" fontId="160" fillId="92" borderId="6" xfId="10586" applyFont="1" applyFill="1" applyBorder="1" applyAlignment="1">
      <alignment horizontal="center" vertical="center"/>
    </xf>
    <xf numFmtId="0" fontId="161" fillId="92" borderId="6" xfId="10586" applyFont="1" applyFill="1" applyBorder="1" applyAlignment="1">
      <alignment horizontal="left" vertical="center" wrapText="1"/>
    </xf>
    <xf numFmtId="0" fontId="161" fillId="92" borderId="6" xfId="10586" applyFont="1" applyFill="1" applyBorder="1" applyAlignment="1">
      <alignment horizontal="left" vertical="center"/>
    </xf>
    <xf numFmtId="167" fontId="160" fillId="92" borderId="6" xfId="10584" applyNumberFormat="1" applyFont="1" applyFill="1" applyBorder="1" applyAlignment="1">
      <alignment horizontal="center" vertical="center"/>
    </xf>
    <xf numFmtId="167" fontId="160" fillId="92" borderId="6" xfId="10584" applyNumberFormat="1" applyFont="1" applyFill="1" applyBorder="1" applyAlignment="1">
      <alignment vertical="center"/>
    </xf>
    <xf numFmtId="0" fontId="162" fillId="0" borderId="0" xfId="10586" applyFont="1" applyAlignment="1">
      <alignment vertical="center"/>
    </xf>
    <xf numFmtId="0" fontId="160" fillId="0" borderId="0" xfId="10586" applyFont="1" applyAlignment="1">
      <alignment horizontal="center" vertical="center"/>
    </xf>
    <xf numFmtId="171" fontId="158" fillId="0" borderId="6" xfId="10586" applyNumberFormat="1" applyFont="1" applyBorder="1" applyAlignment="1">
      <alignment horizontal="center" vertical="center"/>
    </xf>
    <xf numFmtId="0" fontId="158" fillId="0" borderId="6" xfId="10586" applyFont="1" applyBorder="1" applyAlignment="1">
      <alignment vertical="center"/>
    </xf>
    <xf numFmtId="0" fontId="158" fillId="0" borderId="6" xfId="10586" applyFont="1" applyBorder="1" applyAlignment="1">
      <alignment horizontal="center" vertical="center"/>
    </xf>
    <xf numFmtId="167" fontId="158" fillId="0" borderId="6" xfId="10584" applyNumberFormat="1" applyFont="1" applyBorder="1" applyAlignment="1">
      <alignment horizontal="center" vertical="center"/>
    </xf>
    <xf numFmtId="167" fontId="158" fillId="0" borderId="6" xfId="10584" applyNumberFormat="1" applyFont="1" applyBorder="1" applyAlignment="1">
      <alignment vertical="center"/>
    </xf>
    <xf numFmtId="0" fontId="158" fillId="0" borderId="0" xfId="10586" applyFont="1" applyAlignment="1">
      <alignment vertical="center"/>
    </xf>
    <xf numFmtId="0" fontId="163" fillId="0" borderId="0" xfId="10586" applyFont="1" applyAlignment="1">
      <alignment vertical="center"/>
    </xf>
    <xf numFmtId="49" fontId="164" fillId="0" borderId="6" xfId="10586" applyNumberFormat="1" applyFont="1" applyBorder="1" applyAlignment="1">
      <alignment horizontal="center" vertical="center"/>
    </xf>
    <xf numFmtId="49" fontId="164" fillId="0" borderId="6" xfId="10586" applyNumberFormat="1" applyFont="1" applyBorder="1" applyAlignment="1">
      <alignment vertical="center"/>
    </xf>
    <xf numFmtId="0" fontId="163" fillId="0" borderId="6" xfId="10586" applyFont="1" applyBorder="1" applyAlignment="1">
      <alignment horizontal="center" vertical="center"/>
    </xf>
    <xf numFmtId="0" fontId="163" fillId="0" borderId="6" xfId="10586" applyFont="1" applyBorder="1" applyAlignment="1">
      <alignment vertical="center"/>
    </xf>
    <xf numFmtId="49" fontId="165" fillId="0" borderId="6" xfId="10586" quotePrefix="1" applyNumberFormat="1" applyFont="1" applyBorder="1" applyAlignment="1">
      <alignment horizontal="justify" vertical="center" wrapText="1"/>
    </xf>
    <xf numFmtId="49" fontId="165" fillId="0" borderId="6" xfId="10586" quotePrefix="1" applyNumberFormat="1" applyFont="1" applyBorder="1" applyAlignment="1">
      <alignment horizontal="left" vertical="center" wrapText="1"/>
    </xf>
    <xf numFmtId="0" fontId="164" fillId="0" borderId="6" xfId="10586" applyFont="1" applyBorder="1" applyAlignment="1">
      <alignment horizontal="center" vertical="center"/>
    </xf>
    <xf numFmtId="167" fontId="158" fillId="0" borderId="6" xfId="10584" applyNumberFormat="1" applyFont="1" applyFill="1" applyBorder="1" applyAlignment="1">
      <alignment horizontal="center" vertical="center"/>
    </xf>
    <xf numFmtId="49" fontId="165" fillId="0" borderId="6" xfId="10586" applyNumberFormat="1" applyFont="1" applyBorder="1" applyAlignment="1">
      <alignment horizontal="justify" vertical="center" wrapText="1"/>
    </xf>
    <xf numFmtId="167" fontId="158" fillId="0" borderId="6" xfId="10584" applyNumberFormat="1" applyFont="1" applyFill="1" applyBorder="1" applyAlignment="1">
      <alignment vertical="center"/>
    </xf>
    <xf numFmtId="49" fontId="165" fillId="0" borderId="6" xfId="10586" applyNumberFormat="1" applyFont="1" applyBorder="1" applyAlignment="1">
      <alignment horizontal="left" vertical="center" wrapText="1"/>
    </xf>
    <xf numFmtId="49" fontId="164" fillId="0" borderId="6" xfId="10586" quotePrefix="1" applyNumberFormat="1" applyFont="1" applyBorder="1" applyAlignment="1">
      <alignment horizontal="left" vertical="center"/>
    </xf>
    <xf numFmtId="0" fontId="163" fillId="0" borderId="6" xfId="10586" applyFont="1" applyBorder="1" applyAlignment="1">
      <alignment horizontal="left" vertical="center" wrapText="1"/>
    </xf>
    <xf numFmtId="49" fontId="165" fillId="0" borderId="6" xfId="10586" applyNumberFormat="1" applyFont="1" applyBorder="1" applyAlignment="1">
      <alignment horizontal="center" vertical="center"/>
    </xf>
    <xf numFmtId="170" fontId="158" fillId="0" borderId="6" xfId="58" quotePrefix="1" applyFont="1" applyBorder="1" applyAlignment="1">
      <alignment horizontal="justify" vertical="center" wrapText="1"/>
    </xf>
    <xf numFmtId="49" fontId="164" fillId="0" borderId="6" xfId="10586" quotePrefix="1" applyNumberFormat="1" applyFont="1" applyBorder="1" applyAlignment="1">
      <alignment horizontal="left" vertical="center" wrapText="1"/>
    </xf>
    <xf numFmtId="0" fontId="158" fillId="0" borderId="6" xfId="10586" applyFont="1" applyBorder="1" applyAlignment="1">
      <alignment horizontal="left" vertical="center" wrapText="1"/>
    </xf>
    <xf numFmtId="0" fontId="160" fillId="89" borderId="6" xfId="10586" applyFont="1" applyFill="1" applyBorder="1" applyAlignment="1">
      <alignment horizontal="center" vertical="center"/>
    </xf>
    <xf numFmtId="0" fontId="160" fillId="89" borderId="6" xfId="10586" applyFont="1" applyFill="1" applyBorder="1" applyAlignment="1">
      <alignment horizontal="left" vertical="center" wrapText="1"/>
    </xf>
    <xf numFmtId="167" fontId="160" fillId="89" borderId="6" xfId="10584" applyNumberFormat="1" applyFont="1" applyFill="1" applyBorder="1" applyAlignment="1">
      <alignment horizontal="center" vertical="center"/>
    </xf>
    <xf numFmtId="167" fontId="160" fillId="89" borderId="6" xfId="10584" applyNumberFormat="1" applyFont="1" applyFill="1" applyBorder="1" applyAlignment="1">
      <alignment vertical="center"/>
    </xf>
    <xf numFmtId="0" fontId="166" fillId="0" borderId="6" xfId="10586" applyFont="1" applyBorder="1" applyAlignment="1">
      <alignment vertical="center"/>
    </xf>
    <xf numFmtId="0" fontId="167" fillId="0" borderId="6" xfId="10586" applyFont="1" applyBorder="1" applyAlignment="1">
      <alignment vertical="center" wrapText="1"/>
    </xf>
    <xf numFmtId="2" fontId="158" fillId="0" borderId="6" xfId="10586" applyNumberFormat="1" applyFont="1" applyBorder="1" applyAlignment="1">
      <alignment horizontal="center" vertical="center"/>
    </xf>
    <xf numFmtId="0" fontId="168" fillId="0" borderId="6" xfId="10586" applyFont="1" applyBorder="1" applyAlignment="1">
      <alignment horizontal="left" vertical="center" wrapText="1"/>
    </xf>
    <xf numFmtId="0" fontId="158" fillId="0" borderId="6" xfId="10586" applyFont="1" applyBorder="1" applyAlignment="1">
      <alignment horizontal="justify" vertical="center"/>
    </xf>
    <xf numFmtId="0" fontId="169" fillId="0" borderId="6" xfId="10586" applyFont="1" applyBorder="1" applyAlignment="1">
      <alignment horizontal="justify" vertical="center"/>
    </xf>
    <xf numFmtId="0" fontId="170" fillId="0" borderId="6" xfId="10586" applyFont="1" applyBorder="1" applyAlignment="1">
      <alignment horizontal="justify" vertical="center"/>
    </xf>
    <xf numFmtId="0" fontId="158" fillId="93" borderId="6" xfId="10506" applyFont="1" applyFill="1" applyBorder="1" applyAlignment="1">
      <alignment horizontal="left" vertical="center" wrapText="1"/>
    </xf>
    <xf numFmtId="167" fontId="158" fillId="2" borderId="6" xfId="10589" applyNumberFormat="1" applyFont="1" applyFill="1" applyBorder="1" applyAlignment="1">
      <alignment vertical="center" wrapText="1"/>
    </xf>
    <xf numFmtId="167" fontId="161" fillId="92" borderId="6" xfId="10584" applyNumberFormat="1" applyFont="1" applyFill="1" applyBorder="1" applyAlignment="1">
      <alignment vertical="center"/>
    </xf>
    <xf numFmtId="167" fontId="161" fillId="92" borderId="6" xfId="10584" applyNumberFormat="1" applyFont="1" applyFill="1" applyBorder="1" applyAlignment="1">
      <alignment horizontal="center" vertical="center"/>
    </xf>
    <xf numFmtId="0" fontId="158" fillId="0" borderId="6" xfId="10586" applyFont="1" applyBorder="1" applyAlignment="1">
      <alignment vertical="center" wrapText="1"/>
    </xf>
    <xf numFmtId="0" fontId="171" fillId="0" borderId="6" xfId="10586" applyFont="1" applyBorder="1" applyAlignment="1">
      <alignment horizontal="justify" vertical="center"/>
    </xf>
    <xf numFmtId="0" fontId="159" fillId="0" borderId="6" xfId="10586" applyFont="1" applyBorder="1" applyAlignment="1">
      <alignment horizontal="left" vertical="center"/>
    </xf>
    <xf numFmtId="0" fontId="158" fillId="0" borderId="6" xfId="10586" applyFont="1" applyBorder="1" applyAlignment="1">
      <alignment horizontal="left" vertical="center"/>
    </xf>
    <xf numFmtId="167" fontId="158" fillId="0" borderId="6" xfId="10588" applyNumberFormat="1" applyFont="1" applyBorder="1" applyAlignment="1">
      <alignment horizontal="center" vertical="center"/>
    </xf>
    <xf numFmtId="167" fontId="158" fillId="0" borderId="6" xfId="10588" applyNumberFormat="1" applyFont="1" applyBorder="1" applyAlignment="1">
      <alignment vertical="center"/>
    </xf>
    <xf numFmtId="1" fontId="158" fillId="0" borderId="6" xfId="10588" applyNumberFormat="1" applyFont="1" applyFill="1" applyBorder="1" applyAlignment="1">
      <alignment horizontal="center" vertical="center"/>
    </xf>
    <xf numFmtId="167" fontId="158" fillId="0" borderId="6" xfId="10588" applyNumberFormat="1" applyFont="1" applyFill="1" applyBorder="1" applyAlignment="1">
      <alignment vertical="center"/>
    </xf>
    <xf numFmtId="0" fontId="159" fillId="0" borderId="6" xfId="10586" applyFont="1" applyBorder="1" applyAlignment="1">
      <alignment vertical="center"/>
    </xf>
    <xf numFmtId="171" fontId="158" fillId="2" borderId="6" xfId="10586" applyNumberFormat="1" applyFont="1" applyFill="1" applyBorder="1" applyAlignment="1">
      <alignment horizontal="center" vertical="center"/>
    </xf>
    <xf numFmtId="0" fontId="172" fillId="2" borderId="6" xfId="10586" applyFont="1" applyFill="1" applyBorder="1" applyAlignment="1">
      <alignment vertical="center"/>
    </xf>
    <xf numFmtId="0" fontId="163" fillId="2" borderId="6" xfId="10586" applyFont="1" applyFill="1" applyBorder="1" applyAlignment="1">
      <alignment horizontal="center" vertical="center"/>
    </xf>
    <xf numFmtId="0" fontId="158" fillId="2" borderId="6" xfId="10586" applyFont="1" applyFill="1" applyBorder="1" applyAlignment="1">
      <alignment horizontal="center" vertical="center"/>
    </xf>
    <xf numFmtId="0" fontId="163" fillId="2" borderId="6" xfId="10586" applyFont="1" applyFill="1" applyBorder="1" applyAlignment="1">
      <alignment horizontal="left" vertical="center"/>
    </xf>
    <xf numFmtId="0" fontId="163" fillId="2" borderId="6" xfId="10586" applyFont="1" applyFill="1" applyBorder="1" applyAlignment="1">
      <alignment vertical="center"/>
    </xf>
    <xf numFmtId="0" fontId="158" fillId="94" borderId="6" xfId="10586" applyFont="1" applyFill="1" applyBorder="1" applyAlignment="1">
      <alignment vertical="center"/>
    </xf>
    <xf numFmtId="167" fontId="163" fillId="0" borderId="6" xfId="10584" applyNumberFormat="1" applyFont="1" applyFill="1" applyBorder="1" applyAlignment="1">
      <alignment vertical="center"/>
    </xf>
    <xf numFmtId="2" fontId="158" fillId="2" borderId="6" xfId="10586" applyNumberFormat="1" applyFont="1" applyFill="1" applyBorder="1" applyAlignment="1">
      <alignment horizontal="center" vertical="center"/>
    </xf>
    <xf numFmtId="0" fontId="158" fillId="2" borderId="6" xfId="10586" applyFont="1" applyFill="1" applyBorder="1" applyAlignment="1">
      <alignment vertical="center"/>
    </xf>
    <xf numFmtId="167" fontId="158" fillId="2" borderId="6" xfId="10584" applyNumberFormat="1" applyFont="1" applyFill="1" applyBorder="1" applyAlignment="1">
      <alignment horizontal="center" vertical="center"/>
    </xf>
    <xf numFmtId="0" fontId="158" fillId="2" borderId="0" xfId="10586" applyFont="1" applyFill="1" applyAlignment="1">
      <alignment vertical="center"/>
    </xf>
    <xf numFmtId="171" fontId="159" fillId="94" borderId="6" xfId="10586" applyNumberFormat="1" applyFont="1" applyFill="1" applyBorder="1" applyAlignment="1">
      <alignment horizontal="center" vertical="center"/>
    </xf>
    <xf numFmtId="0" fontId="167" fillId="94" borderId="6" xfId="10586" applyFont="1" applyFill="1" applyBorder="1" applyAlignment="1">
      <alignment vertical="center"/>
    </xf>
    <xf numFmtId="0" fontId="158" fillId="94" borderId="6" xfId="10586" applyFont="1" applyFill="1" applyBorder="1" applyAlignment="1">
      <alignment horizontal="center" vertical="center"/>
    </xf>
    <xf numFmtId="167" fontId="158" fillId="94" borderId="6" xfId="10584" applyNumberFormat="1" applyFont="1" applyFill="1" applyBorder="1" applyAlignment="1">
      <alignment vertical="center"/>
    </xf>
    <xf numFmtId="167" fontId="158" fillId="94" borderId="6" xfId="10584" applyNumberFormat="1" applyFont="1" applyFill="1" applyBorder="1" applyAlignment="1">
      <alignment horizontal="center" vertical="center"/>
    </xf>
    <xf numFmtId="171" fontId="158" fillId="94" borderId="6" xfId="10586" applyNumberFormat="1" applyFont="1" applyFill="1" applyBorder="1" applyAlignment="1">
      <alignment horizontal="center" vertical="center"/>
    </xf>
    <xf numFmtId="0" fontId="158" fillId="94" borderId="6" xfId="10586" applyFont="1" applyFill="1" applyBorder="1" applyAlignment="1">
      <alignment horizontal="left" vertical="center" wrapText="1"/>
    </xf>
    <xf numFmtId="49" fontId="164" fillId="0" borderId="6" xfId="10586" applyNumberFormat="1" applyFont="1" applyBorder="1" applyAlignment="1">
      <alignment vertical="center" wrapText="1"/>
    </xf>
    <xf numFmtId="0" fontId="159" fillId="2" borderId="6" xfId="10590" applyFont="1" applyFill="1" applyBorder="1" applyAlignment="1">
      <alignment horizontal="center" vertical="center" wrapText="1"/>
    </xf>
    <xf numFmtId="0" fontId="159" fillId="2" borderId="6" xfId="10590" applyFont="1" applyFill="1" applyBorder="1" applyAlignment="1">
      <alignment horizontal="left" vertical="center" wrapText="1"/>
    </xf>
    <xf numFmtId="167" fontId="159" fillId="94" borderId="6" xfId="10584" applyNumberFormat="1" applyFont="1" applyFill="1" applyBorder="1" applyAlignment="1">
      <alignment vertical="center"/>
    </xf>
    <xf numFmtId="167" fontId="159" fillId="0" borderId="6" xfId="10584" applyNumberFormat="1" applyFont="1" applyBorder="1" applyAlignment="1">
      <alignment horizontal="center" vertical="center"/>
    </xf>
    <xf numFmtId="0" fontId="158" fillId="0" borderId="6" xfId="10590" applyFont="1" applyBorder="1" applyAlignment="1">
      <alignment horizontal="center" vertical="center" wrapText="1"/>
    </xf>
    <xf numFmtId="0" fontId="158" fillId="0" borderId="6" xfId="10590" applyFont="1" applyBorder="1" applyAlignment="1">
      <alignment horizontal="left" vertical="center" wrapText="1"/>
    </xf>
    <xf numFmtId="0" fontId="173" fillId="0" borderId="6" xfId="10590" applyFont="1" applyBorder="1" applyAlignment="1">
      <alignment horizontal="left" vertical="center" wrapText="1"/>
    </xf>
    <xf numFmtId="171" fontId="158" fillId="0" borderId="6" xfId="10590" applyNumberFormat="1" applyFont="1" applyBorder="1" applyAlignment="1">
      <alignment horizontal="center" vertical="center" wrapText="1"/>
    </xf>
    <xf numFmtId="0" fontId="169" fillId="0" borderId="6" xfId="10590" applyFont="1" applyBorder="1" applyAlignment="1">
      <alignment horizontal="center" vertical="center" wrapText="1"/>
    </xf>
    <xf numFmtId="0" fontId="159" fillId="0" borderId="6" xfId="10590" applyFont="1" applyBorder="1" applyAlignment="1">
      <alignment horizontal="center" vertical="center" wrapText="1"/>
    </xf>
    <xf numFmtId="0" fontId="159" fillId="0" borderId="6" xfId="10590" applyFont="1" applyBorder="1" applyAlignment="1">
      <alignment horizontal="left" vertical="center" wrapText="1"/>
    </xf>
    <xf numFmtId="167" fontId="159" fillId="0" borderId="6" xfId="10584" applyNumberFormat="1" applyFont="1" applyFill="1" applyBorder="1" applyAlignment="1">
      <alignment vertical="center"/>
    </xf>
    <xf numFmtId="0" fontId="163" fillId="0" borderId="6" xfId="10590" applyFont="1" applyBorder="1" applyAlignment="1">
      <alignment horizontal="center" vertical="center" wrapText="1"/>
    </xf>
    <xf numFmtId="0" fontId="163" fillId="0" borderId="6" xfId="10590" applyFont="1" applyBorder="1" applyAlignment="1">
      <alignment horizontal="left" vertical="center" wrapText="1"/>
    </xf>
    <xf numFmtId="167" fontId="163" fillId="0" borderId="6" xfId="10584" applyNumberFormat="1" applyFont="1" applyFill="1" applyBorder="1" applyAlignment="1">
      <alignment horizontal="center" vertical="center"/>
    </xf>
    <xf numFmtId="167" fontId="163" fillId="0" borderId="6" xfId="10584" applyNumberFormat="1" applyFont="1" applyFill="1" applyBorder="1" applyAlignment="1" applyProtection="1">
      <alignment vertical="center"/>
      <protection locked="0"/>
    </xf>
    <xf numFmtId="2" fontId="158" fillId="0" borderId="6" xfId="10590" applyNumberFormat="1" applyFont="1" applyBorder="1" applyAlignment="1">
      <alignment horizontal="center" vertical="center" wrapText="1"/>
    </xf>
    <xf numFmtId="0" fontId="172" fillId="0" borderId="6" xfId="10586" applyFont="1" applyBorder="1" applyAlignment="1">
      <alignment horizontal="center" vertical="center"/>
    </xf>
    <xf numFmtId="0" fontId="158" fillId="0" borderId="6" xfId="10590" applyFont="1" applyBorder="1" applyAlignment="1">
      <alignment horizontal="justify" vertical="center" wrapText="1"/>
    </xf>
    <xf numFmtId="49" fontId="165" fillId="0" borderId="6" xfId="10586" applyNumberFormat="1" applyFont="1" applyBorder="1" applyAlignment="1">
      <alignment vertical="center"/>
    </xf>
    <xf numFmtId="2" fontId="165" fillId="0" borderId="6" xfId="10586" applyNumberFormat="1" applyFont="1" applyBorder="1" applyAlignment="1">
      <alignment horizontal="center" vertical="center"/>
    </xf>
    <xf numFmtId="0" fontId="165" fillId="0" borderId="6" xfId="10586" applyFont="1" applyBorder="1" applyAlignment="1">
      <alignment horizontal="center" vertical="center"/>
    </xf>
    <xf numFmtId="0" fontId="158" fillId="0" borderId="6" xfId="10586" applyFont="1" applyBorder="1" applyAlignment="1">
      <alignment horizontal="justify" vertical="center" wrapText="1"/>
    </xf>
    <xf numFmtId="171" fontId="159" fillId="0" borderId="6" xfId="10586" applyNumberFormat="1" applyFont="1" applyBorder="1" applyAlignment="1">
      <alignment horizontal="center" vertical="center"/>
    </xf>
    <xf numFmtId="0" fontId="158" fillId="0" borderId="6" xfId="10586" quotePrefix="1" applyFont="1" applyBorder="1" applyAlignment="1">
      <alignment horizontal="justify" vertical="center"/>
    </xf>
    <xf numFmtId="0" fontId="158" fillId="0" borderId="6" xfId="10586" quotePrefix="1" applyFont="1" applyBorder="1" applyAlignment="1">
      <alignment horizontal="left" vertical="center"/>
    </xf>
    <xf numFmtId="171" fontId="163" fillId="2" borderId="6" xfId="10586" applyNumberFormat="1" applyFont="1" applyFill="1" applyBorder="1" applyAlignment="1">
      <alignment horizontal="center" vertical="center"/>
    </xf>
    <xf numFmtId="0" fontId="163" fillId="2" borderId="6" xfId="10586" applyFont="1" applyFill="1" applyBorder="1" applyAlignment="1">
      <alignment horizontal="justify" vertical="center"/>
    </xf>
    <xf numFmtId="167" fontId="163" fillId="2" borderId="6" xfId="10584" applyNumberFormat="1" applyFont="1" applyFill="1" applyBorder="1" applyAlignment="1">
      <alignment horizontal="center" vertical="center"/>
    </xf>
    <xf numFmtId="0" fontId="163" fillId="2" borderId="0" xfId="10586" applyFont="1" applyFill="1" applyAlignment="1">
      <alignment vertical="center"/>
    </xf>
    <xf numFmtId="0" fontId="162" fillId="0" borderId="6" xfId="10586" applyFont="1" applyBorder="1" applyAlignment="1">
      <alignment horizontal="justify" vertical="center" wrapText="1"/>
    </xf>
    <xf numFmtId="49" fontId="165" fillId="2" borderId="6" xfId="10586" applyNumberFormat="1" applyFont="1" applyFill="1" applyBorder="1" applyAlignment="1">
      <alignment vertical="center" wrapText="1"/>
    </xf>
    <xf numFmtId="0" fontId="160" fillId="89" borderId="8" xfId="10586" applyFont="1" applyFill="1" applyBorder="1" applyAlignment="1">
      <alignment horizontal="center" vertical="center"/>
    </xf>
    <xf numFmtId="0" fontId="160" fillId="89" borderId="8" xfId="10586" applyFont="1" applyFill="1" applyBorder="1" applyAlignment="1">
      <alignment horizontal="left" vertical="center" wrapText="1"/>
    </xf>
    <xf numFmtId="167" fontId="160" fillId="89" borderId="8" xfId="10584" applyNumberFormat="1" applyFont="1" applyFill="1" applyBorder="1" applyAlignment="1">
      <alignment horizontal="center" vertical="center"/>
    </xf>
    <xf numFmtId="167" fontId="160" fillId="89" borderId="8" xfId="10584" applyNumberFormat="1" applyFont="1" applyFill="1" applyBorder="1" applyAlignment="1">
      <alignment vertical="center"/>
    </xf>
    <xf numFmtId="171" fontId="158" fillId="0" borderId="28" xfId="10586" applyNumberFormat="1" applyFont="1" applyBorder="1" applyAlignment="1">
      <alignment horizontal="center" vertical="center"/>
    </xf>
    <xf numFmtId="0" fontId="158" fillId="0" borderId="28" xfId="10586" applyFont="1" applyBorder="1" applyAlignment="1">
      <alignment vertical="center"/>
    </xf>
    <xf numFmtId="0" fontId="158" fillId="0" borderId="28" xfId="10586" applyFont="1" applyBorder="1" applyAlignment="1">
      <alignment horizontal="center" vertical="center"/>
    </xf>
    <xf numFmtId="167" fontId="158" fillId="0" borderId="28" xfId="10584" applyNumberFormat="1" applyFont="1" applyBorder="1" applyAlignment="1">
      <alignment horizontal="center" vertical="center"/>
    </xf>
    <xf numFmtId="167" fontId="158" fillId="0" borderId="28" xfId="10584" applyNumberFormat="1" applyFont="1" applyBorder="1" applyAlignment="1">
      <alignment vertical="center"/>
    </xf>
    <xf numFmtId="171" fontId="158" fillId="0" borderId="0" xfId="10586" applyNumberFormat="1" applyFont="1" applyAlignment="1">
      <alignment horizontal="center" vertical="center"/>
    </xf>
    <xf numFmtId="167" fontId="158" fillId="0" borderId="0" xfId="10584" applyNumberFormat="1" applyFont="1" applyAlignment="1">
      <alignment horizontal="center" vertical="center"/>
    </xf>
    <xf numFmtId="167" fontId="158" fillId="0" borderId="0" xfId="10584" applyNumberFormat="1" applyFont="1" applyAlignment="1">
      <alignment vertical="center"/>
    </xf>
    <xf numFmtId="167" fontId="158" fillId="0" borderId="6" xfId="10622" applyNumberFormat="1" applyFont="1" applyFill="1" applyBorder="1" applyAlignment="1">
      <alignment horizontal="center" vertical="center"/>
    </xf>
    <xf numFmtId="169" fontId="158" fillId="0" borderId="6" xfId="10622" applyNumberFormat="1" applyFont="1" applyFill="1" applyBorder="1" applyAlignment="1">
      <alignment horizontal="center" vertical="center"/>
    </xf>
    <xf numFmtId="169" fontId="158" fillId="0" borderId="6" xfId="10415" applyNumberFormat="1" applyFont="1" applyFill="1" applyBorder="1" applyAlignment="1">
      <alignment horizontal="center" vertical="center"/>
    </xf>
    <xf numFmtId="169" fontId="158" fillId="0" borderId="6" xfId="259" applyNumberFormat="1" applyFont="1" applyFill="1" applyBorder="1" applyAlignment="1">
      <alignment horizontal="center" vertical="center"/>
    </xf>
    <xf numFmtId="169" fontId="158" fillId="0" borderId="6" xfId="6327" applyNumberFormat="1" applyFont="1" applyFill="1" applyBorder="1" applyAlignment="1">
      <alignment horizontal="center" vertical="center"/>
    </xf>
    <xf numFmtId="169" fontId="158" fillId="0" borderId="6" xfId="6327" applyNumberFormat="1" applyFont="1" applyFill="1" applyBorder="1" applyAlignment="1">
      <alignment horizontal="right" vertical="center"/>
    </xf>
    <xf numFmtId="169" fontId="158" fillId="0" borderId="6" xfId="10622" applyNumberFormat="1" applyFont="1" applyFill="1" applyBorder="1" applyAlignment="1">
      <alignment horizontal="right" vertical="center"/>
    </xf>
    <xf numFmtId="49" fontId="168" fillId="0" borderId="6" xfId="10586" quotePrefix="1" applyNumberFormat="1" applyFont="1" applyBorder="1" applyAlignment="1">
      <alignment horizontal="justify" vertical="center" wrapText="1"/>
    </xf>
    <xf numFmtId="49" fontId="168" fillId="0" borderId="6" xfId="10586" quotePrefix="1" applyNumberFormat="1" applyFont="1" applyBorder="1" applyAlignment="1">
      <alignment horizontal="left" vertical="center" wrapText="1"/>
    </xf>
    <xf numFmtId="0" fontId="168" fillId="0" borderId="0" xfId="10586" applyFont="1" applyAlignment="1">
      <alignment vertical="center"/>
    </xf>
    <xf numFmtId="167" fontId="158" fillId="0" borderId="6" xfId="10588" applyNumberFormat="1" applyFont="1" applyFill="1" applyBorder="1" applyAlignment="1">
      <alignment horizontal="center" vertical="center"/>
    </xf>
    <xf numFmtId="0" fontId="168" fillId="0" borderId="6" xfId="10586" applyFont="1" applyBorder="1" applyAlignment="1">
      <alignment horizontal="center" vertical="center"/>
    </xf>
    <xf numFmtId="0" fontId="169" fillId="0" borderId="6" xfId="10586" applyFont="1" applyBorder="1" applyAlignment="1">
      <alignment horizontal="center" vertical="center"/>
    </xf>
    <xf numFmtId="3" fontId="158" fillId="0" borderId="6" xfId="361" applyNumberFormat="1" applyFont="1" applyBorder="1" applyAlignment="1">
      <alignment horizontal="right" vertical="center"/>
    </xf>
    <xf numFmtId="0" fontId="158" fillId="0" borderId="6" xfId="198" applyFont="1" applyBorder="1" applyAlignment="1">
      <alignment horizontal="center" vertical="center" wrapText="1"/>
    </xf>
    <xf numFmtId="0" fontId="158" fillId="0" borderId="6" xfId="10592" applyFont="1" applyBorder="1" applyAlignment="1">
      <alignment horizontal="center" vertical="center"/>
    </xf>
    <xf numFmtId="0" fontId="168" fillId="0" borderId="6" xfId="198" applyFont="1" applyBorder="1" applyAlignment="1">
      <alignment horizontal="center" vertical="center" wrapText="1"/>
    </xf>
    <xf numFmtId="167" fontId="163" fillId="0" borderId="6" xfId="10588" applyNumberFormat="1" applyFont="1" applyFill="1" applyBorder="1" applyAlignment="1">
      <alignment vertical="center"/>
    </xf>
    <xf numFmtId="167" fontId="163" fillId="0" borderId="6" xfId="10622" applyNumberFormat="1" applyFont="1" applyFill="1" applyBorder="1" applyAlignment="1" applyProtection="1">
      <alignment horizontal="center" vertical="center"/>
    </xf>
    <xf numFmtId="0" fontId="172" fillId="0" borderId="6" xfId="10590" applyFont="1" applyBorder="1" applyAlignment="1">
      <alignment horizontal="center" vertical="center" wrapText="1"/>
    </xf>
    <xf numFmtId="0" fontId="163" fillId="0" borderId="28" xfId="55" applyFont="1" applyBorder="1"/>
    <xf numFmtId="167" fontId="163" fillId="0" borderId="6" xfId="10588" applyNumberFormat="1" applyFont="1" applyFill="1" applyBorder="1" applyAlignment="1" applyProtection="1">
      <alignment vertical="center"/>
      <protection locked="0"/>
    </xf>
    <xf numFmtId="0" fontId="163" fillId="0" borderId="0" xfId="10586" applyFont="1" applyAlignment="1">
      <alignment vertical="center" wrapText="1"/>
    </xf>
    <xf numFmtId="0" fontId="174" fillId="2" borderId="6" xfId="10586" applyFont="1" applyFill="1" applyBorder="1" applyAlignment="1">
      <alignment vertical="center"/>
    </xf>
    <xf numFmtId="1" fontId="158" fillId="0" borderId="6" xfId="10586" applyNumberFormat="1" applyFont="1" applyBorder="1" applyAlignment="1">
      <alignment horizontal="center" vertical="center"/>
    </xf>
    <xf numFmtId="0" fontId="168" fillId="0" borderId="6" xfId="10586" applyFont="1" applyBorder="1" applyAlignment="1">
      <alignment vertical="center"/>
    </xf>
    <xf numFmtId="0" fontId="158" fillId="0" borderId="0" xfId="10586" applyFont="1" applyAlignment="1">
      <alignment vertical="center" wrapText="1"/>
    </xf>
    <xf numFmtId="49" fontId="165" fillId="97" borderId="6" xfId="10586" applyNumberFormat="1" applyFont="1" applyFill="1" applyBorder="1" applyAlignment="1">
      <alignment horizontal="center" vertical="center"/>
    </xf>
    <xf numFmtId="167" fontId="158" fillId="97" borderId="6" xfId="10584" applyNumberFormat="1" applyFont="1" applyFill="1" applyBorder="1" applyAlignment="1">
      <alignment horizontal="center" vertical="center"/>
    </xf>
    <xf numFmtId="0" fontId="163" fillId="97" borderId="6" xfId="10586" applyFont="1" applyFill="1" applyBorder="1" applyAlignment="1">
      <alignment horizontal="center" vertical="center"/>
    </xf>
    <xf numFmtId="167" fontId="159" fillId="3" borderId="6" xfId="10584" applyNumberFormat="1" applyFont="1" applyFill="1" applyBorder="1" applyAlignment="1">
      <alignment horizontal="center" vertical="center" wrapText="1"/>
    </xf>
    <xf numFmtId="167" fontId="159" fillId="3" borderId="29" xfId="10584" applyNumberFormat="1" applyFont="1" applyFill="1" applyBorder="1" applyAlignment="1">
      <alignment horizontal="center" vertical="center" wrapText="1"/>
    </xf>
    <xf numFmtId="167" fontId="159" fillId="3" borderId="30" xfId="10584" applyNumberFormat="1" applyFont="1" applyFill="1" applyBorder="1" applyAlignment="1">
      <alignment horizontal="center" vertical="center" wrapText="1"/>
    </xf>
    <xf numFmtId="167" fontId="159" fillId="3" borderId="31" xfId="10584" applyNumberFormat="1" applyFont="1" applyFill="1" applyBorder="1" applyAlignment="1">
      <alignment horizontal="center" vertical="center" wrapText="1"/>
    </xf>
    <xf numFmtId="167" fontId="157" fillId="91" borderId="7" xfId="10584" applyNumberFormat="1" applyFont="1" applyFill="1" applyBorder="1" applyAlignment="1">
      <alignment horizontal="center" vertical="center"/>
    </xf>
    <xf numFmtId="0" fontId="158" fillId="0" borderId="0" xfId="10586" applyFont="1" applyAlignment="1">
      <alignment horizontal="center" vertical="center" wrapText="1"/>
    </xf>
    <xf numFmtId="167" fontId="19" fillId="3" borderId="7" xfId="10584" applyNumberFormat="1" applyFont="1" applyFill="1" applyBorder="1" applyAlignment="1">
      <alignment horizontal="center" vertical="center" wrapText="1"/>
    </xf>
    <xf numFmtId="167" fontId="153" fillId="95" borderId="32" xfId="10618" applyNumberFormat="1" applyFont="1" applyFill="1" applyBorder="1" applyAlignment="1" applyProtection="1">
      <alignment horizontal="center" vertical="center" wrapText="1"/>
    </xf>
    <xf numFmtId="167" fontId="153" fillId="95" borderId="35" xfId="10618" applyNumberFormat="1" applyFont="1" applyFill="1" applyBorder="1" applyAlignment="1" applyProtection="1">
      <alignment horizontal="center" vertical="center" wrapText="1"/>
    </xf>
    <xf numFmtId="177" fontId="153" fillId="95" borderId="32" xfId="10619" applyFont="1" applyFill="1" applyBorder="1" applyAlignment="1" applyProtection="1">
      <alignment horizontal="center" vertical="center" wrapText="1"/>
    </xf>
    <xf numFmtId="177" fontId="153" fillId="95" borderId="35" xfId="10619" applyFont="1" applyFill="1" applyBorder="1" applyAlignment="1" applyProtection="1">
      <alignment horizontal="center" vertical="center" wrapText="1"/>
    </xf>
    <xf numFmtId="177" fontId="153" fillId="95" borderId="32" xfId="10619" applyFont="1" applyFill="1" applyBorder="1" applyAlignment="1" applyProtection="1">
      <alignment vertical="center" wrapText="1"/>
    </xf>
    <xf numFmtId="177" fontId="153" fillId="95" borderId="35" xfId="10619" applyFont="1" applyFill="1" applyBorder="1" applyAlignment="1" applyProtection="1">
      <alignment vertical="center" wrapText="1"/>
    </xf>
    <xf numFmtId="177" fontId="153" fillId="95" borderId="33" xfId="10619" applyFont="1" applyFill="1" applyBorder="1" applyAlignment="1" applyProtection="1">
      <alignment horizontal="center" vertical="center"/>
    </xf>
    <xf numFmtId="177" fontId="153" fillId="95" borderId="34" xfId="10619" applyFont="1" applyFill="1" applyBorder="1" applyAlignment="1" applyProtection="1">
      <alignment horizontal="center" vertical="center"/>
    </xf>
    <xf numFmtId="167" fontId="159" fillId="0" borderId="6" xfId="10584" applyNumberFormat="1" applyFont="1" applyFill="1" applyBorder="1" applyAlignment="1">
      <alignment horizontal="center" vertical="center"/>
    </xf>
  </cellXfs>
  <cellStyles count="10623">
    <cellStyle name=" 1" xfId="281" xr:uid="{00000000-0005-0000-0000-000000000000}"/>
    <cellStyle name=" 1 2" xfId="1530" xr:uid="{00000000-0005-0000-0000-000001000000}"/>
    <cellStyle name="??&amp;O?&amp;H?_x0008_??_x0007__x0001__x0001_" xfId="282" xr:uid="{00000000-0005-0000-0000-000002000000}"/>
    <cellStyle name="_036 - anchor" xfId="1531" xr:uid="{00000000-0005-0000-0000-000003000000}"/>
    <cellStyle name="_036 - anchor 2" xfId="1532" xr:uid="{00000000-0005-0000-0000-000004000000}"/>
    <cellStyle name="_053 - Tata akruti Center" xfId="1533" xr:uid="{00000000-0005-0000-0000-000005000000}"/>
    <cellStyle name="_053 - Tata akruti Center 2" xfId="1534" xr:uid="{00000000-0005-0000-0000-000006000000}"/>
    <cellStyle name="_200 Bar Inergen BOM - Pre-design " xfId="283" xr:uid="{00000000-0005-0000-0000-000007000000}"/>
    <cellStyle name="_200 Bar Inergen BOM - Pre-design  2" xfId="865" xr:uid="{00000000-0005-0000-0000-000008000000}"/>
    <cellStyle name="_200 Bar Inergen BOM - Pre-design  2 2" xfId="1142" xr:uid="{00000000-0005-0000-0000-000009000000}"/>
    <cellStyle name="_200 Bar Inergen BOM - Pre-design  2 2 2" xfId="6860" xr:uid="{00000000-0005-0000-0000-00000A000000}"/>
    <cellStyle name="_200 Bar Inergen BOM - Pre-design  2 2 2 2" xfId="9567" xr:uid="{00000000-0005-0000-0000-00000B000000}"/>
    <cellStyle name="_200 Bar Inergen BOM - Pre-design  2 2 3" xfId="8228" xr:uid="{00000000-0005-0000-0000-00000C000000}"/>
    <cellStyle name="_200 Bar Inergen BOM - Pre-design  2 3" xfId="6598" xr:uid="{00000000-0005-0000-0000-00000D000000}"/>
    <cellStyle name="_200 Bar Inergen BOM - Pre-design  2 3 2" xfId="9305" xr:uid="{00000000-0005-0000-0000-00000E000000}"/>
    <cellStyle name="_200 Bar Inergen BOM - Pre-design  2 4" xfId="7966" xr:uid="{00000000-0005-0000-0000-00000F000000}"/>
    <cellStyle name="_200 Bar Inergen BOM - Pre-design  3" xfId="1032" xr:uid="{00000000-0005-0000-0000-000010000000}"/>
    <cellStyle name="_200 Bar Inergen BOM - Pre-design  3 2" xfId="6763" xr:uid="{00000000-0005-0000-0000-000011000000}"/>
    <cellStyle name="_200 Bar Inergen BOM - Pre-design  3 2 2" xfId="9470" xr:uid="{00000000-0005-0000-0000-000012000000}"/>
    <cellStyle name="_200 Bar Inergen BOM - Pre-design  3 3" xfId="8131" xr:uid="{00000000-0005-0000-0000-000013000000}"/>
    <cellStyle name="_200 Bar Inergen BOM - Pre-design  4" xfId="6432" xr:uid="{00000000-0005-0000-0000-000014000000}"/>
    <cellStyle name="_200 Bar Inergen BOM - Pre-design  4 2" xfId="9151" xr:uid="{00000000-0005-0000-0000-000015000000}"/>
    <cellStyle name="_200 Bar Inergen BOM - Pre-design  5" xfId="7812" xr:uid="{00000000-0005-0000-0000-000016000000}"/>
    <cellStyle name="_AAI Kolkatta - 04.06.08 - mail" xfId="1535" xr:uid="{00000000-0005-0000-0000-000017000000}"/>
    <cellStyle name="_AAI Kolkatta - 04.06.08 - mail 2" xfId="1536" xr:uid="{00000000-0005-0000-0000-000018000000}"/>
    <cellStyle name="_AAI-Kolkatta -BOQ -04.06.08-Mail" xfId="1537" xr:uid="{00000000-0005-0000-0000-000019000000}"/>
    <cellStyle name="_AAI-Kolkatta -BOQ -04.06.08-Mail 2" xfId="1538" xr:uid="{00000000-0005-0000-0000-00001A000000}"/>
    <cellStyle name="_Abhimaani Vasathi Hotel - 25.09.07" xfId="1539" xr:uid="{00000000-0005-0000-0000-00001B000000}"/>
    <cellStyle name="_Abhimaani Vasathi Hotel - 25.09.07 2" xfId="1540" xr:uid="{00000000-0005-0000-0000-00001C000000}"/>
    <cellStyle name="_ABN AMRO - CHN 30.05.06 R5 Final" xfId="284" xr:uid="{00000000-0005-0000-0000-00001D000000}"/>
    <cellStyle name="_ABN AMRO - CHN 30.05.06 R5 Final 2" xfId="1541" xr:uid="{00000000-0005-0000-0000-00001E000000}"/>
    <cellStyle name="_ABN Amro@olympia R3 UP WO FT 30.5.06" xfId="285" xr:uid="{00000000-0005-0000-0000-00001F000000}"/>
    <cellStyle name="_ABN Amro@olympia R3 UP WO FT 30.5.06 2" xfId="1542" xr:uid="{00000000-0005-0000-0000-000020000000}"/>
    <cellStyle name="_ABN Amro@olympia UPWO FT R5 30.05.06" xfId="286" xr:uid="{00000000-0005-0000-0000-000021000000}"/>
    <cellStyle name="_ABN Amro@olympia UPWO FT R5 30.05.06 2" xfId="1543" xr:uid="{00000000-0005-0000-0000-000022000000}"/>
    <cellStyle name="_ABP ACS,AFS 02.09.06" xfId="287" xr:uid="{00000000-0005-0000-0000-000023000000}"/>
    <cellStyle name="_ABP ACS,AFS 02.09.06 2" xfId="1544" xr:uid="{00000000-0005-0000-0000-000024000000}"/>
    <cellStyle name="_Aditya Birla Data Center R1-12.07.06" xfId="288" xr:uid="{00000000-0005-0000-0000-000025000000}"/>
    <cellStyle name="_Aditya Birla Data Center R1-12.07.06 2" xfId="1545" xr:uid="{00000000-0005-0000-0000-000026000000}"/>
    <cellStyle name="_Aircel Lighting  Mail 5.5.06 (2)" xfId="1546" xr:uid="{00000000-0005-0000-0000-000027000000}"/>
    <cellStyle name="_Aircel Lighting  Mail 5.5.06 (2) 2" xfId="1547" xr:uid="{00000000-0005-0000-0000-000028000000}"/>
    <cellStyle name="_Aircel Lighting 4.5.06" xfId="1548" xr:uid="{00000000-0005-0000-0000-000029000000}"/>
    <cellStyle name="_Aircel Lighting 4.5.06 2" xfId="1549" xr:uid="{00000000-0005-0000-0000-00002A000000}"/>
    <cellStyle name="_Aircel Mail 28.4.06" xfId="1550" xr:uid="{00000000-0005-0000-0000-00002B000000}"/>
    <cellStyle name="_Aircel Mail 28.4.06 2" xfId="1551" xr:uid="{00000000-0005-0000-0000-00002C000000}"/>
    <cellStyle name="_Airtel PA &amp; Lighting 27.08.07" xfId="1552" xr:uid="{00000000-0005-0000-0000-00002D000000}"/>
    <cellStyle name="_Airtel PA &amp; Lighting 27.08.07 2" xfId="1553" xr:uid="{00000000-0005-0000-0000-00002E000000}"/>
    <cellStyle name="_Airtel Whietfield, Dual pop - 13.09.06, as per engg" xfId="1554" xr:uid="{00000000-0005-0000-0000-00002F000000}"/>
    <cellStyle name="_Airtel Whietfield, Dual pop - 13.09.06, as per engg 2" xfId="1555" xr:uid="{00000000-0005-0000-0000-000030000000}"/>
    <cellStyle name="_Alchemist Hospital - Chandigarh 15.05.06" xfId="289" xr:uid="{00000000-0005-0000-0000-000031000000}"/>
    <cellStyle name="_AP Mahesh bank CFAS,CCTV,WLD,ROR 03.11.06" xfId="1556" xr:uid="{00000000-0005-0000-0000-000032000000}"/>
    <cellStyle name="_AP Mahesh bank CFAS,CCTV,WLD,ROR 03.11.06 2" xfId="1557" xr:uid="{00000000-0005-0000-0000-000033000000}"/>
    <cellStyle name="_APEEJAY corporate technologies" xfId="1558" xr:uid="{00000000-0005-0000-0000-000034000000}"/>
    <cellStyle name="_APEEJAY corporate technologies 2" xfId="1559" xr:uid="{00000000-0005-0000-0000-000035000000}"/>
    <cellStyle name="_Apna Punjab homes FAS 27.09.06" xfId="290" xr:uid="{00000000-0005-0000-0000-000036000000}"/>
    <cellStyle name="_Apna Punjab homes FAS 27.09.06 2" xfId="1560" xr:uid="{00000000-0005-0000-0000-000037000000}"/>
    <cellStyle name="_Ascendas - AFAS, ACS &amp; EPABX - 14.11.06R5EST &amp; EXwork" xfId="1561" xr:uid="{00000000-0005-0000-0000-000038000000}"/>
    <cellStyle name="_Ascendas - AFAS, ACS &amp; EPABX - 14.11.06R5EST &amp; EXwork 2" xfId="1562" xr:uid="{00000000-0005-0000-0000-000039000000}"/>
    <cellStyle name="_Ascendas - PH II - BMS - 26.03.08" xfId="1563" xr:uid="{00000000-0005-0000-0000-00003A000000}"/>
    <cellStyle name="_Ascendas - PH II - BMS - 26.03.08 2" xfId="1564" xr:uid="{00000000-0005-0000-0000-00003B000000}"/>
    <cellStyle name="_Ascendas - PH3 - 07.11.07(ACS) - Spiltup" xfId="1565" xr:uid="{00000000-0005-0000-0000-00003C000000}"/>
    <cellStyle name="_Ascendas - PH3 - 07.11.07(ACS) - Spiltup 2" xfId="1566" xr:uid="{00000000-0005-0000-0000-00003D000000}"/>
    <cellStyle name="_Ascendas 14.9.06 R1" xfId="1567" xr:uid="{00000000-0005-0000-0000-00003E000000}"/>
    <cellStyle name="_Ascendas 14.9.06 R1 2" xfId="1568" xr:uid="{00000000-0005-0000-0000-00003F000000}"/>
    <cellStyle name="_ASCENDAS -18.08.06" xfId="1569" xr:uid="{00000000-0005-0000-0000-000040000000}"/>
    <cellStyle name="_ASCENDAS -18.08.06 2" xfId="1570" xr:uid="{00000000-0005-0000-0000-000041000000}"/>
    <cellStyle name="_Ascendas 21.9.06 R2" xfId="1571" xr:uid="{00000000-0005-0000-0000-000042000000}"/>
    <cellStyle name="_Ascendas 21.9.06 R2 2" xfId="1572" xr:uid="{00000000-0005-0000-0000-000043000000}"/>
    <cellStyle name="_aurdra Engg - Afas &amp; Pa - 24.05.06" xfId="1573" xr:uid="{00000000-0005-0000-0000-000044000000}"/>
    <cellStyle name="_aurdra Engg - Afas &amp; Pa - 24.05.06 2" xfId="1574" xr:uid="{00000000-0005-0000-0000-000045000000}"/>
    <cellStyle name="_B.M.MALL - AFAS &amp; BMS - 29.08.06" xfId="1575" xr:uid="{00000000-0005-0000-0000-000046000000}"/>
    <cellStyle name="_B.M.MALL - AFAS &amp; BMS - 29.08.06 2" xfId="1576" xr:uid="{00000000-0005-0000-0000-000047000000}"/>
    <cellStyle name="_B.O.M-FIRE&amp;SECURITY-SITE-A&amp;B" xfId="291" xr:uid="{00000000-0005-0000-0000-000048000000}"/>
    <cellStyle name="_B.O.M-FIRE&amp;SECURITY-SITE-A&amp;B 2" xfId="1577" xr:uid="{00000000-0005-0000-0000-000049000000}"/>
    <cellStyle name="_Baharampur 08.08.06" xfId="292" xr:uid="{00000000-0005-0000-0000-00004A000000}"/>
    <cellStyle name="_Baharampur 08.08.06 2" xfId="1578" xr:uid="{00000000-0005-0000-0000-00004B000000}"/>
    <cellStyle name="_Battery Calculation" xfId="1579" xr:uid="{00000000-0005-0000-0000-00004C000000}"/>
    <cellStyle name="_Battery Calculation 2" xfId="1580" xr:uid="{00000000-0005-0000-0000-00004D000000}"/>
    <cellStyle name="_Bhavanagar University Library - FAS - 29.06.06" xfId="1581" xr:uid="{00000000-0005-0000-0000-00004E000000}"/>
    <cellStyle name="_Bhavanagar University Library - FAS - 29.06.06 2" xfId="1582" xr:uid="{00000000-0005-0000-0000-00004F000000}"/>
    <cellStyle name="_bHIMA gENERAL" xfId="293" xr:uid="{00000000-0005-0000-0000-000050000000}"/>
    <cellStyle name="_Birla Soft  ACS 09.08.06" xfId="294" xr:uid="{00000000-0005-0000-0000-000051000000}"/>
    <cellStyle name="_Birla Soft  ACS 09.08.06 2" xfId="1583" xr:uid="{00000000-0005-0000-0000-000052000000}"/>
    <cellStyle name="_BMS BOQ -Cerner 24.07.08" xfId="295" xr:uid="{00000000-0005-0000-0000-000053000000}"/>
    <cellStyle name="_BMS Enquiry Revenue tower" xfId="1584" xr:uid="{00000000-0005-0000-0000-000054000000}"/>
    <cellStyle name="_BMS Enquiry Revenue tower 2" xfId="1585" xr:uid="{00000000-0005-0000-0000-000055000000}"/>
    <cellStyle name="_BMS Format" xfId="1586" xr:uid="{00000000-0005-0000-0000-000056000000}"/>
    <cellStyle name="_BMS Format - INR" xfId="1587" xr:uid="{00000000-0005-0000-0000-000057000000}"/>
    <cellStyle name="_BMS Format - INR 2" xfId="1588" xr:uid="{00000000-0005-0000-0000-000058000000}"/>
    <cellStyle name="_BMS Format 2" xfId="1589" xr:uid="{00000000-0005-0000-0000-000059000000}"/>
    <cellStyle name="_Bms General INR" xfId="1590" xr:uid="{00000000-0005-0000-0000-00005A000000}"/>
    <cellStyle name="_Bms General INR 2" xfId="1591" xr:uid="{00000000-0005-0000-0000-00005B000000}"/>
    <cellStyle name="_BOB - Mumbai 17.06.05" xfId="296" xr:uid="{00000000-0005-0000-0000-00005C000000}"/>
    <cellStyle name="_BOB - Mumbai 17.06.05 2" xfId="1592" xr:uid="{00000000-0005-0000-0000-00005D000000}"/>
    <cellStyle name="_BOB DRC 2.3.06" xfId="297" xr:uid="{00000000-0005-0000-0000-00005E000000}"/>
    <cellStyle name="_BOB DRC 2.3.06 2" xfId="1593" xr:uid="{00000000-0005-0000-0000-00005F000000}"/>
    <cellStyle name="_BOB -DRC-HYD 26.12.2005 Email" xfId="298" xr:uid="{00000000-0005-0000-0000-000060000000}"/>
    <cellStyle name="_BOB -DRC-HYD 26.12.2005 Email 2" xfId="866" xr:uid="{00000000-0005-0000-0000-000061000000}"/>
    <cellStyle name="_BOB -DRC-HYD 26.12.2005 Email 2 2" xfId="1143" xr:uid="{00000000-0005-0000-0000-000062000000}"/>
    <cellStyle name="_BOB -DRC-HYD 26.12.2005 Email 2 2 2" xfId="1595" xr:uid="{00000000-0005-0000-0000-000063000000}"/>
    <cellStyle name="_BOB -DRC-HYD 26.12.2005 Email 2 2 2 2" xfId="7210" xr:uid="{00000000-0005-0000-0000-000064000000}"/>
    <cellStyle name="_BOB -DRC-HYD 26.12.2005 Email 2 2 2 2 2" xfId="9913" xr:uid="{00000000-0005-0000-0000-000065000000}"/>
    <cellStyle name="_BOB -DRC-HYD 26.12.2005 Email 2 2 2 3" xfId="8573" xr:uid="{00000000-0005-0000-0000-000066000000}"/>
    <cellStyle name="_BOB -DRC-HYD 26.12.2005 Email 2 2 3" xfId="1596" xr:uid="{00000000-0005-0000-0000-000067000000}"/>
    <cellStyle name="_BOB -DRC-HYD 26.12.2005 Email 2 2 3 2" xfId="7211" xr:uid="{00000000-0005-0000-0000-000068000000}"/>
    <cellStyle name="_BOB -DRC-HYD 26.12.2005 Email 2 2 3 2 2" xfId="9914" xr:uid="{00000000-0005-0000-0000-000069000000}"/>
    <cellStyle name="_BOB -DRC-HYD 26.12.2005 Email 2 2 3 3" xfId="8574" xr:uid="{00000000-0005-0000-0000-00006A000000}"/>
    <cellStyle name="_BOB -DRC-HYD 26.12.2005 Email 2 2 4" xfId="1594" xr:uid="{00000000-0005-0000-0000-00006B000000}"/>
    <cellStyle name="_BOB -DRC-HYD 26.12.2005 Email 2 2 4 2" xfId="7209" xr:uid="{00000000-0005-0000-0000-00006C000000}"/>
    <cellStyle name="_BOB -DRC-HYD 26.12.2005 Email 2 2 4 2 2" xfId="9912" xr:uid="{00000000-0005-0000-0000-00006D000000}"/>
    <cellStyle name="_BOB -DRC-HYD 26.12.2005 Email 2 2 4 3" xfId="8572" xr:uid="{00000000-0005-0000-0000-00006E000000}"/>
    <cellStyle name="_BOB -DRC-HYD 26.12.2005 Email 2 2 5" xfId="6861" xr:uid="{00000000-0005-0000-0000-00006F000000}"/>
    <cellStyle name="_BOB -DRC-HYD 26.12.2005 Email 2 2 5 2" xfId="9568" xr:uid="{00000000-0005-0000-0000-000070000000}"/>
    <cellStyle name="_BOB -DRC-HYD 26.12.2005 Email 2 2 6" xfId="8229" xr:uid="{00000000-0005-0000-0000-000071000000}"/>
    <cellStyle name="_BOB -DRC-HYD 26.12.2005 Email 2 3" xfId="6599" xr:uid="{00000000-0005-0000-0000-000072000000}"/>
    <cellStyle name="_BOB -DRC-HYD 26.12.2005 Email 2 3 2" xfId="9306" xr:uid="{00000000-0005-0000-0000-000073000000}"/>
    <cellStyle name="_BOB -DRC-HYD 26.12.2005 Email 2 4" xfId="7967" xr:uid="{00000000-0005-0000-0000-000074000000}"/>
    <cellStyle name="_BOB -DRC-HYD 26.12.2005 Email 3" xfId="1031" xr:uid="{00000000-0005-0000-0000-000075000000}"/>
    <cellStyle name="_BOB -DRC-HYD 26.12.2005 Email 3 2" xfId="1597" xr:uid="{00000000-0005-0000-0000-000076000000}"/>
    <cellStyle name="_BOB -DRC-HYD 26.12.2005 Email 3 2 2" xfId="1598" xr:uid="{00000000-0005-0000-0000-000077000000}"/>
    <cellStyle name="_BOB -DRC-HYD 26.12.2005 Email 3 2 2 2" xfId="7213" xr:uid="{00000000-0005-0000-0000-000078000000}"/>
    <cellStyle name="_BOB -DRC-HYD 26.12.2005 Email 3 2 2 2 2" xfId="9916" xr:uid="{00000000-0005-0000-0000-000079000000}"/>
    <cellStyle name="_BOB -DRC-HYD 26.12.2005 Email 3 2 2 3" xfId="8576" xr:uid="{00000000-0005-0000-0000-00007A000000}"/>
    <cellStyle name="_BOB -DRC-HYD 26.12.2005 Email 3 2 3" xfId="1599" xr:uid="{00000000-0005-0000-0000-00007B000000}"/>
    <cellStyle name="_BOB -DRC-HYD 26.12.2005 Email 3 2 3 2" xfId="7214" xr:uid="{00000000-0005-0000-0000-00007C000000}"/>
    <cellStyle name="_BOB -DRC-HYD 26.12.2005 Email 3 2 3 2 2" xfId="9917" xr:uid="{00000000-0005-0000-0000-00007D000000}"/>
    <cellStyle name="_BOB -DRC-HYD 26.12.2005 Email 3 2 3 3" xfId="8577" xr:uid="{00000000-0005-0000-0000-00007E000000}"/>
    <cellStyle name="_BOB -DRC-HYD 26.12.2005 Email 3 2 4" xfId="7212" xr:uid="{00000000-0005-0000-0000-00007F000000}"/>
    <cellStyle name="_BOB -DRC-HYD 26.12.2005 Email 3 2 4 2" xfId="9915" xr:uid="{00000000-0005-0000-0000-000080000000}"/>
    <cellStyle name="_BOB -DRC-HYD 26.12.2005 Email 3 2 5" xfId="8575" xr:uid="{00000000-0005-0000-0000-000081000000}"/>
    <cellStyle name="_BOB -DRC-HYD 26.12.2005 Email 3 3" xfId="6762" xr:uid="{00000000-0005-0000-0000-000082000000}"/>
    <cellStyle name="_BOB -DRC-HYD 26.12.2005 Email 3 3 2" xfId="9469" xr:uid="{00000000-0005-0000-0000-000083000000}"/>
    <cellStyle name="_BOB -DRC-HYD 26.12.2005 Email 3 4" xfId="8130" xr:uid="{00000000-0005-0000-0000-000084000000}"/>
    <cellStyle name="_BOB -DRC-HYD 26.12.2005 Email 4" xfId="1600" xr:uid="{00000000-0005-0000-0000-000085000000}"/>
    <cellStyle name="_BOB -DRC-HYD 26.12.2005 Email 4 2" xfId="1601" xr:uid="{00000000-0005-0000-0000-000086000000}"/>
    <cellStyle name="_BOB -DRC-HYD 26.12.2005 Email 4 2 2" xfId="7216" xr:uid="{00000000-0005-0000-0000-000087000000}"/>
    <cellStyle name="_BOB -DRC-HYD 26.12.2005 Email 4 2 2 2" xfId="9919" xr:uid="{00000000-0005-0000-0000-000088000000}"/>
    <cellStyle name="_BOB -DRC-HYD 26.12.2005 Email 4 2 3" xfId="8579" xr:uid="{00000000-0005-0000-0000-000089000000}"/>
    <cellStyle name="_BOB -DRC-HYD 26.12.2005 Email 4 3" xfId="1602" xr:uid="{00000000-0005-0000-0000-00008A000000}"/>
    <cellStyle name="_BOB -DRC-HYD 26.12.2005 Email 4 3 2" xfId="7217" xr:uid="{00000000-0005-0000-0000-00008B000000}"/>
    <cellStyle name="_BOB -DRC-HYD 26.12.2005 Email 4 3 2 2" xfId="9920" xr:uid="{00000000-0005-0000-0000-00008C000000}"/>
    <cellStyle name="_BOB -DRC-HYD 26.12.2005 Email 4 3 3" xfId="8580" xr:uid="{00000000-0005-0000-0000-00008D000000}"/>
    <cellStyle name="_BOB -DRC-HYD 26.12.2005 Email 4 4" xfId="7215" xr:uid="{00000000-0005-0000-0000-00008E000000}"/>
    <cellStyle name="_BOB -DRC-HYD 26.12.2005 Email 4 4 2" xfId="9918" xr:uid="{00000000-0005-0000-0000-00008F000000}"/>
    <cellStyle name="_BOB -DRC-HYD 26.12.2005 Email 4 5" xfId="8578" xr:uid="{00000000-0005-0000-0000-000090000000}"/>
    <cellStyle name="_BOB -DRC-HYD 26.12.2005 Email 5" xfId="6433" xr:uid="{00000000-0005-0000-0000-000091000000}"/>
    <cellStyle name="_BOB -DRC-HYD 26.12.2005 Email 5 2" xfId="9152" xr:uid="{00000000-0005-0000-0000-000092000000}"/>
    <cellStyle name="_BOB -DRC-HYD 26.12.2005 Email 6" xfId="7813" xr:uid="{00000000-0005-0000-0000-000093000000}"/>
    <cellStyle name="_BOM for amp prices" xfId="299" xr:uid="{00000000-0005-0000-0000-000094000000}"/>
    <cellStyle name="_BOQ-Fire Alarm" xfId="300" xr:uid="{00000000-0005-0000-0000-000095000000}"/>
    <cellStyle name="_BOQ-FIRE EXTINGUSHERS" xfId="301" xr:uid="{00000000-0005-0000-0000-000096000000}"/>
    <cellStyle name="_BPCL - Mumbai HP  25.07.05 Email" xfId="302" xr:uid="{00000000-0005-0000-0000-000097000000}"/>
    <cellStyle name="_BPCL - Mumbai HP  25.07.05 Email 2" xfId="1603" xr:uid="{00000000-0005-0000-0000-000098000000}"/>
    <cellStyle name="_BPCL - Mumbai HP  25.08.05" xfId="303" xr:uid="{00000000-0005-0000-0000-000099000000}"/>
    <cellStyle name="_BPCL DC- 10.08.05mail" xfId="304" xr:uid="{00000000-0005-0000-0000-00009A000000}"/>
    <cellStyle name="_BSNL ( NAF S125 Option) - 18.10.06" xfId="305" xr:uid="{00000000-0005-0000-0000-00009B000000}"/>
    <cellStyle name="_BSNL ( NAF S125 Option) - 18.10.06 2" xfId="1604" xr:uid="{00000000-0005-0000-0000-00009C000000}"/>
    <cellStyle name="_BSNL-IBM-18.09.06" xfId="306" xr:uid="{00000000-0005-0000-0000-00009D000000}"/>
    <cellStyle name="_BSNL-IBM-18.09.06 2" xfId="1605" xr:uid="{00000000-0005-0000-0000-00009E000000}"/>
    <cellStyle name="_Capita Ph-II-19.01.07-BMS" xfId="307" xr:uid="{00000000-0005-0000-0000-00009F000000}"/>
    <cellStyle name="_Catholic Syrian Bank - data cenre - s125 - 20.12.2006" xfId="308" xr:uid="{00000000-0005-0000-0000-0000A0000000}"/>
    <cellStyle name="_Catholic Syrian Bank - data cenre - s125 - 20.12.2006 2" xfId="1606" xr:uid="{00000000-0005-0000-0000-0000A1000000}"/>
    <cellStyle name="_Citigroup BMS 12.09.06" xfId="309" xr:uid="{00000000-0005-0000-0000-0000A2000000}"/>
    <cellStyle name="_Citigroup BMS 12.09.06 2" xfId="1607" xr:uid="{00000000-0005-0000-0000-0000A3000000}"/>
    <cellStyle name="_Citigroup-PEST-12.09.06" xfId="310" xr:uid="{00000000-0005-0000-0000-0000A4000000}"/>
    <cellStyle name="_Citigroup-PEST-12.09.06 2" xfId="1608" xr:uid="{00000000-0005-0000-0000-0000A5000000}"/>
    <cellStyle name="_Client Sheet - SK100106 ASB_AVSI Ver 1 0 06-Jan-2010" xfId="311" xr:uid="{00000000-0005-0000-0000-0000A6000000}"/>
    <cellStyle name="_Client Sheet - SK100106 ASB_AVSI Ver 1 0 06-Jan-2010_VOLUME - III ASM BMS SAFETY &amp; SECURITY AND NETWORKING SYSTEM BOQ 25.03.10" xfId="312" xr:uid="{00000000-0005-0000-0000-0000A7000000}"/>
    <cellStyle name="_Colombia Asia_30.12.06" xfId="1609" xr:uid="{00000000-0005-0000-0000-0000A8000000}"/>
    <cellStyle name="_Colombia Asia_30.12.06 2" xfId="1610" xr:uid="{00000000-0005-0000-0000-0000A9000000}"/>
    <cellStyle name="_Columbia - patiyala - FHS - 03.02.07" xfId="1611" xr:uid="{00000000-0005-0000-0000-0000AA000000}"/>
    <cellStyle name="_Columbia - patiyala - FHS - 03.02.07 2" xfId="1612" xr:uid="{00000000-0005-0000-0000-0000AB000000}"/>
    <cellStyle name="_Complex-wazirpur-09.05.07 " xfId="1613" xr:uid="{00000000-0005-0000-0000-0000AC000000}"/>
    <cellStyle name="_Complex-wazirpur-09.05.07  2" xfId="1614" xr:uid="{00000000-0005-0000-0000-0000AD000000}"/>
    <cellStyle name="_Copy of Goa Facility" xfId="313" xr:uid="{00000000-0005-0000-0000-0000AE000000}"/>
    <cellStyle name="_Copy of Goa Facility 2" xfId="867" xr:uid="{00000000-0005-0000-0000-0000AF000000}"/>
    <cellStyle name="_Copy of Goa Facility 2 2" xfId="1144" xr:uid="{00000000-0005-0000-0000-0000B0000000}"/>
    <cellStyle name="_Copy of Goa Facility 2 2 2" xfId="6862" xr:uid="{00000000-0005-0000-0000-0000B1000000}"/>
    <cellStyle name="_Copy of Goa Facility 2 2 2 2" xfId="9569" xr:uid="{00000000-0005-0000-0000-0000B2000000}"/>
    <cellStyle name="_Copy of Goa Facility 2 2 3" xfId="8230" xr:uid="{00000000-0005-0000-0000-0000B3000000}"/>
    <cellStyle name="_Copy of Goa Facility 2 3" xfId="6600" xr:uid="{00000000-0005-0000-0000-0000B4000000}"/>
    <cellStyle name="_Copy of Goa Facility 2 3 2" xfId="9307" xr:uid="{00000000-0005-0000-0000-0000B5000000}"/>
    <cellStyle name="_Copy of Goa Facility 2 4" xfId="7968" xr:uid="{00000000-0005-0000-0000-0000B6000000}"/>
    <cellStyle name="_Copy of Goa Facility 3" xfId="1055" xr:uid="{00000000-0005-0000-0000-0000B7000000}"/>
    <cellStyle name="_Copy of Goa Facility 3 2" xfId="6786" xr:uid="{00000000-0005-0000-0000-0000B8000000}"/>
    <cellStyle name="_Copy of Goa Facility 3 2 2" xfId="9493" xr:uid="{00000000-0005-0000-0000-0000B9000000}"/>
    <cellStyle name="_Copy of Goa Facility 3 3" xfId="8154" xr:uid="{00000000-0005-0000-0000-0000BA000000}"/>
    <cellStyle name="_Copy of Goa Facility 4" xfId="6434" xr:uid="{00000000-0005-0000-0000-0000BB000000}"/>
    <cellStyle name="_Copy of Goa Facility 4 2" xfId="9153" xr:uid="{00000000-0005-0000-0000-0000BC000000}"/>
    <cellStyle name="_Copy of Goa Facility 5" xfId="7814" xr:uid="{00000000-0005-0000-0000-0000BD000000}"/>
    <cellStyle name="_Costing inorbit 10 Oct" xfId="314" xr:uid="{00000000-0005-0000-0000-0000BE000000}"/>
    <cellStyle name="_CRN-BSNL BMS 07.11.06" xfId="315" xr:uid="{00000000-0005-0000-0000-0000BF000000}"/>
    <cellStyle name="_CRN-BSNL BMS 07.11.06 2" xfId="1615" xr:uid="{00000000-0005-0000-0000-0000C0000000}"/>
    <cellStyle name="_CRN-IBS software - 23 04 07" xfId="316" xr:uid="{00000000-0005-0000-0000-0000C1000000}"/>
    <cellStyle name="_Crown - FPS - 19.06.07 - R1" xfId="1616" xr:uid="{00000000-0005-0000-0000-0000C2000000}"/>
    <cellStyle name="_Crown - FPS - 19.06.07 - R1 2" xfId="1617" xr:uid="{00000000-0005-0000-0000-0000C3000000}"/>
    <cellStyle name="_Crown - FPS - 19.06.07 - R1 2 2" xfId="1618" xr:uid="{00000000-0005-0000-0000-0000C4000000}"/>
    <cellStyle name="_Crown - FPS - 19.06.07 - R1 2 2 2" xfId="1619" xr:uid="{00000000-0005-0000-0000-0000C5000000}"/>
    <cellStyle name="_Crown - FPS - 19.06.07 - R1 2 2 2 2" xfId="7221" xr:uid="{00000000-0005-0000-0000-0000C6000000}"/>
    <cellStyle name="_Crown - FPS - 19.06.07 - R1 2 2 2 2 2" xfId="9924" xr:uid="{00000000-0005-0000-0000-0000C7000000}"/>
    <cellStyle name="_Crown - FPS - 19.06.07 - R1 2 2 2 3" xfId="8584" xr:uid="{00000000-0005-0000-0000-0000C8000000}"/>
    <cellStyle name="_Crown - FPS - 19.06.07 - R1 2 2 3" xfId="1620" xr:uid="{00000000-0005-0000-0000-0000C9000000}"/>
    <cellStyle name="_Crown - FPS - 19.06.07 - R1 2 2 3 2" xfId="7222" xr:uid="{00000000-0005-0000-0000-0000CA000000}"/>
    <cellStyle name="_Crown - FPS - 19.06.07 - R1 2 2 3 2 2" xfId="9925" xr:uid="{00000000-0005-0000-0000-0000CB000000}"/>
    <cellStyle name="_Crown - FPS - 19.06.07 - R1 2 2 3 3" xfId="8585" xr:uid="{00000000-0005-0000-0000-0000CC000000}"/>
    <cellStyle name="_Crown - FPS - 19.06.07 - R1 2 2 4" xfId="7220" xr:uid="{00000000-0005-0000-0000-0000CD000000}"/>
    <cellStyle name="_Crown - FPS - 19.06.07 - R1 2 2 4 2" xfId="9923" xr:uid="{00000000-0005-0000-0000-0000CE000000}"/>
    <cellStyle name="_Crown - FPS - 19.06.07 - R1 2 2 5" xfId="8583" xr:uid="{00000000-0005-0000-0000-0000CF000000}"/>
    <cellStyle name="_Crown - FPS - 19.06.07 - R1 2 3" xfId="7219" xr:uid="{00000000-0005-0000-0000-0000D0000000}"/>
    <cellStyle name="_Crown - FPS - 19.06.07 - R1 2 3 2" xfId="9922" xr:uid="{00000000-0005-0000-0000-0000D1000000}"/>
    <cellStyle name="_Crown - FPS - 19.06.07 - R1 2 4" xfId="8582" xr:uid="{00000000-0005-0000-0000-0000D2000000}"/>
    <cellStyle name="_Crown - FPS - 19.06.07 - R1 3" xfId="1621" xr:uid="{00000000-0005-0000-0000-0000D3000000}"/>
    <cellStyle name="_Crown - FPS - 19.06.07 - R1 3 2" xfId="1622" xr:uid="{00000000-0005-0000-0000-0000D4000000}"/>
    <cellStyle name="_Crown - FPS - 19.06.07 - R1 3 2 2" xfId="1623" xr:uid="{00000000-0005-0000-0000-0000D5000000}"/>
    <cellStyle name="_Crown - FPS - 19.06.07 - R1 3 2 2 2" xfId="7225" xr:uid="{00000000-0005-0000-0000-0000D6000000}"/>
    <cellStyle name="_Crown - FPS - 19.06.07 - R1 3 2 2 2 2" xfId="9928" xr:uid="{00000000-0005-0000-0000-0000D7000000}"/>
    <cellStyle name="_Crown - FPS - 19.06.07 - R1 3 2 2 3" xfId="8588" xr:uid="{00000000-0005-0000-0000-0000D8000000}"/>
    <cellStyle name="_Crown - FPS - 19.06.07 - R1 3 2 3" xfId="1624" xr:uid="{00000000-0005-0000-0000-0000D9000000}"/>
    <cellStyle name="_Crown - FPS - 19.06.07 - R1 3 2 3 2" xfId="7226" xr:uid="{00000000-0005-0000-0000-0000DA000000}"/>
    <cellStyle name="_Crown - FPS - 19.06.07 - R1 3 2 3 2 2" xfId="9929" xr:uid="{00000000-0005-0000-0000-0000DB000000}"/>
    <cellStyle name="_Crown - FPS - 19.06.07 - R1 3 2 3 3" xfId="8589" xr:uid="{00000000-0005-0000-0000-0000DC000000}"/>
    <cellStyle name="_Crown - FPS - 19.06.07 - R1 3 2 4" xfId="7224" xr:uid="{00000000-0005-0000-0000-0000DD000000}"/>
    <cellStyle name="_Crown - FPS - 19.06.07 - R1 3 2 4 2" xfId="9927" xr:uid="{00000000-0005-0000-0000-0000DE000000}"/>
    <cellStyle name="_Crown - FPS - 19.06.07 - R1 3 2 5" xfId="8587" xr:uid="{00000000-0005-0000-0000-0000DF000000}"/>
    <cellStyle name="_Crown - FPS - 19.06.07 - R1 3 3" xfId="7223" xr:uid="{00000000-0005-0000-0000-0000E0000000}"/>
    <cellStyle name="_Crown - FPS - 19.06.07 - R1 3 3 2" xfId="9926" xr:uid="{00000000-0005-0000-0000-0000E1000000}"/>
    <cellStyle name="_Crown - FPS - 19.06.07 - R1 3 4" xfId="8586" xr:uid="{00000000-0005-0000-0000-0000E2000000}"/>
    <cellStyle name="_Crown - FPS - 19.06.07 - R1 4" xfId="1625" xr:uid="{00000000-0005-0000-0000-0000E3000000}"/>
    <cellStyle name="_Crown - FPS - 19.06.07 - R1 4 2" xfId="1626" xr:uid="{00000000-0005-0000-0000-0000E4000000}"/>
    <cellStyle name="_Crown - FPS - 19.06.07 - R1 4 2 2" xfId="7228" xr:uid="{00000000-0005-0000-0000-0000E5000000}"/>
    <cellStyle name="_Crown - FPS - 19.06.07 - R1 4 2 2 2" xfId="9931" xr:uid="{00000000-0005-0000-0000-0000E6000000}"/>
    <cellStyle name="_Crown - FPS - 19.06.07 - R1 4 2 3" xfId="8591" xr:uid="{00000000-0005-0000-0000-0000E7000000}"/>
    <cellStyle name="_Crown - FPS - 19.06.07 - R1 4 3" xfId="1627" xr:uid="{00000000-0005-0000-0000-0000E8000000}"/>
    <cellStyle name="_Crown - FPS - 19.06.07 - R1 4 3 2" xfId="7229" xr:uid="{00000000-0005-0000-0000-0000E9000000}"/>
    <cellStyle name="_Crown - FPS - 19.06.07 - R1 4 3 2 2" xfId="9932" xr:uid="{00000000-0005-0000-0000-0000EA000000}"/>
    <cellStyle name="_Crown - FPS - 19.06.07 - R1 4 3 3" xfId="8592" xr:uid="{00000000-0005-0000-0000-0000EB000000}"/>
    <cellStyle name="_Crown - FPS - 19.06.07 - R1 4 4" xfId="7227" xr:uid="{00000000-0005-0000-0000-0000EC000000}"/>
    <cellStyle name="_Crown - FPS - 19.06.07 - R1 4 4 2" xfId="9930" xr:uid="{00000000-0005-0000-0000-0000ED000000}"/>
    <cellStyle name="_Crown - FPS - 19.06.07 - R1 4 5" xfId="8590" xr:uid="{00000000-0005-0000-0000-0000EE000000}"/>
    <cellStyle name="_Crown - FPS - 19.06.07 - R1 5" xfId="7218" xr:uid="{00000000-0005-0000-0000-0000EF000000}"/>
    <cellStyle name="_Crown - FPS - 19.06.07 - R1 5 2" xfId="9921" xr:uid="{00000000-0005-0000-0000-0000F0000000}"/>
    <cellStyle name="_Crown - FPS - 19.06.07 - R1 6" xfId="8581" xr:uid="{00000000-0005-0000-0000-0000F1000000}"/>
    <cellStyle name="_CSC Guard Patrol 21.07.06 All For reference" xfId="1628" xr:uid="{00000000-0005-0000-0000-0000F2000000}"/>
    <cellStyle name="_CSC Guard Patrol 21.07.06 All For reference 2" xfId="1629" xr:uid="{00000000-0005-0000-0000-0000F3000000}"/>
    <cellStyle name="_CTS DLF - QUADRA - 11.06.07" xfId="1630" xr:uid="{00000000-0005-0000-0000-0000F4000000}"/>
    <cellStyle name="_CTS DLF - QUADRA - 11.06.07 2" xfId="1631" xr:uid="{00000000-0005-0000-0000-0000F5000000}"/>
    <cellStyle name="_CTS, Cochin - 25.10.2006" xfId="1632" xr:uid="{00000000-0005-0000-0000-0000F6000000}"/>
    <cellStyle name="_CTS, Cochin - 25.10.2006 2" xfId="1633" xr:uid="{00000000-0005-0000-0000-0000F7000000}"/>
    <cellStyle name="_E &amp; Y Sprk Mod - 05.10.06" xfId="1634" xr:uid="{00000000-0005-0000-0000-0000F8000000}"/>
    <cellStyle name="_E &amp; Y Sprk Mod - 05.10.06 2" xfId="1635" xr:uid="{00000000-0005-0000-0000-0000F9000000}"/>
    <cellStyle name="_E &amp; Y UB City As per Engg -04.12.06" xfId="317" xr:uid="{00000000-0005-0000-0000-0000FA000000}"/>
    <cellStyle name="_E &amp; Y UB City As per Engg -04.12.06 2" xfId="1636" xr:uid="{00000000-0005-0000-0000-0000FB000000}"/>
    <cellStyle name="_Edifice-sutherland" xfId="1637" xr:uid="{00000000-0005-0000-0000-0000FC000000}"/>
    <cellStyle name="_Edifice-sutherland 2" xfId="1638" xr:uid="{00000000-0005-0000-0000-0000FD000000}"/>
    <cellStyle name="_electrical-honeywell" xfId="318" xr:uid="{00000000-0005-0000-0000-0000FE000000}"/>
    <cellStyle name="_Enercon  ACS, CCTV 28.09.06R1" xfId="319" xr:uid="{00000000-0005-0000-0000-0000FF000000}"/>
    <cellStyle name="_Enercon  ACS, CCTV 28.09.06R1 2" xfId="1639" xr:uid="{00000000-0005-0000-0000-000000010000}"/>
    <cellStyle name="_ENY- 12.09.06,e-mail" xfId="320" xr:uid="{00000000-0005-0000-0000-000001010000}"/>
    <cellStyle name="_Eskayem_Runwal Town -fps-19.03.07" xfId="1640" xr:uid="{00000000-0005-0000-0000-000002010000}"/>
    <cellStyle name="_Eskayem_Runwal Town -fps-19.03.07 2" xfId="1641" xr:uid="{00000000-0005-0000-0000-000003010000}"/>
    <cellStyle name="_Eskayem_Runwal Town -fps-19.03.07 2 2" xfId="1642" xr:uid="{00000000-0005-0000-0000-000004010000}"/>
    <cellStyle name="_Eskayem_Runwal Town -fps-19.03.07 2 2 2" xfId="1643" xr:uid="{00000000-0005-0000-0000-000005010000}"/>
    <cellStyle name="_Eskayem_Runwal Town -fps-19.03.07 2 2 2 2" xfId="7233" xr:uid="{00000000-0005-0000-0000-000006010000}"/>
    <cellStyle name="_Eskayem_Runwal Town -fps-19.03.07 2 2 2 2 2" xfId="9936" xr:uid="{00000000-0005-0000-0000-000007010000}"/>
    <cellStyle name="_Eskayem_Runwal Town -fps-19.03.07 2 2 2 3" xfId="8596" xr:uid="{00000000-0005-0000-0000-000008010000}"/>
    <cellStyle name="_Eskayem_Runwal Town -fps-19.03.07 2 2 3" xfId="1644" xr:uid="{00000000-0005-0000-0000-000009010000}"/>
    <cellStyle name="_Eskayem_Runwal Town -fps-19.03.07 2 2 3 2" xfId="7234" xr:uid="{00000000-0005-0000-0000-00000A010000}"/>
    <cellStyle name="_Eskayem_Runwal Town -fps-19.03.07 2 2 3 2 2" xfId="9937" xr:uid="{00000000-0005-0000-0000-00000B010000}"/>
    <cellStyle name="_Eskayem_Runwal Town -fps-19.03.07 2 2 3 3" xfId="8597" xr:uid="{00000000-0005-0000-0000-00000C010000}"/>
    <cellStyle name="_Eskayem_Runwal Town -fps-19.03.07 2 2 4" xfId="7232" xr:uid="{00000000-0005-0000-0000-00000D010000}"/>
    <cellStyle name="_Eskayem_Runwal Town -fps-19.03.07 2 2 4 2" xfId="9935" xr:uid="{00000000-0005-0000-0000-00000E010000}"/>
    <cellStyle name="_Eskayem_Runwal Town -fps-19.03.07 2 2 5" xfId="8595" xr:uid="{00000000-0005-0000-0000-00000F010000}"/>
    <cellStyle name="_Eskayem_Runwal Town -fps-19.03.07 2 3" xfId="7231" xr:uid="{00000000-0005-0000-0000-000010010000}"/>
    <cellStyle name="_Eskayem_Runwal Town -fps-19.03.07 2 3 2" xfId="9934" xr:uid="{00000000-0005-0000-0000-000011010000}"/>
    <cellStyle name="_Eskayem_Runwal Town -fps-19.03.07 2 4" xfId="8594" xr:uid="{00000000-0005-0000-0000-000012010000}"/>
    <cellStyle name="_Eskayem_Runwal Town -fps-19.03.07 3" xfId="1645" xr:uid="{00000000-0005-0000-0000-000013010000}"/>
    <cellStyle name="_Eskayem_Runwal Town -fps-19.03.07 3 2" xfId="1646" xr:uid="{00000000-0005-0000-0000-000014010000}"/>
    <cellStyle name="_Eskayem_Runwal Town -fps-19.03.07 3 2 2" xfId="1647" xr:uid="{00000000-0005-0000-0000-000015010000}"/>
    <cellStyle name="_Eskayem_Runwal Town -fps-19.03.07 3 2 2 2" xfId="7237" xr:uid="{00000000-0005-0000-0000-000016010000}"/>
    <cellStyle name="_Eskayem_Runwal Town -fps-19.03.07 3 2 2 2 2" xfId="9940" xr:uid="{00000000-0005-0000-0000-000017010000}"/>
    <cellStyle name="_Eskayem_Runwal Town -fps-19.03.07 3 2 2 3" xfId="8600" xr:uid="{00000000-0005-0000-0000-000018010000}"/>
    <cellStyle name="_Eskayem_Runwal Town -fps-19.03.07 3 2 3" xfId="1648" xr:uid="{00000000-0005-0000-0000-000019010000}"/>
    <cellStyle name="_Eskayem_Runwal Town -fps-19.03.07 3 2 3 2" xfId="7238" xr:uid="{00000000-0005-0000-0000-00001A010000}"/>
    <cellStyle name="_Eskayem_Runwal Town -fps-19.03.07 3 2 3 2 2" xfId="9941" xr:uid="{00000000-0005-0000-0000-00001B010000}"/>
    <cellStyle name="_Eskayem_Runwal Town -fps-19.03.07 3 2 3 3" xfId="8601" xr:uid="{00000000-0005-0000-0000-00001C010000}"/>
    <cellStyle name="_Eskayem_Runwal Town -fps-19.03.07 3 2 4" xfId="7236" xr:uid="{00000000-0005-0000-0000-00001D010000}"/>
    <cellStyle name="_Eskayem_Runwal Town -fps-19.03.07 3 2 4 2" xfId="9939" xr:uid="{00000000-0005-0000-0000-00001E010000}"/>
    <cellStyle name="_Eskayem_Runwal Town -fps-19.03.07 3 2 5" xfId="8599" xr:uid="{00000000-0005-0000-0000-00001F010000}"/>
    <cellStyle name="_Eskayem_Runwal Town -fps-19.03.07 3 3" xfId="7235" xr:uid="{00000000-0005-0000-0000-000020010000}"/>
    <cellStyle name="_Eskayem_Runwal Town -fps-19.03.07 3 3 2" xfId="9938" xr:uid="{00000000-0005-0000-0000-000021010000}"/>
    <cellStyle name="_Eskayem_Runwal Town -fps-19.03.07 3 4" xfId="8598" xr:uid="{00000000-0005-0000-0000-000022010000}"/>
    <cellStyle name="_Eskayem_Runwal Town -fps-19.03.07 4" xfId="1649" xr:uid="{00000000-0005-0000-0000-000023010000}"/>
    <cellStyle name="_Eskayem_Runwal Town -fps-19.03.07 4 2" xfId="1650" xr:uid="{00000000-0005-0000-0000-000024010000}"/>
    <cellStyle name="_Eskayem_Runwal Town -fps-19.03.07 4 2 2" xfId="7240" xr:uid="{00000000-0005-0000-0000-000025010000}"/>
    <cellStyle name="_Eskayem_Runwal Town -fps-19.03.07 4 2 2 2" xfId="9943" xr:uid="{00000000-0005-0000-0000-000026010000}"/>
    <cellStyle name="_Eskayem_Runwal Town -fps-19.03.07 4 2 3" xfId="8603" xr:uid="{00000000-0005-0000-0000-000027010000}"/>
    <cellStyle name="_Eskayem_Runwal Town -fps-19.03.07 4 3" xfId="1651" xr:uid="{00000000-0005-0000-0000-000028010000}"/>
    <cellStyle name="_Eskayem_Runwal Town -fps-19.03.07 4 3 2" xfId="7241" xr:uid="{00000000-0005-0000-0000-000029010000}"/>
    <cellStyle name="_Eskayem_Runwal Town -fps-19.03.07 4 3 2 2" xfId="9944" xr:uid="{00000000-0005-0000-0000-00002A010000}"/>
    <cellStyle name="_Eskayem_Runwal Town -fps-19.03.07 4 3 3" xfId="8604" xr:uid="{00000000-0005-0000-0000-00002B010000}"/>
    <cellStyle name="_Eskayem_Runwal Town -fps-19.03.07 4 4" xfId="7239" xr:uid="{00000000-0005-0000-0000-00002C010000}"/>
    <cellStyle name="_Eskayem_Runwal Town -fps-19.03.07 4 4 2" xfId="9942" xr:uid="{00000000-0005-0000-0000-00002D010000}"/>
    <cellStyle name="_Eskayem_Runwal Town -fps-19.03.07 4 5" xfId="8602" xr:uid="{00000000-0005-0000-0000-00002E010000}"/>
    <cellStyle name="_Eskayem_Runwal Town -fps-19.03.07 5" xfId="7230" xr:uid="{00000000-0005-0000-0000-00002F010000}"/>
    <cellStyle name="_Eskayem_Runwal Town -fps-19.03.07 5 2" xfId="9933" xr:uid="{00000000-0005-0000-0000-000030010000}"/>
    <cellStyle name="_Eskayem_Runwal Town -fps-19.03.07 6" xfId="8593" xr:uid="{00000000-0005-0000-0000-000031010000}"/>
    <cellStyle name="_ET_STYLE_NoName_00_" xfId="1652" xr:uid="{00000000-0005-0000-0000-000032010000}"/>
    <cellStyle name="_ETA Techno Park -  Block 4 - 04.10.06mail" xfId="1653" xr:uid="{00000000-0005-0000-0000-000033010000}"/>
    <cellStyle name="_ETA Techno Park -  Block 4 - 04.10.06mail 2" xfId="1654" xr:uid="{00000000-0005-0000-0000-000034010000}"/>
    <cellStyle name="_euronet 60401" xfId="321" xr:uid="{00000000-0005-0000-0000-000035010000}"/>
    <cellStyle name="_EuroNet Price" xfId="322" xr:uid="{00000000-0005-0000-0000-000036010000}"/>
    <cellStyle name="_EuroNet Price 2" xfId="1655" xr:uid="{00000000-0005-0000-0000-000037010000}"/>
    <cellStyle name="_EuroNet_List Price Template (1)" xfId="323" xr:uid="{00000000-0005-0000-0000-000038010000}"/>
    <cellStyle name="_EuroNet_List Price Template (1) 2" xfId="1656" xr:uid="{00000000-0005-0000-0000-000039010000}"/>
    <cellStyle name="_Fire and security costing for Share Khan at Parel" xfId="324" xr:uid="{00000000-0005-0000-0000-00003A010000}"/>
    <cellStyle name="_FM 200 Requirement (1)" xfId="325" xr:uid="{00000000-0005-0000-0000-00003B010000}"/>
    <cellStyle name="_FM 200 Requirement (1) 2" xfId="1657" xr:uid="{00000000-0005-0000-0000-00003C010000}"/>
    <cellStyle name="_FM 200 Requirement (1) 3" xfId="1658" xr:uid="{00000000-0005-0000-0000-00003D010000}"/>
    <cellStyle name="_FM-200 BUGETORY QOUTE" xfId="1659" xr:uid="{00000000-0005-0000-0000-00003E010000}"/>
    <cellStyle name="_FM-200 BUGETORY QOUTE 2" xfId="1660" xr:uid="{00000000-0005-0000-0000-00003F010000}"/>
    <cellStyle name="_FM-200 BUGETORY QOUTE 2 2" xfId="1661" xr:uid="{00000000-0005-0000-0000-000040010000}"/>
    <cellStyle name="_FM-200 BUGETORY QOUTE 2 2 2" xfId="7244" xr:uid="{00000000-0005-0000-0000-000041010000}"/>
    <cellStyle name="_FM-200 BUGETORY QOUTE 2 2 2 2" xfId="9947" xr:uid="{00000000-0005-0000-0000-000042010000}"/>
    <cellStyle name="_FM-200 BUGETORY QOUTE 2 2 3" xfId="8607" xr:uid="{00000000-0005-0000-0000-000043010000}"/>
    <cellStyle name="_FM-200 BUGETORY QOUTE 2 3" xfId="1662" xr:uid="{00000000-0005-0000-0000-000044010000}"/>
    <cellStyle name="_FM-200 BUGETORY QOUTE 2 3 2" xfId="7245" xr:uid="{00000000-0005-0000-0000-000045010000}"/>
    <cellStyle name="_FM-200 BUGETORY QOUTE 2 3 2 2" xfId="9948" xr:uid="{00000000-0005-0000-0000-000046010000}"/>
    <cellStyle name="_FM-200 BUGETORY QOUTE 2 3 3" xfId="8608" xr:uid="{00000000-0005-0000-0000-000047010000}"/>
    <cellStyle name="_FM-200 BUGETORY QOUTE 2 4" xfId="7243" xr:uid="{00000000-0005-0000-0000-000048010000}"/>
    <cellStyle name="_FM-200 BUGETORY QOUTE 2 4 2" xfId="9946" xr:uid="{00000000-0005-0000-0000-000049010000}"/>
    <cellStyle name="_FM-200 BUGETORY QOUTE 2 5" xfId="8606" xr:uid="{00000000-0005-0000-0000-00004A010000}"/>
    <cellStyle name="_FM-200 BUGETORY QOUTE 3" xfId="7242" xr:uid="{00000000-0005-0000-0000-00004B010000}"/>
    <cellStyle name="_FM-200 BUGETORY QOUTE 3 2" xfId="9945" xr:uid="{00000000-0005-0000-0000-00004C010000}"/>
    <cellStyle name="_FM-200 BUGETORY QOUTE 4" xfId="8605" xr:uid="{00000000-0005-0000-0000-00004D010000}"/>
    <cellStyle name="_Gateway - Pune(BMS)- 17.12.07" xfId="1663" xr:uid="{00000000-0005-0000-0000-00004E010000}"/>
    <cellStyle name="_Gateway - Pune(BMS)- 17.12.07 2" xfId="1664" xr:uid="{00000000-0005-0000-0000-00004F010000}"/>
    <cellStyle name="_General BMS" xfId="326" xr:uid="{00000000-0005-0000-0000-000050010000}"/>
    <cellStyle name="_General BMS 2" xfId="1665" xr:uid="{00000000-0005-0000-0000-000051010000}"/>
    <cellStyle name="_General WLD" xfId="327" xr:uid="{00000000-0005-0000-0000-000052010000}"/>
    <cellStyle name="_General WLD 2" xfId="1666" xr:uid="{00000000-0005-0000-0000-000053010000}"/>
    <cellStyle name="_Genysis AFAS 19.08.06" xfId="328" xr:uid="{00000000-0005-0000-0000-000054010000}"/>
    <cellStyle name="_Genysis AFAS 19.08.06 2" xfId="1667" xr:uid="{00000000-0005-0000-0000-000055010000}"/>
    <cellStyle name="_Global (Harayana) 16.11.05" xfId="1668" xr:uid="{00000000-0005-0000-0000-000056010000}"/>
    <cellStyle name="_Global (Harayana) 16.11.05 2" xfId="1669" xr:uid="{00000000-0005-0000-0000-000057010000}"/>
    <cellStyle name="_Global Hospital  - 16.10.07" xfId="1670" xr:uid="{00000000-0005-0000-0000-000058010000}"/>
    <cellStyle name="_Global Hospital  - 16.10.07 2" xfId="1671" xr:uid="{00000000-0005-0000-0000-000059010000}"/>
    <cellStyle name="_Hilton Hotel - 14.03.08" xfId="1672" xr:uid="{00000000-0005-0000-0000-00005A010000}"/>
    <cellStyle name="_Hilton Hotel - 14.03.08 2" xfId="1673" xr:uid="{00000000-0005-0000-0000-00005B010000}"/>
    <cellStyle name="_HLR- iris-13.06.06" xfId="1674" xr:uid="{00000000-0005-0000-0000-00005C010000}"/>
    <cellStyle name="_HLR- iris-13.06.06 2" xfId="1675" xr:uid="{00000000-0005-0000-0000-00005D010000}"/>
    <cellStyle name="_Hyundai Motors India Pvt Ltd - FAS &amp; PAS - 29.06.06-QS4l" xfId="1676" xr:uid="{00000000-0005-0000-0000-00005E010000}"/>
    <cellStyle name="_Hyundai Motors India Pvt Ltd - FAS &amp; PAS - 29.06.06-QS4l 2" xfId="1677" xr:uid="{00000000-0005-0000-0000-00005F010000}"/>
    <cellStyle name="_IBM Data Center - 15.07.06" xfId="329" xr:uid="{00000000-0005-0000-0000-000060010000}"/>
    <cellStyle name="_IBM Data Center - 15.07.06 2" xfId="1678" xr:uid="{00000000-0005-0000-0000-000061010000}"/>
    <cellStyle name="_IBM Data Centre - 27.09.06,e-mail" xfId="1679" xr:uid="{00000000-0005-0000-0000-000062010000}"/>
    <cellStyle name="_IBM Data Centre - 27.09.06,e-mail 2" xfId="1680" xr:uid="{00000000-0005-0000-0000-000063010000}"/>
    <cellStyle name="_IBM K Block - Manyatta" xfId="330" xr:uid="{00000000-0005-0000-0000-000064010000}"/>
    <cellStyle name="_IBM K Block - Manyatta 2" xfId="1681" xr:uid="{00000000-0005-0000-0000-000065010000}"/>
    <cellStyle name="_IBM Manyata 1.4.06" xfId="331" xr:uid="{00000000-0005-0000-0000-000066010000}"/>
    <cellStyle name="_IBM Manyata 1.4.06 2" xfId="1682" xr:uid="{00000000-0005-0000-0000-000067010000}"/>
    <cellStyle name="_IBM-datacentre-28.09.06" xfId="332" xr:uid="{00000000-0005-0000-0000-000068010000}"/>
    <cellStyle name="_IBM-datacentre-28.09.06 2" xfId="1683" xr:uid="{00000000-0005-0000-0000-000069010000}"/>
    <cellStyle name="_IBMS BOQ" xfId="1684" xr:uid="{00000000-0005-0000-0000-00006A010000}"/>
    <cellStyle name="_IBMS BOQ 2" xfId="1685" xr:uid="{00000000-0005-0000-0000-00006B010000}"/>
    <cellStyle name="_IDC chennai - 30.03.06" xfId="333" xr:uid="{00000000-0005-0000-0000-00006C010000}"/>
    <cellStyle name="_Incubation Center for Muthoot,Kochi-28.04.06" xfId="334" xr:uid="{00000000-0005-0000-0000-00006D010000}"/>
    <cellStyle name="_Incubation Center for Muthoot,Kochi-28.04.06 2" xfId="1686" xr:uid="{00000000-0005-0000-0000-00006E010000}"/>
    <cellStyle name="_Integra T 28.12.05 " xfId="1687" xr:uid="{00000000-0005-0000-0000-00006F010000}"/>
    <cellStyle name="_Integra T 28.12.05  2" xfId="1688" xr:uid="{00000000-0005-0000-0000-000070010000}"/>
    <cellStyle name="_Intelenet - 4th Floor RRP 05.01.07" xfId="1689" xr:uid="{00000000-0005-0000-0000-000071010000}"/>
    <cellStyle name="_Intelenet - 4th Floor RRP 05.01.07 2" xfId="1690" xr:uid="{00000000-0005-0000-0000-000072010000}"/>
    <cellStyle name="_Intelenet-Spk - 01.08.06.R2(Increase 10%)" xfId="1691" xr:uid="{00000000-0005-0000-0000-000073010000}"/>
    <cellStyle name="_Intelenet-Spk - 01.08.06.R2(Increase 10%) 2" xfId="1692" xr:uid="{00000000-0005-0000-0000-000074010000}"/>
    <cellStyle name="_Intellivate-16.09.06" xfId="335" xr:uid="{00000000-0005-0000-0000-000075010000}"/>
    <cellStyle name="_Intellivate-16.09.06 2" xfId="1693" xr:uid="{00000000-0005-0000-0000-000076010000}"/>
    <cellStyle name="_Intercontinental, New Delhi BMS Costing" xfId="1694" xr:uid="{00000000-0005-0000-0000-000077010000}"/>
    <cellStyle name="_Intercontinental, New Delhi BMS Costing 2" xfId="1695" xr:uid="{00000000-0005-0000-0000-000078010000}"/>
    <cellStyle name="_IO List" xfId="1696" xr:uid="{00000000-0005-0000-0000-000079010000}"/>
    <cellStyle name="_IO List &amp; Contoller" xfId="336" xr:uid="{00000000-0005-0000-0000-00007A010000}"/>
    <cellStyle name="_IO List &amp; Contoller 2" xfId="1697" xr:uid="{00000000-0005-0000-0000-00007B010000}"/>
    <cellStyle name="_IO List 2" xfId="1698" xr:uid="{00000000-0005-0000-0000-00007C010000}"/>
    <cellStyle name="_ISRO-Bhopal- 30.05.06" xfId="1699" xr:uid="{00000000-0005-0000-0000-00007D010000}"/>
    <cellStyle name="_ISRO-Bhopal- 30.05.06 2" xfId="1700" xr:uid="{00000000-0005-0000-0000-00007E010000}"/>
    <cellStyle name="_ITC Windsor Manor - 23.05.07" xfId="1701" xr:uid="{00000000-0005-0000-0000-00007F010000}"/>
    <cellStyle name="_ITC Windsor Manor - 23.05.07 2" xfId="1702" xr:uid="{00000000-0005-0000-0000-000080010000}"/>
    <cellStyle name="_IVY Comptech FAS,PAS,ACS,CCTV,RRS 11.07.06" xfId="337" xr:uid="{00000000-0005-0000-0000-000081010000}"/>
    <cellStyle name="_IVY Comptech FAS,PAS,ACS,CCTV,RRS 11.07.06 2" xfId="1703" xr:uid="{00000000-0005-0000-0000-000082010000}"/>
    <cellStyle name="_Karan Construction-10.08.06-rev" xfId="1704" xr:uid="{00000000-0005-0000-0000-000083010000}"/>
    <cellStyle name="_Karan Construction-10.08.06-rev 2" xfId="1705" xr:uid="{00000000-0005-0000-0000-000084010000}"/>
    <cellStyle name="_KLJ house - prithvi sound_18 05 07" xfId="1706" xr:uid="{00000000-0005-0000-0000-000085010000}"/>
    <cellStyle name="_KLJ house - prithvi sound_18 05 07 2" xfId="1707" xr:uid="{00000000-0005-0000-0000-000086010000}"/>
    <cellStyle name="_KLJ house - prithvi sound_18 05 07 2 2" xfId="1708" xr:uid="{00000000-0005-0000-0000-000087010000}"/>
    <cellStyle name="_KLJ house - prithvi sound_18 05 07 2 2 2" xfId="1709" xr:uid="{00000000-0005-0000-0000-000088010000}"/>
    <cellStyle name="_KLJ house - prithvi sound_18 05 07 2 2 2 2" xfId="7249" xr:uid="{00000000-0005-0000-0000-000089010000}"/>
    <cellStyle name="_KLJ house - prithvi sound_18 05 07 2 2 2 2 2" xfId="9952" xr:uid="{00000000-0005-0000-0000-00008A010000}"/>
    <cellStyle name="_KLJ house - prithvi sound_18 05 07 2 2 2 3" xfId="8612" xr:uid="{00000000-0005-0000-0000-00008B010000}"/>
    <cellStyle name="_KLJ house - prithvi sound_18 05 07 2 2 3" xfId="1710" xr:uid="{00000000-0005-0000-0000-00008C010000}"/>
    <cellStyle name="_KLJ house - prithvi sound_18 05 07 2 2 3 2" xfId="7250" xr:uid="{00000000-0005-0000-0000-00008D010000}"/>
    <cellStyle name="_KLJ house - prithvi sound_18 05 07 2 2 3 2 2" xfId="9953" xr:uid="{00000000-0005-0000-0000-00008E010000}"/>
    <cellStyle name="_KLJ house - prithvi sound_18 05 07 2 2 3 3" xfId="8613" xr:uid="{00000000-0005-0000-0000-00008F010000}"/>
    <cellStyle name="_KLJ house - prithvi sound_18 05 07 2 2 4" xfId="7248" xr:uid="{00000000-0005-0000-0000-000090010000}"/>
    <cellStyle name="_KLJ house - prithvi sound_18 05 07 2 2 4 2" xfId="9951" xr:uid="{00000000-0005-0000-0000-000091010000}"/>
    <cellStyle name="_KLJ house - prithvi sound_18 05 07 2 2 5" xfId="8611" xr:uid="{00000000-0005-0000-0000-000092010000}"/>
    <cellStyle name="_KLJ house - prithvi sound_18 05 07 2 3" xfId="7247" xr:uid="{00000000-0005-0000-0000-000093010000}"/>
    <cellStyle name="_KLJ house - prithvi sound_18 05 07 2 3 2" xfId="9950" xr:uid="{00000000-0005-0000-0000-000094010000}"/>
    <cellStyle name="_KLJ house - prithvi sound_18 05 07 2 4" xfId="8610" xr:uid="{00000000-0005-0000-0000-000095010000}"/>
    <cellStyle name="_KLJ house - prithvi sound_18 05 07 3" xfId="1711" xr:uid="{00000000-0005-0000-0000-000096010000}"/>
    <cellStyle name="_KLJ house - prithvi sound_18 05 07 3 2" xfId="1712" xr:uid="{00000000-0005-0000-0000-000097010000}"/>
    <cellStyle name="_KLJ house - prithvi sound_18 05 07 3 2 2" xfId="1713" xr:uid="{00000000-0005-0000-0000-000098010000}"/>
    <cellStyle name="_KLJ house - prithvi sound_18 05 07 3 2 2 2" xfId="7253" xr:uid="{00000000-0005-0000-0000-000099010000}"/>
    <cellStyle name="_KLJ house - prithvi sound_18 05 07 3 2 2 2 2" xfId="9956" xr:uid="{00000000-0005-0000-0000-00009A010000}"/>
    <cellStyle name="_KLJ house - prithvi sound_18 05 07 3 2 2 3" xfId="8616" xr:uid="{00000000-0005-0000-0000-00009B010000}"/>
    <cellStyle name="_KLJ house - prithvi sound_18 05 07 3 2 3" xfId="1714" xr:uid="{00000000-0005-0000-0000-00009C010000}"/>
    <cellStyle name="_KLJ house - prithvi sound_18 05 07 3 2 3 2" xfId="7254" xr:uid="{00000000-0005-0000-0000-00009D010000}"/>
    <cellStyle name="_KLJ house - prithvi sound_18 05 07 3 2 3 2 2" xfId="9957" xr:uid="{00000000-0005-0000-0000-00009E010000}"/>
    <cellStyle name="_KLJ house - prithvi sound_18 05 07 3 2 3 3" xfId="8617" xr:uid="{00000000-0005-0000-0000-00009F010000}"/>
    <cellStyle name="_KLJ house - prithvi sound_18 05 07 3 2 4" xfId="7252" xr:uid="{00000000-0005-0000-0000-0000A0010000}"/>
    <cellStyle name="_KLJ house - prithvi sound_18 05 07 3 2 4 2" xfId="9955" xr:uid="{00000000-0005-0000-0000-0000A1010000}"/>
    <cellStyle name="_KLJ house - prithvi sound_18 05 07 3 2 5" xfId="8615" xr:uid="{00000000-0005-0000-0000-0000A2010000}"/>
    <cellStyle name="_KLJ house - prithvi sound_18 05 07 3 3" xfId="7251" xr:uid="{00000000-0005-0000-0000-0000A3010000}"/>
    <cellStyle name="_KLJ house - prithvi sound_18 05 07 3 3 2" xfId="9954" xr:uid="{00000000-0005-0000-0000-0000A4010000}"/>
    <cellStyle name="_KLJ house - prithvi sound_18 05 07 3 4" xfId="8614" xr:uid="{00000000-0005-0000-0000-0000A5010000}"/>
    <cellStyle name="_KLJ house - prithvi sound_18 05 07 4" xfId="1715" xr:uid="{00000000-0005-0000-0000-0000A6010000}"/>
    <cellStyle name="_KLJ house - prithvi sound_18 05 07 4 2" xfId="1716" xr:uid="{00000000-0005-0000-0000-0000A7010000}"/>
    <cellStyle name="_KLJ house - prithvi sound_18 05 07 4 2 2" xfId="7256" xr:uid="{00000000-0005-0000-0000-0000A8010000}"/>
    <cellStyle name="_KLJ house - prithvi sound_18 05 07 4 2 2 2" xfId="9959" xr:uid="{00000000-0005-0000-0000-0000A9010000}"/>
    <cellStyle name="_KLJ house - prithvi sound_18 05 07 4 2 3" xfId="8619" xr:uid="{00000000-0005-0000-0000-0000AA010000}"/>
    <cellStyle name="_KLJ house - prithvi sound_18 05 07 4 3" xfId="1717" xr:uid="{00000000-0005-0000-0000-0000AB010000}"/>
    <cellStyle name="_KLJ house - prithvi sound_18 05 07 4 3 2" xfId="7257" xr:uid="{00000000-0005-0000-0000-0000AC010000}"/>
    <cellStyle name="_KLJ house - prithvi sound_18 05 07 4 3 2 2" xfId="9960" xr:uid="{00000000-0005-0000-0000-0000AD010000}"/>
    <cellStyle name="_KLJ house - prithvi sound_18 05 07 4 3 3" xfId="8620" xr:uid="{00000000-0005-0000-0000-0000AE010000}"/>
    <cellStyle name="_KLJ house - prithvi sound_18 05 07 4 4" xfId="7255" xr:uid="{00000000-0005-0000-0000-0000AF010000}"/>
    <cellStyle name="_KLJ house - prithvi sound_18 05 07 4 4 2" xfId="9958" xr:uid="{00000000-0005-0000-0000-0000B0010000}"/>
    <cellStyle name="_KLJ house - prithvi sound_18 05 07 4 5" xfId="8618" xr:uid="{00000000-0005-0000-0000-0000B1010000}"/>
    <cellStyle name="_KLJ house - prithvi sound_18 05 07 5" xfId="7246" xr:uid="{00000000-0005-0000-0000-0000B2010000}"/>
    <cellStyle name="_KLJ house - prithvi sound_18 05 07 5 2" xfId="9949" xr:uid="{00000000-0005-0000-0000-0000B3010000}"/>
    <cellStyle name="_KLJ house - prithvi sound_18 05 07 6" xfId="8609" xr:uid="{00000000-0005-0000-0000-0000B4010000}"/>
    <cellStyle name="_KLJ house -prithvi sound_31 05 07- R5 - opt1" xfId="1718" xr:uid="{00000000-0005-0000-0000-0000B5010000}"/>
    <cellStyle name="_KLJ house -prithvi sound_31 05 07- R5 - opt1 2" xfId="1719" xr:uid="{00000000-0005-0000-0000-0000B6010000}"/>
    <cellStyle name="_KLJ house -prithvi sound_31 05 07- R5 - opt1 2 2" xfId="1720" xr:uid="{00000000-0005-0000-0000-0000B7010000}"/>
    <cellStyle name="_KLJ house -prithvi sound_31 05 07- R5 - opt1 2 2 2" xfId="1721" xr:uid="{00000000-0005-0000-0000-0000B8010000}"/>
    <cellStyle name="_KLJ house -prithvi sound_31 05 07- R5 - opt1 2 2 2 2" xfId="7261" xr:uid="{00000000-0005-0000-0000-0000B9010000}"/>
    <cellStyle name="_KLJ house -prithvi sound_31 05 07- R5 - opt1 2 2 2 2 2" xfId="9964" xr:uid="{00000000-0005-0000-0000-0000BA010000}"/>
    <cellStyle name="_KLJ house -prithvi sound_31 05 07- R5 - opt1 2 2 2 3" xfId="8624" xr:uid="{00000000-0005-0000-0000-0000BB010000}"/>
    <cellStyle name="_KLJ house -prithvi sound_31 05 07- R5 - opt1 2 2 3" xfId="1722" xr:uid="{00000000-0005-0000-0000-0000BC010000}"/>
    <cellStyle name="_KLJ house -prithvi sound_31 05 07- R5 - opt1 2 2 3 2" xfId="7262" xr:uid="{00000000-0005-0000-0000-0000BD010000}"/>
    <cellStyle name="_KLJ house -prithvi sound_31 05 07- R5 - opt1 2 2 3 2 2" xfId="9965" xr:uid="{00000000-0005-0000-0000-0000BE010000}"/>
    <cellStyle name="_KLJ house -prithvi sound_31 05 07- R5 - opt1 2 2 3 3" xfId="8625" xr:uid="{00000000-0005-0000-0000-0000BF010000}"/>
    <cellStyle name="_KLJ house -prithvi sound_31 05 07- R5 - opt1 2 2 4" xfId="7260" xr:uid="{00000000-0005-0000-0000-0000C0010000}"/>
    <cellStyle name="_KLJ house -prithvi sound_31 05 07- R5 - opt1 2 2 4 2" xfId="9963" xr:uid="{00000000-0005-0000-0000-0000C1010000}"/>
    <cellStyle name="_KLJ house -prithvi sound_31 05 07- R5 - opt1 2 2 5" xfId="8623" xr:uid="{00000000-0005-0000-0000-0000C2010000}"/>
    <cellStyle name="_KLJ house -prithvi sound_31 05 07- R5 - opt1 2 3" xfId="7259" xr:uid="{00000000-0005-0000-0000-0000C3010000}"/>
    <cellStyle name="_KLJ house -prithvi sound_31 05 07- R5 - opt1 2 3 2" xfId="9962" xr:uid="{00000000-0005-0000-0000-0000C4010000}"/>
    <cellStyle name="_KLJ house -prithvi sound_31 05 07- R5 - opt1 2 4" xfId="8622" xr:uid="{00000000-0005-0000-0000-0000C5010000}"/>
    <cellStyle name="_KLJ house -prithvi sound_31 05 07- R5 - opt1 3" xfId="1723" xr:uid="{00000000-0005-0000-0000-0000C6010000}"/>
    <cellStyle name="_KLJ house -prithvi sound_31 05 07- R5 - opt1 3 2" xfId="1724" xr:uid="{00000000-0005-0000-0000-0000C7010000}"/>
    <cellStyle name="_KLJ house -prithvi sound_31 05 07- R5 - opt1 3 2 2" xfId="1725" xr:uid="{00000000-0005-0000-0000-0000C8010000}"/>
    <cellStyle name="_KLJ house -prithvi sound_31 05 07- R5 - opt1 3 2 2 2" xfId="7265" xr:uid="{00000000-0005-0000-0000-0000C9010000}"/>
    <cellStyle name="_KLJ house -prithvi sound_31 05 07- R5 - opt1 3 2 2 2 2" xfId="9968" xr:uid="{00000000-0005-0000-0000-0000CA010000}"/>
    <cellStyle name="_KLJ house -prithvi sound_31 05 07- R5 - opt1 3 2 2 3" xfId="8628" xr:uid="{00000000-0005-0000-0000-0000CB010000}"/>
    <cellStyle name="_KLJ house -prithvi sound_31 05 07- R5 - opt1 3 2 3" xfId="1726" xr:uid="{00000000-0005-0000-0000-0000CC010000}"/>
    <cellStyle name="_KLJ house -prithvi sound_31 05 07- R5 - opt1 3 2 3 2" xfId="7266" xr:uid="{00000000-0005-0000-0000-0000CD010000}"/>
    <cellStyle name="_KLJ house -prithvi sound_31 05 07- R5 - opt1 3 2 3 2 2" xfId="9969" xr:uid="{00000000-0005-0000-0000-0000CE010000}"/>
    <cellStyle name="_KLJ house -prithvi sound_31 05 07- R5 - opt1 3 2 3 3" xfId="8629" xr:uid="{00000000-0005-0000-0000-0000CF010000}"/>
    <cellStyle name="_KLJ house -prithvi sound_31 05 07- R5 - opt1 3 2 4" xfId="7264" xr:uid="{00000000-0005-0000-0000-0000D0010000}"/>
    <cellStyle name="_KLJ house -prithvi sound_31 05 07- R5 - opt1 3 2 4 2" xfId="9967" xr:uid="{00000000-0005-0000-0000-0000D1010000}"/>
    <cellStyle name="_KLJ house -prithvi sound_31 05 07- R5 - opt1 3 2 5" xfId="8627" xr:uid="{00000000-0005-0000-0000-0000D2010000}"/>
    <cellStyle name="_KLJ house -prithvi sound_31 05 07- R5 - opt1 3 3" xfId="7263" xr:uid="{00000000-0005-0000-0000-0000D3010000}"/>
    <cellStyle name="_KLJ house -prithvi sound_31 05 07- R5 - opt1 3 3 2" xfId="9966" xr:uid="{00000000-0005-0000-0000-0000D4010000}"/>
    <cellStyle name="_KLJ house -prithvi sound_31 05 07- R5 - opt1 3 4" xfId="8626" xr:uid="{00000000-0005-0000-0000-0000D5010000}"/>
    <cellStyle name="_KLJ house -prithvi sound_31 05 07- R5 - opt1 4" xfId="1727" xr:uid="{00000000-0005-0000-0000-0000D6010000}"/>
    <cellStyle name="_KLJ house -prithvi sound_31 05 07- R5 - opt1 4 2" xfId="1728" xr:uid="{00000000-0005-0000-0000-0000D7010000}"/>
    <cellStyle name="_KLJ house -prithvi sound_31 05 07- R5 - opt1 4 2 2" xfId="7268" xr:uid="{00000000-0005-0000-0000-0000D8010000}"/>
    <cellStyle name="_KLJ house -prithvi sound_31 05 07- R5 - opt1 4 2 2 2" xfId="9971" xr:uid="{00000000-0005-0000-0000-0000D9010000}"/>
    <cellStyle name="_KLJ house -prithvi sound_31 05 07- R5 - opt1 4 2 3" xfId="8631" xr:uid="{00000000-0005-0000-0000-0000DA010000}"/>
    <cellStyle name="_KLJ house -prithvi sound_31 05 07- R5 - opt1 4 3" xfId="1729" xr:uid="{00000000-0005-0000-0000-0000DB010000}"/>
    <cellStyle name="_KLJ house -prithvi sound_31 05 07- R5 - opt1 4 3 2" xfId="7269" xr:uid="{00000000-0005-0000-0000-0000DC010000}"/>
    <cellStyle name="_KLJ house -prithvi sound_31 05 07- R5 - opt1 4 3 2 2" xfId="9972" xr:uid="{00000000-0005-0000-0000-0000DD010000}"/>
    <cellStyle name="_KLJ house -prithvi sound_31 05 07- R5 - opt1 4 3 3" xfId="8632" xr:uid="{00000000-0005-0000-0000-0000DE010000}"/>
    <cellStyle name="_KLJ house -prithvi sound_31 05 07- R5 - opt1 4 4" xfId="7267" xr:uid="{00000000-0005-0000-0000-0000DF010000}"/>
    <cellStyle name="_KLJ house -prithvi sound_31 05 07- R5 - opt1 4 4 2" xfId="9970" xr:uid="{00000000-0005-0000-0000-0000E0010000}"/>
    <cellStyle name="_KLJ house -prithvi sound_31 05 07- R5 - opt1 4 5" xfId="8630" xr:uid="{00000000-0005-0000-0000-0000E1010000}"/>
    <cellStyle name="_KLJ house -prithvi sound_31 05 07- R5 - opt1 5" xfId="7258" xr:uid="{00000000-0005-0000-0000-0000E2010000}"/>
    <cellStyle name="_KLJ house -prithvi sound_31 05 07- R5 - opt1 5 2" xfId="9961" xr:uid="{00000000-0005-0000-0000-0000E3010000}"/>
    <cellStyle name="_KLJ house -prithvi sound_31 05 07- R5 - opt1 6" xfId="8621" xr:uid="{00000000-0005-0000-0000-0000E4010000}"/>
    <cellStyle name="_KRCD ACS 25.09.06 option-2" xfId="338" xr:uid="{00000000-0005-0000-0000-0000E5010000}"/>
    <cellStyle name="_KRCD ACS 25.09.06 option-2 2" xfId="1730" xr:uid="{00000000-0005-0000-0000-0000E6010000}"/>
    <cellStyle name="_Kris 60331 m" xfId="339" xr:uid="{00000000-0005-0000-0000-0000E7010000}"/>
    <cellStyle name="_Kwon Tong Apparel -14.08.07-PA" xfId="1731" xr:uid="{00000000-0005-0000-0000-0000E8010000}"/>
    <cellStyle name="_Kwon Tong Apparel -14.08.07-PA 2" xfId="1732" xr:uid="{00000000-0005-0000-0000-0000E9010000}"/>
    <cellStyle name="_Mariott Pune costing R1" xfId="1733" xr:uid="{00000000-0005-0000-0000-0000EA010000}"/>
    <cellStyle name="_Mariott Pune costing R1 2" xfId="1734" xr:uid="{00000000-0005-0000-0000-0000EB010000}"/>
    <cellStyle name="_Mastek Mahape -09.05.06" xfId="340" xr:uid="{00000000-0005-0000-0000-0000EC010000}"/>
    <cellStyle name="_Mastek Mahape -09.05.06 2" xfId="1735" xr:uid="{00000000-0005-0000-0000-0000ED010000}"/>
    <cellStyle name="_MMR Vaccine Facility - 26.11.07" xfId="1736" xr:uid="{00000000-0005-0000-0000-0000EE010000}"/>
    <cellStyle name="_MMR Vaccine Facility - 26.11.07 2" xfId="1737" xr:uid="{00000000-0005-0000-0000-0000EF010000}"/>
    <cellStyle name="_Moolchand Hospital- s125 - 05.01.2007" xfId="1738" xr:uid="{00000000-0005-0000-0000-0000F0010000}"/>
    <cellStyle name="_Moolchand Hospital- s125 - 05.01.2007 2" xfId="1739" xr:uid="{00000000-0005-0000-0000-0000F1010000}"/>
    <cellStyle name="_Oracle HYD 19.06.06" xfId="341" xr:uid="{00000000-0005-0000-0000-0000F2010000}"/>
    <cellStyle name="_Oracle HYD 19.06.06 2" xfId="1740" xr:uid="{00000000-0005-0000-0000-0000F3010000}"/>
    <cellStyle name="_P.V.S.M Hospital -17.05.06-Unpriced" xfId="342" xr:uid="{00000000-0005-0000-0000-0000F4010000}"/>
    <cellStyle name="_P.V.S.M Hospital -17.05.06-Unpriced 2" xfId="1741" xr:uid="{00000000-0005-0000-0000-0000F5010000}"/>
    <cellStyle name="_PCS INR -29.04.08" xfId="1742" xr:uid="{00000000-0005-0000-0000-0000F6010000}"/>
    <cellStyle name="_PCS INR -29.04.08 2" xfId="1743" xr:uid="{00000000-0005-0000-0000-0000F7010000}"/>
    <cellStyle name="_Pfizer Phase II - 27.09.07" xfId="1744" xr:uid="{00000000-0005-0000-0000-0000F8010000}"/>
    <cellStyle name="_Pfizer Phase II - 27.09.07 2" xfId="1745" xr:uid="{00000000-0005-0000-0000-0000F9010000}"/>
    <cellStyle name="_Port Trust,Data Center -31.05.06" xfId="1746" xr:uid="{00000000-0005-0000-0000-0000FA010000}"/>
    <cellStyle name="_Port Trust,Data Center -31.05.06 2" xfId="1747" xr:uid="{00000000-0005-0000-0000-0000FB010000}"/>
    <cellStyle name="_Pri Sch 7216" xfId="343" xr:uid="{00000000-0005-0000-0000-0000FC010000}"/>
    <cellStyle name="_Pri Sch 7220" xfId="344" xr:uid="{00000000-0005-0000-0000-0000FD010000}"/>
    <cellStyle name="_Pri Sch 7403" xfId="345" xr:uid="{00000000-0005-0000-0000-0000FE010000}"/>
    <cellStyle name="_PVS Hospital,Kochi_150406_M" xfId="346" xr:uid="{00000000-0005-0000-0000-0000FF010000}"/>
    <cellStyle name="_Raju Vekatraman residence-01.09.06" xfId="1748" xr:uid="{00000000-0005-0000-0000-000000020000}"/>
    <cellStyle name="_Raju Vekatraman residence-01.09.06 2" xfId="1749" xr:uid="{00000000-0005-0000-0000-000001020000}"/>
    <cellStyle name="_RBI wipro BMS 16.6.06" xfId="347" xr:uid="{00000000-0005-0000-0000-000002020000}"/>
    <cellStyle name="_RBI wipro BMS 16.6.06 2" xfId="1750" xr:uid="{00000000-0005-0000-0000-000003020000}"/>
    <cellStyle name="_Ref. BMS UB City 22.9.06" xfId="348" xr:uid="{00000000-0005-0000-0000-000004020000}"/>
    <cellStyle name="_Ref. BMS UB City 22.9.06 2" xfId="1751" xr:uid="{00000000-0005-0000-0000-000005020000}"/>
    <cellStyle name="_Reliance - s125 - 05.01.2007" xfId="1752" xr:uid="{00000000-0005-0000-0000-000006020000}"/>
    <cellStyle name="_Reliance - s125 - 05.01.2007 2" xfId="1753" xr:uid="{00000000-0005-0000-0000-000007020000}"/>
    <cellStyle name="_Reliance -IDC2- VESDA - 12.03.07" xfId="1754" xr:uid="{00000000-0005-0000-0000-000008020000}"/>
    <cellStyle name="_Reliance -IDC2- VESDA - 12.03.07 2" xfId="1755" xr:uid="{00000000-0005-0000-0000-000009020000}"/>
    <cellStyle name="_Reliance-24.02.06-Email" xfId="1756" xr:uid="{00000000-0005-0000-0000-00000A020000}"/>
    <cellStyle name="_Reliance-24.02.06-Email 2" xfId="1757" xr:uid="{00000000-0005-0000-0000-00000B020000}"/>
    <cellStyle name="_RMZ Millenia Buisness Park mail-27.09.06-R1" xfId="1758" xr:uid="{00000000-0005-0000-0000-00000C020000}"/>
    <cellStyle name="_RMZ Millenia Buisness Park mail-27.09.06-R1 2" xfId="1759" xr:uid="{00000000-0005-0000-0000-00000D020000}"/>
    <cellStyle name="_RMZ Millenia Buisness Park mail-27.09.06-R1 2 2" xfId="1760" xr:uid="{00000000-0005-0000-0000-00000E020000}"/>
    <cellStyle name="_RMZ Millenia Buisness Park mail-27.09.06-R1 2 2 2" xfId="1761" xr:uid="{00000000-0005-0000-0000-00000F020000}"/>
    <cellStyle name="_RMZ Millenia Buisness Park mail-27.09.06-R1 2 2 2 2" xfId="7273" xr:uid="{00000000-0005-0000-0000-000010020000}"/>
    <cellStyle name="_RMZ Millenia Buisness Park mail-27.09.06-R1 2 2 2 2 2" xfId="9976" xr:uid="{00000000-0005-0000-0000-000011020000}"/>
    <cellStyle name="_RMZ Millenia Buisness Park mail-27.09.06-R1 2 2 2 3" xfId="8636" xr:uid="{00000000-0005-0000-0000-000012020000}"/>
    <cellStyle name="_RMZ Millenia Buisness Park mail-27.09.06-R1 2 2 3" xfId="1762" xr:uid="{00000000-0005-0000-0000-000013020000}"/>
    <cellStyle name="_RMZ Millenia Buisness Park mail-27.09.06-R1 2 2 3 2" xfId="7274" xr:uid="{00000000-0005-0000-0000-000014020000}"/>
    <cellStyle name="_RMZ Millenia Buisness Park mail-27.09.06-R1 2 2 3 2 2" xfId="9977" xr:uid="{00000000-0005-0000-0000-000015020000}"/>
    <cellStyle name="_RMZ Millenia Buisness Park mail-27.09.06-R1 2 2 3 3" xfId="8637" xr:uid="{00000000-0005-0000-0000-000016020000}"/>
    <cellStyle name="_RMZ Millenia Buisness Park mail-27.09.06-R1 2 2 4" xfId="7272" xr:uid="{00000000-0005-0000-0000-000017020000}"/>
    <cellStyle name="_RMZ Millenia Buisness Park mail-27.09.06-R1 2 2 4 2" xfId="9975" xr:uid="{00000000-0005-0000-0000-000018020000}"/>
    <cellStyle name="_RMZ Millenia Buisness Park mail-27.09.06-R1 2 2 5" xfId="8635" xr:uid="{00000000-0005-0000-0000-000019020000}"/>
    <cellStyle name="_RMZ Millenia Buisness Park mail-27.09.06-R1 2 3" xfId="7271" xr:uid="{00000000-0005-0000-0000-00001A020000}"/>
    <cellStyle name="_RMZ Millenia Buisness Park mail-27.09.06-R1 2 3 2" xfId="9974" xr:uid="{00000000-0005-0000-0000-00001B020000}"/>
    <cellStyle name="_RMZ Millenia Buisness Park mail-27.09.06-R1 2 4" xfId="8634" xr:uid="{00000000-0005-0000-0000-00001C020000}"/>
    <cellStyle name="_RMZ Millenia Buisness Park mail-27.09.06-R1 3" xfId="1763" xr:uid="{00000000-0005-0000-0000-00001D020000}"/>
    <cellStyle name="_RMZ Millenia Buisness Park mail-27.09.06-R1 3 2" xfId="1764" xr:uid="{00000000-0005-0000-0000-00001E020000}"/>
    <cellStyle name="_RMZ Millenia Buisness Park mail-27.09.06-R1 3 2 2" xfId="1765" xr:uid="{00000000-0005-0000-0000-00001F020000}"/>
    <cellStyle name="_RMZ Millenia Buisness Park mail-27.09.06-R1 3 2 2 2" xfId="7277" xr:uid="{00000000-0005-0000-0000-000020020000}"/>
    <cellStyle name="_RMZ Millenia Buisness Park mail-27.09.06-R1 3 2 2 2 2" xfId="9980" xr:uid="{00000000-0005-0000-0000-000021020000}"/>
    <cellStyle name="_RMZ Millenia Buisness Park mail-27.09.06-R1 3 2 2 3" xfId="8640" xr:uid="{00000000-0005-0000-0000-000022020000}"/>
    <cellStyle name="_RMZ Millenia Buisness Park mail-27.09.06-R1 3 2 3" xfId="1766" xr:uid="{00000000-0005-0000-0000-000023020000}"/>
    <cellStyle name="_RMZ Millenia Buisness Park mail-27.09.06-R1 3 2 3 2" xfId="7278" xr:uid="{00000000-0005-0000-0000-000024020000}"/>
    <cellStyle name="_RMZ Millenia Buisness Park mail-27.09.06-R1 3 2 3 2 2" xfId="9981" xr:uid="{00000000-0005-0000-0000-000025020000}"/>
    <cellStyle name="_RMZ Millenia Buisness Park mail-27.09.06-R1 3 2 3 3" xfId="8641" xr:uid="{00000000-0005-0000-0000-000026020000}"/>
    <cellStyle name="_RMZ Millenia Buisness Park mail-27.09.06-R1 3 2 4" xfId="7276" xr:uid="{00000000-0005-0000-0000-000027020000}"/>
    <cellStyle name="_RMZ Millenia Buisness Park mail-27.09.06-R1 3 2 4 2" xfId="9979" xr:uid="{00000000-0005-0000-0000-000028020000}"/>
    <cellStyle name="_RMZ Millenia Buisness Park mail-27.09.06-R1 3 2 5" xfId="8639" xr:uid="{00000000-0005-0000-0000-000029020000}"/>
    <cellStyle name="_RMZ Millenia Buisness Park mail-27.09.06-R1 3 3" xfId="7275" xr:uid="{00000000-0005-0000-0000-00002A020000}"/>
    <cellStyle name="_RMZ Millenia Buisness Park mail-27.09.06-R1 3 3 2" xfId="9978" xr:uid="{00000000-0005-0000-0000-00002B020000}"/>
    <cellStyle name="_RMZ Millenia Buisness Park mail-27.09.06-R1 3 4" xfId="8638" xr:uid="{00000000-0005-0000-0000-00002C020000}"/>
    <cellStyle name="_RMZ Millenia Buisness Park mail-27.09.06-R1 4" xfId="1767" xr:uid="{00000000-0005-0000-0000-00002D020000}"/>
    <cellStyle name="_RMZ Millenia Buisness Park mail-27.09.06-R1 4 2" xfId="1768" xr:uid="{00000000-0005-0000-0000-00002E020000}"/>
    <cellStyle name="_RMZ Millenia Buisness Park mail-27.09.06-R1 4 2 2" xfId="7280" xr:uid="{00000000-0005-0000-0000-00002F020000}"/>
    <cellStyle name="_RMZ Millenia Buisness Park mail-27.09.06-R1 4 2 2 2" xfId="9983" xr:uid="{00000000-0005-0000-0000-000030020000}"/>
    <cellStyle name="_RMZ Millenia Buisness Park mail-27.09.06-R1 4 2 3" xfId="8643" xr:uid="{00000000-0005-0000-0000-000031020000}"/>
    <cellStyle name="_RMZ Millenia Buisness Park mail-27.09.06-R1 4 3" xfId="1769" xr:uid="{00000000-0005-0000-0000-000032020000}"/>
    <cellStyle name="_RMZ Millenia Buisness Park mail-27.09.06-R1 4 3 2" xfId="7281" xr:uid="{00000000-0005-0000-0000-000033020000}"/>
    <cellStyle name="_RMZ Millenia Buisness Park mail-27.09.06-R1 4 3 2 2" xfId="9984" xr:uid="{00000000-0005-0000-0000-000034020000}"/>
    <cellStyle name="_RMZ Millenia Buisness Park mail-27.09.06-R1 4 3 3" xfId="8644" xr:uid="{00000000-0005-0000-0000-000035020000}"/>
    <cellStyle name="_RMZ Millenia Buisness Park mail-27.09.06-R1 4 4" xfId="7279" xr:uid="{00000000-0005-0000-0000-000036020000}"/>
    <cellStyle name="_RMZ Millenia Buisness Park mail-27.09.06-R1 4 4 2" xfId="9982" xr:uid="{00000000-0005-0000-0000-000037020000}"/>
    <cellStyle name="_RMZ Millenia Buisness Park mail-27.09.06-R1 4 5" xfId="8642" xr:uid="{00000000-0005-0000-0000-000038020000}"/>
    <cellStyle name="_RMZ Millenia Buisness Park mail-27.09.06-R1 5" xfId="7270" xr:uid="{00000000-0005-0000-0000-000039020000}"/>
    <cellStyle name="_RMZ Millenia Buisness Park mail-27.09.06-R1 5 2" xfId="9973" xr:uid="{00000000-0005-0000-0000-00003A020000}"/>
    <cellStyle name="_RMZ Millenia Buisness Park mail-27.09.06-R1 6" xfId="8633" xr:uid="{00000000-0005-0000-0000-00003B020000}"/>
    <cellStyle name="_RMZ Millinea (ACS, CCTV &amp; BMS) - 05.09.07R7(SiemensBMS)" xfId="1770" xr:uid="{00000000-0005-0000-0000-00003C020000}"/>
    <cellStyle name="_RMZ Millinea (ACS, CCTV &amp; BMS) - 05.09.07R7(SiemensBMS) 2" xfId="1771" xr:uid="{00000000-0005-0000-0000-00003D020000}"/>
    <cellStyle name="_Royal Valley-FPS1-22.01.07" xfId="1772" xr:uid="{00000000-0005-0000-0000-00003E020000}"/>
    <cellStyle name="_Royal Valley-FPS1-22.01.07 2" xfId="1773" xr:uid="{00000000-0005-0000-0000-00003F020000}"/>
    <cellStyle name="_Runwal Town - make list" xfId="1774" xr:uid="{00000000-0005-0000-0000-000040020000}"/>
    <cellStyle name="_Runwal Town - make list 2" xfId="1775" xr:uid="{00000000-0005-0000-0000-000041020000}"/>
    <cellStyle name="_Runwal Town - make list 2 2" xfId="1776" xr:uid="{00000000-0005-0000-0000-000042020000}"/>
    <cellStyle name="_Runwal Town - make list 2 2 2" xfId="1777" xr:uid="{00000000-0005-0000-0000-000043020000}"/>
    <cellStyle name="_Runwal Town - make list 2 2 2 2" xfId="7285" xr:uid="{00000000-0005-0000-0000-000044020000}"/>
    <cellStyle name="_Runwal Town - make list 2 2 2 2 2" xfId="9988" xr:uid="{00000000-0005-0000-0000-000045020000}"/>
    <cellStyle name="_Runwal Town - make list 2 2 2 3" xfId="8648" xr:uid="{00000000-0005-0000-0000-000046020000}"/>
    <cellStyle name="_Runwal Town - make list 2 2 3" xfId="1778" xr:uid="{00000000-0005-0000-0000-000047020000}"/>
    <cellStyle name="_Runwal Town - make list 2 2 3 2" xfId="7286" xr:uid="{00000000-0005-0000-0000-000048020000}"/>
    <cellStyle name="_Runwal Town - make list 2 2 3 2 2" xfId="9989" xr:uid="{00000000-0005-0000-0000-000049020000}"/>
    <cellStyle name="_Runwal Town - make list 2 2 3 3" xfId="8649" xr:uid="{00000000-0005-0000-0000-00004A020000}"/>
    <cellStyle name="_Runwal Town - make list 2 2 4" xfId="7284" xr:uid="{00000000-0005-0000-0000-00004B020000}"/>
    <cellStyle name="_Runwal Town - make list 2 2 4 2" xfId="9987" xr:uid="{00000000-0005-0000-0000-00004C020000}"/>
    <cellStyle name="_Runwal Town - make list 2 2 5" xfId="8647" xr:uid="{00000000-0005-0000-0000-00004D020000}"/>
    <cellStyle name="_Runwal Town - make list 2 3" xfId="7283" xr:uid="{00000000-0005-0000-0000-00004E020000}"/>
    <cellStyle name="_Runwal Town - make list 2 3 2" xfId="9986" xr:uid="{00000000-0005-0000-0000-00004F020000}"/>
    <cellStyle name="_Runwal Town - make list 2 4" xfId="8646" xr:uid="{00000000-0005-0000-0000-000050020000}"/>
    <cellStyle name="_Runwal Town - make list 3" xfId="1779" xr:uid="{00000000-0005-0000-0000-000051020000}"/>
    <cellStyle name="_Runwal Town - make list 3 2" xfId="1780" xr:uid="{00000000-0005-0000-0000-000052020000}"/>
    <cellStyle name="_Runwal Town - make list 3 2 2" xfId="1781" xr:uid="{00000000-0005-0000-0000-000053020000}"/>
    <cellStyle name="_Runwal Town - make list 3 2 2 2" xfId="7289" xr:uid="{00000000-0005-0000-0000-000054020000}"/>
    <cellStyle name="_Runwal Town - make list 3 2 2 2 2" xfId="9992" xr:uid="{00000000-0005-0000-0000-000055020000}"/>
    <cellStyle name="_Runwal Town - make list 3 2 2 3" xfId="8652" xr:uid="{00000000-0005-0000-0000-000056020000}"/>
    <cellStyle name="_Runwal Town - make list 3 2 3" xfId="1782" xr:uid="{00000000-0005-0000-0000-000057020000}"/>
    <cellStyle name="_Runwal Town - make list 3 2 3 2" xfId="7290" xr:uid="{00000000-0005-0000-0000-000058020000}"/>
    <cellStyle name="_Runwal Town - make list 3 2 3 2 2" xfId="9993" xr:uid="{00000000-0005-0000-0000-000059020000}"/>
    <cellStyle name="_Runwal Town - make list 3 2 3 3" xfId="8653" xr:uid="{00000000-0005-0000-0000-00005A020000}"/>
    <cellStyle name="_Runwal Town - make list 3 2 4" xfId="7288" xr:uid="{00000000-0005-0000-0000-00005B020000}"/>
    <cellStyle name="_Runwal Town - make list 3 2 4 2" xfId="9991" xr:uid="{00000000-0005-0000-0000-00005C020000}"/>
    <cellStyle name="_Runwal Town - make list 3 2 5" xfId="8651" xr:uid="{00000000-0005-0000-0000-00005D020000}"/>
    <cellStyle name="_Runwal Town - make list 3 3" xfId="7287" xr:uid="{00000000-0005-0000-0000-00005E020000}"/>
    <cellStyle name="_Runwal Town - make list 3 3 2" xfId="9990" xr:uid="{00000000-0005-0000-0000-00005F020000}"/>
    <cellStyle name="_Runwal Town - make list 3 4" xfId="8650" xr:uid="{00000000-0005-0000-0000-000060020000}"/>
    <cellStyle name="_Runwal Town - make list 4" xfId="1783" xr:uid="{00000000-0005-0000-0000-000061020000}"/>
    <cellStyle name="_Runwal Town - make list 4 2" xfId="1784" xr:uid="{00000000-0005-0000-0000-000062020000}"/>
    <cellStyle name="_Runwal Town - make list 4 2 2" xfId="7292" xr:uid="{00000000-0005-0000-0000-000063020000}"/>
    <cellStyle name="_Runwal Town - make list 4 2 2 2" xfId="9995" xr:uid="{00000000-0005-0000-0000-000064020000}"/>
    <cellStyle name="_Runwal Town - make list 4 2 3" xfId="8655" xr:uid="{00000000-0005-0000-0000-000065020000}"/>
    <cellStyle name="_Runwal Town - make list 4 3" xfId="1785" xr:uid="{00000000-0005-0000-0000-000066020000}"/>
    <cellStyle name="_Runwal Town - make list 4 3 2" xfId="7293" xr:uid="{00000000-0005-0000-0000-000067020000}"/>
    <cellStyle name="_Runwal Town - make list 4 3 2 2" xfId="9996" xr:uid="{00000000-0005-0000-0000-000068020000}"/>
    <cellStyle name="_Runwal Town - make list 4 3 3" xfId="8656" xr:uid="{00000000-0005-0000-0000-000069020000}"/>
    <cellStyle name="_Runwal Town - make list 4 4" xfId="7291" xr:uid="{00000000-0005-0000-0000-00006A020000}"/>
    <cellStyle name="_Runwal Town - make list 4 4 2" xfId="9994" xr:uid="{00000000-0005-0000-0000-00006B020000}"/>
    <cellStyle name="_Runwal Town - make list 4 5" xfId="8654" xr:uid="{00000000-0005-0000-0000-00006C020000}"/>
    <cellStyle name="_Runwal Town - make list 5" xfId="7282" xr:uid="{00000000-0005-0000-0000-00006D020000}"/>
    <cellStyle name="_Runwal Town - make list 5 2" xfId="9985" xr:uid="{00000000-0005-0000-0000-00006E020000}"/>
    <cellStyle name="_Runwal Town - make list 6" xfId="8645" xr:uid="{00000000-0005-0000-0000-00006F020000}"/>
    <cellStyle name="_sahara - FPS - DSN - BOQ - 17.02.07" xfId="1786" xr:uid="{00000000-0005-0000-0000-000070020000}"/>
    <cellStyle name="_sahara - FPS - DSN - BOQ - 17.02.07 2" xfId="1787" xr:uid="{00000000-0005-0000-0000-000071020000}"/>
    <cellStyle name="_sahara - FPS - DSN - BOQ - 17.02.07 2 2" xfId="1788" xr:uid="{00000000-0005-0000-0000-000072020000}"/>
    <cellStyle name="_sahara - FPS - DSN - BOQ - 17.02.07 2 2 2" xfId="1789" xr:uid="{00000000-0005-0000-0000-000073020000}"/>
    <cellStyle name="_sahara - FPS - DSN - BOQ - 17.02.07 2 2 2 2" xfId="7297" xr:uid="{00000000-0005-0000-0000-000074020000}"/>
    <cellStyle name="_sahara - FPS - DSN - BOQ - 17.02.07 2 2 2 2 2" xfId="10000" xr:uid="{00000000-0005-0000-0000-000075020000}"/>
    <cellStyle name="_sahara - FPS - DSN - BOQ - 17.02.07 2 2 2 3" xfId="8660" xr:uid="{00000000-0005-0000-0000-000076020000}"/>
    <cellStyle name="_sahara - FPS - DSN - BOQ - 17.02.07 2 2 3" xfId="1790" xr:uid="{00000000-0005-0000-0000-000077020000}"/>
    <cellStyle name="_sahara - FPS - DSN - BOQ - 17.02.07 2 2 3 2" xfId="7298" xr:uid="{00000000-0005-0000-0000-000078020000}"/>
    <cellStyle name="_sahara - FPS - DSN - BOQ - 17.02.07 2 2 3 2 2" xfId="10001" xr:uid="{00000000-0005-0000-0000-000079020000}"/>
    <cellStyle name="_sahara - FPS - DSN - BOQ - 17.02.07 2 2 3 3" xfId="8661" xr:uid="{00000000-0005-0000-0000-00007A020000}"/>
    <cellStyle name="_sahara - FPS - DSN - BOQ - 17.02.07 2 2 4" xfId="7296" xr:uid="{00000000-0005-0000-0000-00007B020000}"/>
    <cellStyle name="_sahara - FPS - DSN - BOQ - 17.02.07 2 2 4 2" xfId="9999" xr:uid="{00000000-0005-0000-0000-00007C020000}"/>
    <cellStyle name="_sahara - FPS - DSN - BOQ - 17.02.07 2 2 5" xfId="8659" xr:uid="{00000000-0005-0000-0000-00007D020000}"/>
    <cellStyle name="_sahara - FPS - DSN - BOQ - 17.02.07 2 3" xfId="7295" xr:uid="{00000000-0005-0000-0000-00007E020000}"/>
    <cellStyle name="_sahara - FPS - DSN - BOQ - 17.02.07 2 3 2" xfId="9998" xr:uid="{00000000-0005-0000-0000-00007F020000}"/>
    <cellStyle name="_sahara - FPS - DSN - BOQ - 17.02.07 2 4" xfId="8658" xr:uid="{00000000-0005-0000-0000-000080020000}"/>
    <cellStyle name="_sahara - FPS - DSN - BOQ - 17.02.07 3" xfId="1791" xr:uid="{00000000-0005-0000-0000-000081020000}"/>
    <cellStyle name="_sahara - FPS - DSN - BOQ - 17.02.07 3 2" xfId="1792" xr:uid="{00000000-0005-0000-0000-000082020000}"/>
    <cellStyle name="_sahara - FPS - DSN - BOQ - 17.02.07 3 2 2" xfId="1793" xr:uid="{00000000-0005-0000-0000-000083020000}"/>
    <cellStyle name="_sahara - FPS - DSN - BOQ - 17.02.07 3 2 2 2" xfId="7301" xr:uid="{00000000-0005-0000-0000-000084020000}"/>
    <cellStyle name="_sahara - FPS - DSN - BOQ - 17.02.07 3 2 2 2 2" xfId="10004" xr:uid="{00000000-0005-0000-0000-000085020000}"/>
    <cellStyle name="_sahara - FPS - DSN - BOQ - 17.02.07 3 2 2 3" xfId="8664" xr:uid="{00000000-0005-0000-0000-000086020000}"/>
    <cellStyle name="_sahara - FPS - DSN - BOQ - 17.02.07 3 2 3" xfId="1794" xr:uid="{00000000-0005-0000-0000-000087020000}"/>
    <cellStyle name="_sahara - FPS - DSN - BOQ - 17.02.07 3 2 3 2" xfId="7302" xr:uid="{00000000-0005-0000-0000-000088020000}"/>
    <cellStyle name="_sahara - FPS - DSN - BOQ - 17.02.07 3 2 3 2 2" xfId="10005" xr:uid="{00000000-0005-0000-0000-000089020000}"/>
    <cellStyle name="_sahara - FPS - DSN - BOQ - 17.02.07 3 2 3 3" xfId="8665" xr:uid="{00000000-0005-0000-0000-00008A020000}"/>
    <cellStyle name="_sahara - FPS - DSN - BOQ - 17.02.07 3 2 4" xfId="7300" xr:uid="{00000000-0005-0000-0000-00008B020000}"/>
    <cellStyle name="_sahara - FPS - DSN - BOQ - 17.02.07 3 2 4 2" xfId="10003" xr:uid="{00000000-0005-0000-0000-00008C020000}"/>
    <cellStyle name="_sahara - FPS - DSN - BOQ - 17.02.07 3 2 5" xfId="8663" xr:uid="{00000000-0005-0000-0000-00008D020000}"/>
    <cellStyle name="_sahara - FPS - DSN - BOQ - 17.02.07 3 3" xfId="7299" xr:uid="{00000000-0005-0000-0000-00008E020000}"/>
    <cellStyle name="_sahara - FPS - DSN - BOQ - 17.02.07 3 3 2" xfId="10002" xr:uid="{00000000-0005-0000-0000-00008F020000}"/>
    <cellStyle name="_sahara - FPS - DSN - BOQ - 17.02.07 3 4" xfId="8662" xr:uid="{00000000-0005-0000-0000-000090020000}"/>
    <cellStyle name="_sahara - FPS - DSN - BOQ - 17.02.07 4" xfId="1795" xr:uid="{00000000-0005-0000-0000-000091020000}"/>
    <cellStyle name="_sahara - FPS - DSN - BOQ - 17.02.07 4 2" xfId="1796" xr:uid="{00000000-0005-0000-0000-000092020000}"/>
    <cellStyle name="_sahara - FPS - DSN - BOQ - 17.02.07 4 2 2" xfId="7304" xr:uid="{00000000-0005-0000-0000-000093020000}"/>
    <cellStyle name="_sahara - FPS - DSN - BOQ - 17.02.07 4 2 2 2" xfId="10007" xr:uid="{00000000-0005-0000-0000-000094020000}"/>
    <cellStyle name="_sahara - FPS - DSN - BOQ - 17.02.07 4 2 3" xfId="8667" xr:uid="{00000000-0005-0000-0000-000095020000}"/>
    <cellStyle name="_sahara - FPS - DSN - BOQ - 17.02.07 4 3" xfId="1797" xr:uid="{00000000-0005-0000-0000-000096020000}"/>
    <cellStyle name="_sahara - FPS - DSN - BOQ - 17.02.07 4 3 2" xfId="7305" xr:uid="{00000000-0005-0000-0000-000097020000}"/>
    <cellStyle name="_sahara - FPS - DSN - BOQ - 17.02.07 4 3 2 2" xfId="10008" xr:uid="{00000000-0005-0000-0000-000098020000}"/>
    <cellStyle name="_sahara - FPS - DSN - BOQ - 17.02.07 4 3 3" xfId="8668" xr:uid="{00000000-0005-0000-0000-000099020000}"/>
    <cellStyle name="_sahara - FPS - DSN - BOQ - 17.02.07 4 4" xfId="7303" xr:uid="{00000000-0005-0000-0000-00009A020000}"/>
    <cellStyle name="_sahara - FPS - DSN - BOQ - 17.02.07 4 4 2" xfId="10006" xr:uid="{00000000-0005-0000-0000-00009B020000}"/>
    <cellStyle name="_sahara - FPS - DSN - BOQ - 17.02.07 4 5" xfId="8666" xr:uid="{00000000-0005-0000-0000-00009C020000}"/>
    <cellStyle name="_sahara - FPS - DSN - BOQ - 17.02.07 5" xfId="7294" xr:uid="{00000000-0005-0000-0000-00009D020000}"/>
    <cellStyle name="_sahara - FPS - DSN - BOQ - 17.02.07 5 2" xfId="9997" xr:uid="{00000000-0005-0000-0000-00009E020000}"/>
    <cellStyle name="_sahara - FPS - DSN - BOQ - 17.02.07 6" xfId="8657" xr:uid="{00000000-0005-0000-0000-00009F020000}"/>
    <cellStyle name="_SCB-SCOPE-EDIFICE FAS,PA,ACS,CCTV,BMS 10.11.06-DI" xfId="1798" xr:uid="{00000000-0005-0000-0000-0000A0020000}"/>
    <cellStyle name="_SCB-SCOPE-EDIFICE FAS,PA,ACS,CCTV,BMS 10.11.06-DI 2" xfId="1799" xr:uid="{00000000-0005-0000-0000-0000A1020000}"/>
    <cellStyle name="_Sew electricals-University 17.4.07" xfId="1800" xr:uid="{00000000-0005-0000-0000-0000A2020000}"/>
    <cellStyle name="_Sew electricals-University 17.4.07 2" xfId="1801" xr:uid="{00000000-0005-0000-0000-0000A3020000}"/>
    <cellStyle name="_Shell - Afas &amp; Pa - 23.05.06" xfId="1802" xr:uid="{00000000-0005-0000-0000-0000A4020000}"/>
    <cellStyle name="_Shell - Afas &amp; Pa - 23.05.06 2" xfId="1803" xr:uid="{00000000-0005-0000-0000-0000A5020000}"/>
    <cellStyle name="_Siemens Worksheet" xfId="1804" xr:uid="{00000000-0005-0000-0000-0000A6020000}"/>
    <cellStyle name="_Siemens Worksheet 2" xfId="1805" xr:uid="{00000000-0005-0000-0000-0000A7020000}"/>
    <cellStyle name="_Siemens Worksheet 2 2" xfId="1806" xr:uid="{00000000-0005-0000-0000-0000A8020000}"/>
    <cellStyle name="_Siemens Worksheet 2 2 2" xfId="1807" xr:uid="{00000000-0005-0000-0000-0000A9020000}"/>
    <cellStyle name="_Siemens Worksheet 2 2 2 2" xfId="7309" xr:uid="{00000000-0005-0000-0000-0000AA020000}"/>
    <cellStyle name="_Siemens Worksheet 2 2 2 2 2" xfId="10012" xr:uid="{00000000-0005-0000-0000-0000AB020000}"/>
    <cellStyle name="_Siemens Worksheet 2 2 2 3" xfId="8672" xr:uid="{00000000-0005-0000-0000-0000AC020000}"/>
    <cellStyle name="_Siemens Worksheet 2 2 3" xfId="1808" xr:uid="{00000000-0005-0000-0000-0000AD020000}"/>
    <cellStyle name="_Siemens Worksheet 2 2 3 2" xfId="7310" xr:uid="{00000000-0005-0000-0000-0000AE020000}"/>
    <cellStyle name="_Siemens Worksheet 2 2 3 2 2" xfId="10013" xr:uid="{00000000-0005-0000-0000-0000AF020000}"/>
    <cellStyle name="_Siemens Worksheet 2 2 3 3" xfId="8673" xr:uid="{00000000-0005-0000-0000-0000B0020000}"/>
    <cellStyle name="_Siemens Worksheet 2 2 4" xfId="7308" xr:uid="{00000000-0005-0000-0000-0000B1020000}"/>
    <cellStyle name="_Siemens Worksheet 2 2 4 2" xfId="10011" xr:uid="{00000000-0005-0000-0000-0000B2020000}"/>
    <cellStyle name="_Siemens Worksheet 2 2 5" xfId="8671" xr:uid="{00000000-0005-0000-0000-0000B3020000}"/>
    <cellStyle name="_Siemens Worksheet 2 3" xfId="7307" xr:uid="{00000000-0005-0000-0000-0000B4020000}"/>
    <cellStyle name="_Siemens Worksheet 2 3 2" xfId="10010" xr:uid="{00000000-0005-0000-0000-0000B5020000}"/>
    <cellStyle name="_Siemens Worksheet 2 4" xfId="8670" xr:uid="{00000000-0005-0000-0000-0000B6020000}"/>
    <cellStyle name="_Siemens Worksheet 3" xfId="1809" xr:uid="{00000000-0005-0000-0000-0000B7020000}"/>
    <cellStyle name="_Siemens Worksheet 3 2" xfId="1810" xr:uid="{00000000-0005-0000-0000-0000B8020000}"/>
    <cellStyle name="_Siemens Worksheet 3 2 2" xfId="1811" xr:uid="{00000000-0005-0000-0000-0000B9020000}"/>
    <cellStyle name="_Siemens Worksheet 3 2 2 2" xfId="7313" xr:uid="{00000000-0005-0000-0000-0000BA020000}"/>
    <cellStyle name="_Siemens Worksheet 3 2 2 2 2" xfId="10016" xr:uid="{00000000-0005-0000-0000-0000BB020000}"/>
    <cellStyle name="_Siemens Worksheet 3 2 2 3" xfId="8676" xr:uid="{00000000-0005-0000-0000-0000BC020000}"/>
    <cellStyle name="_Siemens Worksheet 3 2 3" xfId="1812" xr:uid="{00000000-0005-0000-0000-0000BD020000}"/>
    <cellStyle name="_Siemens Worksheet 3 2 3 2" xfId="7314" xr:uid="{00000000-0005-0000-0000-0000BE020000}"/>
    <cellStyle name="_Siemens Worksheet 3 2 3 2 2" xfId="10017" xr:uid="{00000000-0005-0000-0000-0000BF020000}"/>
    <cellStyle name="_Siemens Worksheet 3 2 3 3" xfId="8677" xr:uid="{00000000-0005-0000-0000-0000C0020000}"/>
    <cellStyle name="_Siemens Worksheet 3 2 4" xfId="7312" xr:uid="{00000000-0005-0000-0000-0000C1020000}"/>
    <cellStyle name="_Siemens Worksheet 3 2 4 2" xfId="10015" xr:uid="{00000000-0005-0000-0000-0000C2020000}"/>
    <cellStyle name="_Siemens Worksheet 3 2 5" xfId="8675" xr:uid="{00000000-0005-0000-0000-0000C3020000}"/>
    <cellStyle name="_Siemens Worksheet 3 3" xfId="7311" xr:uid="{00000000-0005-0000-0000-0000C4020000}"/>
    <cellStyle name="_Siemens Worksheet 3 3 2" xfId="10014" xr:uid="{00000000-0005-0000-0000-0000C5020000}"/>
    <cellStyle name="_Siemens Worksheet 3 4" xfId="8674" xr:uid="{00000000-0005-0000-0000-0000C6020000}"/>
    <cellStyle name="_Siemens Worksheet 4" xfId="1813" xr:uid="{00000000-0005-0000-0000-0000C7020000}"/>
    <cellStyle name="_Siemens Worksheet 4 2" xfId="1814" xr:uid="{00000000-0005-0000-0000-0000C8020000}"/>
    <cellStyle name="_Siemens Worksheet 4 2 2" xfId="7316" xr:uid="{00000000-0005-0000-0000-0000C9020000}"/>
    <cellStyle name="_Siemens Worksheet 4 2 2 2" xfId="10019" xr:uid="{00000000-0005-0000-0000-0000CA020000}"/>
    <cellStyle name="_Siemens Worksheet 4 2 3" xfId="8679" xr:uid="{00000000-0005-0000-0000-0000CB020000}"/>
    <cellStyle name="_Siemens Worksheet 4 3" xfId="1815" xr:uid="{00000000-0005-0000-0000-0000CC020000}"/>
    <cellStyle name="_Siemens Worksheet 4 3 2" xfId="7317" xr:uid="{00000000-0005-0000-0000-0000CD020000}"/>
    <cellStyle name="_Siemens Worksheet 4 3 2 2" xfId="10020" xr:uid="{00000000-0005-0000-0000-0000CE020000}"/>
    <cellStyle name="_Siemens Worksheet 4 3 3" xfId="8680" xr:uid="{00000000-0005-0000-0000-0000CF020000}"/>
    <cellStyle name="_Siemens Worksheet 4 4" xfId="7315" xr:uid="{00000000-0005-0000-0000-0000D0020000}"/>
    <cellStyle name="_Siemens Worksheet 4 4 2" xfId="10018" xr:uid="{00000000-0005-0000-0000-0000D1020000}"/>
    <cellStyle name="_Siemens Worksheet 4 5" xfId="8678" xr:uid="{00000000-0005-0000-0000-0000D2020000}"/>
    <cellStyle name="_Siemens Worksheet 5" xfId="7306" xr:uid="{00000000-0005-0000-0000-0000D3020000}"/>
    <cellStyle name="_Siemens Worksheet 5 2" xfId="10009" xr:uid="{00000000-0005-0000-0000-0000D4020000}"/>
    <cellStyle name="_Siemens Worksheet 6" xfId="8669" xr:uid="{00000000-0005-0000-0000-0000D5020000}"/>
    <cellStyle name="_Sify - Vashi - S125 - 19.01.2007" xfId="349" xr:uid="{00000000-0005-0000-0000-0000D6020000}"/>
    <cellStyle name="_Sify - Vashi - S125 - 19.01.2007 2" xfId="1816" xr:uid="{00000000-0005-0000-0000-0000D7020000}"/>
    <cellStyle name="_SIPCOT IT park-Siruseri-FHS-22.01.2007" xfId="1817" xr:uid="{00000000-0005-0000-0000-0000D8020000}"/>
    <cellStyle name="_SIPCOT IT park-Siruseri-FHS-22.01.2007 2" xfId="1818" xr:uid="{00000000-0005-0000-0000-0000D9020000}"/>
    <cellStyle name="_Softsol_BOQ_230606" xfId="350" xr:uid="{00000000-0005-0000-0000-0000DA020000}"/>
    <cellStyle name="_SP Infotech Park_Unpriced BOQ_010706" xfId="351" xr:uid="{00000000-0005-0000-0000-0000DB020000}"/>
    <cellStyle name="_Sterling &amp; Wilson MP Mills PAS,IAS 28.08.06" xfId="1819" xr:uid="{00000000-0005-0000-0000-0000DC020000}"/>
    <cellStyle name="_Sterling &amp; Wilson MP Mills PAS,IAS 28.08.06 2" xfId="1820" xr:uid="{00000000-0005-0000-0000-0000DD020000}"/>
    <cellStyle name="_Sterling Wilson Mp Mills 07(1).08.06Email" xfId="1821" xr:uid="{00000000-0005-0000-0000-0000DE020000}"/>
    <cellStyle name="_Sterling Wilson Mp Mills 07(1).08.06Email 2" xfId="1822" xr:uid="{00000000-0005-0000-0000-0000DF020000}"/>
    <cellStyle name="_Sutherland Technologies 21.10.05" xfId="1823" xr:uid="{00000000-0005-0000-0000-0000E0020000}"/>
    <cellStyle name="_Sutherland Technologies 21.10.05 2" xfId="1824" xr:uid="{00000000-0005-0000-0000-0000E1020000}"/>
    <cellStyle name="_Sutherland Technologies 21.10.05 2 2" xfId="1825" xr:uid="{00000000-0005-0000-0000-0000E2020000}"/>
    <cellStyle name="_Sutherland Technologies 21.10.05 2 2 2" xfId="1826" xr:uid="{00000000-0005-0000-0000-0000E3020000}"/>
    <cellStyle name="_Sutherland Technologies 21.10.05 2 2 2 2" xfId="7321" xr:uid="{00000000-0005-0000-0000-0000E4020000}"/>
    <cellStyle name="_Sutherland Technologies 21.10.05 2 2 2 2 2" xfId="10024" xr:uid="{00000000-0005-0000-0000-0000E5020000}"/>
    <cellStyle name="_Sutherland Technologies 21.10.05 2 2 2 3" xfId="8684" xr:uid="{00000000-0005-0000-0000-0000E6020000}"/>
    <cellStyle name="_Sutherland Technologies 21.10.05 2 2 3" xfId="1827" xr:uid="{00000000-0005-0000-0000-0000E7020000}"/>
    <cellStyle name="_Sutherland Technologies 21.10.05 2 2 3 2" xfId="7322" xr:uid="{00000000-0005-0000-0000-0000E8020000}"/>
    <cellStyle name="_Sutherland Technologies 21.10.05 2 2 3 2 2" xfId="10025" xr:uid="{00000000-0005-0000-0000-0000E9020000}"/>
    <cellStyle name="_Sutherland Technologies 21.10.05 2 2 3 3" xfId="8685" xr:uid="{00000000-0005-0000-0000-0000EA020000}"/>
    <cellStyle name="_Sutherland Technologies 21.10.05 2 2 4" xfId="7320" xr:uid="{00000000-0005-0000-0000-0000EB020000}"/>
    <cellStyle name="_Sutherland Technologies 21.10.05 2 2 4 2" xfId="10023" xr:uid="{00000000-0005-0000-0000-0000EC020000}"/>
    <cellStyle name="_Sutherland Technologies 21.10.05 2 2 5" xfId="8683" xr:uid="{00000000-0005-0000-0000-0000ED020000}"/>
    <cellStyle name="_Sutherland Technologies 21.10.05 2 3" xfId="7319" xr:uid="{00000000-0005-0000-0000-0000EE020000}"/>
    <cellStyle name="_Sutherland Technologies 21.10.05 2 3 2" xfId="10022" xr:uid="{00000000-0005-0000-0000-0000EF020000}"/>
    <cellStyle name="_Sutherland Technologies 21.10.05 2 4" xfId="8682" xr:uid="{00000000-0005-0000-0000-0000F0020000}"/>
    <cellStyle name="_Sutherland Technologies 21.10.05 3" xfId="1828" xr:uid="{00000000-0005-0000-0000-0000F1020000}"/>
    <cellStyle name="_Sutherland Technologies 21.10.05 3 2" xfId="1829" xr:uid="{00000000-0005-0000-0000-0000F2020000}"/>
    <cellStyle name="_Sutherland Technologies 21.10.05 3 2 2" xfId="1830" xr:uid="{00000000-0005-0000-0000-0000F3020000}"/>
    <cellStyle name="_Sutherland Technologies 21.10.05 3 2 2 2" xfId="7325" xr:uid="{00000000-0005-0000-0000-0000F4020000}"/>
    <cellStyle name="_Sutherland Technologies 21.10.05 3 2 2 2 2" xfId="10028" xr:uid="{00000000-0005-0000-0000-0000F5020000}"/>
    <cellStyle name="_Sutherland Technologies 21.10.05 3 2 2 3" xfId="8688" xr:uid="{00000000-0005-0000-0000-0000F6020000}"/>
    <cellStyle name="_Sutherland Technologies 21.10.05 3 2 3" xfId="1831" xr:uid="{00000000-0005-0000-0000-0000F7020000}"/>
    <cellStyle name="_Sutherland Technologies 21.10.05 3 2 3 2" xfId="7326" xr:uid="{00000000-0005-0000-0000-0000F8020000}"/>
    <cellStyle name="_Sutherland Technologies 21.10.05 3 2 3 2 2" xfId="10029" xr:uid="{00000000-0005-0000-0000-0000F9020000}"/>
    <cellStyle name="_Sutherland Technologies 21.10.05 3 2 3 3" xfId="8689" xr:uid="{00000000-0005-0000-0000-0000FA020000}"/>
    <cellStyle name="_Sutherland Technologies 21.10.05 3 2 4" xfId="7324" xr:uid="{00000000-0005-0000-0000-0000FB020000}"/>
    <cellStyle name="_Sutherland Technologies 21.10.05 3 2 4 2" xfId="10027" xr:uid="{00000000-0005-0000-0000-0000FC020000}"/>
    <cellStyle name="_Sutherland Technologies 21.10.05 3 2 5" xfId="8687" xr:uid="{00000000-0005-0000-0000-0000FD020000}"/>
    <cellStyle name="_Sutherland Technologies 21.10.05 3 3" xfId="7323" xr:uid="{00000000-0005-0000-0000-0000FE020000}"/>
    <cellStyle name="_Sutherland Technologies 21.10.05 3 3 2" xfId="10026" xr:uid="{00000000-0005-0000-0000-0000FF020000}"/>
    <cellStyle name="_Sutherland Technologies 21.10.05 3 4" xfId="8686" xr:uid="{00000000-0005-0000-0000-000000030000}"/>
    <cellStyle name="_Sutherland Technologies 21.10.05 4" xfId="1832" xr:uid="{00000000-0005-0000-0000-000001030000}"/>
    <cellStyle name="_Sutherland Technologies 21.10.05 4 2" xfId="1833" xr:uid="{00000000-0005-0000-0000-000002030000}"/>
    <cellStyle name="_Sutherland Technologies 21.10.05 4 2 2" xfId="7328" xr:uid="{00000000-0005-0000-0000-000003030000}"/>
    <cellStyle name="_Sutherland Technologies 21.10.05 4 2 2 2" xfId="10031" xr:uid="{00000000-0005-0000-0000-000004030000}"/>
    <cellStyle name="_Sutherland Technologies 21.10.05 4 2 3" xfId="8691" xr:uid="{00000000-0005-0000-0000-000005030000}"/>
    <cellStyle name="_Sutherland Technologies 21.10.05 4 3" xfId="1834" xr:uid="{00000000-0005-0000-0000-000006030000}"/>
    <cellStyle name="_Sutherland Technologies 21.10.05 4 3 2" xfId="7329" xr:uid="{00000000-0005-0000-0000-000007030000}"/>
    <cellStyle name="_Sutherland Technologies 21.10.05 4 3 2 2" xfId="10032" xr:uid="{00000000-0005-0000-0000-000008030000}"/>
    <cellStyle name="_Sutherland Technologies 21.10.05 4 3 3" xfId="8692" xr:uid="{00000000-0005-0000-0000-000009030000}"/>
    <cellStyle name="_Sutherland Technologies 21.10.05 4 4" xfId="7327" xr:uid="{00000000-0005-0000-0000-00000A030000}"/>
    <cellStyle name="_Sutherland Technologies 21.10.05 4 4 2" xfId="10030" xr:uid="{00000000-0005-0000-0000-00000B030000}"/>
    <cellStyle name="_Sutherland Technologies 21.10.05 4 5" xfId="8690" xr:uid="{00000000-0005-0000-0000-00000C030000}"/>
    <cellStyle name="_Sutherland Technologies 21.10.05 5" xfId="7318" xr:uid="{00000000-0005-0000-0000-00000D030000}"/>
    <cellStyle name="_Sutherland Technologies 21.10.05 5 2" xfId="10021" xr:uid="{00000000-0005-0000-0000-00000E030000}"/>
    <cellStyle name="_Sutherland Technologies 21.10.05 6" xfId="8681" xr:uid="{00000000-0005-0000-0000-00000F030000}"/>
    <cellStyle name="_TECIL_HSBC_Blr_FirstCutBom 010807" xfId="352" xr:uid="{00000000-0005-0000-0000-000010030000}"/>
    <cellStyle name="_Teledata ACSCCTVFASPAS 11-04-07 (3)" xfId="1835" xr:uid="{00000000-0005-0000-0000-000011030000}"/>
    <cellStyle name="_Teledata ACSCCTVFASPAS 11-04-07 (3) 2" xfId="1836" xr:uid="{00000000-0005-0000-0000-000012030000}"/>
    <cellStyle name="_Teledata informatics-12.10.06" xfId="353" xr:uid="{00000000-0005-0000-0000-000013030000}"/>
    <cellStyle name="_Teledata informatics-12.10.06 2" xfId="1837" xr:uid="{00000000-0005-0000-0000-000014030000}"/>
    <cellStyle name="_Tender Unpriced BOQ Draft Rev 0 RELIANCE" xfId="1838" xr:uid="{00000000-0005-0000-0000-000015030000}"/>
    <cellStyle name="_Tender Unpriced BOQ Draft Rev 0 RELIANCE 2" xfId="1839" xr:uid="{00000000-0005-0000-0000-000016030000}"/>
    <cellStyle name="_Tranocean BMS 19.01.07 R1 INR" xfId="1840" xr:uid="{00000000-0005-0000-0000-000017030000}"/>
    <cellStyle name="_Tranocean BMS 19.01.07 R1 INR 2" xfId="1841" xr:uid="{00000000-0005-0000-0000-000018030000}"/>
    <cellStyle name="_Transocean Security-10.01.07-INR" xfId="354" xr:uid="{00000000-0005-0000-0000-000019030000}"/>
    <cellStyle name="_TX IO Current Calculation" xfId="1842" xr:uid="{00000000-0005-0000-0000-00001A030000}"/>
    <cellStyle name="_TX IO Current Calculation 2" xfId="1843" xr:uid="{00000000-0005-0000-0000-00001B030000}"/>
    <cellStyle name="_UB- Citigroup - 30.12.06" xfId="1844" xr:uid="{00000000-0005-0000-0000-00001C030000}"/>
    <cellStyle name="_UB- Citigroup - 30.12.06 2" xfId="1845" xr:uid="{00000000-0005-0000-0000-00001D030000}"/>
    <cellStyle name="_UB-CITY-POINT-SUMMARY-SEP-17" xfId="355" xr:uid="{00000000-0005-0000-0000-00001E030000}"/>
    <cellStyle name="_UB-CITY-POINT-SUMMARY-SEP-17 2" xfId="1846" xr:uid="{00000000-0005-0000-0000-00001F030000}"/>
    <cellStyle name="_UTI - 23.06.06 - RiT2" xfId="356" xr:uid="{00000000-0005-0000-0000-000020030000}"/>
    <cellStyle name="_UTI - RP - 23.06.06" xfId="357" xr:uid="{00000000-0005-0000-0000-000021030000}"/>
    <cellStyle name="_UTI - RP - 23.06.06 2" xfId="1847" xr:uid="{00000000-0005-0000-0000-000022030000}"/>
    <cellStyle name="_Whitefield Palms (BMS) - 20.07.07" xfId="1848" xr:uid="{00000000-0005-0000-0000-000023030000}"/>
    <cellStyle name="_Whitefield Palms (BMS) - 20.07.07 2" xfId="1849" xr:uid="{00000000-0005-0000-0000-000024030000}"/>
    <cellStyle name="_Wisdom - Spk - 06.06.07" xfId="1850" xr:uid="{00000000-0005-0000-0000-000025030000}"/>
    <cellStyle name="_Wisdom - Spk - 06.06.07 2" xfId="1851" xr:uid="{00000000-0005-0000-0000-000026030000}"/>
    <cellStyle name="ÊÝ [0.00]_PRODUCT DETAIL Q1" xfId="358" xr:uid="{00000000-0005-0000-0000-000027030000}"/>
    <cellStyle name="ÊÝ_PRODUCT DETAIL Q1" xfId="359" xr:uid="{00000000-0005-0000-0000-000028030000}"/>
    <cellStyle name="W_BOOKSHIP" xfId="360" xr:uid="{00000000-0005-0000-0000-000029030000}"/>
    <cellStyle name="0,0_x000a__x000a_NA_x000a__x000a_" xfId="1852" xr:uid="{00000000-0005-0000-0000-00002A030000}"/>
    <cellStyle name="0,0_x000d__x000a_NA_x000d__x000a_" xfId="361" xr:uid="{00000000-0005-0000-0000-00002B030000}"/>
    <cellStyle name="0,0_x000d__x000a_NA_x000d__x000a_ 10" xfId="29" xr:uid="{00000000-0005-0000-0000-00002C030000}"/>
    <cellStyle name="0,0_x000d__x000a_NA_x000d__x000a_ 2" xfId="1853" xr:uid="{00000000-0005-0000-0000-00002D030000}"/>
    <cellStyle name="0,0_x000d__x000a_NA_x000d__x000a_ 3" xfId="1854" xr:uid="{00000000-0005-0000-0000-00002E030000}"/>
    <cellStyle name="0,0_x000d__x000a_NA_x000d__x000a_ 4" xfId="10453" xr:uid="{00000000-0005-0000-0000-00002F030000}"/>
    <cellStyle name="20% - Accent1 10" xfId="1855" xr:uid="{00000000-0005-0000-0000-000030030000}"/>
    <cellStyle name="20% - Accent1 10 2" xfId="1856" xr:uid="{00000000-0005-0000-0000-000031030000}"/>
    <cellStyle name="20% - Accent1 10 2 2" xfId="1857" xr:uid="{00000000-0005-0000-0000-000032030000}"/>
    <cellStyle name="20% - Accent1 10 2 2 2" xfId="1858" xr:uid="{00000000-0005-0000-0000-000033030000}"/>
    <cellStyle name="20% - Accent1 10 2 3" xfId="1859" xr:uid="{00000000-0005-0000-0000-000034030000}"/>
    <cellStyle name="20% - Accent1 10 3" xfId="1860" xr:uid="{00000000-0005-0000-0000-000035030000}"/>
    <cellStyle name="20% - Accent1 10 3 2" xfId="1861" xr:uid="{00000000-0005-0000-0000-000036030000}"/>
    <cellStyle name="20% - Accent1 10 4" xfId="1862" xr:uid="{00000000-0005-0000-0000-000037030000}"/>
    <cellStyle name="20% - Accent1 11" xfId="1863" xr:uid="{00000000-0005-0000-0000-000038030000}"/>
    <cellStyle name="20% - Accent1 11 2" xfId="1864" xr:uid="{00000000-0005-0000-0000-000039030000}"/>
    <cellStyle name="20% - Accent1 11 2 2" xfId="1865" xr:uid="{00000000-0005-0000-0000-00003A030000}"/>
    <cellStyle name="20% - Accent1 11 3" xfId="1866" xr:uid="{00000000-0005-0000-0000-00003B030000}"/>
    <cellStyle name="20% - Accent1 12" xfId="1867" xr:uid="{00000000-0005-0000-0000-00003C030000}"/>
    <cellStyle name="20% - Accent1 2" xfId="362" xr:uid="{00000000-0005-0000-0000-00003D030000}"/>
    <cellStyle name="20% - Accent1 2 10" xfId="1868" xr:uid="{00000000-0005-0000-0000-00003E030000}"/>
    <cellStyle name="20% - Accent1 2 11" xfId="1869" xr:uid="{00000000-0005-0000-0000-00003F030000}"/>
    <cellStyle name="20% - Accent1 2 12" xfId="1870" xr:uid="{00000000-0005-0000-0000-000040030000}"/>
    <cellStyle name="20% - Accent1 2 13" xfId="1871" xr:uid="{00000000-0005-0000-0000-000041030000}"/>
    <cellStyle name="20% - Accent1 2 14" xfId="1872" xr:uid="{00000000-0005-0000-0000-000042030000}"/>
    <cellStyle name="20% - Accent1 2 15" xfId="1873" xr:uid="{00000000-0005-0000-0000-000043030000}"/>
    <cellStyle name="20% - Accent1 2 16" xfId="1874" xr:uid="{00000000-0005-0000-0000-000044030000}"/>
    <cellStyle name="20% - Accent1 2 17" xfId="1875" xr:uid="{00000000-0005-0000-0000-000045030000}"/>
    <cellStyle name="20% - Accent1 2 18" xfId="1876" xr:uid="{00000000-0005-0000-0000-000046030000}"/>
    <cellStyle name="20% - Accent1 2 19" xfId="1877" xr:uid="{00000000-0005-0000-0000-000047030000}"/>
    <cellStyle name="20% - Accent1 2 2" xfId="1878" xr:uid="{00000000-0005-0000-0000-000048030000}"/>
    <cellStyle name="20% - Accent1 2 2 2" xfId="1879" xr:uid="{00000000-0005-0000-0000-000049030000}"/>
    <cellStyle name="20% - Accent1 2 2 2 2" xfId="1880" xr:uid="{00000000-0005-0000-0000-00004A030000}"/>
    <cellStyle name="20% - Accent1 2 2 3" xfId="1881" xr:uid="{00000000-0005-0000-0000-00004B030000}"/>
    <cellStyle name="20% - Accent1 2 2 4" xfId="1882" xr:uid="{00000000-0005-0000-0000-00004C030000}"/>
    <cellStyle name="20% - Accent1 2 20" xfId="1883" xr:uid="{00000000-0005-0000-0000-00004D030000}"/>
    <cellStyle name="20% - Accent1 2 21" xfId="1884" xr:uid="{00000000-0005-0000-0000-00004E030000}"/>
    <cellStyle name="20% - Accent1 2 22" xfId="1885" xr:uid="{00000000-0005-0000-0000-00004F030000}"/>
    <cellStyle name="20% - Accent1 2 23" xfId="1886" xr:uid="{00000000-0005-0000-0000-000050030000}"/>
    <cellStyle name="20% - Accent1 2 24" xfId="1887" xr:uid="{00000000-0005-0000-0000-000051030000}"/>
    <cellStyle name="20% - Accent1 2 25" xfId="1888" xr:uid="{00000000-0005-0000-0000-000052030000}"/>
    <cellStyle name="20% - Accent1 2 26" xfId="1889" xr:uid="{00000000-0005-0000-0000-000053030000}"/>
    <cellStyle name="20% - Accent1 2 27" xfId="1890" xr:uid="{00000000-0005-0000-0000-000054030000}"/>
    <cellStyle name="20% - Accent1 2 28" xfId="1891" xr:uid="{00000000-0005-0000-0000-000055030000}"/>
    <cellStyle name="20% - Accent1 2 29" xfId="1892" xr:uid="{00000000-0005-0000-0000-000056030000}"/>
    <cellStyle name="20% - Accent1 2 3" xfId="1893" xr:uid="{00000000-0005-0000-0000-000057030000}"/>
    <cellStyle name="20% - Accent1 2 3 2" xfId="1894" xr:uid="{00000000-0005-0000-0000-000058030000}"/>
    <cellStyle name="20% - Accent1 2 3 3" xfId="1895" xr:uid="{00000000-0005-0000-0000-000059030000}"/>
    <cellStyle name="20% - Accent1 2 30" xfId="1896" xr:uid="{00000000-0005-0000-0000-00005A030000}"/>
    <cellStyle name="20% - Accent1 2 31" xfId="1897" xr:uid="{00000000-0005-0000-0000-00005B030000}"/>
    <cellStyle name="20% - Accent1 2 32" xfId="1898" xr:uid="{00000000-0005-0000-0000-00005C030000}"/>
    <cellStyle name="20% - Accent1 2 33" xfId="1899" xr:uid="{00000000-0005-0000-0000-00005D030000}"/>
    <cellStyle name="20% - Accent1 2 34" xfId="1900" xr:uid="{00000000-0005-0000-0000-00005E030000}"/>
    <cellStyle name="20% - Accent1 2 35" xfId="1901" xr:uid="{00000000-0005-0000-0000-00005F030000}"/>
    <cellStyle name="20% - Accent1 2 36" xfId="1902" xr:uid="{00000000-0005-0000-0000-000060030000}"/>
    <cellStyle name="20% - Accent1 2 37" xfId="1903" xr:uid="{00000000-0005-0000-0000-000061030000}"/>
    <cellStyle name="20% - Accent1 2 38" xfId="1904" xr:uid="{00000000-0005-0000-0000-000062030000}"/>
    <cellStyle name="20% - Accent1 2 39" xfId="1905" xr:uid="{00000000-0005-0000-0000-000063030000}"/>
    <cellStyle name="20% - Accent1 2 4" xfId="1906" xr:uid="{00000000-0005-0000-0000-000064030000}"/>
    <cellStyle name="20% - Accent1 2 4 2" xfId="1907" xr:uid="{00000000-0005-0000-0000-000065030000}"/>
    <cellStyle name="20% - Accent1 2 40" xfId="1908" xr:uid="{00000000-0005-0000-0000-000066030000}"/>
    <cellStyle name="20% - Accent1 2 41" xfId="1909" xr:uid="{00000000-0005-0000-0000-000067030000}"/>
    <cellStyle name="20% - Accent1 2 42" xfId="1910" xr:uid="{00000000-0005-0000-0000-000068030000}"/>
    <cellStyle name="20% - Accent1 2 43" xfId="1911" xr:uid="{00000000-0005-0000-0000-000069030000}"/>
    <cellStyle name="20% - Accent1 2 44" xfId="1912" xr:uid="{00000000-0005-0000-0000-00006A030000}"/>
    <cellStyle name="20% - Accent1 2 45" xfId="1913" xr:uid="{00000000-0005-0000-0000-00006B030000}"/>
    <cellStyle name="20% - Accent1 2 46" xfId="1914" xr:uid="{00000000-0005-0000-0000-00006C030000}"/>
    <cellStyle name="20% - Accent1 2 47" xfId="1915" xr:uid="{00000000-0005-0000-0000-00006D030000}"/>
    <cellStyle name="20% - Accent1 2 48" xfId="1916" xr:uid="{00000000-0005-0000-0000-00006E030000}"/>
    <cellStyle name="20% - Accent1 2 49" xfId="1917" xr:uid="{00000000-0005-0000-0000-00006F030000}"/>
    <cellStyle name="20% - Accent1 2 5" xfId="1918" xr:uid="{00000000-0005-0000-0000-000070030000}"/>
    <cellStyle name="20% - Accent1 2 6" xfId="1919" xr:uid="{00000000-0005-0000-0000-000071030000}"/>
    <cellStyle name="20% - Accent1 2 7" xfId="1920" xr:uid="{00000000-0005-0000-0000-000072030000}"/>
    <cellStyle name="20% - Accent1 2 8" xfId="1921" xr:uid="{00000000-0005-0000-0000-000073030000}"/>
    <cellStyle name="20% - Accent1 2 9" xfId="1922" xr:uid="{00000000-0005-0000-0000-000074030000}"/>
    <cellStyle name="20% - Accent1 3" xfId="1923" xr:uid="{00000000-0005-0000-0000-000075030000}"/>
    <cellStyle name="20% - Accent1 3 2" xfId="1924" xr:uid="{00000000-0005-0000-0000-000076030000}"/>
    <cellStyle name="20% - Accent1 3 2 2" xfId="1925" xr:uid="{00000000-0005-0000-0000-000077030000}"/>
    <cellStyle name="20% - Accent1 3 2 2 2" xfId="1926" xr:uid="{00000000-0005-0000-0000-000078030000}"/>
    <cellStyle name="20% - Accent1 3 2 3" xfId="1927" xr:uid="{00000000-0005-0000-0000-000079030000}"/>
    <cellStyle name="20% - Accent1 3 3" xfId="1928" xr:uid="{00000000-0005-0000-0000-00007A030000}"/>
    <cellStyle name="20% - Accent1 3 3 2" xfId="1929" xr:uid="{00000000-0005-0000-0000-00007B030000}"/>
    <cellStyle name="20% - Accent1 3 4" xfId="1930" xr:uid="{00000000-0005-0000-0000-00007C030000}"/>
    <cellStyle name="20% - Accent1 4" xfId="1931" xr:uid="{00000000-0005-0000-0000-00007D030000}"/>
    <cellStyle name="20% - Accent1 4 2" xfId="1932" xr:uid="{00000000-0005-0000-0000-00007E030000}"/>
    <cellStyle name="20% - Accent1 4 2 2" xfId="1933" xr:uid="{00000000-0005-0000-0000-00007F030000}"/>
    <cellStyle name="20% - Accent1 4 2 2 2" xfId="1934" xr:uid="{00000000-0005-0000-0000-000080030000}"/>
    <cellStyle name="20% - Accent1 4 2 3" xfId="1935" xr:uid="{00000000-0005-0000-0000-000081030000}"/>
    <cellStyle name="20% - Accent1 4 3" xfId="1936" xr:uid="{00000000-0005-0000-0000-000082030000}"/>
    <cellStyle name="20% - Accent1 4 3 2" xfId="1937" xr:uid="{00000000-0005-0000-0000-000083030000}"/>
    <cellStyle name="20% - Accent1 4 4" xfId="1938" xr:uid="{00000000-0005-0000-0000-000084030000}"/>
    <cellStyle name="20% - Accent1 5" xfId="1939" xr:uid="{00000000-0005-0000-0000-000085030000}"/>
    <cellStyle name="20% - Accent1 5 2" xfId="1940" xr:uid="{00000000-0005-0000-0000-000086030000}"/>
    <cellStyle name="20% - Accent1 5 2 2" xfId="1941" xr:uid="{00000000-0005-0000-0000-000087030000}"/>
    <cellStyle name="20% - Accent1 5 2 2 2" xfId="1942" xr:uid="{00000000-0005-0000-0000-000088030000}"/>
    <cellStyle name="20% - Accent1 5 2 3" xfId="1943" xr:uid="{00000000-0005-0000-0000-000089030000}"/>
    <cellStyle name="20% - Accent1 5 3" xfId="1944" xr:uid="{00000000-0005-0000-0000-00008A030000}"/>
    <cellStyle name="20% - Accent1 5 3 2" xfId="1945" xr:uid="{00000000-0005-0000-0000-00008B030000}"/>
    <cellStyle name="20% - Accent1 5 4" xfId="1946" xr:uid="{00000000-0005-0000-0000-00008C030000}"/>
    <cellStyle name="20% - Accent1 6" xfId="1947" xr:uid="{00000000-0005-0000-0000-00008D030000}"/>
    <cellStyle name="20% - Accent1 6 2" xfId="1948" xr:uid="{00000000-0005-0000-0000-00008E030000}"/>
    <cellStyle name="20% - Accent1 6 2 2" xfId="1949" xr:uid="{00000000-0005-0000-0000-00008F030000}"/>
    <cellStyle name="20% - Accent1 6 2 2 2" xfId="1950" xr:uid="{00000000-0005-0000-0000-000090030000}"/>
    <cellStyle name="20% - Accent1 6 2 3" xfId="1951" xr:uid="{00000000-0005-0000-0000-000091030000}"/>
    <cellStyle name="20% - Accent1 6 3" xfId="1952" xr:uid="{00000000-0005-0000-0000-000092030000}"/>
    <cellStyle name="20% - Accent1 6 3 2" xfId="1953" xr:uid="{00000000-0005-0000-0000-000093030000}"/>
    <cellStyle name="20% - Accent1 6 4" xfId="1954" xr:uid="{00000000-0005-0000-0000-000094030000}"/>
    <cellStyle name="20% - Accent1 7" xfId="1955" xr:uid="{00000000-0005-0000-0000-000095030000}"/>
    <cellStyle name="20% - Accent1 7 2" xfId="1956" xr:uid="{00000000-0005-0000-0000-000096030000}"/>
    <cellStyle name="20% - Accent1 7 2 2" xfId="1957" xr:uid="{00000000-0005-0000-0000-000097030000}"/>
    <cellStyle name="20% - Accent1 7 2 2 2" xfId="1958" xr:uid="{00000000-0005-0000-0000-000098030000}"/>
    <cellStyle name="20% - Accent1 7 2 3" xfId="1959" xr:uid="{00000000-0005-0000-0000-000099030000}"/>
    <cellStyle name="20% - Accent1 7 3" xfId="1960" xr:uid="{00000000-0005-0000-0000-00009A030000}"/>
    <cellStyle name="20% - Accent1 7 3 2" xfId="1961" xr:uid="{00000000-0005-0000-0000-00009B030000}"/>
    <cellStyle name="20% - Accent1 7 4" xfId="1962" xr:uid="{00000000-0005-0000-0000-00009C030000}"/>
    <cellStyle name="20% - Accent1 8" xfId="1963" xr:uid="{00000000-0005-0000-0000-00009D030000}"/>
    <cellStyle name="20% - Accent1 8 2" xfId="1964" xr:uid="{00000000-0005-0000-0000-00009E030000}"/>
    <cellStyle name="20% - Accent1 8 2 2" xfId="1965" xr:uid="{00000000-0005-0000-0000-00009F030000}"/>
    <cellStyle name="20% - Accent1 8 2 2 2" xfId="1966" xr:uid="{00000000-0005-0000-0000-0000A0030000}"/>
    <cellStyle name="20% - Accent1 8 2 3" xfId="1967" xr:uid="{00000000-0005-0000-0000-0000A1030000}"/>
    <cellStyle name="20% - Accent1 8 3" xfId="1968" xr:uid="{00000000-0005-0000-0000-0000A2030000}"/>
    <cellStyle name="20% - Accent1 8 3 2" xfId="1969" xr:uid="{00000000-0005-0000-0000-0000A3030000}"/>
    <cellStyle name="20% - Accent1 8 4" xfId="1970" xr:uid="{00000000-0005-0000-0000-0000A4030000}"/>
    <cellStyle name="20% - Accent1 9" xfId="1971" xr:uid="{00000000-0005-0000-0000-0000A5030000}"/>
    <cellStyle name="20% - Accent1 9 2" xfId="1972" xr:uid="{00000000-0005-0000-0000-0000A6030000}"/>
    <cellStyle name="20% - Accent1 9 2 2" xfId="1973" xr:uid="{00000000-0005-0000-0000-0000A7030000}"/>
    <cellStyle name="20% - Accent1 9 2 2 2" xfId="1974" xr:uid="{00000000-0005-0000-0000-0000A8030000}"/>
    <cellStyle name="20% - Accent1 9 2 3" xfId="1975" xr:uid="{00000000-0005-0000-0000-0000A9030000}"/>
    <cellStyle name="20% - Accent1 9 3" xfId="1976" xr:uid="{00000000-0005-0000-0000-0000AA030000}"/>
    <cellStyle name="20% - Accent1 9 3 2" xfId="1977" xr:uid="{00000000-0005-0000-0000-0000AB030000}"/>
    <cellStyle name="20% - Accent1 9 4" xfId="1978" xr:uid="{00000000-0005-0000-0000-0000AC030000}"/>
    <cellStyle name="20% - Accent2 10" xfId="1979" xr:uid="{00000000-0005-0000-0000-0000AD030000}"/>
    <cellStyle name="20% - Accent2 10 2" xfId="1980" xr:uid="{00000000-0005-0000-0000-0000AE030000}"/>
    <cellStyle name="20% - Accent2 10 2 2" xfId="1981" xr:uid="{00000000-0005-0000-0000-0000AF030000}"/>
    <cellStyle name="20% - Accent2 10 2 2 2" xfId="1982" xr:uid="{00000000-0005-0000-0000-0000B0030000}"/>
    <cellStyle name="20% - Accent2 10 2 3" xfId="1983" xr:uid="{00000000-0005-0000-0000-0000B1030000}"/>
    <cellStyle name="20% - Accent2 10 3" xfId="1984" xr:uid="{00000000-0005-0000-0000-0000B2030000}"/>
    <cellStyle name="20% - Accent2 10 3 2" xfId="1985" xr:uid="{00000000-0005-0000-0000-0000B3030000}"/>
    <cellStyle name="20% - Accent2 10 4" xfId="1986" xr:uid="{00000000-0005-0000-0000-0000B4030000}"/>
    <cellStyle name="20% - Accent2 11" xfId="1987" xr:uid="{00000000-0005-0000-0000-0000B5030000}"/>
    <cellStyle name="20% - Accent2 11 2" xfId="1988" xr:uid="{00000000-0005-0000-0000-0000B6030000}"/>
    <cellStyle name="20% - Accent2 11 2 2" xfId="1989" xr:uid="{00000000-0005-0000-0000-0000B7030000}"/>
    <cellStyle name="20% - Accent2 11 3" xfId="1990" xr:uid="{00000000-0005-0000-0000-0000B8030000}"/>
    <cellStyle name="20% - Accent2 12" xfId="1991" xr:uid="{00000000-0005-0000-0000-0000B9030000}"/>
    <cellStyle name="20% - Accent2 2" xfId="363" xr:uid="{00000000-0005-0000-0000-0000BA030000}"/>
    <cellStyle name="20% - Accent2 2 10" xfId="1992" xr:uid="{00000000-0005-0000-0000-0000BB030000}"/>
    <cellStyle name="20% - Accent2 2 11" xfId="1993" xr:uid="{00000000-0005-0000-0000-0000BC030000}"/>
    <cellStyle name="20% - Accent2 2 12" xfId="1994" xr:uid="{00000000-0005-0000-0000-0000BD030000}"/>
    <cellStyle name="20% - Accent2 2 13" xfId="1995" xr:uid="{00000000-0005-0000-0000-0000BE030000}"/>
    <cellStyle name="20% - Accent2 2 14" xfId="1996" xr:uid="{00000000-0005-0000-0000-0000BF030000}"/>
    <cellStyle name="20% - Accent2 2 15" xfId="1997" xr:uid="{00000000-0005-0000-0000-0000C0030000}"/>
    <cellStyle name="20% - Accent2 2 16" xfId="1998" xr:uid="{00000000-0005-0000-0000-0000C1030000}"/>
    <cellStyle name="20% - Accent2 2 17" xfId="1999" xr:uid="{00000000-0005-0000-0000-0000C2030000}"/>
    <cellStyle name="20% - Accent2 2 18" xfId="2000" xr:uid="{00000000-0005-0000-0000-0000C3030000}"/>
    <cellStyle name="20% - Accent2 2 19" xfId="2001" xr:uid="{00000000-0005-0000-0000-0000C4030000}"/>
    <cellStyle name="20% - Accent2 2 2" xfId="364" xr:uid="{00000000-0005-0000-0000-0000C5030000}"/>
    <cellStyle name="20% - Accent2 2 2 2" xfId="2002" xr:uid="{00000000-0005-0000-0000-0000C6030000}"/>
    <cellStyle name="20% - Accent2 2 2 2 2" xfId="2003" xr:uid="{00000000-0005-0000-0000-0000C7030000}"/>
    <cellStyle name="20% - Accent2 2 2 3" xfId="2004" xr:uid="{00000000-0005-0000-0000-0000C8030000}"/>
    <cellStyle name="20% - Accent2 2 2 4" xfId="2005" xr:uid="{00000000-0005-0000-0000-0000C9030000}"/>
    <cellStyle name="20% - Accent2 2 2 5" xfId="1450" xr:uid="{00000000-0005-0000-0000-0000CA030000}"/>
    <cellStyle name="20% - Accent2 2 2 5 2" xfId="7145" xr:uid="{00000000-0005-0000-0000-0000CB030000}"/>
    <cellStyle name="20% - Accent2 2 2 5 2 2" xfId="9848" xr:uid="{00000000-0005-0000-0000-0000CC030000}"/>
    <cellStyle name="20% - Accent2 2 2 5 3" xfId="8508" xr:uid="{00000000-0005-0000-0000-0000CD030000}"/>
    <cellStyle name="20% - Accent2 2 2 6" xfId="6435" xr:uid="{00000000-0005-0000-0000-0000CE030000}"/>
    <cellStyle name="20% - Accent2 2 2 6 2" xfId="9154" xr:uid="{00000000-0005-0000-0000-0000CF030000}"/>
    <cellStyle name="20% - Accent2 2 2 7" xfId="7815" xr:uid="{00000000-0005-0000-0000-0000D0030000}"/>
    <cellStyle name="20% - Accent2 2 20" xfId="2006" xr:uid="{00000000-0005-0000-0000-0000D1030000}"/>
    <cellStyle name="20% - Accent2 2 21" xfId="2007" xr:uid="{00000000-0005-0000-0000-0000D2030000}"/>
    <cellStyle name="20% - Accent2 2 22" xfId="2008" xr:uid="{00000000-0005-0000-0000-0000D3030000}"/>
    <cellStyle name="20% - Accent2 2 23" xfId="2009" xr:uid="{00000000-0005-0000-0000-0000D4030000}"/>
    <cellStyle name="20% - Accent2 2 24" xfId="2010" xr:uid="{00000000-0005-0000-0000-0000D5030000}"/>
    <cellStyle name="20% - Accent2 2 25" xfId="2011" xr:uid="{00000000-0005-0000-0000-0000D6030000}"/>
    <cellStyle name="20% - Accent2 2 26" xfId="2012" xr:uid="{00000000-0005-0000-0000-0000D7030000}"/>
    <cellStyle name="20% - Accent2 2 27" xfId="2013" xr:uid="{00000000-0005-0000-0000-0000D8030000}"/>
    <cellStyle name="20% - Accent2 2 28" xfId="2014" xr:uid="{00000000-0005-0000-0000-0000D9030000}"/>
    <cellStyle name="20% - Accent2 2 29" xfId="2015" xr:uid="{00000000-0005-0000-0000-0000DA030000}"/>
    <cellStyle name="20% - Accent2 2 3" xfId="2016" xr:uid="{00000000-0005-0000-0000-0000DB030000}"/>
    <cellStyle name="20% - Accent2 2 3 2" xfId="2017" xr:uid="{00000000-0005-0000-0000-0000DC030000}"/>
    <cellStyle name="20% - Accent2 2 3 3" xfId="2018" xr:uid="{00000000-0005-0000-0000-0000DD030000}"/>
    <cellStyle name="20% - Accent2 2 30" xfId="2019" xr:uid="{00000000-0005-0000-0000-0000DE030000}"/>
    <cellStyle name="20% - Accent2 2 31" xfId="2020" xr:uid="{00000000-0005-0000-0000-0000DF030000}"/>
    <cellStyle name="20% - Accent2 2 32" xfId="2021" xr:uid="{00000000-0005-0000-0000-0000E0030000}"/>
    <cellStyle name="20% - Accent2 2 33" xfId="2022" xr:uid="{00000000-0005-0000-0000-0000E1030000}"/>
    <cellStyle name="20% - Accent2 2 34" xfId="2023" xr:uid="{00000000-0005-0000-0000-0000E2030000}"/>
    <cellStyle name="20% - Accent2 2 35" xfId="2024" xr:uid="{00000000-0005-0000-0000-0000E3030000}"/>
    <cellStyle name="20% - Accent2 2 36" xfId="2025" xr:uid="{00000000-0005-0000-0000-0000E4030000}"/>
    <cellStyle name="20% - Accent2 2 37" xfId="2026" xr:uid="{00000000-0005-0000-0000-0000E5030000}"/>
    <cellStyle name="20% - Accent2 2 38" xfId="2027" xr:uid="{00000000-0005-0000-0000-0000E6030000}"/>
    <cellStyle name="20% - Accent2 2 39" xfId="2028" xr:uid="{00000000-0005-0000-0000-0000E7030000}"/>
    <cellStyle name="20% - Accent2 2 4" xfId="2029" xr:uid="{00000000-0005-0000-0000-0000E8030000}"/>
    <cellStyle name="20% - Accent2 2 4 2" xfId="2030" xr:uid="{00000000-0005-0000-0000-0000E9030000}"/>
    <cellStyle name="20% - Accent2 2 40" xfId="2031" xr:uid="{00000000-0005-0000-0000-0000EA030000}"/>
    <cellStyle name="20% - Accent2 2 41" xfId="2032" xr:uid="{00000000-0005-0000-0000-0000EB030000}"/>
    <cellStyle name="20% - Accent2 2 42" xfId="2033" xr:uid="{00000000-0005-0000-0000-0000EC030000}"/>
    <cellStyle name="20% - Accent2 2 43" xfId="2034" xr:uid="{00000000-0005-0000-0000-0000ED030000}"/>
    <cellStyle name="20% - Accent2 2 44" xfId="2035" xr:uid="{00000000-0005-0000-0000-0000EE030000}"/>
    <cellStyle name="20% - Accent2 2 45" xfId="2036" xr:uid="{00000000-0005-0000-0000-0000EF030000}"/>
    <cellStyle name="20% - Accent2 2 46" xfId="2037" xr:uid="{00000000-0005-0000-0000-0000F0030000}"/>
    <cellStyle name="20% - Accent2 2 47" xfId="2038" xr:uid="{00000000-0005-0000-0000-0000F1030000}"/>
    <cellStyle name="20% - Accent2 2 48" xfId="2039" xr:uid="{00000000-0005-0000-0000-0000F2030000}"/>
    <cellStyle name="20% - Accent2 2 49" xfId="2040" xr:uid="{00000000-0005-0000-0000-0000F3030000}"/>
    <cellStyle name="20% - Accent2 2 5" xfId="2041" xr:uid="{00000000-0005-0000-0000-0000F4030000}"/>
    <cellStyle name="20% - Accent2 2 50" xfId="2042" xr:uid="{00000000-0005-0000-0000-0000F5030000}"/>
    <cellStyle name="20% - Accent2 2 51" xfId="2043" xr:uid="{00000000-0005-0000-0000-0000F6030000}"/>
    <cellStyle name="20% - Accent2 2 51 2" xfId="7330" xr:uid="{00000000-0005-0000-0000-0000F7030000}"/>
    <cellStyle name="20% - Accent2 2 51 2 2" xfId="10033" xr:uid="{00000000-0005-0000-0000-0000F8030000}"/>
    <cellStyle name="20% - Accent2 2 51 3" xfId="8693" xr:uid="{00000000-0005-0000-0000-0000F9030000}"/>
    <cellStyle name="20% - Accent2 2 6" xfId="2044" xr:uid="{00000000-0005-0000-0000-0000FA030000}"/>
    <cellStyle name="20% - Accent2 2 7" xfId="2045" xr:uid="{00000000-0005-0000-0000-0000FB030000}"/>
    <cellStyle name="20% - Accent2 2 8" xfId="2046" xr:uid="{00000000-0005-0000-0000-0000FC030000}"/>
    <cellStyle name="20% - Accent2 2 9" xfId="2047" xr:uid="{00000000-0005-0000-0000-0000FD030000}"/>
    <cellStyle name="20% - Accent2 3" xfId="2048" xr:uid="{00000000-0005-0000-0000-0000FE030000}"/>
    <cellStyle name="20% - Accent2 3 2" xfId="2049" xr:uid="{00000000-0005-0000-0000-0000FF030000}"/>
    <cellStyle name="20% - Accent2 3 2 2" xfId="2050" xr:uid="{00000000-0005-0000-0000-000000040000}"/>
    <cellStyle name="20% - Accent2 3 2 2 2" xfId="2051" xr:uid="{00000000-0005-0000-0000-000001040000}"/>
    <cellStyle name="20% - Accent2 3 2 3" xfId="2052" xr:uid="{00000000-0005-0000-0000-000002040000}"/>
    <cellStyle name="20% - Accent2 3 3" xfId="2053" xr:uid="{00000000-0005-0000-0000-000003040000}"/>
    <cellStyle name="20% - Accent2 3 3 2" xfId="2054" xr:uid="{00000000-0005-0000-0000-000004040000}"/>
    <cellStyle name="20% - Accent2 3 4" xfId="2055" xr:uid="{00000000-0005-0000-0000-000005040000}"/>
    <cellStyle name="20% - Accent2 4" xfId="2056" xr:uid="{00000000-0005-0000-0000-000006040000}"/>
    <cellStyle name="20% - Accent2 4 2" xfId="2057" xr:uid="{00000000-0005-0000-0000-000007040000}"/>
    <cellStyle name="20% - Accent2 4 2 2" xfId="2058" xr:uid="{00000000-0005-0000-0000-000008040000}"/>
    <cellStyle name="20% - Accent2 4 2 2 2" xfId="2059" xr:uid="{00000000-0005-0000-0000-000009040000}"/>
    <cellStyle name="20% - Accent2 4 2 3" xfId="2060" xr:uid="{00000000-0005-0000-0000-00000A040000}"/>
    <cellStyle name="20% - Accent2 4 3" xfId="2061" xr:uid="{00000000-0005-0000-0000-00000B040000}"/>
    <cellStyle name="20% - Accent2 4 3 2" xfId="2062" xr:uid="{00000000-0005-0000-0000-00000C040000}"/>
    <cellStyle name="20% - Accent2 4 4" xfId="2063" xr:uid="{00000000-0005-0000-0000-00000D040000}"/>
    <cellStyle name="20% - Accent2 5" xfId="2064" xr:uid="{00000000-0005-0000-0000-00000E040000}"/>
    <cellStyle name="20% - Accent2 5 2" xfId="2065" xr:uid="{00000000-0005-0000-0000-00000F040000}"/>
    <cellStyle name="20% - Accent2 5 2 2" xfId="2066" xr:uid="{00000000-0005-0000-0000-000010040000}"/>
    <cellStyle name="20% - Accent2 5 2 2 2" xfId="2067" xr:uid="{00000000-0005-0000-0000-000011040000}"/>
    <cellStyle name="20% - Accent2 5 2 3" xfId="2068" xr:uid="{00000000-0005-0000-0000-000012040000}"/>
    <cellStyle name="20% - Accent2 5 3" xfId="2069" xr:uid="{00000000-0005-0000-0000-000013040000}"/>
    <cellStyle name="20% - Accent2 5 3 2" xfId="2070" xr:uid="{00000000-0005-0000-0000-000014040000}"/>
    <cellStyle name="20% - Accent2 5 4" xfId="2071" xr:uid="{00000000-0005-0000-0000-000015040000}"/>
    <cellStyle name="20% - Accent2 6" xfId="2072" xr:uid="{00000000-0005-0000-0000-000016040000}"/>
    <cellStyle name="20% - Accent2 6 2" xfId="2073" xr:uid="{00000000-0005-0000-0000-000017040000}"/>
    <cellStyle name="20% - Accent2 6 2 2" xfId="2074" xr:uid="{00000000-0005-0000-0000-000018040000}"/>
    <cellStyle name="20% - Accent2 6 2 2 2" xfId="2075" xr:uid="{00000000-0005-0000-0000-000019040000}"/>
    <cellStyle name="20% - Accent2 6 2 3" xfId="2076" xr:uid="{00000000-0005-0000-0000-00001A040000}"/>
    <cellStyle name="20% - Accent2 6 3" xfId="2077" xr:uid="{00000000-0005-0000-0000-00001B040000}"/>
    <cellStyle name="20% - Accent2 6 3 2" xfId="2078" xr:uid="{00000000-0005-0000-0000-00001C040000}"/>
    <cellStyle name="20% - Accent2 6 4" xfId="2079" xr:uid="{00000000-0005-0000-0000-00001D040000}"/>
    <cellStyle name="20% - Accent2 7" xfId="2080" xr:uid="{00000000-0005-0000-0000-00001E040000}"/>
    <cellStyle name="20% - Accent2 7 2" xfId="2081" xr:uid="{00000000-0005-0000-0000-00001F040000}"/>
    <cellStyle name="20% - Accent2 7 2 2" xfId="2082" xr:uid="{00000000-0005-0000-0000-000020040000}"/>
    <cellStyle name="20% - Accent2 7 2 2 2" xfId="2083" xr:uid="{00000000-0005-0000-0000-000021040000}"/>
    <cellStyle name="20% - Accent2 7 2 3" xfId="2084" xr:uid="{00000000-0005-0000-0000-000022040000}"/>
    <cellStyle name="20% - Accent2 7 3" xfId="2085" xr:uid="{00000000-0005-0000-0000-000023040000}"/>
    <cellStyle name="20% - Accent2 7 3 2" xfId="2086" xr:uid="{00000000-0005-0000-0000-000024040000}"/>
    <cellStyle name="20% - Accent2 7 4" xfId="2087" xr:uid="{00000000-0005-0000-0000-000025040000}"/>
    <cellStyle name="20% - Accent2 8" xfId="2088" xr:uid="{00000000-0005-0000-0000-000026040000}"/>
    <cellStyle name="20% - Accent2 8 2" xfId="2089" xr:uid="{00000000-0005-0000-0000-000027040000}"/>
    <cellStyle name="20% - Accent2 8 2 2" xfId="2090" xr:uid="{00000000-0005-0000-0000-000028040000}"/>
    <cellStyle name="20% - Accent2 8 2 2 2" xfId="2091" xr:uid="{00000000-0005-0000-0000-000029040000}"/>
    <cellStyle name="20% - Accent2 8 2 3" xfId="2092" xr:uid="{00000000-0005-0000-0000-00002A040000}"/>
    <cellStyle name="20% - Accent2 8 3" xfId="2093" xr:uid="{00000000-0005-0000-0000-00002B040000}"/>
    <cellStyle name="20% - Accent2 8 3 2" xfId="2094" xr:uid="{00000000-0005-0000-0000-00002C040000}"/>
    <cellStyle name="20% - Accent2 8 4" xfId="2095" xr:uid="{00000000-0005-0000-0000-00002D040000}"/>
    <cellStyle name="20% - Accent2 9" xfId="2096" xr:uid="{00000000-0005-0000-0000-00002E040000}"/>
    <cellStyle name="20% - Accent2 9 2" xfId="2097" xr:uid="{00000000-0005-0000-0000-00002F040000}"/>
    <cellStyle name="20% - Accent2 9 2 2" xfId="2098" xr:uid="{00000000-0005-0000-0000-000030040000}"/>
    <cellStyle name="20% - Accent2 9 2 2 2" xfId="2099" xr:uid="{00000000-0005-0000-0000-000031040000}"/>
    <cellStyle name="20% - Accent2 9 2 3" xfId="2100" xr:uid="{00000000-0005-0000-0000-000032040000}"/>
    <cellStyle name="20% - Accent2 9 3" xfId="2101" xr:uid="{00000000-0005-0000-0000-000033040000}"/>
    <cellStyle name="20% - Accent2 9 3 2" xfId="2102" xr:uid="{00000000-0005-0000-0000-000034040000}"/>
    <cellStyle name="20% - Accent2 9 4" xfId="2103" xr:uid="{00000000-0005-0000-0000-000035040000}"/>
    <cellStyle name="20% - Accent3 10" xfId="2104" xr:uid="{00000000-0005-0000-0000-000036040000}"/>
    <cellStyle name="20% - Accent3 10 2" xfId="2105" xr:uid="{00000000-0005-0000-0000-000037040000}"/>
    <cellStyle name="20% - Accent3 10 2 2" xfId="2106" xr:uid="{00000000-0005-0000-0000-000038040000}"/>
    <cellStyle name="20% - Accent3 10 2 2 2" xfId="2107" xr:uid="{00000000-0005-0000-0000-000039040000}"/>
    <cellStyle name="20% - Accent3 10 2 3" xfId="2108" xr:uid="{00000000-0005-0000-0000-00003A040000}"/>
    <cellStyle name="20% - Accent3 10 3" xfId="2109" xr:uid="{00000000-0005-0000-0000-00003B040000}"/>
    <cellStyle name="20% - Accent3 10 3 2" xfId="2110" xr:uid="{00000000-0005-0000-0000-00003C040000}"/>
    <cellStyle name="20% - Accent3 10 4" xfId="2111" xr:uid="{00000000-0005-0000-0000-00003D040000}"/>
    <cellStyle name="20% - Accent3 11" xfId="2112" xr:uid="{00000000-0005-0000-0000-00003E040000}"/>
    <cellStyle name="20% - Accent3 11 2" xfId="2113" xr:uid="{00000000-0005-0000-0000-00003F040000}"/>
    <cellStyle name="20% - Accent3 11 2 2" xfId="2114" xr:uid="{00000000-0005-0000-0000-000040040000}"/>
    <cellStyle name="20% - Accent3 11 3" xfId="2115" xr:uid="{00000000-0005-0000-0000-000041040000}"/>
    <cellStyle name="20% - Accent3 12" xfId="2116" xr:uid="{00000000-0005-0000-0000-000042040000}"/>
    <cellStyle name="20% - Accent3 12 2" xfId="2117" xr:uid="{00000000-0005-0000-0000-000043040000}"/>
    <cellStyle name="20% - Accent3 12 3" xfId="7331" xr:uid="{00000000-0005-0000-0000-000044040000}"/>
    <cellStyle name="20% - Accent3 12 3 2" xfId="10034" xr:uid="{00000000-0005-0000-0000-000045040000}"/>
    <cellStyle name="20% - Accent3 12 4" xfId="8694" xr:uid="{00000000-0005-0000-0000-000046040000}"/>
    <cellStyle name="20% - Accent3 13" xfId="2118" xr:uid="{00000000-0005-0000-0000-000047040000}"/>
    <cellStyle name="20% - Accent3 2" xfId="365" xr:uid="{00000000-0005-0000-0000-000048040000}"/>
    <cellStyle name="20% - Accent3 2 10" xfId="2119" xr:uid="{00000000-0005-0000-0000-000049040000}"/>
    <cellStyle name="20% - Accent3 2 11" xfId="2120" xr:uid="{00000000-0005-0000-0000-00004A040000}"/>
    <cellStyle name="20% - Accent3 2 12" xfId="2121" xr:uid="{00000000-0005-0000-0000-00004B040000}"/>
    <cellStyle name="20% - Accent3 2 13" xfId="2122" xr:uid="{00000000-0005-0000-0000-00004C040000}"/>
    <cellStyle name="20% - Accent3 2 14" xfId="2123" xr:uid="{00000000-0005-0000-0000-00004D040000}"/>
    <cellStyle name="20% - Accent3 2 15" xfId="2124" xr:uid="{00000000-0005-0000-0000-00004E040000}"/>
    <cellStyle name="20% - Accent3 2 16" xfId="2125" xr:uid="{00000000-0005-0000-0000-00004F040000}"/>
    <cellStyle name="20% - Accent3 2 17" xfId="2126" xr:uid="{00000000-0005-0000-0000-000050040000}"/>
    <cellStyle name="20% - Accent3 2 18" xfId="2127" xr:uid="{00000000-0005-0000-0000-000051040000}"/>
    <cellStyle name="20% - Accent3 2 19" xfId="2128" xr:uid="{00000000-0005-0000-0000-000052040000}"/>
    <cellStyle name="20% - Accent3 2 2" xfId="366" xr:uid="{00000000-0005-0000-0000-000053040000}"/>
    <cellStyle name="20% - Accent3 2 2 2" xfId="2129" xr:uid="{00000000-0005-0000-0000-000054040000}"/>
    <cellStyle name="20% - Accent3 2 2 2 2" xfId="2130" xr:uid="{00000000-0005-0000-0000-000055040000}"/>
    <cellStyle name="20% - Accent3 2 2 3" xfId="2131" xr:uid="{00000000-0005-0000-0000-000056040000}"/>
    <cellStyle name="20% - Accent3 2 2 4" xfId="2132" xr:uid="{00000000-0005-0000-0000-000057040000}"/>
    <cellStyle name="20% - Accent3 2 2 5" xfId="1442" xr:uid="{00000000-0005-0000-0000-000058040000}"/>
    <cellStyle name="20% - Accent3 2 2 5 2" xfId="7138" xr:uid="{00000000-0005-0000-0000-000059040000}"/>
    <cellStyle name="20% - Accent3 2 2 5 2 2" xfId="9841" xr:uid="{00000000-0005-0000-0000-00005A040000}"/>
    <cellStyle name="20% - Accent3 2 2 5 3" xfId="8501" xr:uid="{00000000-0005-0000-0000-00005B040000}"/>
    <cellStyle name="20% - Accent3 2 2 6" xfId="6436" xr:uid="{00000000-0005-0000-0000-00005C040000}"/>
    <cellStyle name="20% - Accent3 2 2 6 2" xfId="9155" xr:uid="{00000000-0005-0000-0000-00005D040000}"/>
    <cellStyle name="20% - Accent3 2 2 7" xfId="7816" xr:uid="{00000000-0005-0000-0000-00005E040000}"/>
    <cellStyle name="20% - Accent3 2 20" xfId="2133" xr:uid="{00000000-0005-0000-0000-00005F040000}"/>
    <cellStyle name="20% - Accent3 2 21" xfId="2134" xr:uid="{00000000-0005-0000-0000-000060040000}"/>
    <cellStyle name="20% - Accent3 2 22" xfId="2135" xr:uid="{00000000-0005-0000-0000-000061040000}"/>
    <cellStyle name="20% - Accent3 2 23" xfId="2136" xr:uid="{00000000-0005-0000-0000-000062040000}"/>
    <cellStyle name="20% - Accent3 2 24" xfId="2137" xr:uid="{00000000-0005-0000-0000-000063040000}"/>
    <cellStyle name="20% - Accent3 2 25" xfId="2138" xr:uid="{00000000-0005-0000-0000-000064040000}"/>
    <cellStyle name="20% - Accent3 2 26" xfId="2139" xr:uid="{00000000-0005-0000-0000-000065040000}"/>
    <cellStyle name="20% - Accent3 2 27" xfId="2140" xr:uid="{00000000-0005-0000-0000-000066040000}"/>
    <cellStyle name="20% - Accent3 2 28" xfId="2141" xr:uid="{00000000-0005-0000-0000-000067040000}"/>
    <cellStyle name="20% - Accent3 2 29" xfId="2142" xr:uid="{00000000-0005-0000-0000-000068040000}"/>
    <cellStyle name="20% - Accent3 2 3" xfId="2143" xr:uid="{00000000-0005-0000-0000-000069040000}"/>
    <cellStyle name="20% - Accent3 2 3 2" xfId="2144" xr:uid="{00000000-0005-0000-0000-00006A040000}"/>
    <cellStyle name="20% - Accent3 2 3 3" xfId="2145" xr:uid="{00000000-0005-0000-0000-00006B040000}"/>
    <cellStyle name="20% - Accent3 2 30" xfId="2146" xr:uid="{00000000-0005-0000-0000-00006C040000}"/>
    <cellStyle name="20% - Accent3 2 31" xfId="2147" xr:uid="{00000000-0005-0000-0000-00006D040000}"/>
    <cellStyle name="20% - Accent3 2 32" xfId="2148" xr:uid="{00000000-0005-0000-0000-00006E040000}"/>
    <cellStyle name="20% - Accent3 2 33" xfId="2149" xr:uid="{00000000-0005-0000-0000-00006F040000}"/>
    <cellStyle name="20% - Accent3 2 34" xfId="2150" xr:uid="{00000000-0005-0000-0000-000070040000}"/>
    <cellStyle name="20% - Accent3 2 35" xfId="2151" xr:uid="{00000000-0005-0000-0000-000071040000}"/>
    <cellStyle name="20% - Accent3 2 36" xfId="2152" xr:uid="{00000000-0005-0000-0000-000072040000}"/>
    <cellStyle name="20% - Accent3 2 37" xfId="2153" xr:uid="{00000000-0005-0000-0000-000073040000}"/>
    <cellStyle name="20% - Accent3 2 38" xfId="2154" xr:uid="{00000000-0005-0000-0000-000074040000}"/>
    <cellStyle name="20% - Accent3 2 39" xfId="2155" xr:uid="{00000000-0005-0000-0000-000075040000}"/>
    <cellStyle name="20% - Accent3 2 4" xfId="2156" xr:uid="{00000000-0005-0000-0000-000076040000}"/>
    <cellStyle name="20% - Accent3 2 4 2" xfId="2157" xr:uid="{00000000-0005-0000-0000-000077040000}"/>
    <cellStyle name="20% - Accent3 2 40" xfId="2158" xr:uid="{00000000-0005-0000-0000-000078040000}"/>
    <cellStyle name="20% - Accent3 2 41" xfId="2159" xr:uid="{00000000-0005-0000-0000-000079040000}"/>
    <cellStyle name="20% - Accent3 2 42" xfId="2160" xr:uid="{00000000-0005-0000-0000-00007A040000}"/>
    <cellStyle name="20% - Accent3 2 43" xfId="2161" xr:uid="{00000000-0005-0000-0000-00007B040000}"/>
    <cellStyle name="20% - Accent3 2 44" xfId="2162" xr:uid="{00000000-0005-0000-0000-00007C040000}"/>
    <cellStyle name="20% - Accent3 2 45" xfId="2163" xr:uid="{00000000-0005-0000-0000-00007D040000}"/>
    <cellStyle name="20% - Accent3 2 46" xfId="2164" xr:uid="{00000000-0005-0000-0000-00007E040000}"/>
    <cellStyle name="20% - Accent3 2 47" xfId="2165" xr:uid="{00000000-0005-0000-0000-00007F040000}"/>
    <cellStyle name="20% - Accent3 2 48" xfId="2166" xr:uid="{00000000-0005-0000-0000-000080040000}"/>
    <cellStyle name="20% - Accent3 2 49" xfId="2167" xr:uid="{00000000-0005-0000-0000-000081040000}"/>
    <cellStyle name="20% - Accent3 2 5" xfId="2168" xr:uid="{00000000-0005-0000-0000-000082040000}"/>
    <cellStyle name="20% - Accent3 2 50" xfId="2169" xr:uid="{00000000-0005-0000-0000-000083040000}"/>
    <cellStyle name="20% - Accent3 2 51" xfId="2170" xr:uid="{00000000-0005-0000-0000-000084040000}"/>
    <cellStyle name="20% - Accent3 2 51 2" xfId="7332" xr:uid="{00000000-0005-0000-0000-000085040000}"/>
    <cellStyle name="20% - Accent3 2 51 2 2" xfId="10035" xr:uid="{00000000-0005-0000-0000-000086040000}"/>
    <cellStyle name="20% - Accent3 2 51 3" xfId="8695" xr:uid="{00000000-0005-0000-0000-000087040000}"/>
    <cellStyle name="20% - Accent3 2 6" xfId="2171" xr:uid="{00000000-0005-0000-0000-000088040000}"/>
    <cellStyle name="20% - Accent3 2 7" xfId="2172" xr:uid="{00000000-0005-0000-0000-000089040000}"/>
    <cellStyle name="20% - Accent3 2 8" xfId="2173" xr:uid="{00000000-0005-0000-0000-00008A040000}"/>
    <cellStyle name="20% - Accent3 2 9" xfId="2174" xr:uid="{00000000-0005-0000-0000-00008B040000}"/>
    <cellStyle name="20% - Accent3 3" xfId="2175" xr:uid="{00000000-0005-0000-0000-00008C040000}"/>
    <cellStyle name="20% - Accent3 3 2" xfId="2176" xr:uid="{00000000-0005-0000-0000-00008D040000}"/>
    <cellStyle name="20% - Accent3 3 2 2" xfId="2177" xr:uid="{00000000-0005-0000-0000-00008E040000}"/>
    <cellStyle name="20% - Accent3 3 2 2 2" xfId="2178" xr:uid="{00000000-0005-0000-0000-00008F040000}"/>
    <cellStyle name="20% - Accent3 3 2 3" xfId="2179" xr:uid="{00000000-0005-0000-0000-000090040000}"/>
    <cellStyle name="20% - Accent3 3 3" xfId="2180" xr:uid="{00000000-0005-0000-0000-000091040000}"/>
    <cellStyle name="20% - Accent3 3 3 2" xfId="2181" xr:uid="{00000000-0005-0000-0000-000092040000}"/>
    <cellStyle name="20% - Accent3 3 4" xfId="2182" xr:uid="{00000000-0005-0000-0000-000093040000}"/>
    <cellStyle name="20% - Accent3 4" xfId="2183" xr:uid="{00000000-0005-0000-0000-000094040000}"/>
    <cellStyle name="20% - Accent3 4 2" xfId="2184" xr:uid="{00000000-0005-0000-0000-000095040000}"/>
    <cellStyle name="20% - Accent3 4 2 2" xfId="2185" xr:uid="{00000000-0005-0000-0000-000096040000}"/>
    <cellStyle name="20% - Accent3 4 2 2 2" xfId="2186" xr:uid="{00000000-0005-0000-0000-000097040000}"/>
    <cellStyle name="20% - Accent3 4 2 3" xfId="2187" xr:uid="{00000000-0005-0000-0000-000098040000}"/>
    <cellStyle name="20% - Accent3 4 3" xfId="2188" xr:uid="{00000000-0005-0000-0000-000099040000}"/>
    <cellStyle name="20% - Accent3 4 3 2" xfId="2189" xr:uid="{00000000-0005-0000-0000-00009A040000}"/>
    <cellStyle name="20% - Accent3 4 4" xfId="2190" xr:uid="{00000000-0005-0000-0000-00009B040000}"/>
    <cellStyle name="20% - Accent3 5" xfId="2191" xr:uid="{00000000-0005-0000-0000-00009C040000}"/>
    <cellStyle name="20% - Accent3 5 2" xfId="2192" xr:uid="{00000000-0005-0000-0000-00009D040000}"/>
    <cellStyle name="20% - Accent3 5 2 2" xfId="2193" xr:uid="{00000000-0005-0000-0000-00009E040000}"/>
    <cellStyle name="20% - Accent3 5 2 2 2" xfId="2194" xr:uid="{00000000-0005-0000-0000-00009F040000}"/>
    <cellStyle name="20% - Accent3 5 2 3" xfId="2195" xr:uid="{00000000-0005-0000-0000-0000A0040000}"/>
    <cellStyle name="20% - Accent3 5 3" xfId="2196" xr:uid="{00000000-0005-0000-0000-0000A1040000}"/>
    <cellStyle name="20% - Accent3 5 3 2" xfId="2197" xr:uid="{00000000-0005-0000-0000-0000A2040000}"/>
    <cellStyle name="20% - Accent3 5 4" xfId="2198" xr:uid="{00000000-0005-0000-0000-0000A3040000}"/>
    <cellStyle name="20% - Accent3 6" xfId="2199" xr:uid="{00000000-0005-0000-0000-0000A4040000}"/>
    <cellStyle name="20% - Accent3 6 2" xfId="2200" xr:uid="{00000000-0005-0000-0000-0000A5040000}"/>
    <cellStyle name="20% - Accent3 6 2 2" xfId="2201" xr:uid="{00000000-0005-0000-0000-0000A6040000}"/>
    <cellStyle name="20% - Accent3 6 2 2 2" xfId="2202" xr:uid="{00000000-0005-0000-0000-0000A7040000}"/>
    <cellStyle name="20% - Accent3 6 2 3" xfId="2203" xr:uid="{00000000-0005-0000-0000-0000A8040000}"/>
    <cellStyle name="20% - Accent3 6 3" xfId="2204" xr:uid="{00000000-0005-0000-0000-0000A9040000}"/>
    <cellStyle name="20% - Accent3 6 3 2" xfId="2205" xr:uid="{00000000-0005-0000-0000-0000AA040000}"/>
    <cellStyle name="20% - Accent3 6 4" xfId="2206" xr:uid="{00000000-0005-0000-0000-0000AB040000}"/>
    <cellStyle name="20% - Accent3 7" xfId="2207" xr:uid="{00000000-0005-0000-0000-0000AC040000}"/>
    <cellStyle name="20% - Accent3 7 2" xfId="2208" xr:uid="{00000000-0005-0000-0000-0000AD040000}"/>
    <cellStyle name="20% - Accent3 7 2 2" xfId="2209" xr:uid="{00000000-0005-0000-0000-0000AE040000}"/>
    <cellStyle name="20% - Accent3 7 2 2 2" xfId="2210" xr:uid="{00000000-0005-0000-0000-0000AF040000}"/>
    <cellStyle name="20% - Accent3 7 2 3" xfId="2211" xr:uid="{00000000-0005-0000-0000-0000B0040000}"/>
    <cellStyle name="20% - Accent3 7 3" xfId="2212" xr:uid="{00000000-0005-0000-0000-0000B1040000}"/>
    <cellStyle name="20% - Accent3 7 3 2" xfId="2213" xr:uid="{00000000-0005-0000-0000-0000B2040000}"/>
    <cellStyle name="20% - Accent3 7 4" xfId="2214" xr:uid="{00000000-0005-0000-0000-0000B3040000}"/>
    <cellStyle name="20% - Accent3 8" xfId="2215" xr:uid="{00000000-0005-0000-0000-0000B4040000}"/>
    <cellStyle name="20% - Accent3 8 2" xfId="2216" xr:uid="{00000000-0005-0000-0000-0000B5040000}"/>
    <cellStyle name="20% - Accent3 8 2 2" xfId="2217" xr:uid="{00000000-0005-0000-0000-0000B6040000}"/>
    <cellStyle name="20% - Accent3 8 2 2 2" xfId="2218" xr:uid="{00000000-0005-0000-0000-0000B7040000}"/>
    <cellStyle name="20% - Accent3 8 2 3" xfId="2219" xr:uid="{00000000-0005-0000-0000-0000B8040000}"/>
    <cellStyle name="20% - Accent3 8 3" xfId="2220" xr:uid="{00000000-0005-0000-0000-0000B9040000}"/>
    <cellStyle name="20% - Accent3 8 3 2" xfId="2221" xr:uid="{00000000-0005-0000-0000-0000BA040000}"/>
    <cellStyle name="20% - Accent3 8 4" xfId="2222" xr:uid="{00000000-0005-0000-0000-0000BB040000}"/>
    <cellStyle name="20% - Accent3 9" xfId="2223" xr:uid="{00000000-0005-0000-0000-0000BC040000}"/>
    <cellStyle name="20% - Accent3 9 2" xfId="2224" xr:uid="{00000000-0005-0000-0000-0000BD040000}"/>
    <cellStyle name="20% - Accent3 9 2 2" xfId="2225" xr:uid="{00000000-0005-0000-0000-0000BE040000}"/>
    <cellStyle name="20% - Accent3 9 2 2 2" xfId="2226" xr:uid="{00000000-0005-0000-0000-0000BF040000}"/>
    <cellStyle name="20% - Accent3 9 2 3" xfId="2227" xr:uid="{00000000-0005-0000-0000-0000C0040000}"/>
    <cellStyle name="20% - Accent3 9 3" xfId="2228" xr:uid="{00000000-0005-0000-0000-0000C1040000}"/>
    <cellStyle name="20% - Accent3 9 3 2" xfId="2229" xr:uid="{00000000-0005-0000-0000-0000C2040000}"/>
    <cellStyle name="20% - Accent3 9 4" xfId="2230" xr:uid="{00000000-0005-0000-0000-0000C3040000}"/>
    <cellStyle name="20% - Accent4 10" xfId="2231" xr:uid="{00000000-0005-0000-0000-0000C4040000}"/>
    <cellStyle name="20% - Accent4 10 2" xfId="2232" xr:uid="{00000000-0005-0000-0000-0000C5040000}"/>
    <cellStyle name="20% - Accent4 10 2 2" xfId="2233" xr:uid="{00000000-0005-0000-0000-0000C6040000}"/>
    <cellStyle name="20% - Accent4 10 2 2 2" xfId="2234" xr:uid="{00000000-0005-0000-0000-0000C7040000}"/>
    <cellStyle name="20% - Accent4 10 2 3" xfId="2235" xr:uid="{00000000-0005-0000-0000-0000C8040000}"/>
    <cellStyle name="20% - Accent4 10 3" xfId="2236" xr:uid="{00000000-0005-0000-0000-0000C9040000}"/>
    <cellStyle name="20% - Accent4 10 3 2" xfId="2237" xr:uid="{00000000-0005-0000-0000-0000CA040000}"/>
    <cellStyle name="20% - Accent4 10 4" xfId="2238" xr:uid="{00000000-0005-0000-0000-0000CB040000}"/>
    <cellStyle name="20% - Accent4 11" xfId="2239" xr:uid="{00000000-0005-0000-0000-0000CC040000}"/>
    <cellStyle name="20% - Accent4 11 2" xfId="2240" xr:uid="{00000000-0005-0000-0000-0000CD040000}"/>
    <cellStyle name="20% - Accent4 11 2 2" xfId="2241" xr:uid="{00000000-0005-0000-0000-0000CE040000}"/>
    <cellStyle name="20% - Accent4 11 3" xfId="2242" xr:uid="{00000000-0005-0000-0000-0000CF040000}"/>
    <cellStyle name="20% - Accent4 12" xfId="2243" xr:uid="{00000000-0005-0000-0000-0000D0040000}"/>
    <cellStyle name="20% - Accent4 2" xfId="367" xr:uid="{00000000-0005-0000-0000-0000D1040000}"/>
    <cellStyle name="20% - Accent4 2 10" xfId="2244" xr:uid="{00000000-0005-0000-0000-0000D2040000}"/>
    <cellStyle name="20% - Accent4 2 11" xfId="2245" xr:uid="{00000000-0005-0000-0000-0000D3040000}"/>
    <cellStyle name="20% - Accent4 2 12" xfId="2246" xr:uid="{00000000-0005-0000-0000-0000D4040000}"/>
    <cellStyle name="20% - Accent4 2 13" xfId="2247" xr:uid="{00000000-0005-0000-0000-0000D5040000}"/>
    <cellStyle name="20% - Accent4 2 14" xfId="2248" xr:uid="{00000000-0005-0000-0000-0000D6040000}"/>
    <cellStyle name="20% - Accent4 2 15" xfId="2249" xr:uid="{00000000-0005-0000-0000-0000D7040000}"/>
    <cellStyle name="20% - Accent4 2 16" xfId="2250" xr:uid="{00000000-0005-0000-0000-0000D8040000}"/>
    <cellStyle name="20% - Accent4 2 17" xfId="2251" xr:uid="{00000000-0005-0000-0000-0000D9040000}"/>
    <cellStyle name="20% - Accent4 2 18" xfId="2252" xr:uid="{00000000-0005-0000-0000-0000DA040000}"/>
    <cellStyle name="20% - Accent4 2 19" xfId="2253" xr:uid="{00000000-0005-0000-0000-0000DB040000}"/>
    <cellStyle name="20% - Accent4 2 2" xfId="2254" xr:uid="{00000000-0005-0000-0000-0000DC040000}"/>
    <cellStyle name="20% - Accent4 2 2 2" xfId="2255" xr:uid="{00000000-0005-0000-0000-0000DD040000}"/>
    <cellStyle name="20% - Accent4 2 2 2 2" xfId="2256" xr:uid="{00000000-0005-0000-0000-0000DE040000}"/>
    <cellStyle name="20% - Accent4 2 2 3" xfId="2257" xr:uid="{00000000-0005-0000-0000-0000DF040000}"/>
    <cellStyle name="20% - Accent4 2 2 4" xfId="2258" xr:uid="{00000000-0005-0000-0000-0000E0040000}"/>
    <cellStyle name="20% - Accent4 2 20" xfId="2259" xr:uid="{00000000-0005-0000-0000-0000E1040000}"/>
    <cellStyle name="20% - Accent4 2 21" xfId="2260" xr:uid="{00000000-0005-0000-0000-0000E2040000}"/>
    <cellStyle name="20% - Accent4 2 22" xfId="2261" xr:uid="{00000000-0005-0000-0000-0000E3040000}"/>
    <cellStyle name="20% - Accent4 2 23" xfId="2262" xr:uid="{00000000-0005-0000-0000-0000E4040000}"/>
    <cellStyle name="20% - Accent4 2 24" xfId="2263" xr:uid="{00000000-0005-0000-0000-0000E5040000}"/>
    <cellStyle name="20% - Accent4 2 25" xfId="2264" xr:uid="{00000000-0005-0000-0000-0000E6040000}"/>
    <cellStyle name="20% - Accent4 2 26" xfId="2265" xr:uid="{00000000-0005-0000-0000-0000E7040000}"/>
    <cellStyle name="20% - Accent4 2 27" xfId="2266" xr:uid="{00000000-0005-0000-0000-0000E8040000}"/>
    <cellStyle name="20% - Accent4 2 28" xfId="2267" xr:uid="{00000000-0005-0000-0000-0000E9040000}"/>
    <cellStyle name="20% - Accent4 2 29" xfId="2268" xr:uid="{00000000-0005-0000-0000-0000EA040000}"/>
    <cellStyle name="20% - Accent4 2 3" xfId="2269" xr:uid="{00000000-0005-0000-0000-0000EB040000}"/>
    <cellStyle name="20% - Accent4 2 3 2" xfId="2270" xr:uid="{00000000-0005-0000-0000-0000EC040000}"/>
    <cellStyle name="20% - Accent4 2 3 3" xfId="2271" xr:uid="{00000000-0005-0000-0000-0000ED040000}"/>
    <cellStyle name="20% - Accent4 2 30" xfId="2272" xr:uid="{00000000-0005-0000-0000-0000EE040000}"/>
    <cellStyle name="20% - Accent4 2 31" xfId="2273" xr:uid="{00000000-0005-0000-0000-0000EF040000}"/>
    <cellStyle name="20% - Accent4 2 32" xfId="2274" xr:uid="{00000000-0005-0000-0000-0000F0040000}"/>
    <cellStyle name="20% - Accent4 2 33" xfId="2275" xr:uid="{00000000-0005-0000-0000-0000F1040000}"/>
    <cellStyle name="20% - Accent4 2 34" xfId="2276" xr:uid="{00000000-0005-0000-0000-0000F2040000}"/>
    <cellStyle name="20% - Accent4 2 35" xfId="2277" xr:uid="{00000000-0005-0000-0000-0000F3040000}"/>
    <cellStyle name="20% - Accent4 2 36" xfId="2278" xr:uid="{00000000-0005-0000-0000-0000F4040000}"/>
    <cellStyle name="20% - Accent4 2 37" xfId="2279" xr:uid="{00000000-0005-0000-0000-0000F5040000}"/>
    <cellStyle name="20% - Accent4 2 38" xfId="2280" xr:uid="{00000000-0005-0000-0000-0000F6040000}"/>
    <cellStyle name="20% - Accent4 2 39" xfId="2281" xr:uid="{00000000-0005-0000-0000-0000F7040000}"/>
    <cellStyle name="20% - Accent4 2 4" xfId="2282" xr:uid="{00000000-0005-0000-0000-0000F8040000}"/>
    <cellStyle name="20% - Accent4 2 4 2" xfId="2283" xr:uid="{00000000-0005-0000-0000-0000F9040000}"/>
    <cellStyle name="20% - Accent4 2 40" xfId="2284" xr:uid="{00000000-0005-0000-0000-0000FA040000}"/>
    <cellStyle name="20% - Accent4 2 41" xfId="2285" xr:uid="{00000000-0005-0000-0000-0000FB040000}"/>
    <cellStyle name="20% - Accent4 2 42" xfId="2286" xr:uid="{00000000-0005-0000-0000-0000FC040000}"/>
    <cellStyle name="20% - Accent4 2 43" xfId="2287" xr:uid="{00000000-0005-0000-0000-0000FD040000}"/>
    <cellStyle name="20% - Accent4 2 44" xfId="2288" xr:uid="{00000000-0005-0000-0000-0000FE040000}"/>
    <cellStyle name="20% - Accent4 2 45" xfId="2289" xr:uid="{00000000-0005-0000-0000-0000FF040000}"/>
    <cellStyle name="20% - Accent4 2 46" xfId="2290" xr:uid="{00000000-0005-0000-0000-000000050000}"/>
    <cellStyle name="20% - Accent4 2 47" xfId="2291" xr:uid="{00000000-0005-0000-0000-000001050000}"/>
    <cellStyle name="20% - Accent4 2 48" xfId="2292" xr:uid="{00000000-0005-0000-0000-000002050000}"/>
    <cellStyle name="20% - Accent4 2 49" xfId="2293" xr:uid="{00000000-0005-0000-0000-000003050000}"/>
    <cellStyle name="20% - Accent4 2 5" xfId="2294" xr:uid="{00000000-0005-0000-0000-000004050000}"/>
    <cellStyle name="20% - Accent4 2 6" xfId="2295" xr:uid="{00000000-0005-0000-0000-000005050000}"/>
    <cellStyle name="20% - Accent4 2 7" xfId="2296" xr:uid="{00000000-0005-0000-0000-000006050000}"/>
    <cellStyle name="20% - Accent4 2 8" xfId="2297" xr:uid="{00000000-0005-0000-0000-000007050000}"/>
    <cellStyle name="20% - Accent4 2 9" xfId="2298" xr:uid="{00000000-0005-0000-0000-000008050000}"/>
    <cellStyle name="20% - Accent4 3" xfId="2299" xr:uid="{00000000-0005-0000-0000-000009050000}"/>
    <cellStyle name="20% - Accent4 3 2" xfId="2300" xr:uid="{00000000-0005-0000-0000-00000A050000}"/>
    <cellStyle name="20% - Accent4 3 2 2" xfId="2301" xr:uid="{00000000-0005-0000-0000-00000B050000}"/>
    <cellStyle name="20% - Accent4 3 2 2 2" xfId="2302" xr:uid="{00000000-0005-0000-0000-00000C050000}"/>
    <cellStyle name="20% - Accent4 3 2 3" xfId="2303" xr:uid="{00000000-0005-0000-0000-00000D050000}"/>
    <cellStyle name="20% - Accent4 3 3" xfId="2304" xr:uid="{00000000-0005-0000-0000-00000E050000}"/>
    <cellStyle name="20% - Accent4 3 3 2" xfId="2305" xr:uid="{00000000-0005-0000-0000-00000F050000}"/>
    <cellStyle name="20% - Accent4 3 4" xfId="2306" xr:uid="{00000000-0005-0000-0000-000010050000}"/>
    <cellStyle name="20% - Accent4 4" xfId="2307" xr:uid="{00000000-0005-0000-0000-000011050000}"/>
    <cellStyle name="20% - Accent4 4 2" xfId="2308" xr:uid="{00000000-0005-0000-0000-000012050000}"/>
    <cellStyle name="20% - Accent4 4 2 2" xfId="2309" xr:uid="{00000000-0005-0000-0000-000013050000}"/>
    <cellStyle name="20% - Accent4 4 2 2 2" xfId="2310" xr:uid="{00000000-0005-0000-0000-000014050000}"/>
    <cellStyle name="20% - Accent4 4 2 3" xfId="2311" xr:uid="{00000000-0005-0000-0000-000015050000}"/>
    <cellStyle name="20% - Accent4 4 3" xfId="2312" xr:uid="{00000000-0005-0000-0000-000016050000}"/>
    <cellStyle name="20% - Accent4 4 3 2" xfId="2313" xr:uid="{00000000-0005-0000-0000-000017050000}"/>
    <cellStyle name="20% - Accent4 4 4" xfId="2314" xr:uid="{00000000-0005-0000-0000-000018050000}"/>
    <cellStyle name="20% - Accent4 5" xfId="2315" xr:uid="{00000000-0005-0000-0000-000019050000}"/>
    <cellStyle name="20% - Accent4 5 2" xfId="2316" xr:uid="{00000000-0005-0000-0000-00001A050000}"/>
    <cellStyle name="20% - Accent4 5 2 2" xfId="2317" xr:uid="{00000000-0005-0000-0000-00001B050000}"/>
    <cellStyle name="20% - Accent4 5 2 2 2" xfId="2318" xr:uid="{00000000-0005-0000-0000-00001C050000}"/>
    <cellStyle name="20% - Accent4 5 2 3" xfId="2319" xr:uid="{00000000-0005-0000-0000-00001D050000}"/>
    <cellStyle name="20% - Accent4 5 3" xfId="2320" xr:uid="{00000000-0005-0000-0000-00001E050000}"/>
    <cellStyle name="20% - Accent4 5 3 2" xfId="2321" xr:uid="{00000000-0005-0000-0000-00001F050000}"/>
    <cellStyle name="20% - Accent4 5 4" xfId="2322" xr:uid="{00000000-0005-0000-0000-000020050000}"/>
    <cellStyle name="20% - Accent4 6" xfId="2323" xr:uid="{00000000-0005-0000-0000-000021050000}"/>
    <cellStyle name="20% - Accent4 6 2" xfId="2324" xr:uid="{00000000-0005-0000-0000-000022050000}"/>
    <cellStyle name="20% - Accent4 6 2 2" xfId="2325" xr:uid="{00000000-0005-0000-0000-000023050000}"/>
    <cellStyle name="20% - Accent4 6 2 2 2" xfId="2326" xr:uid="{00000000-0005-0000-0000-000024050000}"/>
    <cellStyle name="20% - Accent4 6 2 3" xfId="2327" xr:uid="{00000000-0005-0000-0000-000025050000}"/>
    <cellStyle name="20% - Accent4 6 3" xfId="2328" xr:uid="{00000000-0005-0000-0000-000026050000}"/>
    <cellStyle name="20% - Accent4 6 3 2" xfId="2329" xr:uid="{00000000-0005-0000-0000-000027050000}"/>
    <cellStyle name="20% - Accent4 6 4" xfId="2330" xr:uid="{00000000-0005-0000-0000-000028050000}"/>
    <cellStyle name="20% - Accent4 7" xfId="2331" xr:uid="{00000000-0005-0000-0000-000029050000}"/>
    <cellStyle name="20% - Accent4 7 2" xfId="2332" xr:uid="{00000000-0005-0000-0000-00002A050000}"/>
    <cellStyle name="20% - Accent4 7 2 2" xfId="2333" xr:uid="{00000000-0005-0000-0000-00002B050000}"/>
    <cellStyle name="20% - Accent4 7 2 2 2" xfId="2334" xr:uid="{00000000-0005-0000-0000-00002C050000}"/>
    <cellStyle name="20% - Accent4 7 2 3" xfId="2335" xr:uid="{00000000-0005-0000-0000-00002D050000}"/>
    <cellStyle name="20% - Accent4 7 3" xfId="2336" xr:uid="{00000000-0005-0000-0000-00002E050000}"/>
    <cellStyle name="20% - Accent4 7 3 2" xfId="2337" xr:uid="{00000000-0005-0000-0000-00002F050000}"/>
    <cellStyle name="20% - Accent4 7 4" xfId="2338" xr:uid="{00000000-0005-0000-0000-000030050000}"/>
    <cellStyle name="20% - Accent4 8" xfId="2339" xr:uid="{00000000-0005-0000-0000-000031050000}"/>
    <cellStyle name="20% - Accent4 8 2" xfId="2340" xr:uid="{00000000-0005-0000-0000-000032050000}"/>
    <cellStyle name="20% - Accent4 8 2 2" xfId="2341" xr:uid="{00000000-0005-0000-0000-000033050000}"/>
    <cellStyle name="20% - Accent4 8 2 2 2" xfId="2342" xr:uid="{00000000-0005-0000-0000-000034050000}"/>
    <cellStyle name="20% - Accent4 8 2 3" xfId="2343" xr:uid="{00000000-0005-0000-0000-000035050000}"/>
    <cellStyle name="20% - Accent4 8 3" xfId="2344" xr:uid="{00000000-0005-0000-0000-000036050000}"/>
    <cellStyle name="20% - Accent4 8 3 2" xfId="2345" xr:uid="{00000000-0005-0000-0000-000037050000}"/>
    <cellStyle name="20% - Accent4 8 4" xfId="2346" xr:uid="{00000000-0005-0000-0000-000038050000}"/>
    <cellStyle name="20% - Accent4 9" xfId="2347" xr:uid="{00000000-0005-0000-0000-000039050000}"/>
    <cellStyle name="20% - Accent4 9 2" xfId="2348" xr:uid="{00000000-0005-0000-0000-00003A050000}"/>
    <cellStyle name="20% - Accent4 9 2 2" xfId="2349" xr:uid="{00000000-0005-0000-0000-00003B050000}"/>
    <cellStyle name="20% - Accent4 9 2 2 2" xfId="2350" xr:uid="{00000000-0005-0000-0000-00003C050000}"/>
    <cellStyle name="20% - Accent4 9 2 3" xfId="2351" xr:uid="{00000000-0005-0000-0000-00003D050000}"/>
    <cellStyle name="20% - Accent4 9 3" xfId="2352" xr:uid="{00000000-0005-0000-0000-00003E050000}"/>
    <cellStyle name="20% - Accent4 9 3 2" xfId="2353" xr:uid="{00000000-0005-0000-0000-00003F050000}"/>
    <cellStyle name="20% - Accent4 9 4" xfId="2354" xr:uid="{00000000-0005-0000-0000-000040050000}"/>
    <cellStyle name="20% - Accent5 10" xfId="2355" xr:uid="{00000000-0005-0000-0000-000041050000}"/>
    <cellStyle name="20% - Accent5 10 2" xfId="2356" xr:uid="{00000000-0005-0000-0000-000042050000}"/>
    <cellStyle name="20% - Accent5 10 2 2" xfId="2357" xr:uid="{00000000-0005-0000-0000-000043050000}"/>
    <cellStyle name="20% - Accent5 10 2 2 2" xfId="2358" xr:uid="{00000000-0005-0000-0000-000044050000}"/>
    <cellStyle name="20% - Accent5 10 2 3" xfId="2359" xr:uid="{00000000-0005-0000-0000-000045050000}"/>
    <cellStyle name="20% - Accent5 10 3" xfId="2360" xr:uid="{00000000-0005-0000-0000-000046050000}"/>
    <cellStyle name="20% - Accent5 10 3 2" xfId="2361" xr:uid="{00000000-0005-0000-0000-000047050000}"/>
    <cellStyle name="20% - Accent5 10 4" xfId="2362" xr:uid="{00000000-0005-0000-0000-000048050000}"/>
    <cellStyle name="20% - Accent5 11" xfId="2363" xr:uid="{00000000-0005-0000-0000-000049050000}"/>
    <cellStyle name="20% - Accent5 11 2" xfId="2364" xr:uid="{00000000-0005-0000-0000-00004A050000}"/>
    <cellStyle name="20% - Accent5 11 2 2" xfId="2365" xr:uid="{00000000-0005-0000-0000-00004B050000}"/>
    <cellStyle name="20% - Accent5 11 3" xfId="2366" xr:uid="{00000000-0005-0000-0000-00004C050000}"/>
    <cellStyle name="20% - Accent5 12" xfId="2367" xr:uid="{00000000-0005-0000-0000-00004D050000}"/>
    <cellStyle name="20% - Accent5 12 2" xfId="2368" xr:uid="{00000000-0005-0000-0000-00004E050000}"/>
    <cellStyle name="20% - Accent5 12 3" xfId="7333" xr:uid="{00000000-0005-0000-0000-00004F050000}"/>
    <cellStyle name="20% - Accent5 12 3 2" xfId="10036" xr:uid="{00000000-0005-0000-0000-000050050000}"/>
    <cellStyle name="20% - Accent5 12 4" xfId="8696" xr:uid="{00000000-0005-0000-0000-000051050000}"/>
    <cellStyle name="20% - Accent5 13" xfId="2369" xr:uid="{00000000-0005-0000-0000-000052050000}"/>
    <cellStyle name="20% - Accent5 2" xfId="368" xr:uid="{00000000-0005-0000-0000-000053050000}"/>
    <cellStyle name="20% - Accent5 2 10" xfId="2370" xr:uid="{00000000-0005-0000-0000-000054050000}"/>
    <cellStyle name="20% - Accent5 2 11" xfId="2371" xr:uid="{00000000-0005-0000-0000-000055050000}"/>
    <cellStyle name="20% - Accent5 2 12" xfId="2372" xr:uid="{00000000-0005-0000-0000-000056050000}"/>
    <cellStyle name="20% - Accent5 2 13" xfId="2373" xr:uid="{00000000-0005-0000-0000-000057050000}"/>
    <cellStyle name="20% - Accent5 2 14" xfId="2374" xr:uid="{00000000-0005-0000-0000-000058050000}"/>
    <cellStyle name="20% - Accent5 2 15" xfId="2375" xr:uid="{00000000-0005-0000-0000-000059050000}"/>
    <cellStyle name="20% - Accent5 2 16" xfId="2376" xr:uid="{00000000-0005-0000-0000-00005A050000}"/>
    <cellStyle name="20% - Accent5 2 17" xfId="2377" xr:uid="{00000000-0005-0000-0000-00005B050000}"/>
    <cellStyle name="20% - Accent5 2 18" xfId="2378" xr:uid="{00000000-0005-0000-0000-00005C050000}"/>
    <cellStyle name="20% - Accent5 2 19" xfId="2379" xr:uid="{00000000-0005-0000-0000-00005D050000}"/>
    <cellStyle name="20% - Accent5 2 2" xfId="2380" xr:uid="{00000000-0005-0000-0000-00005E050000}"/>
    <cellStyle name="20% - Accent5 2 2 2" xfId="2381" xr:uid="{00000000-0005-0000-0000-00005F050000}"/>
    <cellStyle name="20% - Accent5 2 2 2 2" xfId="2382" xr:uid="{00000000-0005-0000-0000-000060050000}"/>
    <cellStyle name="20% - Accent5 2 2 3" xfId="2383" xr:uid="{00000000-0005-0000-0000-000061050000}"/>
    <cellStyle name="20% - Accent5 2 2 4" xfId="2384" xr:uid="{00000000-0005-0000-0000-000062050000}"/>
    <cellStyle name="20% - Accent5 2 20" xfId="2385" xr:uid="{00000000-0005-0000-0000-000063050000}"/>
    <cellStyle name="20% - Accent5 2 21" xfId="2386" xr:uid="{00000000-0005-0000-0000-000064050000}"/>
    <cellStyle name="20% - Accent5 2 22" xfId="2387" xr:uid="{00000000-0005-0000-0000-000065050000}"/>
    <cellStyle name="20% - Accent5 2 23" xfId="2388" xr:uid="{00000000-0005-0000-0000-000066050000}"/>
    <cellStyle name="20% - Accent5 2 24" xfId="2389" xr:uid="{00000000-0005-0000-0000-000067050000}"/>
    <cellStyle name="20% - Accent5 2 25" xfId="2390" xr:uid="{00000000-0005-0000-0000-000068050000}"/>
    <cellStyle name="20% - Accent5 2 26" xfId="2391" xr:uid="{00000000-0005-0000-0000-000069050000}"/>
    <cellStyle name="20% - Accent5 2 27" xfId="2392" xr:uid="{00000000-0005-0000-0000-00006A050000}"/>
    <cellStyle name="20% - Accent5 2 28" xfId="2393" xr:uid="{00000000-0005-0000-0000-00006B050000}"/>
    <cellStyle name="20% - Accent5 2 29" xfId="2394" xr:uid="{00000000-0005-0000-0000-00006C050000}"/>
    <cellStyle name="20% - Accent5 2 3" xfId="2395" xr:uid="{00000000-0005-0000-0000-00006D050000}"/>
    <cellStyle name="20% - Accent5 2 3 2" xfId="2396" xr:uid="{00000000-0005-0000-0000-00006E050000}"/>
    <cellStyle name="20% - Accent5 2 3 3" xfId="2397" xr:uid="{00000000-0005-0000-0000-00006F050000}"/>
    <cellStyle name="20% - Accent5 2 30" xfId="2398" xr:uid="{00000000-0005-0000-0000-000070050000}"/>
    <cellStyle name="20% - Accent5 2 31" xfId="2399" xr:uid="{00000000-0005-0000-0000-000071050000}"/>
    <cellStyle name="20% - Accent5 2 32" xfId="2400" xr:uid="{00000000-0005-0000-0000-000072050000}"/>
    <cellStyle name="20% - Accent5 2 33" xfId="2401" xr:uid="{00000000-0005-0000-0000-000073050000}"/>
    <cellStyle name="20% - Accent5 2 34" xfId="2402" xr:uid="{00000000-0005-0000-0000-000074050000}"/>
    <cellStyle name="20% - Accent5 2 35" xfId="2403" xr:uid="{00000000-0005-0000-0000-000075050000}"/>
    <cellStyle name="20% - Accent5 2 36" xfId="2404" xr:uid="{00000000-0005-0000-0000-000076050000}"/>
    <cellStyle name="20% - Accent5 2 37" xfId="2405" xr:uid="{00000000-0005-0000-0000-000077050000}"/>
    <cellStyle name="20% - Accent5 2 38" xfId="2406" xr:uid="{00000000-0005-0000-0000-000078050000}"/>
    <cellStyle name="20% - Accent5 2 39" xfId="2407" xr:uid="{00000000-0005-0000-0000-000079050000}"/>
    <cellStyle name="20% - Accent5 2 4" xfId="2408" xr:uid="{00000000-0005-0000-0000-00007A050000}"/>
    <cellStyle name="20% - Accent5 2 4 2" xfId="2409" xr:uid="{00000000-0005-0000-0000-00007B050000}"/>
    <cellStyle name="20% - Accent5 2 40" xfId="2410" xr:uid="{00000000-0005-0000-0000-00007C050000}"/>
    <cellStyle name="20% - Accent5 2 41" xfId="2411" xr:uid="{00000000-0005-0000-0000-00007D050000}"/>
    <cellStyle name="20% - Accent5 2 42" xfId="2412" xr:uid="{00000000-0005-0000-0000-00007E050000}"/>
    <cellStyle name="20% - Accent5 2 43" xfId="2413" xr:uid="{00000000-0005-0000-0000-00007F050000}"/>
    <cellStyle name="20% - Accent5 2 44" xfId="2414" xr:uid="{00000000-0005-0000-0000-000080050000}"/>
    <cellStyle name="20% - Accent5 2 45" xfId="2415" xr:uid="{00000000-0005-0000-0000-000081050000}"/>
    <cellStyle name="20% - Accent5 2 46" xfId="2416" xr:uid="{00000000-0005-0000-0000-000082050000}"/>
    <cellStyle name="20% - Accent5 2 47" xfId="2417" xr:uid="{00000000-0005-0000-0000-000083050000}"/>
    <cellStyle name="20% - Accent5 2 48" xfId="2418" xr:uid="{00000000-0005-0000-0000-000084050000}"/>
    <cellStyle name="20% - Accent5 2 49" xfId="2419" xr:uid="{00000000-0005-0000-0000-000085050000}"/>
    <cellStyle name="20% - Accent5 2 5" xfId="2420" xr:uid="{00000000-0005-0000-0000-000086050000}"/>
    <cellStyle name="20% - Accent5 2 6" xfId="2421" xr:uid="{00000000-0005-0000-0000-000087050000}"/>
    <cellStyle name="20% - Accent5 2 7" xfId="2422" xr:uid="{00000000-0005-0000-0000-000088050000}"/>
    <cellStyle name="20% - Accent5 2 8" xfId="2423" xr:uid="{00000000-0005-0000-0000-000089050000}"/>
    <cellStyle name="20% - Accent5 2 9" xfId="2424" xr:uid="{00000000-0005-0000-0000-00008A050000}"/>
    <cellStyle name="20% - Accent5 3" xfId="2425" xr:uid="{00000000-0005-0000-0000-00008B050000}"/>
    <cellStyle name="20% - Accent5 3 2" xfId="2426" xr:uid="{00000000-0005-0000-0000-00008C050000}"/>
    <cellStyle name="20% - Accent5 3 2 2" xfId="2427" xr:uid="{00000000-0005-0000-0000-00008D050000}"/>
    <cellStyle name="20% - Accent5 3 2 2 2" xfId="2428" xr:uid="{00000000-0005-0000-0000-00008E050000}"/>
    <cellStyle name="20% - Accent5 3 2 3" xfId="2429" xr:uid="{00000000-0005-0000-0000-00008F050000}"/>
    <cellStyle name="20% - Accent5 3 3" xfId="2430" xr:uid="{00000000-0005-0000-0000-000090050000}"/>
    <cellStyle name="20% - Accent5 3 3 2" xfId="2431" xr:uid="{00000000-0005-0000-0000-000091050000}"/>
    <cellStyle name="20% - Accent5 3 4" xfId="2432" xr:uid="{00000000-0005-0000-0000-000092050000}"/>
    <cellStyle name="20% - Accent5 4" xfId="2433" xr:uid="{00000000-0005-0000-0000-000093050000}"/>
    <cellStyle name="20% - Accent5 4 2" xfId="2434" xr:uid="{00000000-0005-0000-0000-000094050000}"/>
    <cellStyle name="20% - Accent5 4 2 2" xfId="2435" xr:uid="{00000000-0005-0000-0000-000095050000}"/>
    <cellStyle name="20% - Accent5 4 2 2 2" xfId="2436" xr:uid="{00000000-0005-0000-0000-000096050000}"/>
    <cellStyle name="20% - Accent5 4 2 3" xfId="2437" xr:uid="{00000000-0005-0000-0000-000097050000}"/>
    <cellStyle name="20% - Accent5 4 3" xfId="2438" xr:uid="{00000000-0005-0000-0000-000098050000}"/>
    <cellStyle name="20% - Accent5 4 3 2" xfId="2439" xr:uid="{00000000-0005-0000-0000-000099050000}"/>
    <cellStyle name="20% - Accent5 4 4" xfId="2440" xr:uid="{00000000-0005-0000-0000-00009A050000}"/>
    <cellStyle name="20% - Accent5 5" xfId="2441" xr:uid="{00000000-0005-0000-0000-00009B050000}"/>
    <cellStyle name="20% - Accent5 5 2" xfId="2442" xr:uid="{00000000-0005-0000-0000-00009C050000}"/>
    <cellStyle name="20% - Accent5 5 2 2" xfId="2443" xr:uid="{00000000-0005-0000-0000-00009D050000}"/>
    <cellStyle name="20% - Accent5 5 2 2 2" xfId="2444" xr:uid="{00000000-0005-0000-0000-00009E050000}"/>
    <cellStyle name="20% - Accent5 5 2 3" xfId="2445" xr:uid="{00000000-0005-0000-0000-00009F050000}"/>
    <cellStyle name="20% - Accent5 5 3" xfId="2446" xr:uid="{00000000-0005-0000-0000-0000A0050000}"/>
    <cellStyle name="20% - Accent5 5 3 2" xfId="2447" xr:uid="{00000000-0005-0000-0000-0000A1050000}"/>
    <cellStyle name="20% - Accent5 5 4" xfId="2448" xr:uid="{00000000-0005-0000-0000-0000A2050000}"/>
    <cellStyle name="20% - Accent5 6" xfId="2449" xr:uid="{00000000-0005-0000-0000-0000A3050000}"/>
    <cellStyle name="20% - Accent5 6 2" xfId="2450" xr:uid="{00000000-0005-0000-0000-0000A4050000}"/>
    <cellStyle name="20% - Accent5 6 2 2" xfId="2451" xr:uid="{00000000-0005-0000-0000-0000A5050000}"/>
    <cellStyle name="20% - Accent5 6 2 2 2" xfId="2452" xr:uid="{00000000-0005-0000-0000-0000A6050000}"/>
    <cellStyle name="20% - Accent5 6 2 3" xfId="2453" xr:uid="{00000000-0005-0000-0000-0000A7050000}"/>
    <cellStyle name="20% - Accent5 6 3" xfId="2454" xr:uid="{00000000-0005-0000-0000-0000A8050000}"/>
    <cellStyle name="20% - Accent5 6 3 2" xfId="2455" xr:uid="{00000000-0005-0000-0000-0000A9050000}"/>
    <cellStyle name="20% - Accent5 6 4" xfId="2456" xr:uid="{00000000-0005-0000-0000-0000AA050000}"/>
    <cellStyle name="20% - Accent5 7" xfId="2457" xr:uid="{00000000-0005-0000-0000-0000AB050000}"/>
    <cellStyle name="20% - Accent5 7 2" xfId="2458" xr:uid="{00000000-0005-0000-0000-0000AC050000}"/>
    <cellStyle name="20% - Accent5 7 2 2" xfId="2459" xr:uid="{00000000-0005-0000-0000-0000AD050000}"/>
    <cellStyle name="20% - Accent5 7 2 2 2" xfId="2460" xr:uid="{00000000-0005-0000-0000-0000AE050000}"/>
    <cellStyle name="20% - Accent5 7 2 3" xfId="2461" xr:uid="{00000000-0005-0000-0000-0000AF050000}"/>
    <cellStyle name="20% - Accent5 7 3" xfId="2462" xr:uid="{00000000-0005-0000-0000-0000B0050000}"/>
    <cellStyle name="20% - Accent5 7 3 2" xfId="2463" xr:uid="{00000000-0005-0000-0000-0000B1050000}"/>
    <cellStyle name="20% - Accent5 7 4" xfId="2464" xr:uid="{00000000-0005-0000-0000-0000B2050000}"/>
    <cellStyle name="20% - Accent5 8" xfId="2465" xr:uid="{00000000-0005-0000-0000-0000B3050000}"/>
    <cellStyle name="20% - Accent5 8 2" xfId="2466" xr:uid="{00000000-0005-0000-0000-0000B4050000}"/>
    <cellStyle name="20% - Accent5 8 2 2" xfId="2467" xr:uid="{00000000-0005-0000-0000-0000B5050000}"/>
    <cellStyle name="20% - Accent5 8 2 2 2" xfId="2468" xr:uid="{00000000-0005-0000-0000-0000B6050000}"/>
    <cellStyle name="20% - Accent5 8 2 3" xfId="2469" xr:uid="{00000000-0005-0000-0000-0000B7050000}"/>
    <cellStyle name="20% - Accent5 8 3" xfId="2470" xr:uid="{00000000-0005-0000-0000-0000B8050000}"/>
    <cellStyle name="20% - Accent5 8 3 2" xfId="2471" xr:uid="{00000000-0005-0000-0000-0000B9050000}"/>
    <cellStyle name="20% - Accent5 8 4" xfId="2472" xr:uid="{00000000-0005-0000-0000-0000BA050000}"/>
    <cellStyle name="20% - Accent5 9" xfId="2473" xr:uid="{00000000-0005-0000-0000-0000BB050000}"/>
    <cellStyle name="20% - Accent5 9 2" xfId="2474" xr:uid="{00000000-0005-0000-0000-0000BC050000}"/>
    <cellStyle name="20% - Accent5 9 2 2" xfId="2475" xr:uid="{00000000-0005-0000-0000-0000BD050000}"/>
    <cellStyle name="20% - Accent5 9 2 2 2" xfId="2476" xr:uid="{00000000-0005-0000-0000-0000BE050000}"/>
    <cellStyle name="20% - Accent5 9 2 3" xfId="2477" xr:uid="{00000000-0005-0000-0000-0000BF050000}"/>
    <cellStyle name="20% - Accent5 9 3" xfId="2478" xr:uid="{00000000-0005-0000-0000-0000C0050000}"/>
    <cellStyle name="20% - Accent5 9 3 2" xfId="2479" xr:uid="{00000000-0005-0000-0000-0000C1050000}"/>
    <cellStyle name="20% - Accent5 9 4" xfId="2480" xr:uid="{00000000-0005-0000-0000-0000C2050000}"/>
    <cellStyle name="20% - Accent6 10" xfId="2481" xr:uid="{00000000-0005-0000-0000-0000C3050000}"/>
    <cellStyle name="20% - Accent6 10 2" xfId="2482" xr:uid="{00000000-0005-0000-0000-0000C4050000}"/>
    <cellStyle name="20% - Accent6 10 2 2" xfId="2483" xr:uid="{00000000-0005-0000-0000-0000C5050000}"/>
    <cellStyle name="20% - Accent6 10 2 2 2" xfId="2484" xr:uid="{00000000-0005-0000-0000-0000C6050000}"/>
    <cellStyle name="20% - Accent6 10 2 3" xfId="2485" xr:uid="{00000000-0005-0000-0000-0000C7050000}"/>
    <cellStyle name="20% - Accent6 10 3" xfId="2486" xr:uid="{00000000-0005-0000-0000-0000C8050000}"/>
    <cellStyle name="20% - Accent6 10 3 2" xfId="2487" xr:uid="{00000000-0005-0000-0000-0000C9050000}"/>
    <cellStyle name="20% - Accent6 10 4" xfId="2488" xr:uid="{00000000-0005-0000-0000-0000CA050000}"/>
    <cellStyle name="20% - Accent6 11" xfId="2489" xr:uid="{00000000-0005-0000-0000-0000CB050000}"/>
    <cellStyle name="20% - Accent6 11 2" xfId="2490" xr:uid="{00000000-0005-0000-0000-0000CC050000}"/>
    <cellStyle name="20% - Accent6 11 2 2" xfId="2491" xr:uid="{00000000-0005-0000-0000-0000CD050000}"/>
    <cellStyle name="20% - Accent6 11 3" xfId="2492" xr:uid="{00000000-0005-0000-0000-0000CE050000}"/>
    <cellStyle name="20% - Accent6 12" xfId="2493" xr:uid="{00000000-0005-0000-0000-0000CF050000}"/>
    <cellStyle name="20% - Accent6 2" xfId="369" xr:uid="{00000000-0005-0000-0000-0000D0050000}"/>
    <cellStyle name="20% - Accent6 2 10" xfId="2494" xr:uid="{00000000-0005-0000-0000-0000D1050000}"/>
    <cellStyle name="20% - Accent6 2 11" xfId="2495" xr:uid="{00000000-0005-0000-0000-0000D2050000}"/>
    <cellStyle name="20% - Accent6 2 12" xfId="2496" xr:uid="{00000000-0005-0000-0000-0000D3050000}"/>
    <cellStyle name="20% - Accent6 2 13" xfId="2497" xr:uid="{00000000-0005-0000-0000-0000D4050000}"/>
    <cellStyle name="20% - Accent6 2 14" xfId="2498" xr:uid="{00000000-0005-0000-0000-0000D5050000}"/>
    <cellStyle name="20% - Accent6 2 15" xfId="2499" xr:uid="{00000000-0005-0000-0000-0000D6050000}"/>
    <cellStyle name="20% - Accent6 2 16" xfId="2500" xr:uid="{00000000-0005-0000-0000-0000D7050000}"/>
    <cellStyle name="20% - Accent6 2 17" xfId="2501" xr:uid="{00000000-0005-0000-0000-0000D8050000}"/>
    <cellStyle name="20% - Accent6 2 18" xfId="2502" xr:uid="{00000000-0005-0000-0000-0000D9050000}"/>
    <cellStyle name="20% - Accent6 2 19" xfId="2503" xr:uid="{00000000-0005-0000-0000-0000DA050000}"/>
    <cellStyle name="20% - Accent6 2 2" xfId="2504" xr:uid="{00000000-0005-0000-0000-0000DB050000}"/>
    <cellStyle name="20% - Accent6 2 2 2" xfId="2505" xr:uid="{00000000-0005-0000-0000-0000DC050000}"/>
    <cellStyle name="20% - Accent6 2 2 2 2" xfId="2506" xr:uid="{00000000-0005-0000-0000-0000DD050000}"/>
    <cellStyle name="20% - Accent6 2 2 3" xfId="2507" xr:uid="{00000000-0005-0000-0000-0000DE050000}"/>
    <cellStyle name="20% - Accent6 2 2 4" xfId="2508" xr:uid="{00000000-0005-0000-0000-0000DF050000}"/>
    <cellStyle name="20% - Accent6 2 20" xfId="2509" xr:uid="{00000000-0005-0000-0000-0000E0050000}"/>
    <cellStyle name="20% - Accent6 2 21" xfId="2510" xr:uid="{00000000-0005-0000-0000-0000E1050000}"/>
    <cellStyle name="20% - Accent6 2 22" xfId="2511" xr:uid="{00000000-0005-0000-0000-0000E2050000}"/>
    <cellStyle name="20% - Accent6 2 23" xfId="2512" xr:uid="{00000000-0005-0000-0000-0000E3050000}"/>
    <cellStyle name="20% - Accent6 2 24" xfId="2513" xr:uid="{00000000-0005-0000-0000-0000E4050000}"/>
    <cellStyle name="20% - Accent6 2 25" xfId="2514" xr:uid="{00000000-0005-0000-0000-0000E5050000}"/>
    <cellStyle name="20% - Accent6 2 26" xfId="2515" xr:uid="{00000000-0005-0000-0000-0000E6050000}"/>
    <cellStyle name="20% - Accent6 2 27" xfId="2516" xr:uid="{00000000-0005-0000-0000-0000E7050000}"/>
    <cellStyle name="20% - Accent6 2 28" xfId="2517" xr:uid="{00000000-0005-0000-0000-0000E8050000}"/>
    <cellStyle name="20% - Accent6 2 29" xfId="2518" xr:uid="{00000000-0005-0000-0000-0000E9050000}"/>
    <cellStyle name="20% - Accent6 2 3" xfId="2519" xr:uid="{00000000-0005-0000-0000-0000EA050000}"/>
    <cellStyle name="20% - Accent6 2 3 2" xfId="2520" xr:uid="{00000000-0005-0000-0000-0000EB050000}"/>
    <cellStyle name="20% - Accent6 2 3 3" xfId="2521" xr:uid="{00000000-0005-0000-0000-0000EC050000}"/>
    <cellStyle name="20% - Accent6 2 30" xfId="2522" xr:uid="{00000000-0005-0000-0000-0000ED050000}"/>
    <cellStyle name="20% - Accent6 2 31" xfId="2523" xr:uid="{00000000-0005-0000-0000-0000EE050000}"/>
    <cellStyle name="20% - Accent6 2 32" xfId="2524" xr:uid="{00000000-0005-0000-0000-0000EF050000}"/>
    <cellStyle name="20% - Accent6 2 33" xfId="2525" xr:uid="{00000000-0005-0000-0000-0000F0050000}"/>
    <cellStyle name="20% - Accent6 2 34" xfId="2526" xr:uid="{00000000-0005-0000-0000-0000F1050000}"/>
    <cellStyle name="20% - Accent6 2 35" xfId="2527" xr:uid="{00000000-0005-0000-0000-0000F2050000}"/>
    <cellStyle name="20% - Accent6 2 36" xfId="2528" xr:uid="{00000000-0005-0000-0000-0000F3050000}"/>
    <cellStyle name="20% - Accent6 2 37" xfId="2529" xr:uid="{00000000-0005-0000-0000-0000F4050000}"/>
    <cellStyle name="20% - Accent6 2 38" xfId="2530" xr:uid="{00000000-0005-0000-0000-0000F5050000}"/>
    <cellStyle name="20% - Accent6 2 39" xfId="2531" xr:uid="{00000000-0005-0000-0000-0000F6050000}"/>
    <cellStyle name="20% - Accent6 2 4" xfId="2532" xr:uid="{00000000-0005-0000-0000-0000F7050000}"/>
    <cellStyle name="20% - Accent6 2 4 2" xfId="2533" xr:uid="{00000000-0005-0000-0000-0000F8050000}"/>
    <cellStyle name="20% - Accent6 2 40" xfId="2534" xr:uid="{00000000-0005-0000-0000-0000F9050000}"/>
    <cellStyle name="20% - Accent6 2 41" xfId="2535" xr:uid="{00000000-0005-0000-0000-0000FA050000}"/>
    <cellStyle name="20% - Accent6 2 42" xfId="2536" xr:uid="{00000000-0005-0000-0000-0000FB050000}"/>
    <cellStyle name="20% - Accent6 2 43" xfId="2537" xr:uid="{00000000-0005-0000-0000-0000FC050000}"/>
    <cellStyle name="20% - Accent6 2 44" xfId="2538" xr:uid="{00000000-0005-0000-0000-0000FD050000}"/>
    <cellStyle name="20% - Accent6 2 45" xfId="2539" xr:uid="{00000000-0005-0000-0000-0000FE050000}"/>
    <cellStyle name="20% - Accent6 2 46" xfId="2540" xr:uid="{00000000-0005-0000-0000-0000FF050000}"/>
    <cellStyle name="20% - Accent6 2 47" xfId="2541" xr:uid="{00000000-0005-0000-0000-000000060000}"/>
    <cellStyle name="20% - Accent6 2 48" xfId="2542" xr:uid="{00000000-0005-0000-0000-000001060000}"/>
    <cellStyle name="20% - Accent6 2 49" xfId="2543" xr:uid="{00000000-0005-0000-0000-000002060000}"/>
    <cellStyle name="20% - Accent6 2 5" xfId="2544" xr:uid="{00000000-0005-0000-0000-000003060000}"/>
    <cellStyle name="20% - Accent6 2 6" xfId="2545" xr:uid="{00000000-0005-0000-0000-000004060000}"/>
    <cellStyle name="20% - Accent6 2 7" xfId="2546" xr:uid="{00000000-0005-0000-0000-000005060000}"/>
    <cellStyle name="20% - Accent6 2 8" xfId="2547" xr:uid="{00000000-0005-0000-0000-000006060000}"/>
    <cellStyle name="20% - Accent6 2 9" xfId="2548" xr:uid="{00000000-0005-0000-0000-000007060000}"/>
    <cellStyle name="20% - Accent6 3" xfId="2549" xr:uid="{00000000-0005-0000-0000-000008060000}"/>
    <cellStyle name="20% - Accent6 3 2" xfId="2550" xr:uid="{00000000-0005-0000-0000-000009060000}"/>
    <cellStyle name="20% - Accent6 3 2 2" xfId="2551" xr:uid="{00000000-0005-0000-0000-00000A060000}"/>
    <cellStyle name="20% - Accent6 3 2 2 2" xfId="2552" xr:uid="{00000000-0005-0000-0000-00000B060000}"/>
    <cellStyle name="20% - Accent6 3 2 3" xfId="2553" xr:uid="{00000000-0005-0000-0000-00000C060000}"/>
    <cellStyle name="20% - Accent6 3 3" xfId="2554" xr:uid="{00000000-0005-0000-0000-00000D060000}"/>
    <cellStyle name="20% - Accent6 3 3 2" xfId="2555" xr:uid="{00000000-0005-0000-0000-00000E060000}"/>
    <cellStyle name="20% - Accent6 3 4" xfId="2556" xr:uid="{00000000-0005-0000-0000-00000F060000}"/>
    <cellStyle name="20% - Accent6 4" xfId="2557" xr:uid="{00000000-0005-0000-0000-000010060000}"/>
    <cellStyle name="20% - Accent6 4 2" xfId="2558" xr:uid="{00000000-0005-0000-0000-000011060000}"/>
    <cellStyle name="20% - Accent6 4 2 2" xfId="2559" xr:uid="{00000000-0005-0000-0000-000012060000}"/>
    <cellStyle name="20% - Accent6 4 2 2 2" xfId="2560" xr:uid="{00000000-0005-0000-0000-000013060000}"/>
    <cellStyle name="20% - Accent6 4 2 3" xfId="2561" xr:uid="{00000000-0005-0000-0000-000014060000}"/>
    <cellStyle name="20% - Accent6 4 3" xfId="2562" xr:uid="{00000000-0005-0000-0000-000015060000}"/>
    <cellStyle name="20% - Accent6 4 3 2" xfId="2563" xr:uid="{00000000-0005-0000-0000-000016060000}"/>
    <cellStyle name="20% - Accent6 4 4" xfId="2564" xr:uid="{00000000-0005-0000-0000-000017060000}"/>
    <cellStyle name="20% - Accent6 5" xfId="2565" xr:uid="{00000000-0005-0000-0000-000018060000}"/>
    <cellStyle name="20% - Accent6 5 2" xfId="2566" xr:uid="{00000000-0005-0000-0000-000019060000}"/>
    <cellStyle name="20% - Accent6 5 2 2" xfId="2567" xr:uid="{00000000-0005-0000-0000-00001A060000}"/>
    <cellStyle name="20% - Accent6 5 2 2 2" xfId="2568" xr:uid="{00000000-0005-0000-0000-00001B060000}"/>
    <cellStyle name="20% - Accent6 5 2 3" xfId="2569" xr:uid="{00000000-0005-0000-0000-00001C060000}"/>
    <cellStyle name="20% - Accent6 5 3" xfId="2570" xr:uid="{00000000-0005-0000-0000-00001D060000}"/>
    <cellStyle name="20% - Accent6 5 3 2" xfId="2571" xr:uid="{00000000-0005-0000-0000-00001E060000}"/>
    <cellStyle name="20% - Accent6 5 4" xfId="2572" xr:uid="{00000000-0005-0000-0000-00001F060000}"/>
    <cellStyle name="20% - Accent6 6" xfId="2573" xr:uid="{00000000-0005-0000-0000-000020060000}"/>
    <cellStyle name="20% - Accent6 6 2" xfId="2574" xr:uid="{00000000-0005-0000-0000-000021060000}"/>
    <cellStyle name="20% - Accent6 6 2 2" xfId="2575" xr:uid="{00000000-0005-0000-0000-000022060000}"/>
    <cellStyle name="20% - Accent6 6 2 2 2" xfId="2576" xr:uid="{00000000-0005-0000-0000-000023060000}"/>
    <cellStyle name="20% - Accent6 6 2 3" xfId="2577" xr:uid="{00000000-0005-0000-0000-000024060000}"/>
    <cellStyle name="20% - Accent6 6 3" xfId="2578" xr:uid="{00000000-0005-0000-0000-000025060000}"/>
    <cellStyle name="20% - Accent6 6 3 2" xfId="2579" xr:uid="{00000000-0005-0000-0000-000026060000}"/>
    <cellStyle name="20% - Accent6 6 4" xfId="2580" xr:uid="{00000000-0005-0000-0000-000027060000}"/>
    <cellStyle name="20% - Accent6 7" xfId="2581" xr:uid="{00000000-0005-0000-0000-000028060000}"/>
    <cellStyle name="20% - Accent6 7 2" xfId="2582" xr:uid="{00000000-0005-0000-0000-000029060000}"/>
    <cellStyle name="20% - Accent6 7 2 2" xfId="2583" xr:uid="{00000000-0005-0000-0000-00002A060000}"/>
    <cellStyle name="20% - Accent6 7 2 2 2" xfId="2584" xr:uid="{00000000-0005-0000-0000-00002B060000}"/>
    <cellStyle name="20% - Accent6 7 2 3" xfId="2585" xr:uid="{00000000-0005-0000-0000-00002C060000}"/>
    <cellStyle name="20% - Accent6 7 3" xfId="2586" xr:uid="{00000000-0005-0000-0000-00002D060000}"/>
    <cellStyle name="20% - Accent6 7 3 2" xfId="2587" xr:uid="{00000000-0005-0000-0000-00002E060000}"/>
    <cellStyle name="20% - Accent6 7 4" xfId="2588" xr:uid="{00000000-0005-0000-0000-00002F060000}"/>
    <cellStyle name="20% - Accent6 8" xfId="2589" xr:uid="{00000000-0005-0000-0000-000030060000}"/>
    <cellStyle name="20% - Accent6 8 2" xfId="2590" xr:uid="{00000000-0005-0000-0000-000031060000}"/>
    <cellStyle name="20% - Accent6 8 2 2" xfId="2591" xr:uid="{00000000-0005-0000-0000-000032060000}"/>
    <cellStyle name="20% - Accent6 8 2 2 2" xfId="2592" xr:uid="{00000000-0005-0000-0000-000033060000}"/>
    <cellStyle name="20% - Accent6 8 2 3" xfId="2593" xr:uid="{00000000-0005-0000-0000-000034060000}"/>
    <cellStyle name="20% - Accent6 8 3" xfId="2594" xr:uid="{00000000-0005-0000-0000-000035060000}"/>
    <cellStyle name="20% - Accent6 8 3 2" xfId="2595" xr:uid="{00000000-0005-0000-0000-000036060000}"/>
    <cellStyle name="20% - Accent6 8 4" xfId="2596" xr:uid="{00000000-0005-0000-0000-000037060000}"/>
    <cellStyle name="20% - Accent6 9" xfId="2597" xr:uid="{00000000-0005-0000-0000-000038060000}"/>
    <cellStyle name="20% - Accent6 9 2" xfId="2598" xr:uid="{00000000-0005-0000-0000-000039060000}"/>
    <cellStyle name="20% - Accent6 9 2 2" xfId="2599" xr:uid="{00000000-0005-0000-0000-00003A060000}"/>
    <cellStyle name="20% - Accent6 9 2 2 2" xfId="2600" xr:uid="{00000000-0005-0000-0000-00003B060000}"/>
    <cellStyle name="20% - Accent6 9 2 3" xfId="2601" xr:uid="{00000000-0005-0000-0000-00003C060000}"/>
    <cellStyle name="20% - Accent6 9 3" xfId="2602" xr:uid="{00000000-0005-0000-0000-00003D060000}"/>
    <cellStyle name="20% - Accent6 9 3 2" xfId="2603" xr:uid="{00000000-0005-0000-0000-00003E060000}"/>
    <cellStyle name="20% - Accent6 9 4" xfId="2604" xr:uid="{00000000-0005-0000-0000-00003F060000}"/>
    <cellStyle name="40% - Accent1 10" xfId="2605" xr:uid="{00000000-0005-0000-0000-000040060000}"/>
    <cellStyle name="40% - Accent1 10 2" xfId="2606" xr:uid="{00000000-0005-0000-0000-000041060000}"/>
    <cellStyle name="40% - Accent1 10 2 2" xfId="2607" xr:uid="{00000000-0005-0000-0000-000042060000}"/>
    <cellStyle name="40% - Accent1 10 2 2 2" xfId="2608" xr:uid="{00000000-0005-0000-0000-000043060000}"/>
    <cellStyle name="40% - Accent1 10 2 3" xfId="2609" xr:uid="{00000000-0005-0000-0000-000044060000}"/>
    <cellStyle name="40% - Accent1 10 3" xfId="2610" xr:uid="{00000000-0005-0000-0000-000045060000}"/>
    <cellStyle name="40% - Accent1 10 3 2" xfId="2611" xr:uid="{00000000-0005-0000-0000-000046060000}"/>
    <cellStyle name="40% - Accent1 10 4" xfId="2612" xr:uid="{00000000-0005-0000-0000-000047060000}"/>
    <cellStyle name="40% - Accent1 11" xfId="2613" xr:uid="{00000000-0005-0000-0000-000048060000}"/>
    <cellStyle name="40% - Accent1 11 2" xfId="2614" xr:uid="{00000000-0005-0000-0000-000049060000}"/>
    <cellStyle name="40% - Accent1 11 2 2" xfId="2615" xr:uid="{00000000-0005-0000-0000-00004A060000}"/>
    <cellStyle name="40% - Accent1 11 3" xfId="2616" xr:uid="{00000000-0005-0000-0000-00004B060000}"/>
    <cellStyle name="40% - Accent1 12" xfId="2617" xr:uid="{00000000-0005-0000-0000-00004C060000}"/>
    <cellStyle name="40% - Accent1 2" xfId="370" xr:uid="{00000000-0005-0000-0000-00004D060000}"/>
    <cellStyle name="40% - Accent1 2 10" xfId="2618" xr:uid="{00000000-0005-0000-0000-00004E060000}"/>
    <cellStyle name="40% - Accent1 2 11" xfId="2619" xr:uid="{00000000-0005-0000-0000-00004F060000}"/>
    <cellStyle name="40% - Accent1 2 12" xfId="2620" xr:uid="{00000000-0005-0000-0000-000050060000}"/>
    <cellStyle name="40% - Accent1 2 13" xfId="2621" xr:uid="{00000000-0005-0000-0000-000051060000}"/>
    <cellStyle name="40% - Accent1 2 14" xfId="2622" xr:uid="{00000000-0005-0000-0000-000052060000}"/>
    <cellStyle name="40% - Accent1 2 15" xfId="2623" xr:uid="{00000000-0005-0000-0000-000053060000}"/>
    <cellStyle name="40% - Accent1 2 16" xfId="2624" xr:uid="{00000000-0005-0000-0000-000054060000}"/>
    <cellStyle name="40% - Accent1 2 17" xfId="2625" xr:uid="{00000000-0005-0000-0000-000055060000}"/>
    <cellStyle name="40% - Accent1 2 18" xfId="2626" xr:uid="{00000000-0005-0000-0000-000056060000}"/>
    <cellStyle name="40% - Accent1 2 19" xfId="2627" xr:uid="{00000000-0005-0000-0000-000057060000}"/>
    <cellStyle name="40% - Accent1 2 2" xfId="2628" xr:uid="{00000000-0005-0000-0000-000058060000}"/>
    <cellStyle name="40% - Accent1 2 2 2" xfId="2629" xr:uid="{00000000-0005-0000-0000-000059060000}"/>
    <cellStyle name="40% - Accent1 2 2 2 2" xfId="2630" xr:uid="{00000000-0005-0000-0000-00005A060000}"/>
    <cellStyle name="40% - Accent1 2 2 3" xfId="2631" xr:uid="{00000000-0005-0000-0000-00005B060000}"/>
    <cellStyle name="40% - Accent1 2 2 4" xfId="2632" xr:uid="{00000000-0005-0000-0000-00005C060000}"/>
    <cellStyle name="40% - Accent1 2 20" xfId="2633" xr:uid="{00000000-0005-0000-0000-00005D060000}"/>
    <cellStyle name="40% - Accent1 2 21" xfId="2634" xr:uid="{00000000-0005-0000-0000-00005E060000}"/>
    <cellStyle name="40% - Accent1 2 22" xfId="2635" xr:uid="{00000000-0005-0000-0000-00005F060000}"/>
    <cellStyle name="40% - Accent1 2 23" xfId="2636" xr:uid="{00000000-0005-0000-0000-000060060000}"/>
    <cellStyle name="40% - Accent1 2 24" xfId="2637" xr:uid="{00000000-0005-0000-0000-000061060000}"/>
    <cellStyle name="40% - Accent1 2 25" xfId="2638" xr:uid="{00000000-0005-0000-0000-000062060000}"/>
    <cellStyle name="40% - Accent1 2 26" xfId="2639" xr:uid="{00000000-0005-0000-0000-000063060000}"/>
    <cellStyle name="40% - Accent1 2 27" xfId="2640" xr:uid="{00000000-0005-0000-0000-000064060000}"/>
    <cellStyle name="40% - Accent1 2 28" xfId="2641" xr:uid="{00000000-0005-0000-0000-000065060000}"/>
    <cellStyle name="40% - Accent1 2 29" xfId="2642" xr:uid="{00000000-0005-0000-0000-000066060000}"/>
    <cellStyle name="40% - Accent1 2 3" xfId="2643" xr:uid="{00000000-0005-0000-0000-000067060000}"/>
    <cellStyle name="40% - Accent1 2 3 2" xfId="2644" xr:uid="{00000000-0005-0000-0000-000068060000}"/>
    <cellStyle name="40% - Accent1 2 3 3" xfId="2645" xr:uid="{00000000-0005-0000-0000-000069060000}"/>
    <cellStyle name="40% - Accent1 2 30" xfId="2646" xr:uid="{00000000-0005-0000-0000-00006A060000}"/>
    <cellStyle name="40% - Accent1 2 31" xfId="2647" xr:uid="{00000000-0005-0000-0000-00006B060000}"/>
    <cellStyle name="40% - Accent1 2 32" xfId="2648" xr:uid="{00000000-0005-0000-0000-00006C060000}"/>
    <cellStyle name="40% - Accent1 2 33" xfId="2649" xr:uid="{00000000-0005-0000-0000-00006D060000}"/>
    <cellStyle name="40% - Accent1 2 34" xfId="2650" xr:uid="{00000000-0005-0000-0000-00006E060000}"/>
    <cellStyle name="40% - Accent1 2 35" xfId="2651" xr:uid="{00000000-0005-0000-0000-00006F060000}"/>
    <cellStyle name="40% - Accent1 2 36" xfId="2652" xr:uid="{00000000-0005-0000-0000-000070060000}"/>
    <cellStyle name="40% - Accent1 2 37" xfId="2653" xr:uid="{00000000-0005-0000-0000-000071060000}"/>
    <cellStyle name="40% - Accent1 2 38" xfId="2654" xr:uid="{00000000-0005-0000-0000-000072060000}"/>
    <cellStyle name="40% - Accent1 2 39" xfId="2655" xr:uid="{00000000-0005-0000-0000-000073060000}"/>
    <cellStyle name="40% - Accent1 2 4" xfId="2656" xr:uid="{00000000-0005-0000-0000-000074060000}"/>
    <cellStyle name="40% - Accent1 2 4 2" xfId="2657" xr:uid="{00000000-0005-0000-0000-000075060000}"/>
    <cellStyle name="40% - Accent1 2 40" xfId="2658" xr:uid="{00000000-0005-0000-0000-000076060000}"/>
    <cellStyle name="40% - Accent1 2 41" xfId="2659" xr:uid="{00000000-0005-0000-0000-000077060000}"/>
    <cellStyle name="40% - Accent1 2 42" xfId="2660" xr:uid="{00000000-0005-0000-0000-000078060000}"/>
    <cellStyle name="40% - Accent1 2 43" xfId="2661" xr:uid="{00000000-0005-0000-0000-000079060000}"/>
    <cellStyle name="40% - Accent1 2 44" xfId="2662" xr:uid="{00000000-0005-0000-0000-00007A060000}"/>
    <cellStyle name="40% - Accent1 2 45" xfId="2663" xr:uid="{00000000-0005-0000-0000-00007B060000}"/>
    <cellStyle name="40% - Accent1 2 46" xfId="2664" xr:uid="{00000000-0005-0000-0000-00007C060000}"/>
    <cellStyle name="40% - Accent1 2 47" xfId="2665" xr:uid="{00000000-0005-0000-0000-00007D060000}"/>
    <cellStyle name="40% - Accent1 2 48" xfId="2666" xr:uid="{00000000-0005-0000-0000-00007E060000}"/>
    <cellStyle name="40% - Accent1 2 49" xfId="2667" xr:uid="{00000000-0005-0000-0000-00007F060000}"/>
    <cellStyle name="40% - Accent1 2 5" xfId="2668" xr:uid="{00000000-0005-0000-0000-000080060000}"/>
    <cellStyle name="40% - Accent1 2 6" xfId="2669" xr:uid="{00000000-0005-0000-0000-000081060000}"/>
    <cellStyle name="40% - Accent1 2 7" xfId="2670" xr:uid="{00000000-0005-0000-0000-000082060000}"/>
    <cellStyle name="40% - Accent1 2 8" xfId="2671" xr:uid="{00000000-0005-0000-0000-000083060000}"/>
    <cellStyle name="40% - Accent1 2 9" xfId="2672" xr:uid="{00000000-0005-0000-0000-000084060000}"/>
    <cellStyle name="40% - Accent1 3" xfId="2673" xr:uid="{00000000-0005-0000-0000-000085060000}"/>
    <cellStyle name="40% - Accent1 3 2" xfId="2674" xr:uid="{00000000-0005-0000-0000-000086060000}"/>
    <cellStyle name="40% - Accent1 3 2 2" xfId="2675" xr:uid="{00000000-0005-0000-0000-000087060000}"/>
    <cellStyle name="40% - Accent1 3 2 2 2" xfId="2676" xr:uid="{00000000-0005-0000-0000-000088060000}"/>
    <cellStyle name="40% - Accent1 3 2 3" xfId="2677" xr:uid="{00000000-0005-0000-0000-000089060000}"/>
    <cellStyle name="40% - Accent1 3 3" xfId="2678" xr:uid="{00000000-0005-0000-0000-00008A060000}"/>
    <cellStyle name="40% - Accent1 3 3 2" xfId="2679" xr:uid="{00000000-0005-0000-0000-00008B060000}"/>
    <cellStyle name="40% - Accent1 3 4" xfId="2680" xr:uid="{00000000-0005-0000-0000-00008C060000}"/>
    <cellStyle name="40% - Accent1 4" xfId="2681" xr:uid="{00000000-0005-0000-0000-00008D060000}"/>
    <cellStyle name="40% - Accent1 4 2" xfId="2682" xr:uid="{00000000-0005-0000-0000-00008E060000}"/>
    <cellStyle name="40% - Accent1 4 2 2" xfId="2683" xr:uid="{00000000-0005-0000-0000-00008F060000}"/>
    <cellStyle name="40% - Accent1 4 2 2 2" xfId="2684" xr:uid="{00000000-0005-0000-0000-000090060000}"/>
    <cellStyle name="40% - Accent1 4 2 3" xfId="2685" xr:uid="{00000000-0005-0000-0000-000091060000}"/>
    <cellStyle name="40% - Accent1 4 3" xfId="2686" xr:uid="{00000000-0005-0000-0000-000092060000}"/>
    <cellStyle name="40% - Accent1 4 3 2" xfId="2687" xr:uid="{00000000-0005-0000-0000-000093060000}"/>
    <cellStyle name="40% - Accent1 4 4" xfId="2688" xr:uid="{00000000-0005-0000-0000-000094060000}"/>
    <cellStyle name="40% - Accent1 5" xfId="2689" xr:uid="{00000000-0005-0000-0000-000095060000}"/>
    <cellStyle name="40% - Accent1 5 2" xfId="2690" xr:uid="{00000000-0005-0000-0000-000096060000}"/>
    <cellStyle name="40% - Accent1 5 2 2" xfId="2691" xr:uid="{00000000-0005-0000-0000-000097060000}"/>
    <cellStyle name="40% - Accent1 5 2 2 2" xfId="2692" xr:uid="{00000000-0005-0000-0000-000098060000}"/>
    <cellStyle name="40% - Accent1 5 2 3" xfId="2693" xr:uid="{00000000-0005-0000-0000-000099060000}"/>
    <cellStyle name="40% - Accent1 5 3" xfId="2694" xr:uid="{00000000-0005-0000-0000-00009A060000}"/>
    <cellStyle name="40% - Accent1 5 3 2" xfId="2695" xr:uid="{00000000-0005-0000-0000-00009B060000}"/>
    <cellStyle name="40% - Accent1 5 4" xfId="2696" xr:uid="{00000000-0005-0000-0000-00009C060000}"/>
    <cellStyle name="40% - Accent1 6" xfId="2697" xr:uid="{00000000-0005-0000-0000-00009D060000}"/>
    <cellStyle name="40% - Accent1 6 2" xfId="2698" xr:uid="{00000000-0005-0000-0000-00009E060000}"/>
    <cellStyle name="40% - Accent1 6 2 2" xfId="2699" xr:uid="{00000000-0005-0000-0000-00009F060000}"/>
    <cellStyle name="40% - Accent1 6 2 2 2" xfId="2700" xr:uid="{00000000-0005-0000-0000-0000A0060000}"/>
    <cellStyle name="40% - Accent1 6 2 3" xfId="2701" xr:uid="{00000000-0005-0000-0000-0000A1060000}"/>
    <cellStyle name="40% - Accent1 6 3" xfId="2702" xr:uid="{00000000-0005-0000-0000-0000A2060000}"/>
    <cellStyle name="40% - Accent1 6 3 2" xfId="2703" xr:uid="{00000000-0005-0000-0000-0000A3060000}"/>
    <cellStyle name="40% - Accent1 6 4" xfId="2704" xr:uid="{00000000-0005-0000-0000-0000A4060000}"/>
    <cellStyle name="40% - Accent1 7" xfId="2705" xr:uid="{00000000-0005-0000-0000-0000A5060000}"/>
    <cellStyle name="40% - Accent1 7 2" xfId="2706" xr:uid="{00000000-0005-0000-0000-0000A6060000}"/>
    <cellStyle name="40% - Accent1 7 2 2" xfId="2707" xr:uid="{00000000-0005-0000-0000-0000A7060000}"/>
    <cellStyle name="40% - Accent1 7 2 2 2" xfId="2708" xr:uid="{00000000-0005-0000-0000-0000A8060000}"/>
    <cellStyle name="40% - Accent1 7 2 3" xfId="2709" xr:uid="{00000000-0005-0000-0000-0000A9060000}"/>
    <cellStyle name="40% - Accent1 7 3" xfId="2710" xr:uid="{00000000-0005-0000-0000-0000AA060000}"/>
    <cellStyle name="40% - Accent1 7 3 2" xfId="2711" xr:uid="{00000000-0005-0000-0000-0000AB060000}"/>
    <cellStyle name="40% - Accent1 7 4" xfId="2712" xr:uid="{00000000-0005-0000-0000-0000AC060000}"/>
    <cellStyle name="40% - Accent1 8" xfId="2713" xr:uid="{00000000-0005-0000-0000-0000AD060000}"/>
    <cellStyle name="40% - Accent1 8 2" xfId="2714" xr:uid="{00000000-0005-0000-0000-0000AE060000}"/>
    <cellStyle name="40% - Accent1 8 2 2" xfId="2715" xr:uid="{00000000-0005-0000-0000-0000AF060000}"/>
    <cellStyle name="40% - Accent1 8 2 2 2" xfId="2716" xr:uid="{00000000-0005-0000-0000-0000B0060000}"/>
    <cellStyle name="40% - Accent1 8 2 3" xfId="2717" xr:uid="{00000000-0005-0000-0000-0000B1060000}"/>
    <cellStyle name="40% - Accent1 8 3" xfId="2718" xr:uid="{00000000-0005-0000-0000-0000B2060000}"/>
    <cellStyle name="40% - Accent1 8 3 2" xfId="2719" xr:uid="{00000000-0005-0000-0000-0000B3060000}"/>
    <cellStyle name="40% - Accent1 8 4" xfId="2720" xr:uid="{00000000-0005-0000-0000-0000B4060000}"/>
    <cellStyle name="40% - Accent1 9" xfId="2721" xr:uid="{00000000-0005-0000-0000-0000B5060000}"/>
    <cellStyle name="40% - Accent1 9 2" xfId="2722" xr:uid="{00000000-0005-0000-0000-0000B6060000}"/>
    <cellStyle name="40% - Accent1 9 2 2" xfId="2723" xr:uid="{00000000-0005-0000-0000-0000B7060000}"/>
    <cellStyle name="40% - Accent1 9 2 2 2" xfId="2724" xr:uid="{00000000-0005-0000-0000-0000B8060000}"/>
    <cellStyle name="40% - Accent1 9 2 3" xfId="2725" xr:uid="{00000000-0005-0000-0000-0000B9060000}"/>
    <cellStyle name="40% - Accent1 9 3" xfId="2726" xr:uid="{00000000-0005-0000-0000-0000BA060000}"/>
    <cellStyle name="40% - Accent1 9 3 2" xfId="2727" xr:uid="{00000000-0005-0000-0000-0000BB060000}"/>
    <cellStyle name="40% - Accent1 9 4" xfId="2728" xr:uid="{00000000-0005-0000-0000-0000BC060000}"/>
    <cellStyle name="40% - Accent2 10" xfId="2729" xr:uid="{00000000-0005-0000-0000-0000BD060000}"/>
    <cellStyle name="40% - Accent2 10 2" xfId="2730" xr:uid="{00000000-0005-0000-0000-0000BE060000}"/>
    <cellStyle name="40% - Accent2 10 2 2" xfId="2731" xr:uid="{00000000-0005-0000-0000-0000BF060000}"/>
    <cellStyle name="40% - Accent2 10 2 2 2" xfId="2732" xr:uid="{00000000-0005-0000-0000-0000C0060000}"/>
    <cellStyle name="40% - Accent2 10 2 3" xfId="2733" xr:uid="{00000000-0005-0000-0000-0000C1060000}"/>
    <cellStyle name="40% - Accent2 10 3" xfId="2734" xr:uid="{00000000-0005-0000-0000-0000C2060000}"/>
    <cellStyle name="40% - Accent2 10 3 2" xfId="2735" xr:uid="{00000000-0005-0000-0000-0000C3060000}"/>
    <cellStyle name="40% - Accent2 10 4" xfId="2736" xr:uid="{00000000-0005-0000-0000-0000C4060000}"/>
    <cellStyle name="40% - Accent2 11" xfId="2737" xr:uid="{00000000-0005-0000-0000-0000C5060000}"/>
    <cellStyle name="40% - Accent2 11 2" xfId="2738" xr:uid="{00000000-0005-0000-0000-0000C6060000}"/>
    <cellStyle name="40% - Accent2 11 2 2" xfId="2739" xr:uid="{00000000-0005-0000-0000-0000C7060000}"/>
    <cellStyle name="40% - Accent2 11 3" xfId="2740" xr:uid="{00000000-0005-0000-0000-0000C8060000}"/>
    <cellStyle name="40% - Accent2 12" xfId="2741" xr:uid="{00000000-0005-0000-0000-0000C9060000}"/>
    <cellStyle name="40% - Accent2 2" xfId="371" xr:uid="{00000000-0005-0000-0000-0000CA060000}"/>
    <cellStyle name="40% - Accent2 2 10" xfId="2742" xr:uid="{00000000-0005-0000-0000-0000CB060000}"/>
    <cellStyle name="40% - Accent2 2 11" xfId="2743" xr:uid="{00000000-0005-0000-0000-0000CC060000}"/>
    <cellStyle name="40% - Accent2 2 12" xfId="2744" xr:uid="{00000000-0005-0000-0000-0000CD060000}"/>
    <cellStyle name="40% - Accent2 2 13" xfId="2745" xr:uid="{00000000-0005-0000-0000-0000CE060000}"/>
    <cellStyle name="40% - Accent2 2 14" xfId="2746" xr:uid="{00000000-0005-0000-0000-0000CF060000}"/>
    <cellStyle name="40% - Accent2 2 15" xfId="2747" xr:uid="{00000000-0005-0000-0000-0000D0060000}"/>
    <cellStyle name="40% - Accent2 2 16" xfId="2748" xr:uid="{00000000-0005-0000-0000-0000D1060000}"/>
    <cellStyle name="40% - Accent2 2 17" xfId="2749" xr:uid="{00000000-0005-0000-0000-0000D2060000}"/>
    <cellStyle name="40% - Accent2 2 18" xfId="2750" xr:uid="{00000000-0005-0000-0000-0000D3060000}"/>
    <cellStyle name="40% - Accent2 2 19" xfId="2751" xr:uid="{00000000-0005-0000-0000-0000D4060000}"/>
    <cellStyle name="40% - Accent2 2 2" xfId="2752" xr:uid="{00000000-0005-0000-0000-0000D5060000}"/>
    <cellStyle name="40% - Accent2 2 2 2" xfId="2753" xr:uid="{00000000-0005-0000-0000-0000D6060000}"/>
    <cellStyle name="40% - Accent2 2 2 2 2" xfId="2754" xr:uid="{00000000-0005-0000-0000-0000D7060000}"/>
    <cellStyle name="40% - Accent2 2 2 3" xfId="2755" xr:uid="{00000000-0005-0000-0000-0000D8060000}"/>
    <cellStyle name="40% - Accent2 2 2 4" xfId="2756" xr:uid="{00000000-0005-0000-0000-0000D9060000}"/>
    <cellStyle name="40% - Accent2 2 20" xfId="2757" xr:uid="{00000000-0005-0000-0000-0000DA060000}"/>
    <cellStyle name="40% - Accent2 2 21" xfId="2758" xr:uid="{00000000-0005-0000-0000-0000DB060000}"/>
    <cellStyle name="40% - Accent2 2 22" xfId="2759" xr:uid="{00000000-0005-0000-0000-0000DC060000}"/>
    <cellStyle name="40% - Accent2 2 23" xfId="2760" xr:uid="{00000000-0005-0000-0000-0000DD060000}"/>
    <cellStyle name="40% - Accent2 2 24" xfId="2761" xr:uid="{00000000-0005-0000-0000-0000DE060000}"/>
    <cellStyle name="40% - Accent2 2 25" xfId="2762" xr:uid="{00000000-0005-0000-0000-0000DF060000}"/>
    <cellStyle name="40% - Accent2 2 26" xfId="2763" xr:uid="{00000000-0005-0000-0000-0000E0060000}"/>
    <cellStyle name="40% - Accent2 2 27" xfId="2764" xr:uid="{00000000-0005-0000-0000-0000E1060000}"/>
    <cellStyle name="40% - Accent2 2 28" xfId="2765" xr:uid="{00000000-0005-0000-0000-0000E2060000}"/>
    <cellStyle name="40% - Accent2 2 29" xfId="2766" xr:uid="{00000000-0005-0000-0000-0000E3060000}"/>
    <cellStyle name="40% - Accent2 2 3" xfId="2767" xr:uid="{00000000-0005-0000-0000-0000E4060000}"/>
    <cellStyle name="40% - Accent2 2 3 2" xfId="2768" xr:uid="{00000000-0005-0000-0000-0000E5060000}"/>
    <cellStyle name="40% - Accent2 2 3 3" xfId="2769" xr:uid="{00000000-0005-0000-0000-0000E6060000}"/>
    <cellStyle name="40% - Accent2 2 30" xfId="2770" xr:uid="{00000000-0005-0000-0000-0000E7060000}"/>
    <cellStyle name="40% - Accent2 2 31" xfId="2771" xr:uid="{00000000-0005-0000-0000-0000E8060000}"/>
    <cellStyle name="40% - Accent2 2 32" xfId="2772" xr:uid="{00000000-0005-0000-0000-0000E9060000}"/>
    <cellStyle name="40% - Accent2 2 33" xfId="2773" xr:uid="{00000000-0005-0000-0000-0000EA060000}"/>
    <cellStyle name="40% - Accent2 2 34" xfId="2774" xr:uid="{00000000-0005-0000-0000-0000EB060000}"/>
    <cellStyle name="40% - Accent2 2 35" xfId="2775" xr:uid="{00000000-0005-0000-0000-0000EC060000}"/>
    <cellStyle name="40% - Accent2 2 36" xfId="2776" xr:uid="{00000000-0005-0000-0000-0000ED060000}"/>
    <cellStyle name="40% - Accent2 2 37" xfId="2777" xr:uid="{00000000-0005-0000-0000-0000EE060000}"/>
    <cellStyle name="40% - Accent2 2 38" xfId="2778" xr:uid="{00000000-0005-0000-0000-0000EF060000}"/>
    <cellStyle name="40% - Accent2 2 39" xfId="2779" xr:uid="{00000000-0005-0000-0000-0000F0060000}"/>
    <cellStyle name="40% - Accent2 2 4" xfId="2780" xr:uid="{00000000-0005-0000-0000-0000F1060000}"/>
    <cellStyle name="40% - Accent2 2 4 2" xfId="2781" xr:uid="{00000000-0005-0000-0000-0000F2060000}"/>
    <cellStyle name="40% - Accent2 2 40" xfId="2782" xr:uid="{00000000-0005-0000-0000-0000F3060000}"/>
    <cellStyle name="40% - Accent2 2 41" xfId="2783" xr:uid="{00000000-0005-0000-0000-0000F4060000}"/>
    <cellStyle name="40% - Accent2 2 42" xfId="2784" xr:uid="{00000000-0005-0000-0000-0000F5060000}"/>
    <cellStyle name="40% - Accent2 2 43" xfId="2785" xr:uid="{00000000-0005-0000-0000-0000F6060000}"/>
    <cellStyle name="40% - Accent2 2 44" xfId="2786" xr:uid="{00000000-0005-0000-0000-0000F7060000}"/>
    <cellStyle name="40% - Accent2 2 45" xfId="2787" xr:uid="{00000000-0005-0000-0000-0000F8060000}"/>
    <cellStyle name="40% - Accent2 2 46" xfId="2788" xr:uid="{00000000-0005-0000-0000-0000F9060000}"/>
    <cellStyle name="40% - Accent2 2 47" xfId="2789" xr:uid="{00000000-0005-0000-0000-0000FA060000}"/>
    <cellStyle name="40% - Accent2 2 48" xfId="2790" xr:uid="{00000000-0005-0000-0000-0000FB060000}"/>
    <cellStyle name="40% - Accent2 2 49" xfId="2791" xr:uid="{00000000-0005-0000-0000-0000FC060000}"/>
    <cellStyle name="40% - Accent2 2 5" xfId="2792" xr:uid="{00000000-0005-0000-0000-0000FD060000}"/>
    <cellStyle name="40% - Accent2 2 6" xfId="2793" xr:uid="{00000000-0005-0000-0000-0000FE060000}"/>
    <cellStyle name="40% - Accent2 2 7" xfId="2794" xr:uid="{00000000-0005-0000-0000-0000FF060000}"/>
    <cellStyle name="40% - Accent2 2 8" xfId="2795" xr:uid="{00000000-0005-0000-0000-000000070000}"/>
    <cellStyle name="40% - Accent2 2 9" xfId="2796" xr:uid="{00000000-0005-0000-0000-000001070000}"/>
    <cellStyle name="40% - Accent2 3" xfId="2797" xr:uid="{00000000-0005-0000-0000-000002070000}"/>
    <cellStyle name="40% - Accent2 3 2" xfId="2798" xr:uid="{00000000-0005-0000-0000-000003070000}"/>
    <cellStyle name="40% - Accent2 3 2 2" xfId="2799" xr:uid="{00000000-0005-0000-0000-000004070000}"/>
    <cellStyle name="40% - Accent2 3 2 2 2" xfId="2800" xr:uid="{00000000-0005-0000-0000-000005070000}"/>
    <cellStyle name="40% - Accent2 3 2 3" xfId="2801" xr:uid="{00000000-0005-0000-0000-000006070000}"/>
    <cellStyle name="40% - Accent2 3 3" xfId="2802" xr:uid="{00000000-0005-0000-0000-000007070000}"/>
    <cellStyle name="40% - Accent2 3 3 2" xfId="2803" xr:uid="{00000000-0005-0000-0000-000008070000}"/>
    <cellStyle name="40% - Accent2 3 4" xfId="2804" xr:uid="{00000000-0005-0000-0000-000009070000}"/>
    <cellStyle name="40% - Accent2 4" xfId="2805" xr:uid="{00000000-0005-0000-0000-00000A070000}"/>
    <cellStyle name="40% - Accent2 4 2" xfId="2806" xr:uid="{00000000-0005-0000-0000-00000B070000}"/>
    <cellStyle name="40% - Accent2 4 2 2" xfId="2807" xr:uid="{00000000-0005-0000-0000-00000C070000}"/>
    <cellStyle name="40% - Accent2 4 2 2 2" xfId="2808" xr:uid="{00000000-0005-0000-0000-00000D070000}"/>
    <cellStyle name="40% - Accent2 4 2 3" xfId="2809" xr:uid="{00000000-0005-0000-0000-00000E070000}"/>
    <cellStyle name="40% - Accent2 4 3" xfId="2810" xr:uid="{00000000-0005-0000-0000-00000F070000}"/>
    <cellStyle name="40% - Accent2 4 3 2" xfId="2811" xr:uid="{00000000-0005-0000-0000-000010070000}"/>
    <cellStyle name="40% - Accent2 4 4" xfId="2812" xr:uid="{00000000-0005-0000-0000-000011070000}"/>
    <cellStyle name="40% - Accent2 5" xfId="2813" xr:uid="{00000000-0005-0000-0000-000012070000}"/>
    <cellStyle name="40% - Accent2 5 2" xfId="2814" xr:uid="{00000000-0005-0000-0000-000013070000}"/>
    <cellStyle name="40% - Accent2 5 2 2" xfId="2815" xr:uid="{00000000-0005-0000-0000-000014070000}"/>
    <cellStyle name="40% - Accent2 5 2 2 2" xfId="2816" xr:uid="{00000000-0005-0000-0000-000015070000}"/>
    <cellStyle name="40% - Accent2 5 2 3" xfId="2817" xr:uid="{00000000-0005-0000-0000-000016070000}"/>
    <cellStyle name="40% - Accent2 5 3" xfId="2818" xr:uid="{00000000-0005-0000-0000-000017070000}"/>
    <cellStyle name="40% - Accent2 5 3 2" xfId="2819" xr:uid="{00000000-0005-0000-0000-000018070000}"/>
    <cellStyle name="40% - Accent2 5 4" xfId="2820" xr:uid="{00000000-0005-0000-0000-000019070000}"/>
    <cellStyle name="40% - Accent2 6" xfId="2821" xr:uid="{00000000-0005-0000-0000-00001A070000}"/>
    <cellStyle name="40% - Accent2 6 2" xfId="2822" xr:uid="{00000000-0005-0000-0000-00001B070000}"/>
    <cellStyle name="40% - Accent2 6 2 2" xfId="2823" xr:uid="{00000000-0005-0000-0000-00001C070000}"/>
    <cellStyle name="40% - Accent2 6 2 2 2" xfId="2824" xr:uid="{00000000-0005-0000-0000-00001D070000}"/>
    <cellStyle name="40% - Accent2 6 2 3" xfId="2825" xr:uid="{00000000-0005-0000-0000-00001E070000}"/>
    <cellStyle name="40% - Accent2 6 3" xfId="2826" xr:uid="{00000000-0005-0000-0000-00001F070000}"/>
    <cellStyle name="40% - Accent2 6 3 2" xfId="2827" xr:uid="{00000000-0005-0000-0000-000020070000}"/>
    <cellStyle name="40% - Accent2 6 4" xfId="2828" xr:uid="{00000000-0005-0000-0000-000021070000}"/>
    <cellStyle name="40% - Accent2 7" xfId="2829" xr:uid="{00000000-0005-0000-0000-000022070000}"/>
    <cellStyle name="40% - Accent2 7 2" xfId="2830" xr:uid="{00000000-0005-0000-0000-000023070000}"/>
    <cellStyle name="40% - Accent2 7 2 2" xfId="2831" xr:uid="{00000000-0005-0000-0000-000024070000}"/>
    <cellStyle name="40% - Accent2 7 2 2 2" xfId="2832" xr:uid="{00000000-0005-0000-0000-000025070000}"/>
    <cellStyle name="40% - Accent2 7 2 3" xfId="2833" xr:uid="{00000000-0005-0000-0000-000026070000}"/>
    <cellStyle name="40% - Accent2 7 3" xfId="2834" xr:uid="{00000000-0005-0000-0000-000027070000}"/>
    <cellStyle name="40% - Accent2 7 3 2" xfId="2835" xr:uid="{00000000-0005-0000-0000-000028070000}"/>
    <cellStyle name="40% - Accent2 7 4" xfId="2836" xr:uid="{00000000-0005-0000-0000-000029070000}"/>
    <cellStyle name="40% - Accent2 8" xfId="2837" xr:uid="{00000000-0005-0000-0000-00002A070000}"/>
    <cellStyle name="40% - Accent2 8 2" xfId="2838" xr:uid="{00000000-0005-0000-0000-00002B070000}"/>
    <cellStyle name="40% - Accent2 8 2 2" xfId="2839" xr:uid="{00000000-0005-0000-0000-00002C070000}"/>
    <cellStyle name="40% - Accent2 8 2 2 2" xfId="2840" xr:uid="{00000000-0005-0000-0000-00002D070000}"/>
    <cellStyle name="40% - Accent2 8 2 3" xfId="2841" xr:uid="{00000000-0005-0000-0000-00002E070000}"/>
    <cellStyle name="40% - Accent2 8 3" xfId="2842" xr:uid="{00000000-0005-0000-0000-00002F070000}"/>
    <cellStyle name="40% - Accent2 8 3 2" xfId="2843" xr:uid="{00000000-0005-0000-0000-000030070000}"/>
    <cellStyle name="40% - Accent2 8 4" xfId="2844" xr:uid="{00000000-0005-0000-0000-000031070000}"/>
    <cellStyle name="40% - Accent2 9" xfId="2845" xr:uid="{00000000-0005-0000-0000-000032070000}"/>
    <cellStyle name="40% - Accent2 9 2" xfId="2846" xr:uid="{00000000-0005-0000-0000-000033070000}"/>
    <cellStyle name="40% - Accent2 9 2 2" xfId="2847" xr:uid="{00000000-0005-0000-0000-000034070000}"/>
    <cellStyle name="40% - Accent2 9 2 2 2" xfId="2848" xr:uid="{00000000-0005-0000-0000-000035070000}"/>
    <cellStyle name="40% - Accent2 9 2 3" xfId="2849" xr:uid="{00000000-0005-0000-0000-000036070000}"/>
    <cellStyle name="40% - Accent2 9 3" xfId="2850" xr:uid="{00000000-0005-0000-0000-000037070000}"/>
    <cellStyle name="40% - Accent2 9 3 2" xfId="2851" xr:uid="{00000000-0005-0000-0000-000038070000}"/>
    <cellStyle name="40% - Accent2 9 4" xfId="2852" xr:uid="{00000000-0005-0000-0000-000039070000}"/>
    <cellStyle name="40% - Accent3 10" xfId="2853" xr:uid="{00000000-0005-0000-0000-00003A070000}"/>
    <cellStyle name="40% - Accent3 10 2" xfId="2854" xr:uid="{00000000-0005-0000-0000-00003B070000}"/>
    <cellStyle name="40% - Accent3 10 2 2" xfId="2855" xr:uid="{00000000-0005-0000-0000-00003C070000}"/>
    <cellStyle name="40% - Accent3 10 2 2 2" xfId="2856" xr:uid="{00000000-0005-0000-0000-00003D070000}"/>
    <cellStyle name="40% - Accent3 10 2 3" xfId="2857" xr:uid="{00000000-0005-0000-0000-00003E070000}"/>
    <cellStyle name="40% - Accent3 10 3" xfId="2858" xr:uid="{00000000-0005-0000-0000-00003F070000}"/>
    <cellStyle name="40% - Accent3 10 3 2" xfId="2859" xr:uid="{00000000-0005-0000-0000-000040070000}"/>
    <cellStyle name="40% - Accent3 10 4" xfId="2860" xr:uid="{00000000-0005-0000-0000-000041070000}"/>
    <cellStyle name="40% - Accent3 11" xfId="2861" xr:uid="{00000000-0005-0000-0000-000042070000}"/>
    <cellStyle name="40% - Accent3 11 2" xfId="2862" xr:uid="{00000000-0005-0000-0000-000043070000}"/>
    <cellStyle name="40% - Accent3 11 2 2" xfId="2863" xr:uid="{00000000-0005-0000-0000-000044070000}"/>
    <cellStyle name="40% - Accent3 11 3" xfId="2864" xr:uid="{00000000-0005-0000-0000-000045070000}"/>
    <cellStyle name="40% - Accent3 12" xfId="2865" xr:uid="{00000000-0005-0000-0000-000046070000}"/>
    <cellStyle name="40% - Accent3 2" xfId="372" xr:uid="{00000000-0005-0000-0000-000047070000}"/>
    <cellStyle name="40% - Accent3 2 10" xfId="2866" xr:uid="{00000000-0005-0000-0000-000048070000}"/>
    <cellStyle name="40% - Accent3 2 11" xfId="2867" xr:uid="{00000000-0005-0000-0000-000049070000}"/>
    <cellStyle name="40% - Accent3 2 12" xfId="2868" xr:uid="{00000000-0005-0000-0000-00004A070000}"/>
    <cellStyle name="40% - Accent3 2 13" xfId="2869" xr:uid="{00000000-0005-0000-0000-00004B070000}"/>
    <cellStyle name="40% - Accent3 2 14" xfId="2870" xr:uid="{00000000-0005-0000-0000-00004C070000}"/>
    <cellStyle name="40% - Accent3 2 15" xfId="2871" xr:uid="{00000000-0005-0000-0000-00004D070000}"/>
    <cellStyle name="40% - Accent3 2 16" xfId="2872" xr:uid="{00000000-0005-0000-0000-00004E070000}"/>
    <cellStyle name="40% - Accent3 2 17" xfId="2873" xr:uid="{00000000-0005-0000-0000-00004F070000}"/>
    <cellStyle name="40% - Accent3 2 18" xfId="2874" xr:uid="{00000000-0005-0000-0000-000050070000}"/>
    <cellStyle name="40% - Accent3 2 19" xfId="2875" xr:uid="{00000000-0005-0000-0000-000051070000}"/>
    <cellStyle name="40% - Accent3 2 2" xfId="2876" xr:uid="{00000000-0005-0000-0000-000052070000}"/>
    <cellStyle name="40% - Accent3 2 2 2" xfId="2877" xr:uid="{00000000-0005-0000-0000-000053070000}"/>
    <cellStyle name="40% - Accent3 2 2 2 2" xfId="2878" xr:uid="{00000000-0005-0000-0000-000054070000}"/>
    <cellStyle name="40% - Accent3 2 2 3" xfId="2879" xr:uid="{00000000-0005-0000-0000-000055070000}"/>
    <cellStyle name="40% - Accent3 2 2 4" xfId="2880" xr:uid="{00000000-0005-0000-0000-000056070000}"/>
    <cellStyle name="40% - Accent3 2 20" xfId="2881" xr:uid="{00000000-0005-0000-0000-000057070000}"/>
    <cellStyle name="40% - Accent3 2 21" xfId="2882" xr:uid="{00000000-0005-0000-0000-000058070000}"/>
    <cellStyle name="40% - Accent3 2 22" xfId="2883" xr:uid="{00000000-0005-0000-0000-000059070000}"/>
    <cellStyle name="40% - Accent3 2 23" xfId="2884" xr:uid="{00000000-0005-0000-0000-00005A070000}"/>
    <cellStyle name="40% - Accent3 2 24" xfId="2885" xr:uid="{00000000-0005-0000-0000-00005B070000}"/>
    <cellStyle name="40% - Accent3 2 25" xfId="2886" xr:uid="{00000000-0005-0000-0000-00005C070000}"/>
    <cellStyle name="40% - Accent3 2 26" xfId="2887" xr:uid="{00000000-0005-0000-0000-00005D070000}"/>
    <cellStyle name="40% - Accent3 2 27" xfId="2888" xr:uid="{00000000-0005-0000-0000-00005E070000}"/>
    <cellStyle name="40% - Accent3 2 28" xfId="2889" xr:uid="{00000000-0005-0000-0000-00005F070000}"/>
    <cellStyle name="40% - Accent3 2 29" xfId="2890" xr:uid="{00000000-0005-0000-0000-000060070000}"/>
    <cellStyle name="40% - Accent3 2 3" xfId="2891" xr:uid="{00000000-0005-0000-0000-000061070000}"/>
    <cellStyle name="40% - Accent3 2 3 2" xfId="2892" xr:uid="{00000000-0005-0000-0000-000062070000}"/>
    <cellStyle name="40% - Accent3 2 3 3" xfId="2893" xr:uid="{00000000-0005-0000-0000-000063070000}"/>
    <cellStyle name="40% - Accent3 2 30" xfId="2894" xr:uid="{00000000-0005-0000-0000-000064070000}"/>
    <cellStyle name="40% - Accent3 2 31" xfId="2895" xr:uid="{00000000-0005-0000-0000-000065070000}"/>
    <cellStyle name="40% - Accent3 2 32" xfId="2896" xr:uid="{00000000-0005-0000-0000-000066070000}"/>
    <cellStyle name="40% - Accent3 2 33" xfId="2897" xr:uid="{00000000-0005-0000-0000-000067070000}"/>
    <cellStyle name="40% - Accent3 2 34" xfId="2898" xr:uid="{00000000-0005-0000-0000-000068070000}"/>
    <cellStyle name="40% - Accent3 2 35" xfId="2899" xr:uid="{00000000-0005-0000-0000-000069070000}"/>
    <cellStyle name="40% - Accent3 2 36" xfId="2900" xr:uid="{00000000-0005-0000-0000-00006A070000}"/>
    <cellStyle name="40% - Accent3 2 37" xfId="2901" xr:uid="{00000000-0005-0000-0000-00006B070000}"/>
    <cellStyle name="40% - Accent3 2 38" xfId="2902" xr:uid="{00000000-0005-0000-0000-00006C070000}"/>
    <cellStyle name="40% - Accent3 2 39" xfId="2903" xr:uid="{00000000-0005-0000-0000-00006D070000}"/>
    <cellStyle name="40% - Accent3 2 4" xfId="2904" xr:uid="{00000000-0005-0000-0000-00006E070000}"/>
    <cellStyle name="40% - Accent3 2 4 2" xfId="2905" xr:uid="{00000000-0005-0000-0000-00006F070000}"/>
    <cellStyle name="40% - Accent3 2 40" xfId="2906" xr:uid="{00000000-0005-0000-0000-000070070000}"/>
    <cellStyle name="40% - Accent3 2 41" xfId="2907" xr:uid="{00000000-0005-0000-0000-000071070000}"/>
    <cellStyle name="40% - Accent3 2 42" xfId="2908" xr:uid="{00000000-0005-0000-0000-000072070000}"/>
    <cellStyle name="40% - Accent3 2 43" xfId="2909" xr:uid="{00000000-0005-0000-0000-000073070000}"/>
    <cellStyle name="40% - Accent3 2 44" xfId="2910" xr:uid="{00000000-0005-0000-0000-000074070000}"/>
    <cellStyle name="40% - Accent3 2 45" xfId="2911" xr:uid="{00000000-0005-0000-0000-000075070000}"/>
    <cellStyle name="40% - Accent3 2 46" xfId="2912" xr:uid="{00000000-0005-0000-0000-000076070000}"/>
    <cellStyle name="40% - Accent3 2 47" xfId="2913" xr:uid="{00000000-0005-0000-0000-000077070000}"/>
    <cellStyle name="40% - Accent3 2 48" xfId="2914" xr:uid="{00000000-0005-0000-0000-000078070000}"/>
    <cellStyle name="40% - Accent3 2 49" xfId="2915" xr:uid="{00000000-0005-0000-0000-000079070000}"/>
    <cellStyle name="40% - Accent3 2 5" xfId="2916" xr:uid="{00000000-0005-0000-0000-00007A070000}"/>
    <cellStyle name="40% - Accent3 2 6" xfId="2917" xr:uid="{00000000-0005-0000-0000-00007B070000}"/>
    <cellStyle name="40% - Accent3 2 7" xfId="2918" xr:uid="{00000000-0005-0000-0000-00007C070000}"/>
    <cellStyle name="40% - Accent3 2 8" xfId="2919" xr:uid="{00000000-0005-0000-0000-00007D070000}"/>
    <cellStyle name="40% - Accent3 2 9" xfId="2920" xr:uid="{00000000-0005-0000-0000-00007E070000}"/>
    <cellStyle name="40% - Accent3 3" xfId="2921" xr:uid="{00000000-0005-0000-0000-00007F070000}"/>
    <cellStyle name="40% - Accent3 3 2" xfId="2922" xr:uid="{00000000-0005-0000-0000-000080070000}"/>
    <cellStyle name="40% - Accent3 3 2 2" xfId="2923" xr:uid="{00000000-0005-0000-0000-000081070000}"/>
    <cellStyle name="40% - Accent3 3 2 2 2" xfId="2924" xr:uid="{00000000-0005-0000-0000-000082070000}"/>
    <cellStyle name="40% - Accent3 3 2 3" xfId="2925" xr:uid="{00000000-0005-0000-0000-000083070000}"/>
    <cellStyle name="40% - Accent3 3 3" xfId="2926" xr:uid="{00000000-0005-0000-0000-000084070000}"/>
    <cellStyle name="40% - Accent3 3 3 2" xfId="2927" xr:uid="{00000000-0005-0000-0000-000085070000}"/>
    <cellStyle name="40% - Accent3 3 4" xfId="2928" xr:uid="{00000000-0005-0000-0000-000086070000}"/>
    <cellStyle name="40% - Accent3 4" xfId="2929" xr:uid="{00000000-0005-0000-0000-000087070000}"/>
    <cellStyle name="40% - Accent3 4 2" xfId="2930" xr:uid="{00000000-0005-0000-0000-000088070000}"/>
    <cellStyle name="40% - Accent3 4 2 2" xfId="2931" xr:uid="{00000000-0005-0000-0000-000089070000}"/>
    <cellStyle name="40% - Accent3 4 2 2 2" xfId="2932" xr:uid="{00000000-0005-0000-0000-00008A070000}"/>
    <cellStyle name="40% - Accent3 4 2 3" xfId="2933" xr:uid="{00000000-0005-0000-0000-00008B070000}"/>
    <cellStyle name="40% - Accent3 4 3" xfId="2934" xr:uid="{00000000-0005-0000-0000-00008C070000}"/>
    <cellStyle name="40% - Accent3 4 3 2" xfId="2935" xr:uid="{00000000-0005-0000-0000-00008D070000}"/>
    <cellStyle name="40% - Accent3 4 4" xfId="2936" xr:uid="{00000000-0005-0000-0000-00008E070000}"/>
    <cellStyle name="40% - Accent3 5" xfId="2937" xr:uid="{00000000-0005-0000-0000-00008F070000}"/>
    <cellStyle name="40% - Accent3 5 2" xfId="2938" xr:uid="{00000000-0005-0000-0000-000090070000}"/>
    <cellStyle name="40% - Accent3 5 2 2" xfId="2939" xr:uid="{00000000-0005-0000-0000-000091070000}"/>
    <cellStyle name="40% - Accent3 5 2 2 2" xfId="2940" xr:uid="{00000000-0005-0000-0000-000092070000}"/>
    <cellStyle name="40% - Accent3 5 2 3" xfId="2941" xr:uid="{00000000-0005-0000-0000-000093070000}"/>
    <cellStyle name="40% - Accent3 5 3" xfId="2942" xr:uid="{00000000-0005-0000-0000-000094070000}"/>
    <cellStyle name="40% - Accent3 5 3 2" xfId="2943" xr:uid="{00000000-0005-0000-0000-000095070000}"/>
    <cellStyle name="40% - Accent3 5 4" xfId="2944" xr:uid="{00000000-0005-0000-0000-000096070000}"/>
    <cellStyle name="40% - Accent3 6" xfId="2945" xr:uid="{00000000-0005-0000-0000-000097070000}"/>
    <cellStyle name="40% - Accent3 6 2" xfId="2946" xr:uid="{00000000-0005-0000-0000-000098070000}"/>
    <cellStyle name="40% - Accent3 6 2 2" xfId="2947" xr:uid="{00000000-0005-0000-0000-000099070000}"/>
    <cellStyle name="40% - Accent3 6 2 2 2" xfId="2948" xr:uid="{00000000-0005-0000-0000-00009A070000}"/>
    <cellStyle name="40% - Accent3 6 2 3" xfId="2949" xr:uid="{00000000-0005-0000-0000-00009B070000}"/>
    <cellStyle name="40% - Accent3 6 3" xfId="2950" xr:uid="{00000000-0005-0000-0000-00009C070000}"/>
    <cellStyle name="40% - Accent3 6 3 2" xfId="2951" xr:uid="{00000000-0005-0000-0000-00009D070000}"/>
    <cellStyle name="40% - Accent3 6 4" xfId="2952" xr:uid="{00000000-0005-0000-0000-00009E070000}"/>
    <cellStyle name="40% - Accent3 7" xfId="2953" xr:uid="{00000000-0005-0000-0000-00009F070000}"/>
    <cellStyle name="40% - Accent3 7 2" xfId="2954" xr:uid="{00000000-0005-0000-0000-0000A0070000}"/>
    <cellStyle name="40% - Accent3 7 2 2" xfId="2955" xr:uid="{00000000-0005-0000-0000-0000A1070000}"/>
    <cellStyle name="40% - Accent3 7 2 2 2" xfId="2956" xr:uid="{00000000-0005-0000-0000-0000A2070000}"/>
    <cellStyle name="40% - Accent3 7 2 3" xfId="2957" xr:uid="{00000000-0005-0000-0000-0000A3070000}"/>
    <cellStyle name="40% - Accent3 7 3" xfId="2958" xr:uid="{00000000-0005-0000-0000-0000A4070000}"/>
    <cellStyle name="40% - Accent3 7 3 2" xfId="2959" xr:uid="{00000000-0005-0000-0000-0000A5070000}"/>
    <cellStyle name="40% - Accent3 7 4" xfId="2960" xr:uid="{00000000-0005-0000-0000-0000A6070000}"/>
    <cellStyle name="40% - Accent3 8" xfId="2961" xr:uid="{00000000-0005-0000-0000-0000A7070000}"/>
    <cellStyle name="40% - Accent3 8 2" xfId="2962" xr:uid="{00000000-0005-0000-0000-0000A8070000}"/>
    <cellStyle name="40% - Accent3 8 2 2" xfId="2963" xr:uid="{00000000-0005-0000-0000-0000A9070000}"/>
    <cellStyle name="40% - Accent3 8 2 2 2" xfId="2964" xr:uid="{00000000-0005-0000-0000-0000AA070000}"/>
    <cellStyle name="40% - Accent3 8 2 3" xfId="2965" xr:uid="{00000000-0005-0000-0000-0000AB070000}"/>
    <cellStyle name="40% - Accent3 8 3" xfId="2966" xr:uid="{00000000-0005-0000-0000-0000AC070000}"/>
    <cellStyle name="40% - Accent3 8 3 2" xfId="2967" xr:uid="{00000000-0005-0000-0000-0000AD070000}"/>
    <cellStyle name="40% - Accent3 8 4" xfId="2968" xr:uid="{00000000-0005-0000-0000-0000AE070000}"/>
    <cellStyle name="40% - Accent3 9" xfId="2969" xr:uid="{00000000-0005-0000-0000-0000AF070000}"/>
    <cellStyle name="40% - Accent3 9 2" xfId="2970" xr:uid="{00000000-0005-0000-0000-0000B0070000}"/>
    <cellStyle name="40% - Accent3 9 2 2" xfId="2971" xr:uid="{00000000-0005-0000-0000-0000B1070000}"/>
    <cellStyle name="40% - Accent3 9 2 2 2" xfId="2972" xr:uid="{00000000-0005-0000-0000-0000B2070000}"/>
    <cellStyle name="40% - Accent3 9 2 3" xfId="2973" xr:uid="{00000000-0005-0000-0000-0000B3070000}"/>
    <cellStyle name="40% - Accent3 9 3" xfId="2974" xr:uid="{00000000-0005-0000-0000-0000B4070000}"/>
    <cellStyle name="40% - Accent3 9 3 2" xfId="2975" xr:uid="{00000000-0005-0000-0000-0000B5070000}"/>
    <cellStyle name="40% - Accent3 9 4" xfId="2976" xr:uid="{00000000-0005-0000-0000-0000B6070000}"/>
    <cellStyle name="40% - Accent4 10" xfId="2977" xr:uid="{00000000-0005-0000-0000-0000B7070000}"/>
    <cellStyle name="40% - Accent4 10 2" xfId="2978" xr:uid="{00000000-0005-0000-0000-0000B8070000}"/>
    <cellStyle name="40% - Accent4 10 2 2" xfId="2979" xr:uid="{00000000-0005-0000-0000-0000B9070000}"/>
    <cellStyle name="40% - Accent4 10 2 2 2" xfId="2980" xr:uid="{00000000-0005-0000-0000-0000BA070000}"/>
    <cellStyle name="40% - Accent4 10 2 3" xfId="2981" xr:uid="{00000000-0005-0000-0000-0000BB070000}"/>
    <cellStyle name="40% - Accent4 10 3" xfId="2982" xr:uid="{00000000-0005-0000-0000-0000BC070000}"/>
    <cellStyle name="40% - Accent4 10 3 2" xfId="2983" xr:uid="{00000000-0005-0000-0000-0000BD070000}"/>
    <cellStyle name="40% - Accent4 10 4" xfId="2984" xr:uid="{00000000-0005-0000-0000-0000BE070000}"/>
    <cellStyle name="40% - Accent4 11" xfId="2985" xr:uid="{00000000-0005-0000-0000-0000BF070000}"/>
    <cellStyle name="40% - Accent4 11 2" xfId="2986" xr:uid="{00000000-0005-0000-0000-0000C0070000}"/>
    <cellStyle name="40% - Accent4 11 2 2" xfId="2987" xr:uid="{00000000-0005-0000-0000-0000C1070000}"/>
    <cellStyle name="40% - Accent4 11 3" xfId="2988" xr:uid="{00000000-0005-0000-0000-0000C2070000}"/>
    <cellStyle name="40% - Accent4 12" xfId="2989" xr:uid="{00000000-0005-0000-0000-0000C3070000}"/>
    <cellStyle name="40% - Accent4 2" xfId="373" xr:uid="{00000000-0005-0000-0000-0000C4070000}"/>
    <cellStyle name="40% - Accent4 2 10" xfId="2990" xr:uid="{00000000-0005-0000-0000-0000C5070000}"/>
    <cellStyle name="40% - Accent4 2 11" xfId="2991" xr:uid="{00000000-0005-0000-0000-0000C6070000}"/>
    <cellStyle name="40% - Accent4 2 12" xfId="2992" xr:uid="{00000000-0005-0000-0000-0000C7070000}"/>
    <cellStyle name="40% - Accent4 2 13" xfId="2993" xr:uid="{00000000-0005-0000-0000-0000C8070000}"/>
    <cellStyle name="40% - Accent4 2 14" xfId="2994" xr:uid="{00000000-0005-0000-0000-0000C9070000}"/>
    <cellStyle name="40% - Accent4 2 15" xfId="2995" xr:uid="{00000000-0005-0000-0000-0000CA070000}"/>
    <cellStyle name="40% - Accent4 2 16" xfId="2996" xr:uid="{00000000-0005-0000-0000-0000CB070000}"/>
    <cellStyle name="40% - Accent4 2 17" xfId="2997" xr:uid="{00000000-0005-0000-0000-0000CC070000}"/>
    <cellStyle name="40% - Accent4 2 18" xfId="2998" xr:uid="{00000000-0005-0000-0000-0000CD070000}"/>
    <cellStyle name="40% - Accent4 2 19" xfId="2999" xr:uid="{00000000-0005-0000-0000-0000CE070000}"/>
    <cellStyle name="40% - Accent4 2 2" xfId="3000" xr:uid="{00000000-0005-0000-0000-0000CF070000}"/>
    <cellStyle name="40% - Accent4 2 2 2" xfId="3001" xr:uid="{00000000-0005-0000-0000-0000D0070000}"/>
    <cellStyle name="40% - Accent4 2 2 2 2" xfId="3002" xr:uid="{00000000-0005-0000-0000-0000D1070000}"/>
    <cellStyle name="40% - Accent4 2 2 3" xfId="3003" xr:uid="{00000000-0005-0000-0000-0000D2070000}"/>
    <cellStyle name="40% - Accent4 2 2 4" xfId="3004" xr:uid="{00000000-0005-0000-0000-0000D3070000}"/>
    <cellStyle name="40% - Accent4 2 20" xfId="3005" xr:uid="{00000000-0005-0000-0000-0000D4070000}"/>
    <cellStyle name="40% - Accent4 2 21" xfId="3006" xr:uid="{00000000-0005-0000-0000-0000D5070000}"/>
    <cellStyle name="40% - Accent4 2 22" xfId="3007" xr:uid="{00000000-0005-0000-0000-0000D6070000}"/>
    <cellStyle name="40% - Accent4 2 23" xfId="3008" xr:uid="{00000000-0005-0000-0000-0000D7070000}"/>
    <cellStyle name="40% - Accent4 2 24" xfId="3009" xr:uid="{00000000-0005-0000-0000-0000D8070000}"/>
    <cellStyle name="40% - Accent4 2 25" xfId="3010" xr:uid="{00000000-0005-0000-0000-0000D9070000}"/>
    <cellStyle name="40% - Accent4 2 26" xfId="3011" xr:uid="{00000000-0005-0000-0000-0000DA070000}"/>
    <cellStyle name="40% - Accent4 2 27" xfId="3012" xr:uid="{00000000-0005-0000-0000-0000DB070000}"/>
    <cellStyle name="40% - Accent4 2 28" xfId="3013" xr:uid="{00000000-0005-0000-0000-0000DC070000}"/>
    <cellStyle name="40% - Accent4 2 29" xfId="3014" xr:uid="{00000000-0005-0000-0000-0000DD070000}"/>
    <cellStyle name="40% - Accent4 2 3" xfId="3015" xr:uid="{00000000-0005-0000-0000-0000DE070000}"/>
    <cellStyle name="40% - Accent4 2 3 2" xfId="3016" xr:uid="{00000000-0005-0000-0000-0000DF070000}"/>
    <cellStyle name="40% - Accent4 2 3 3" xfId="3017" xr:uid="{00000000-0005-0000-0000-0000E0070000}"/>
    <cellStyle name="40% - Accent4 2 30" xfId="3018" xr:uid="{00000000-0005-0000-0000-0000E1070000}"/>
    <cellStyle name="40% - Accent4 2 31" xfId="3019" xr:uid="{00000000-0005-0000-0000-0000E2070000}"/>
    <cellStyle name="40% - Accent4 2 32" xfId="3020" xr:uid="{00000000-0005-0000-0000-0000E3070000}"/>
    <cellStyle name="40% - Accent4 2 33" xfId="3021" xr:uid="{00000000-0005-0000-0000-0000E4070000}"/>
    <cellStyle name="40% - Accent4 2 34" xfId="3022" xr:uid="{00000000-0005-0000-0000-0000E5070000}"/>
    <cellStyle name="40% - Accent4 2 35" xfId="3023" xr:uid="{00000000-0005-0000-0000-0000E6070000}"/>
    <cellStyle name="40% - Accent4 2 36" xfId="3024" xr:uid="{00000000-0005-0000-0000-0000E7070000}"/>
    <cellStyle name="40% - Accent4 2 37" xfId="3025" xr:uid="{00000000-0005-0000-0000-0000E8070000}"/>
    <cellStyle name="40% - Accent4 2 38" xfId="3026" xr:uid="{00000000-0005-0000-0000-0000E9070000}"/>
    <cellStyle name="40% - Accent4 2 39" xfId="3027" xr:uid="{00000000-0005-0000-0000-0000EA070000}"/>
    <cellStyle name="40% - Accent4 2 4" xfId="3028" xr:uid="{00000000-0005-0000-0000-0000EB070000}"/>
    <cellStyle name="40% - Accent4 2 4 2" xfId="3029" xr:uid="{00000000-0005-0000-0000-0000EC070000}"/>
    <cellStyle name="40% - Accent4 2 40" xfId="3030" xr:uid="{00000000-0005-0000-0000-0000ED070000}"/>
    <cellStyle name="40% - Accent4 2 41" xfId="3031" xr:uid="{00000000-0005-0000-0000-0000EE070000}"/>
    <cellStyle name="40% - Accent4 2 42" xfId="3032" xr:uid="{00000000-0005-0000-0000-0000EF070000}"/>
    <cellStyle name="40% - Accent4 2 43" xfId="3033" xr:uid="{00000000-0005-0000-0000-0000F0070000}"/>
    <cellStyle name="40% - Accent4 2 44" xfId="3034" xr:uid="{00000000-0005-0000-0000-0000F1070000}"/>
    <cellStyle name="40% - Accent4 2 45" xfId="3035" xr:uid="{00000000-0005-0000-0000-0000F2070000}"/>
    <cellStyle name="40% - Accent4 2 46" xfId="3036" xr:uid="{00000000-0005-0000-0000-0000F3070000}"/>
    <cellStyle name="40% - Accent4 2 47" xfId="3037" xr:uid="{00000000-0005-0000-0000-0000F4070000}"/>
    <cellStyle name="40% - Accent4 2 48" xfId="3038" xr:uid="{00000000-0005-0000-0000-0000F5070000}"/>
    <cellStyle name="40% - Accent4 2 49" xfId="3039" xr:uid="{00000000-0005-0000-0000-0000F6070000}"/>
    <cellStyle name="40% - Accent4 2 5" xfId="3040" xr:uid="{00000000-0005-0000-0000-0000F7070000}"/>
    <cellStyle name="40% - Accent4 2 6" xfId="3041" xr:uid="{00000000-0005-0000-0000-0000F8070000}"/>
    <cellStyle name="40% - Accent4 2 7" xfId="3042" xr:uid="{00000000-0005-0000-0000-0000F9070000}"/>
    <cellStyle name="40% - Accent4 2 8" xfId="3043" xr:uid="{00000000-0005-0000-0000-0000FA070000}"/>
    <cellStyle name="40% - Accent4 2 9" xfId="3044" xr:uid="{00000000-0005-0000-0000-0000FB070000}"/>
    <cellStyle name="40% - Accent4 3" xfId="3045" xr:uid="{00000000-0005-0000-0000-0000FC070000}"/>
    <cellStyle name="40% - Accent4 3 2" xfId="3046" xr:uid="{00000000-0005-0000-0000-0000FD070000}"/>
    <cellStyle name="40% - Accent4 3 2 2" xfId="3047" xr:uid="{00000000-0005-0000-0000-0000FE070000}"/>
    <cellStyle name="40% - Accent4 3 2 2 2" xfId="3048" xr:uid="{00000000-0005-0000-0000-0000FF070000}"/>
    <cellStyle name="40% - Accent4 3 2 3" xfId="3049" xr:uid="{00000000-0005-0000-0000-000000080000}"/>
    <cellStyle name="40% - Accent4 3 3" xfId="3050" xr:uid="{00000000-0005-0000-0000-000001080000}"/>
    <cellStyle name="40% - Accent4 3 3 2" xfId="3051" xr:uid="{00000000-0005-0000-0000-000002080000}"/>
    <cellStyle name="40% - Accent4 3 4" xfId="3052" xr:uid="{00000000-0005-0000-0000-000003080000}"/>
    <cellStyle name="40% - Accent4 4" xfId="3053" xr:uid="{00000000-0005-0000-0000-000004080000}"/>
    <cellStyle name="40% - Accent4 4 2" xfId="3054" xr:uid="{00000000-0005-0000-0000-000005080000}"/>
    <cellStyle name="40% - Accent4 4 2 2" xfId="3055" xr:uid="{00000000-0005-0000-0000-000006080000}"/>
    <cellStyle name="40% - Accent4 4 2 2 2" xfId="3056" xr:uid="{00000000-0005-0000-0000-000007080000}"/>
    <cellStyle name="40% - Accent4 4 2 3" xfId="3057" xr:uid="{00000000-0005-0000-0000-000008080000}"/>
    <cellStyle name="40% - Accent4 4 3" xfId="3058" xr:uid="{00000000-0005-0000-0000-000009080000}"/>
    <cellStyle name="40% - Accent4 4 3 2" xfId="3059" xr:uid="{00000000-0005-0000-0000-00000A080000}"/>
    <cellStyle name="40% - Accent4 4 4" xfId="3060" xr:uid="{00000000-0005-0000-0000-00000B080000}"/>
    <cellStyle name="40% - Accent4 5" xfId="3061" xr:uid="{00000000-0005-0000-0000-00000C080000}"/>
    <cellStyle name="40% - Accent4 5 2" xfId="3062" xr:uid="{00000000-0005-0000-0000-00000D080000}"/>
    <cellStyle name="40% - Accent4 5 2 2" xfId="3063" xr:uid="{00000000-0005-0000-0000-00000E080000}"/>
    <cellStyle name="40% - Accent4 5 2 2 2" xfId="3064" xr:uid="{00000000-0005-0000-0000-00000F080000}"/>
    <cellStyle name="40% - Accent4 5 2 3" xfId="3065" xr:uid="{00000000-0005-0000-0000-000010080000}"/>
    <cellStyle name="40% - Accent4 5 3" xfId="3066" xr:uid="{00000000-0005-0000-0000-000011080000}"/>
    <cellStyle name="40% - Accent4 5 3 2" xfId="3067" xr:uid="{00000000-0005-0000-0000-000012080000}"/>
    <cellStyle name="40% - Accent4 5 4" xfId="3068" xr:uid="{00000000-0005-0000-0000-000013080000}"/>
    <cellStyle name="40% - Accent4 6" xfId="3069" xr:uid="{00000000-0005-0000-0000-000014080000}"/>
    <cellStyle name="40% - Accent4 6 2" xfId="3070" xr:uid="{00000000-0005-0000-0000-000015080000}"/>
    <cellStyle name="40% - Accent4 6 2 2" xfId="3071" xr:uid="{00000000-0005-0000-0000-000016080000}"/>
    <cellStyle name="40% - Accent4 6 2 2 2" xfId="3072" xr:uid="{00000000-0005-0000-0000-000017080000}"/>
    <cellStyle name="40% - Accent4 6 2 3" xfId="3073" xr:uid="{00000000-0005-0000-0000-000018080000}"/>
    <cellStyle name="40% - Accent4 6 3" xfId="3074" xr:uid="{00000000-0005-0000-0000-000019080000}"/>
    <cellStyle name="40% - Accent4 6 3 2" xfId="3075" xr:uid="{00000000-0005-0000-0000-00001A080000}"/>
    <cellStyle name="40% - Accent4 6 4" xfId="3076" xr:uid="{00000000-0005-0000-0000-00001B080000}"/>
    <cellStyle name="40% - Accent4 7" xfId="3077" xr:uid="{00000000-0005-0000-0000-00001C080000}"/>
    <cellStyle name="40% - Accent4 7 2" xfId="3078" xr:uid="{00000000-0005-0000-0000-00001D080000}"/>
    <cellStyle name="40% - Accent4 7 2 2" xfId="3079" xr:uid="{00000000-0005-0000-0000-00001E080000}"/>
    <cellStyle name="40% - Accent4 7 2 2 2" xfId="3080" xr:uid="{00000000-0005-0000-0000-00001F080000}"/>
    <cellStyle name="40% - Accent4 7 2 3" xfId="3081" xr:uid="{00000000-0005-0000-0000-000020080000}"/>
    <cellStyle name="40% - Accent4 7 3" xfId="3082" xr:uid="{00000000-0005-0000-0000-000021080000}"/>
    <cellStyle name="40% - Accent4 7 3 2" xfId="3083" xr:uid="{00000000-0005-0000-0000-000022080000}"/>
    <cellStyle name="40% - Accent4 7 4" xfId="3084" xr:uid="{00000000-0005-0000-0000-000023080000}"/>
    <cellStyle name="40% - Accent4 8" xfId="3085" xr:uid="{00000000-0005-0000-0000-000024080000}"/>
    <cellStyle name="40% - Accent4 8 2" xfId="3086" xr:uid="{00000000-0005-0000-0000-000025080000}"/>
    <cellStyle name="40% - Accent4 8 2 2" xfId="3087" xr:uid="{00000000-0005-0000-0000-000026080000}"/>
    <cellStyle name="40% - Accent4 8 2 2 2" xfId="3088" xr:uid="{00000000-0005-0000-0000-000027080000}"/>
    <cellStyle name="40% - Accent4 8 2 3" xfId="3089" xr:uid="{00000000-0005-0000-0000-000028080000}"/>
    <cellStyle name="40% - Accent4 8 3" xfId="3090" xr:uid="{00000000-0005-0000-0000-000029080000}"/>
    <cellStyle name="40% - Accent4 8 3 2" xfId="3091" xr:uid="{00000000-0005-0000-0000-00002A080000}"/>
    <cellStyle name="40% - Accent4 8 4" xfId="3092" xr:uid="{00000000-0005-0000-0000-00002B080000}"/>
    <cellStyle name="40% - Accent4 9" xfId="3093" xr:uid="{00000000-0005-0000-0000-00002C080000}"/>
    <cellStyle name="40% - Accent4 9 2" xfId="3094" xr:uid="{00000000-0005-0000-0000-00002D080000}"/>
    <cellStyle name="40% - Accent4 9 2 2" xfId="3095" xr:uid="{00000000-0005-0000-0000-00002E080000}"/>
    <cellStyle name="40% - Accent4 9 2 2 2" xfId="3096" xr:uid="{00000000-0005-0000-0000-00002F080000}"/>
    <cellStyle name="40% - Accent4 9 2 3" xfId="3097" xr:uid="{00000000-0005-0000-0000-000030080000}"/>
    <cellStyle name="40% - Accent4 9 3" xfId="3098" xr:uid="{00000000-0005-0000-0000-000031080000}"/>
    <cellStyle name="40% - Accent4 9 3 2" xfId="3099" xr:uid="{00000000-0005-0000-0000-000032080000}"/>
    <cellStyle name="40% - Accent4 9 4" xfId="3100" xr:uid="{00000000-0005-0000-0000-000033080000}"/>
    <cellStyle name="40% - Accent5 10" xfId="3101" xr:uid="{00000000-0005-0000-0000-000034080000}"/>
    <cellStyle name="40% - Accent5 10 2" xfId="3102" xr:uid="{00000000-0005-0000-0000-000035080000}"/>
    <cellStyle name="40% - Accent5 10 2 2" xfId="3103" xr:uid="{00000000-0005-0000-0000-000036080000}"/>
    <cellStyle name="40% - Accent5 10 2 2 2" xfId="3104" xr:uid="{00000000-0005-0000-0000-000037080000}"/>
    <cellStyle name="40% - Accent5 10 2 3" xfId="3105" xr:uid="{00000000-0005-0000-0000-000038080000}"/>
    <cellStyle name="40% - Accent5 10 3" xfId="3106" xr:uid="{00000000-0005-0000-0000-000039080000}"/>
    <cellStyle name="40% - Accent5 10 3 2" xfId="3107" xr:uid="{00000000-0005-0000-0000-00003A080000}"/>
    <cellStyle name="40% - Accent5 10 4" xfId="3108" xr:uid="{00000000-0005-0000-0000-00003B080000}"/>
    <cellStyle name="40% - Accent5 11" xfId="3109" xr:uid="{00000000-0005-0000-0000-00003C080000}"/>
    <cellStyle name="40% - Accent5 11 2" xfId="3110" xr:uid="{00000000-0005-0000-0000-00003D080000}"/>
    <cellStyle name="40% - Accent5 11 2 2" xfId="3111" xr:uid="{00000000-0005-0000-0000-00003E080000}"/>
    <cellStyle name="40% - Accent5 11 3" xfId="3112" xr:uid="{00000000-0005-0000-0000-00003F080000}"/>
    <cellStyle name="40% - Accent5 12" xfId="3113" xr:uid="{00000000-0005-0000-0000-000040080000}"/>
    <cellStyle name="40% - Accent5 2" xfId="374" xr:uid="{00000000-0005-0000-0000-000041080000}"/>
    <cellStyle name="40% - Accent5 2 10" xfId="3114" xr:uid="{00000000-0005-0000-0000-000042080000}"/>
    <cellStyle name="40% - Accent5 2 11" xfId="3115" xr:uid="{00000000-0005-0000-0000-000043080000}"/>
    <cellStyle name="40% - Accent5 2 12" xfId="3116" xr:uid="{00000000-0005-0000-0000-000044080000}"/>
    <cellStyle name="40% - Accent5 2 13" xfId="3117" xr:uid="{00000000-0005-0000-0000-000045080000}"/>
    <cellStyle name="40% - Accent5 2 14" xfId="3118" xr:uid="{00000000-0005-0000-0000-000046080000}"/>
    <cellStyle name="40% - Accent5 2 15" xfId="3119" xr:uid="{00000000-0005-0000-0000-000047080000}"/>
    <cellStyle name="40% - Accent5 2 16" xfId="3120" xr:uid="{00000000-0005-0000-0000-000048080000}"/>
    <cellStyle name="40% - Accent5 2 17" xfId="3121" xr:uid="{00000000-0005-0000-0000-000049080000}"/>
    <cellStyle name="40% - Accent5 2 18" xfId="3122" xr:uid="{00000000-0005-0000-0000-00004A080000}"/>
    <cellStyle name="40% - Accent5 2 19" xfId="3123" xr:uid="{00000000-0005-0000-0000-00004B080000}"/>
    <cellStyle name="40% - Accent5 2 2" xfId="3124" xr:uid="{00000000-0005-0000-0000-00004C080000}"/>
    <cellStyle name="40% - Accent5 2 2 2" xfId="3125" xr:uid="{00000000-0005-0000-0000-00004D080000}"/>
    <cellStyle name="40% - Accent5 2 2 2 2" xfId="3126" xr:uid="{00000000-0005-0000-0000-00004E080000}"/>
    <cellStyle name="40% - Accent5 2 2 3" xfId="3127" xr:uid="{00000000-0005-0000-0000-00004F080000}"/>
    <cellStyle name="40% - Accent5 2 2 4" xfId="3128" xr:uid="{00000000-0005-0000-0000-000050080000}"/>
    <cellStyle name="40% - Accent5 2 20" xfId="3129" xr:uid="{00000000-0005-0000-0000-000051080000}"/>
    <cellStyle name="40% - Accent5 2 21" xfId="3130" xr:uid="{00000000-0005-0000-0000-000052080000}"/>
    <cellStyle name="40% - Accent5 2 22" xfId="3131" xr:uid="{00000000-0005-0000-0000-000053080000}"/>
    <cellStyle name="40% - Accent5 2 23" xfId="3132" xr:uid="{00000000-0005-0000-0000-000054080000}"/>
    <cellStyle name="40% - Accent5 2 24" xfId="3133" xr:uid="{00000000-0005-0000-0000-000055080000}"/>
    <cellStyle name="40% - Accent5 2 25" xfId="3134" xr:uid="{00000000-0005-0000-0000-000056080000}"/>
    <cellStyle name="40% - Accent5 2 26" xfId="3135" xr:uid="{00000000-0005-0000-0000-000057080000}"/>
    <cellStyle name="40% - Accent5 2 27" xfId="3136" xr:uid="{00000000-0005-0000-0000-000058080000}"/>
    <cellStyle name="40% - Accent5 2 28" xfId="3137" xr:uid="{00000000-0005-0000-0000-000059080000}"/>
    <cellStyle name="40% - Accent5 2 29" xfId="3138" xr:uid="{00000000-0005-0000-0000-00005A080000}"/>
    <cellStyle name="40% - Accent5 2 3" xfId="3139" xr:uid="{00000000-0005-0000-0000-00005B080000}"/>
    <cellStyle name="40% - Accent5 2 3 2" xfId="3140" xr:uid="{00000000-0005-0000-0000-00005C080000}"/>
    <cellStyle name="40% - Accent5 2 3 3" xfId="3141" xr:uid="{00000000-0005-0000-0000-00005D080000}"/>
    <cellStyle name="40% - Accent5 2 30" xfId="3142" xr:uid="{00000000-0005-0000-0000-00005E080000}"/>
    <cellStyle name="40% - Accent5 2 31" xfId="3143" xr:uid="{00000000-0005-0000-0000-00005F080000}"/>
    <cellStyle name="40% - Accent5 2 32" xfId="3144" xr:uid="{00000000-0005-0000-0000-000060080000}"/>
    <cellStyle name="40% - Accent5 2 33" xfId="3145" xr:uid="{00000000-0005-0000-0000-000061080000}"/>
    <cellStyle name="40% - Accent5 2 34" xfId="3146" xr:uid="{00000000-0005-0000-0000-000062080000}"/>
    <cellStyle name="40% - Accent5 2 35" xfId="3147" xr:uid="{00000000-0005-0000-0000-000063080000}"/>
    <cellStyle name="40% - Accent5 2 36" xfId="3148" xr:uid="{00000000-0005-0000-0000-000064080000}"/>
    <cellStyle name="40% - Accent5 2 37" xfId="3149" xr:uid="{00000000-0005-0000-0000-000065080000}"/>
    <cellStyle name="40% - Accent5 2 38" xfId="3150" xr:uid="{00000000-0005-0000-0000-000066080000}"/>
    <cellStyle name="40% - Accent5 2 39" xfId="3151" xr:uid="{00000000-0005-0000-0000-000067080000}"/>
    <cellStyle name="40% - Accent5 2 4" xfId="3152" xr:uid="{00000000-0005-0000-0000-000068080000}"/>
    <cellStyle name="40% - Accent5 2 4 2" xfId="3153" xr:uid="{00000000-0005-0000-0000-000069080000}"/>
    <cellStyle name="40% - Accent5 2 40" xfId="3154" xr:uid="{00000000-0005-0000-0000-00006A080000}"/>
    <cellStyle name="40% - Accent5 2 41" xfId="3155" xr:uid="{00000000-0005-0000-0000-00006B080000}"/>
    <cellStyle name="40% - Accent5 2 42" xfId="3156" xr:uid="{00000000-0005-0000-0000-00006C080000}"/>
    <cellStyle name="40% - Accent5 2 43" xfId="3157" xr:uid="{00000000-0005-0000-0000-00006D080000}"/>
    <cellStyle name="40% - Accent5 2 44" xfId="3158" xr:uid="{00000000-0005-0000-0000-00006E080000}"/>
    <cellStyle name="40% - Accent5 2 45" xfId="3159" xr:uid="{00000000-0005-0000-0000-00006F080000}"/>
    <cellStyle name="40% - Accent5 2 46" xfId="3160" xr:uid="{00000000-0005-0000-0000-000070080000}"/>
    <cellStyle name="40% - Accent5 2 47" xfId="3161" xr:uid="{00000000-0005-0000-0000-000071080000}"/>
    <cellStyle name="40% - Accent5 2 48" xfId="3162" xr:uid="{00000000-0005-0000-0000-000072080000}"/>
    <cellStyle name="40% - Accent5 2 49" xfId="3163" xr:uid="{00000000-0005-0000-0000-000073080000}"/>
    <cellStyle name="40% - Accent5 2 5" xfId="3164" xr:uid="{00000000-0005-0000-0000-000074080000}"/>
    <cellStyle name="40% - Accent5 2 6" xfId="3165" xr:uid="{00000000-0005-0000-0000-000075080000}"/>
    <cellStyle name="40% - Accent5 2 7" xfId="3166" xr:uid="{00000000-0005-0000-0000-000076080000}"/>
    <cellStyle name="40% - Accent5 2 8" xfId="3167" xr:uid="{00000000-0005-0000-0000-000077080000}"/>
    <cellStyle name="40% - Accent5 2 9" xfId="3168" xr:uid="{00000000-0005-0000-0000-000078080000}"/>
    <cellStyle name="40% - Accent5 3" xfId="3169" xr:uid="{00000000-0005-0000-0000-000079080000}"/>
    <cellStyle name="40% - Accent5 3 2" xfId="3170" xr:uid="{00000000-0005-0000-0000-00007A080000}"/>
    <cellStyle name="40% - Accent5 3 2 2" xfId="3171" xr:uid="{00000000-0005-0000-0000-00007B080000}"/>
    <cellStyle name="40% - Accent5 3 2 2 2" xfId="3172" xr:uid="{00000000-0005-0000-0000-00007C080000}"/>
    <cellStyle name="40% - Accent5 3 2 3" xfId="3173" xr:uid="{00000000-0005-0000-0000-00007D080000}"/>
    <cellStyle name="40% - Accent5 3 3" xfId="3174" xr:uid="{00000000-0005-0000-0000-00007E080000}"/>
    <cellStyle name="40% - Accent5 3 3 2" xfId="3175" xr:uid="{00000000-0005-0000-0000-00007F080000}"/>
    <cellStyle name="40% - Accent5 3 4" xfId="3176" xr:uid="{00000000-0005-0000-0000-000080080000}"/>
    <cellStyle name="40% - Accent5 4" xfId="3177" xr:uid="{00000000-0005-0000-0000-000081080000}"/>
    <cellStyle name="40% - Accent5 4 2" xfId="3178" xr:uid="{00000000-0005-0000-0000-000082080000}"/>
    <cellStyle name="40% - Accent5 4 2 2" xfId="3179" xr:uid="{00000000-0005-0000-0000-000083080000}"/>
    <cellStyle name="40% - Accent5 4 2 2 2" xfId="3180" xr:uid="{00000000-0005-0000-0000-000084080000}"/>
    <cellStyle name="40% - Accent5 4 2 3" xfId="3181" xr:uid="{00000000-0005-0000-0000-000085080000}"/>
    <cellStyle name="40% - Accent5 4 3" xfId="3182" xr:uid="{00000000-0005-0000-0000-000086080000}"/>
    <cellStyle name="40% - Accent5 4 3 2" xfId="3183" xr:uid="{00000000-0005-0000-0000-000087080000}"/>
    <cellStyle name="40% - Accent5 4 4" xfId="3184" xr:uid="{00000000-0005-0000-0000-000088080000}"/>
    <cellStyle name="40% - Accent5 5" xfId="3185" xr:uid="{00000000-0005-0000-0000-000089080000}"/>
    <cellStyle name="40% - Accent5 5 2" xfId="3186" xr:uid="{00000000-0005-0000-0000-00008A080000}"/>
    <cellStyle name="40% - Accent5 5 2 2" xfId="3187" xr:uid="{00000000-0005-0000-0000-00008B080000}"/>
    <cellStyle name="40% - Accent5 5 2 2 2" xfId="3188" xr:uid="{00000000-0005-0000-0000-00008C080000}"/>
    <cellStyle name="40% - Accent5 5 2 3" xfId="3189" xr:uid="{00000000-0005-0000-0000-00008D080000}"/>
    <cellStyle name="40% - Accent5 5 3" xfId="3190" xr:uid="{00000000-0005-0000-0000-00008E080000}"/>
    <cellStyle name="40% - Accent5 5 3 2" xfId="3191" xr:uid="{00000000-0005-0000-0000-00008F080000}"/>
    <cellStyle name="40% - Accent5 5 4" xfId="3192" xr:uid="{00000000-0005-0000-0000-000090080000}"/>
    <cellStyle name="40% - Accent5 6" xfId="3193" xr:uid="{00000000-0005-0000-0000-000091080000}"/>
    <cellStyle name="40% - Accent5 6 2" xfId="3194" xr:uid="{00000000-0005-0000-0000-000092080000}"/>
    <cellStyle name="40% - Accent5 6 2 2" xfId="3195" xr:uid="{00000000-0005-0000-0000-000093080000}"/>
    <cellStyle name="40% - Accent5 6 2 2 2" xfId="3196" xr:uid="{00000000-0005-0000-0000-000094080000}"/>
    <cellStyle name="40% - Accent5 6 2 3" xfId="3197" xr:uid="{00000000-0005-0000-0000-000095080000}"/>
    <cellStyle name="40% - Accent5 6 3" xfId="3198" xr:uid="{00000000-0005-0000-0000-000096080000}"/>
    <cellStyle name="40% - Accent5 6 3 2" xfId="3199" xr:uid="{00000000-0005-0000-0000-000097080000}"/>
    <cellStyle name="40% - Accent5 6 4" xfId="3200" xr:uid="{00000000-0005-0000-0000-000098080000}"/>
    <cellStyle name="40% - Accent5 7" xfId="3201" xr:uid="{00000000-0005-0000-0000-000099080000}"/>
    <cellStyle name="40% - Accent5 7 2" xfId="3202" xr:uid="{00000000-0005-0000-0000-00009A080000}"/>
    <cellStyle name="40% - Accent5 7 2 2" xfId="3203" xr:uid="{00000000-0005-0000-0000-00009B080000}"/>
    <cellStyle name="40% - Accent5 7 2 2 2" xfId="3204" xr:uid="{00000000-0005-0000-0000-00009C080000}"/>
    <cellStyle name="40% - Accent5 7 2 3" xfId="3205" xr:uid="{00000000-0005-0000-0000-00009D080000}"/>
    <cellStyle name="40% - Accent5 7 3" xfId="3206" xr:uid="{00000000-0005-0000-0000-00009E080000}"/>
    <cellStyle name="40% - Accent5 7 3 2" xfId="3207" xr:uid="{00000000-0005-0000-0000-00009F080000}"/>
    <cellStyle name="40% - Accent5 7 4" xfId="3208" xr:uid="{00000000-0005-0000-0000-0000A0080000}"/>
    <cellStyle name="40% - Accent5 8" xfId="3209" xr:uid="{00000000-0005-0000-0000-0000A1080000}"/>
    <cellStyle name="40% - Accent5 8 2" xfId="3210" xr:uid="{00000000-0005-0000-0000-0000A2080000}"/>
    <cellStyle name="40% - Accent5 8 2 2" xfId="3211" xr:uid="{00000000-0005-0000-0000-0000A3080000}"/>
    <cellStyle name="40% - Accent5 8 2 2 2" xfId="3212" xr:uid="{00000000-0005-0000-0000-0000A4080000}"/>
    <cellStyle name="40% - Accent5 8 2 3" xfId="3213" xr:uid="{00000000-0005-0000-0000-0000A5080000}"/>
    <cellStyle name="40% - Accent5 8 3" xfId="3214" xr:uid="{00000000-0005-0000-0000-0000A6080000}"/>
    <cellStyle name="40% - Accent5 8 3 2" xfId="3215" xr:uid="{00000000-0005-0000-0000-0000A7080000}"/>
    <cellStyle name="40% - Accent5 8 4" xfId="3216" xr:uid="{00000000-0005-0000-0000-0000A8080000}"/>
    <cellStyle name="40% - Accent5 9" xfId="3217" xr:uid="{00000000-0005-0000-0000-0000A9080000}"/>
    <cellStyle name="40% - Accent5 9 2" xfId="3218" xr:uid="{00000000-0005-0000-0000-0000AA080000}"/>
    <cellStyle name="40% - Accent5 9 2 2" xfId="3219" xr:uid="{00000000-0005-0000-0000-0000AB080000}"/>
    <cellStyle name="40% - Accent5 9 2 2 2" xfId="3220" xr:uid="{00000000-0005-0000-0000-0000AC080000}"/>
    <cellStyle name="40% - Accent5 9 2 3" xfId="3221" xr:uid="{00000000-0005-0000-0000-0000AD080000}"/>
    <cellStyle name="40% - Accent5 9 3" xfId="3222" xr:uid="{00000000-0005-0000-0000-0000AE080000}"/>
    <cellStyle name="40% - Accent5 9 3 2" xfId="3223" xr:uid="{00000000-0005-0000-0000-0000AF080000}"/>
    <cellStyle name="40% - Accent5 9 4" xfId="3224" xr:uid="{00000000-0005-0000-0000-0000B0080000}"/>
    <cellStyle name="40% - Accent6 10" xfId="3225" xr:uid="{00000000-0005-0000-0000-0000B1080000}"/>
    <cellStyle name="40% - Accent6 10 2" xfId="3226" xr:uid="{00000000-0005-0000-0000-0000B2080000}"/>
    <cellStyle name="40% - Accent6 10 2 2" xfId="3227" xr:uid="{00000000-0005-0000-0000-0000B3080000}"/>
    <cellStyle name="40% - Accent6 10 2 2 2" xfId="3228" xr:uid="{00000000-0005-0000-0000-0000B4080000}"/>
    <cellStyle name="40% - Accent6 10 2 3" xfId="3229" xr:uid="{00000000-0005-0000-0000-0000B5080000}"/>
    <cellStyle name="40% - Accent6 10 3" xfId="3230" xr:uid="{00000000-0005-0000-0000-0000B6080000}"/>
    <cellStyle name="40% - Accent6 10 3 2" xfId="3231" xr:uid="{00000000-0005-0000-0000-0000B7080000}"/>
    <cellStyle name="40% - Accent6 10 4" xfId="3232" xr:uid="{00000000-0005-0000-0000-0000B8080000}"/>
    <cellStyle name="40% - Accent6 11" xfId="3233" xr:uid="{00000000-0005-0000-0000-0000B9080000}"/>
    <cellStyle name="40% - Accent6 11 2" xfId="3234" xr:uid="{00000000-0005-0000-0000-0000BA080000}"/>
    <cellStyle name="40% - Accent6 11 2 2" xfId="3235" xr:uid="{00000000-0005-0000-0000-0000BB080000}"/>
    <cellStyle name="40% - Accent6 11 3" xfId="3236" xr:uid="{00000000-0005-0000-0000-0000BC080000}"/>
    <cellStyle name="40% - Accent6 12" xfId="3237" xr:uid="{00000000-0005-0000-0000-0000BD080000}"/>
    <cellStyle name="40% - Accent6 2" xfId="375" xr:uid="{00000000-0005-0000-0000-0000BE080000}"/>
    <cellStyle name="40% - Accent6 2 10" xfId="3238" xr:uid="{00000000-0005-0000-0000-0000BF080000}"/>
    <cellStyle name="40% - Accent6 2 11" xfId="3239" xr:uid="{00000000-0005-0000-0000-0000C0080000}"/>
    <cellStyle name="40% - Accent6 2 12" xfId="3240" xr:uid="{00000000-0005-0000-0000-0000C1080000}"/>
    <cellStyle name="40% - Accent6 2 13" xfId="3241" xr:uid="{00000000-0005-0000-0000-0000C2080000}"/>
    <cellStyle name="40% - Accent6 2 14" xfId="3242" xr:uid="{00000000-0005-0000-0000-0000C3080000}"/>
    <cellStyle name="40% - Accent6 2 15" xfId="3243" xr:uid="{00000000-0005-0000-0000-0000C4080000}"/>
    <cellStyle name="40% - Accent6 2 16" xfId="3244" xr:uid="{00000000-0005-0000-0000-0000C5080000}"/>
    <cellStyle name="40% - Accent6 2 17" xfId="3245" xr:uid="{00000000-0005-0000-0000-0000C6080000}"/>
    <cellStyle name="40% - Accent6 2 18" xfId="3246" xr:uid="{00000000-0005-0000-0000-0000C7080000}"/>
    <cellStyle name="40% - Accent6 2 19" xfId="3247" xr:uid="{00000000-0005-0000-0000-0000C8080000}"/>
    <cellStyle name="40% - Accent6 2 2" xfId="3248" xr:uid="{00000000-0005-0000-0000-0000C9080000}"/>
    <cellStyle name="40% - Accent6 2 2 2" xfId="3249" xr:uid="{00000000-0005-0000-0000-0000CA080000}"/>
    <cellStyle name="40% - Accent6 2 2 2 2" xfId="3250" xr:uid="{00000000-0005-0000-0000-0000CB080000}"/>
    <cellStyle name="40% - Accent6 2 2 3" xfId="3251" xr:uid="{00000000-0005-0000-0000-0000CC080000}"/>
    <cellStyle name="40% - Accent6 2 2 4" xfId="3252" xr:uid="{00000000-0005-0000-0000-0000CD080000}"/>
    <cellStyle name="40% - Accent6 2 20" xfId="3253" xr:uid="{00000000-0005-0000-0000-0000CE080000}"/>
    <cellStyle name="40% - Accent6 2 21" xfId="3254" xr:uid="{00000000-0005-0000-0000-0000CF080000}"/>
    <cellStyle name="40% - Accent6 2 22" xfId="3255" xr:uid="{00000000-0005-0000-0000-0000D0080000}"/>
    <cellStyle name="40% - Accent6 2 23" xfId="3256" xr:uid="{00000000-0005-0000-0000-0000D1080000}"/>
    <cellStyle name="40% - Accent6 2 24" xfId="3257" xr:uid="{00000000-0005-0000-0000-0000D2080000}"/>
    <cellStyle name="40% - Accent6 2 25" xfId="3258" xr:uid="{00000000-0005-0000-0000-0000D3080000}"/>
    <cellStyle name="40% - Accent6 2 26" xfId="3259" xr:uid="{00000000-0005-0000-0000-0000D4080000}"/>
    <cellStyle name="40% - Accent6 2 27" xfId="3260" xr:uid="{00000000-0005-0000-0000-0000D5080000}"/>
    <cellStyle name="40% - Accent6 2 28" xfId="3261" xr:uid="{00000000-0005-0000-0000-0000D6080000}"/>
    <cellStyle name="40% - Accent6 2 29" xfId="3262" xr:uid="{00000000-0005-0000-0000-0000D7080000}"/>
    <cellStyle name="40% - Accent6 2 3" xfId="3263" xr:uid="{00000000-0005-0000-0000-0000D8080000}"/>
    <cellStyle name="40% - Accent6 2 3 2" xfId="3264" xr:uid="{00000000-0005-0000-0000-0000D9080000}"/>
    <cellStyle name="40% - Accent6 2 3 3" xfId="3265" xr:uid="{00000000-0005-0000-0000-0000DA080000}"/>
    <cellStyle name="40% - Accent6 2 30" xfId="3266" xr:uid="{00000000-0005-0000-0000-0000DB080000}"/>
    <cellStyle name="40% - Accent6 2 31" xfId="3267" xr:uid="{00000000-0005-0000-0000-0000DC080000}"/>
    <cellStyle name="40% - Accent6 2 32" xfId="3268" xr:uid="{00000000-0005-0000-0000-0000DD080000}"/>
    <cellStyle name="40% - Accent6 2 33" xfId="3269" xr:uid="{00000000-0005-0000-0000-0000DE080000}"/>
    <cellStyle name="40% - Accent6 2 34" xfId="3270" xr:uid="{00000000-0005-0000-0000-0000DF080000}"/>
    <cellStyle name="40% - Accent6 2 35" xfId="3271" xr:uid="{00000000-0005-0000-0000-0000E0080000}"/>
    <cellStyle name="40% - Accent6 2 36" xfId="3272" xr:uid="{00000000-0005-0000-0000-0000E1080000}"/>
    <cellStyle name="40% - Accent6 2 37" xfId="3273" xr:uid="{00000000-0005-0000-0000-0000E2080000}"/>
    <cellStyle name="40% - Accent6 2 38" xfId="3274" xr:uid="{00000000-0005-0000-0000-0000E3080000}"/>
    <cellStyle name="40% - Accent6 2 39" xfId="3275" xr:uid="{00000000-0005-0000-0000-0000E4080000}"/>
    <cellStyle name="40% - Accent6 2 4" xfId="3276" xr:uid="{00000000-0005-0000-0000-0000E5080000}"/>
    <cellStyle name="40% - Accent6 2 4 2" xfId="3277" xr:uid="{00000000-0005-0000-0000-0000E6080000}"/>
    <cellStyle name="40% - Accent6 2 40" xfId="3278" xr:uid="{00000000-0005-0000-0000-0000E7080000}"/>
    <cellStyle name="40% - Accent6 2 41" xfId="3279" xr:uid="{00000000-0005-0000-0000-0000E8080000}"/>
    <cellStyle name="40% - Accent6 2 42" xfId="3280" xr:uid="{00000000-0005-0000-0000-0000E9080000}"/>
    <cellStyle name="40% - Accent6 2 43" xfId="3281" xr:uid="{00000000-0005-0000-0000-0000EA080000}"/>
    <cellStyle name="40% - Accent6 2 44" xfId="3282" xr:uid="{00000000-0005-0000-0000-0000EB080000}"/>
    <cellStyle name="40% - Accent6 2 45" xfId="3283" xr:uid="{00000000-0005-0000-0000-0000EC080000}"/>
    <cellStyle name="40% - Accent6 2 46" xfId="3284" xr:uid="{00000000-0005-0000-0000-0000ED080000}"/>
    <cellStyle name="40% - Accent6 2 47" xfId="3285" xr:uid="{00000000-0005-0000-0000-0000EE080000}"/>
    <cellStyle name="40% - Accent6 2 48" xfId="3286" xr:uid="{00000000-0005-0000-0000-0000EF080000}"/>
    <cellStyle name="40% - Accent6 2 49" xfId="3287" xr:uid="{00000000-0005-0000-0000-0000F0080000}"/>
    <cellStyle name="40% - Accent6 2 5" xfId="3288" xr:uid="{00000000-0005-0000-0000-0000F1080000}"/>
    <cellStyle name="40% - Accent6 2 6" xfId="3289" xr:uid="{00000000-0005-0000-0000-0000F2080000}"/>
    <cellStyle name="40% - Accent6 2 7" xfId="3290" xr:uid="{00000000-0005-0000-0000-0000F3080000}"/>
    <cellStyle name="40% - Accent6 2 8" xfId="3291" xr:uid="{00000000-0005-0000-0000-0000F4080000}"/>
    <cellStyle name="40% - Accent6 2 9" xfId="3292" xr:uid="{00000000-0005-0000-0000-0000F5080000}"/>
    <cellStyle name="40% - Accent6 3" xfId="3293" xr:uid="{00000000-0005-0000-0000-0000F6080000}"/>
    <cellStyle name="40% - Accent6 3 2" xfId="3294" xr:uid="{00000000-0005-0000-0000-0000F7080000}"/>
    <cellStyle name="40% - Accent6 3 2 2" xfId="3295" xr:uid="{00000000-0005-0000-0000-0000F8080000}"/>
    <cellStyle name="40% - Accent6 3 2 2 2" xfId="3296" xr:uid="{00000000-0005-0000-0000-0000F9080000}"/>
    <cellStyle name="40% - Accent6 3 2 3" xfId="3297" xr:uid="{00000000-0005-0000-0000-0000FA080000}"/>
    <cellStyle name="40% - Accent6 3 3" xfId="3298" xr:uid="{00000000-0005-0000-0000-0000FB080000}"/>
    <cellStyle name="40% - Accent6 3 3 2" xfId="3299" xr:uid="{00000000-0005-0000-0000-0000FC080000}"/>
    <cellStyle name="40% - Accent6 3 4" xfId="3300" xr:uid="{00000000-0005-0000-0000-0000FD080000}"/>
    <cellStyle name="40% - Accent6 4" xfId="3301" xr:uid="{00000000-0005-0000-0000-0000FE080000}"/>
    <cellStyle name="40% - Accent6 4 2" xfId="3302" xr:uid="{00000000-0005-0000-0000-0000FF080000}"/>
    <cellStyle name="40% - Accent6 4 2 2" xfId="3303" xr:uid="{00000000-0005-0000-0000-000000090000}"/>
    <cellStyle name="40% - Accent6 4 2 2 2" xfId="3304" xr:uid="{00000000-0005-0000-0000-000001090000}"/>
    <cellStyle name="40% - Accent6 4 2 3" xfId="3305" xr:uid="{00000000-0005-0000-0000-000002090000}"/>
    <cellStyle name="40% - Accent6 4 3" xfId="3306" xr:uid="{00000000-0005-0000-0000-000003090000}"/>
    <cellStyle name="40% - Accent6 4 3 2" xfId="3307" xr:uid="{00000000-0005-0000-0000-000004090000}"/>
    <cellStyle name="40% - Accent6 4 4" xfId="3308" xr:uid="{00000000-0005-0000-0000-000005090000}"/>
    <cellStyle name="40% - Accent6 5" xfId="3309" xr:uid="{00000000-0005-0000-0000-000006090000}"/>
    <cellStyle name="40% - Accent6 5 2" xfId="3310" xr:uid="{00000000-0005-0000-0000-000007090000}"/>
    <cellStyle name="40% - Accent6 5 2 2" xfId="3311" xr:uid="{00000000-0005-0000-0000-000008090000}"/>
    <cellStyle name="40% - Accent6 5 2 2 2" xfId="3312" xr:uid="{00000000-0005-0000-0000-000009090000}"/>
    <cellStyle name="40% - Accent6 5 2 3" xfId="3313" xr:uid="{00000000-0005-0000-0000-00000A090000}"/>
    <cellStyle name="40% - Accent6 5 3" xfId="3314" xr:uid="{00000000-0005-0000-0000-00000B090000}"/>
    <cellStyle name="40% - Accent6 5 3 2" xfId="3315" xr:uid="{00000000-0005-0000-0000-00000C090000}"/>
    <cellStyle name="40% - Accent6 5 4" xfId="3316" xr:uid="{00000000-0005-0000-0000-00000D090000}"/>
    <cellStyle name="40% - Accent6 6" xfId="3317" xr:uid="{00000000-0005-0000-0000-00000E090000}"/>
    <cellStyle name="40% - Accent6 6 2" xfId="3318" xr:uid="{00000000-0005-0000-0000-00000F090000}"/>
    <cellStyle name="40% - Accent6 6 2 2" xfId="3319" xr:uid="{00000000-0005-0000-0000-000010090000}"/>
    <cellStyle name="40% - Accent6 6 2 2 2" xfId="3320" xr:uid="{00000000-0005-0000-0000-000011090000}"/>
    <cellStyle name="40% - Accent6 6 2 3" xfId="3321" xr:uid="{00000000-0005-0000-0000-000012090000}"/>
    <cellStyle name="40% - Accent6 6 3" xfId="3322" xr:uid="{00000000-0005-0000-0000-000013090000}"/>
    <cellStyle name="40% - Accent6 6 3 2" xfId="3323" xr:uid="{00000000-0005-0000-0000-000014090000}"/>
    <cellStyle name="40% - Accent6 6 4" xfId="3324" xr:uid="{00000000-0005-0000-0000-000015090000}"/>
    <cellStyle name="40% - Accent6 7" xfId="3325" xr:uid="{00000000-0005-0000-0000-000016090000}"/>
    <cellStyle name="40% - Accent6 7 2" xfId="3326" xr:uid="{00000000-0005-0000-0000-000017090000}"/>
    <cellStyle name="40% - Accent6 7 2 2" xfId="3327" xr:uid="{00000000-0005-0000-0000-000018090000}"/>
    <cellStyle name="40% - Accent6 7 2 2 2" xfId="3328" xr:uid="{00000000-0005-0000-0000-000019090000}"/>
    <cellStyle name="40% - Accent6 7 2 3" xfId="3329" xr:uid="{00000000-0005-0000-0000-00001A090000}"/>
    <cellStyle name="40% - Accent6 7 3" xfId="3330" xr:uid="{00000000-0005-0000-0000-00001B090000}"/>
    <cellStyle name="40% - Accent6 7 3 2" xfId="3331" xr:uid="{00000000-0005-0000-0000-00001C090000}"/>
    <cellStyle name="40% - Accent6 7 4" xfId="3332" xr:uid="{00000000-0005-0000-0000-00001D090000}"/>
    <cellStyle name="40% - Accent6 8" xfId="3333" xr:uid="{00000000-0005-0000-0000-00001E090000}"/>
    <cellStyle name="40% - Accent6 8 2" xfId="3334" xr:uid="{00000000-0005-0000-0000-00001F090000}"/>
    <cellStyle name="40% - Accent6 8 2 2" xfId="3335" xr:uid="{00000000-0005-0000-0000-000020090000}"/>
    <cellStyle name="40% - Accent6 8 2 2 2" xfId="3336" xr:uid="{00000000-0005-0000-0000-000021090000}"/>
    <cellStyle name="40% - Accent6 8 2 3" xfId="3337" xr:uid="{00000000-0005-0000-0000-000022090000}"/>
    <cellStyle name="40% - Accent6 8 3" xfId="3338" xr:uid="{00000000-0005-0000-0000-000023090000}"/>
    <cellStyle name="40% - Accent6 8 3 2" xfId="3339" xr:uid="{00000000-0005-0000-0000-000024090000}"/>
    <cellStyle name="40% - Accent6 8 4" xfId="3340" xr:uid="{00000000-0005-0000-0000-000025090000}"/>
    <cellStyle name="40% - Accent6 9" xfId="3341" xr:uid="{00000000-0005-0000-0000-000026090000}"/>
    <cellStyle name="40% - Accent6 9 2" xfId="3342" xr:uid="{00000000-0005-0000-0000-000027090000}"/>
    <cellStyle name="40% - Accent6 9 2 2" xfId="3343" xr:uid="{00000000-0005-0000-0000-000028090000}"/>
    <cellStyle name="40% - Accent6 9 2 2 2" xfId="3344" xr:uid="{00000000-0005-0000-0000-000029090000}"/>
    <cellStyle name="40% - Accent6 9 2 3" xfId="3345" xr:uid="{00000000-0005-0000-0000-00002A090000}"/>
    <cellStyle name="40% - Accent6 9 3" xfId="3346" xr:uid="{00000000-0005-0000-0000-00002B090000}"/>
    <cellStyle name="40% - Accent6 9 3 2" xfId="3347" xr:uid="{00000000-0005-0000-0000-00002C090000}"/>
    <cellStyle name="40% - Accent6 9 4" xfId="3348" xr:uid="{00000000-0005-0000-0000-00002D090000}"/>
    <cellStyle name="60% - Accent1 10" xfId="3349" xr:uid="{00000000-0005-0000-0000-00002E090000}"/>
    <cellStyle name="60% - Accent1 10 2" xfId="3350" xr:uid="{00000000-0005-0000-0000-00002F090000}"/>
    <cellStyle name="60% - Accent1 10 2 2" xfId="3351" xr:uid="{00000000-0005-0000-0000-000030090000}"/>
    <cellStyle name="60% - Accent1 10 3" xfId="3352" xr:uid="{00000000-0005-0000-0000-000031090000}"/>
    <cellStyle name="60% - Accent1 11" xfId="3353" xr:uid="{00000000-0005-0000-0000-000032090000}"/>
    <cellStyle name="60% - Accent1 11 2" xfId="3354" xr:uid="{00000000-0005-0000-0000-000033090000}"/>
    <cellStyle name="60% - Accent1 12" xfId="3355" xr:uid="{00000000-0005-0000-0000-000034090000}"/>
    <cellStyle name="60% - Accent1 2" xfId="376" xr:uid="{00000000-0005-0000-0000-000035090000}"/>
    <cellStyle name="60% - Accent1 2 10" xfId="3356" xr:uid="{00000000-0005-0000-0000-000036090000}"/>
    <cellStyle name="60% - Accent1 2 11" xfId="3357" xr:uid="{00000000-0005-0000-0000-000037090000}"/>
    <cellStyle name="60% - Accent1 2 12" xfId="3358" xr:uid="{00000000-0005-0000-0000-000038090000}"/>
    <cellStyle name="60% - Accent1 2 13" xfId="3359" xr:uid="{00000000-0005-0000-0000-000039090000}"/>
    <cellStyle name="60% - Accent1 2 14" xfId="3360" xr:uid="{00000000-0005-0000-0000-00003A090000}"/>
    <cellStyle name="60% - Accent1 2 15" xfId="3361" xr:uid="{00000000-0005-0000-0000-00003B090000}"/>
    <cellStyle name="60% - Accent1 2 16" xfId="3362" xr:uid="{00000000-0005-0000-0000-00003C090000}"/>
    <cellStyle name="60% - Accent1 2 17" xfId="3363" xr:uid="{00000000-0005-0000-0000-00003D090000}"/>
    <cellStyle name="60% - Accent1 2 18" xfId="3364" xr:uid="{00000000-0005-0000-0000-00003E090000}"/>
    <cellStyle name="60% - Accent1 2 19" xfId="3365" xr:uid="{00000000-0005-0000-0000-00003F090000}"/>
    <cellStyle name="60% - Accent1 2 2" xfId="3366" xr:uid="{00000000-0005-0000-0000-000040090000}"/>
    <cellStyle name="60% - Accent1 2 2 2" xfId="3367" xr:uid="{00000000-0005-0000-0000-000041090000}"/>
    <cellStyle name="60% - Accent1 2 2 3" xfId="3368" xr:uid="{00000000-0005-0000-0000-000042090000}"/>
    <cellStyle name="60% - Accent1 2 20" xfId="3369" xr:uid="{00000000-0005-0000-0000-000043090000}"/>
    <cellStyle name="60% - Accent1 2 21" xfId="3370" xr:uid="{00000000-0005-0000-0000-000044090000}"/>
    <cellStyle name="60% - Accent1 2 22" xfId="3371" xr:uid="{00000000-0005-0000-0000-000045090000}"/>
    <cellStyle name="60% - Accent1 2 23" xfId="3372" xr:uid="{00000000-0005-0000-0000-000046090000}"/>
    <cellStyle name="60% - Accent1 2 24" xfId="3373" xr:uid="{00000000-0005-0000-0000-000047090000}"/>
    <cellStyle name="60% - Accent1 2 25" xfId="3374" xr:uid="{00000000-0005-0000-0000-000048090000}"/>
    <cellStyle name="60% - Accent1 2 26" xfId="3375" xr:uid="{00000000-0005-0000-0000-000049090000}"/>
    <cellStyle name="60% - Accent1 2 27" xfId="3376" xr:uid="{00000000-0005-0000-0000-00004A090000}"/>
    <cellStyle name="60% - Accent1 2 28" xfId="3377" xr:uid="{00000000-0005-0000-0000-00004B090000}"/>
    <cellStyle name="60% - Accent1 2 29" xfId="3378" xr:uid="{00000000-0005-0000-0000-00004C090000}"/>
    <cellStyle name="60% - Accent1 2 3" xfId="3379" xr:uid="{00000000-0005-0000-0000-00004D090000}"/>
    <cellStyle name="60% - Accent1 2 3 2" xfId="3380" xr:uid="{00000000-0005-0000-0000-00004E090000}"/>
    <cellStyle name="60% - Accent1 2 30" xfId="3381" xr:uid="{00000000-0005-0000-0000-00004F090000}"/>
    <cellStyle name="60% - Accent1 2 31" xfId="3382" xr:uid="{00000000-0005-0000-0000-000050090000}"/>
    <cellStyle name="60% - Accent1 2 32" xfId="3383" xr:uid="{00000000-0005-0000-0000-000051090000}"/>
    <cellStyle name="60% - Accent1 2 33" xfId="3384" xr:uid="{00000000-0005-0000-0000-000052090000}"/>
    <cellStyle name="60% - Accent1 2 34" xfId="3385" xr:uid="{00000000-0005-0000-0000-000053090000}"/>
    <cellStyle name="60% - Accent1 2 35" xfId="3386" xr:uid="{00000000-0005-0000-0000-000054090000}"/>
    <cellStyle name="60% - Accent1 2 36" xfId="3387" xr:uid="{00000000-0005-0000-0000-000055090000}"/>
    <cellStyle name="60% - Accent1 2 37" xfId="3388" xr:uid="{00000000-0005-0000-0000-000056090000}"/>
    <cellStyle name="60% - Accent1 2 38" xfId="3389" xr:uid="{00000000-0005-0000-0000-000057090000}"/>
    <cellStyle name="60% - Accent1 2 39" xfId="3390" xr:uid="{00000000-0005-0000-0000-000058090000}"/>
    <cellStyle name="60% - Accent1 2 4" xfId="3391" xr:uid="{00000000-0005-0000-0000-000059090000}"/>
    <cellStyle name="60% - Accent1 2 40" xfId="3392" xr:uid="{00000000-0005-0000-0000-00005A090000}"/>
    <cellStyle name="60% - Accent1 2 41" xfId="3393" xr:uid="{00000000-0005-0000-0000-00005B090000}"/>
    <cellStyle name="60% - Accent1 2 42" xfId="3394" xr:uid="{00000000-0005-0000-0000-00005C090000}"/>
    <cellStyle name="60% - Accent1 2 43" xfId="3395" xr:uid="{00000000-0005-0000-0000-00005D090000}"/>
    <cellStyle name="60% - Accent1 2 44" xfId="3396" xr:uid="{00000000-0005-0000-0000-00005E090000}"/>
    <cellStyle name="60% - Accent1 2 45" xfId="3397" xr:uid="{00000000-0005-0000-0000-00005F090000}"/>
    <cellStyle name="60% - Accent1 2 46" xfId="3398" xr:uid="{00000000-0005-0000-0000-000060090000}"/>
    <cellStyle name="60% - Accent1 2 47" xfId="3399" xr:uid="{00000000-0005-0000-0000-000061090000}"/>
    <cellStyle name="60% - Accent1 2 48" xfId="3400" xr:uid="{00000000-0005-0000-0000-000062090000}"/>
    <cellStyle name="60% - Accent1 2 49" xfId="3401" xr:uid="{00000000-0005-0000-0000-000063090000}"/>
    <cellStyle name="60% - Accent1 2 5" xfId="3402" xr:uid="{00000000-0005-0000-0000-000064090000}"/>
    <cellStyle name="60% - Accent1 2 6" xfId="3403" xr:uid="{00000000-0005-0000-0000-000065090000}"/>
    <cellStyle name="60% - Accent1 2 7" xfId="3404" xr:uid="{00000000-0005-0000-0000-000066090000}"/>
    <cellStyle name="60% - Accent1 2 8" xfId="3405" xr:uid="{00000000-0005-0000-0000-000067090000}"/>
    <cellStyle name="60% - Accent1 2 9" xfId="3406" xr:uid="{00000000-0005-0000-0000-000068090000}"/>
    <cellStyle name="60% - Accent1 3" xfId="3407" xr:uid="{00000000-0005-0000-0000-000069090000}"/>
    <cellStyle name="60% - Accent1 3 2" xfId="3408" xr:uid="{00000000-0005-0000-0000-00006A090000}"/>
    <cellStyle name="60% - Accent1 3 2 2" xfId="3409" xr:uid="{00000000-0005-0000-0000-00006B090000}"/>
    <cellStyle name="60% - Accent1 3 3" xfId="3410" xr:uid="{00000000-0005-0000-0000-00006C090000}"/>
    <cellStyle name="60% - Accent1 4" xfId="3411" xr:uid="{00000000-0005-0000-0000-00006D090000}"/>
    <cellStyle name="60% - Accent1 4 2" xfId="3412" xr:uid="{00000000-0005-0000-0000-00006E090000}"/>
    <cellStyle name="60% - Accent1 4 2 2" xfId="3413" xr:uid="{00000000-0005-0000-0000-00006F090000}"/>
    <cellStyle name="60% - Accent1 4 3" xfId="3414" xr:uid="{00000000-0005-0000-0000-000070090000}"/>
    <cellStyle name="60% - Accent1 5" xfId="3415" xr:uid="{00000000-0005-0000-0000-000071090000}"/>
    <cellStyle name="60% - Accent1 5 2" xfId="3416" xr:uid="{00000000-0005-0000-0000-000072090000}"/>
    <cellStyle name="60% - Accent1 5 2 2" xfId="3417" xr:uid="{00000000-0005-0000-0000-000073090000}"/>
    <cellStyle name="60% - Accent1 5 3" xfId="3418" xr:uid="{00000000-0005-0000-0000-000074090000}"/>
    <cellStyle name="60% - Accent1 6" xfId="3419" xr:uid="{00000000-0005-0000-0000-000075090000}"/>
    <cellStyle name="60% - Accent1 6 2" xfId="3420" xr:uid="{00000000-0005-0000-0000-000076090000}"/>
    <cellStyle name="60% - Accent1 6 2 2" xfId="3421" xr:uid="{00000000-0005-0000-0000-000077090000}"/>
    <cellStyle name="60% - Accent1 6 3" xfId="3422" xr:uid="{00000000-0005-0000-0000-000078090000}"/>
    <cellStyle name="60% - Accent1 7" xfId="3423" xr:uid="{00000000-0005-0000-0000-000079090000}"/>
    <cellStyle name="60% - Accent1 7 2" xfId="3424" xr:uid="{00000000-0005-0000-0000-00007A090000}"/>
    <cellStyle name="60% - Accent1 7 2 2" xfId="3425" xr:uid="{00000000-0005-0000-0000-00007B090000}"/>
    <cellStyle name="60% - Accent1 7 3" xfId="3426" xr:uid="{00000000-0005-0000-0000-00007C090000}"/>
    <cellStyle name="60% - Accent1 8" xfId="3427" xr:uid="{00000000-0005-0000-0000-00007D090000}"/>
    <cellStyle name="60% - Accent1 8 2" xfId="3428" xr:uid="{00000000-0005-0000-0000-00007E090000}"/>
    <cellStyle name="60% - Accent1 8 2 2" xfId="3429" xr:uid="{00000000-0005-0000-0000-00007F090000}"/>
    <cellStyle name="60% - Accent1 8 3" xfId="3430" xr:uid="{00000000-0005-0000-0000-000080090000}"/>
    <cellStyle name="60% - Accent1 9" xfId="3431" xr:uid="{00000000-0005-0000-0000-000081090000}"/>
    <cellStyle name="60% - Accent1 9 2" xfId="3432" xr:uid="{00000000-0005-0000-0000-000082090000}"/>
    <cellStyle name="60% - Accent1 9 2 2" xfId="3433" xr:uid="{00000000-0005-0000-0000-000083090000}"/>
    <cellStyle name="60% - Accent1 9 3" xfId="3434" xr:uid="{00000000-0005-0000-0000-000084090000}"/>
    <cellStyle name="60% - Accent2 10" xfId="3435" xr:uid="{00000000-0005-0000-0000-000085090000}"/>
    <cellStyle name="60% - Accent2 10 2" xfId="3436" xr:uid="{00000000-0005-0000-0000-000086090000}"/>
    <cellStyle name="60% - Accent2 10 2 2" xfId="3437" xr:uid="{00000000-0005-0000-0000-000087090000}"/>
    <cellStyle name="60% - Accent2 10 3" xfId="3438" xr:uid="{00000000-0005-0000-0000-000088090000}"/>
    <cellStyle name="60% - Accent2 11" xfId="3439" xr:uid="{00000000-0005-0000-0000-000089090000}"/>
    <cellStyle name="60% - Accent2 11 2" xfId="3440" xr:uid="{00000000-0005-0000-0000-00008A090000}"/>
    <cellStyle name="60% - Accent2 12" xfId="3441" xr:uid="{00000000-0005-0000-0000-00008B090000}"/>
    <cellStyle name="60% - Accent2 2" xfId="377" xr:uid="{00000000-0005-0000-0000-00008C090000}"/>
    <cellStyle name="60% - Accent2 2 10" xfId="3442" xr:uid="{00000000-0005-0000-0000-00008D090000}"/>
    <cellStyle name="60% - Accent2 2 11" xfId="3443" xr:uid="{00000000-0005-0000-0000-00008E090000}"/>
    <cellStyle name="60% - Accent2 2 12" xfId="3444" xr:uid="{00000000-0005-0000-0000-00008F090000}"/>
    <cellStyle name="60% - Accent2 2 13" xfId="3445" xr:uid="{00000000-0005-0000-0000-000090090000}"/>
    <cellStyle name="60% - Accent2 2 14" xfId="3446" xr:uid="{00000000-0005-0000-0000-000091090000}"/>
    <cellStyle name="60% - Accent2 2 15" xfId="3447" xr:uid="{00000000-0005-0000-0000-000092090000}"/>
    <cellStyle name="60% - Accent2 2 16" xfId="3448" xr:uid="{00000000-0005-0000-0000-000093090000}"/>
    <cellStyle name="60% - Accent2 2 17" xfId="3449" xr:uid="{00000000-0005-0000-0000-000094090000}"/>
    <cellStyle name="60% - Accent2 2 18" xfId="3450" xr:uid="{00000000-0005-0000-0000-000095090000}"/>
    <cellStyle name="60% - Accent2 2 19" xfId="3451" xr:uid="{00000000-0005-0000-0000-000096090000}"/>
    <cellStyle name="60% - Accent2 2 2" xfId="3452" xr:uid="{00000000-0005-0000-0000-000097090000}"/>
    <cellStyle name="60% - Accent2 2 2 2" xfId="3453" xr:uid="{00000000-0005-0000-0000-000098090000}"/>
    <cellStyle name="60% - Accent2 2 2 3" xfId="3454" xr:uid="{00000000-0005-0000-0000-000099090000}"/>
    <cellStyle name="60% - Accent2 2 20" xfId="3455" xr:uid="{00000000-0005-0000-0000-00009A090000}"/>
    <cellStyle name="60% - Accent2 2 21" xfId="3456" xr:uid="{00000000-0005-0000-0000-00009B090000}"/>
    <cellStyle name="60% - Accent2 2 22" xfId="3457" xr:uid="{00000000-0005-0000-0000-00009C090000}"/>
    <cellStyle name="60% - Accent2 2 23" xfId="3458" xr:uid="{00000000-0005-0000-0000-00009D090000}"/>
    <cellStyle name="60% - Accent2 2 24" xfId="3459" xr:uid="{00000000-0005-0000-0000-00009E090000}"/>
    <cellStyle name="60% - Accent2 2 25" xfId="3460" xr:uid="{00000000-0005-0000-0000-00009F090000}"/>
    <cellStyle name="60% - Accent2 2 26" xfId="3461" xr:uid="{00000000-0005-0000-0000-0000A0090000}"/>
    <cellStyle name="60% - Accent2 2 27" xfId="3462" xr:uid="{00000000-0005-0000-0000-0000A1090000}"/>
    <cellStyle name="60% - Accent2 2 28" xfId="3463" xr:uid="{00000000-0005-0000-0000-0000A2090000}"/>
    <cellStyle name="60% - Accent2 2 29" xfId="3464" xr:uid="{00000000-0005-0000-0000-0000A3090000}"/>
    <cellStyle name="60% - Accent2 2 3" xfId="3465" xr:uid="{00000000-0005-0000-0000-0000A4090000}"/>
    <cellStyle name="60% - Accent2 2 3 2" xfId="3466" xr:uid="{00000000-0005-0000-0000-0000A5090000}"/>
    <cellStyle name="60% - Accent2 2 30" xfId="3467" xr:uid="{00000000-0005-0000-0000-0000A6090000}"/>
    <cellStyle name="60% - Accent2 2 31" xfId="3468" xr:uid="{00000000-0005-0000-0000-0000A7090000}"/>
    <cellStyle name="60% - Accent2 2 32" xfId="3469" xr:uid="{00000000-0005-0000-0000-0000A8090000}"/>
    <cellStyle name="60% - Accent2 2 33" xfId="3470" xr:uid="{00000000-0005-0000-0000-0000A9090000}"/>
    <cellStyle name="60% - Accent2 2 34" xfId="3471" xr:uid="{00000000-0005-0000-0000-0000AA090000}"/>
    <cellStyle name="60% - Accent2 2 35" xfId="3472" xr:uid="{00000000-0005-0000-0000-0000AB090000}"/>
    <cellStyle name="60% - Accent2 2 36" xfId="3473" xr:uid="{00000000-0005-0000-0000-0000AC090000}"/>
    <cellStyle name="60% - Accent2 2 37" xfId="3474" xr:uid="{00000000-0005-0000-0000-0000AD090000}"/>
    <cellStyle name="60% - Accent2 2 38" xfId="3475" xr:uid="{00000000-0005-0000-0000-0000AE090000}"/>
    <cellStyle name="60% - Accent2 2 39" xfId="3476" xr:uid="{00000000-0005-0000-0000-0000AF090000}"/>
    <cellStyle name="60% - Accent2 2 4" xfId="3477" xr:uid="{00000000-0005-0000-0000-0000B0090000}"/>
    <cellStyle name="60% - Accent2 2 40" xfId="3478" xr:uid="{00000000-0005-0000-0000-0000B1090000}"/>
    <cellStyle name="60% - Accent2 2 41" xfId="3479" xr:uid="{00000000-0005-0000-0000-0000B2090000}"/>
    <cellStyle name="60% - Accent2 2 42" xfId="3480" xr:uid="{00000000-0005-0000-0000-0000B3090000}"/>
    <cellStyle name="60% - Accent2 2 43" xfId="3481" xr:uid="{00000000-0005-0000-0000-0000B4090000}"/>
    <cellStyle name="60% - Accent2 2 44" xfId="3482" xr:uid="{00000000-0005-0000-0000-0000B5090000}"/>
    <cellStyle name="60% - Accent2 2 45" xfId="3483" xr:uid="{00000000-0005-0000-0000-0000B6090000}"/>
    <cellStyle name="60% - Accent2 2 46" xfId="3484" xr:uid="{00000000-0005-0000-0000-0000B7090000}"/>
    <cellStyle name="60% - Accent2 2 47" xfId="3485" xr:uid="{00000000-0005-0000-0000-0000B8090000}"/>
    <cellStyle name="60% - Accent2 2 48" xfId="3486" xr:uid="{00000000-0005-0000-0000-0000B9090000}"/>
    <cellStyle name="60% - Accent2 2 49" xfId="3487" xr:uid="{00000000-0005-0000-0000-0000BA090000}"/>
    <cellStyle name="60% - Accent2 2 5" xfId="3488" xr:uid="{00000000-0005-0000-0000-0000BB090000}"/>
    <cellStyle name="60% - Accent2 2 6" xfId="3489" xr:uid="{00000000-0005-0000-0000-0000BC090000}"/>
    <cellStyle name="60% - Accent2 2 7" xfId="3490" xr:uid="{00000000-0005-0000-0000-0000BD090000}"/>
    <cellStyle name="60% - Accent2 2 8" xfId="3491" xr:uid="{00000000-0005-0000-0000-0000BE090000}"/>
    <cellStyle name="60% - Accent2 2 9" xfId="3492" xr:uid="{00000000-0005-0000-0000-0000BF090000}"/>
    <cellStyle name="60% - Accent2 3" xfId="3493" xr:uid="{00000000-0005-0000-0000-0000C0090000}"/>
    <cellStyle name="60% - Accent2 3 2" xfId="3494" xr:uid="{00000000-0005-0000-0000-0000C1090000}"/>
    <cellStyle name="60% - Accent2 3 2 2" xfId="3495" xr:uid="{00000000-0005-0000-0000-0000C2090000}"/>
    <cellStyle name="60% - Accent2 3 3" xfId="3496" xr:uid="{00000000-0005-0000-0000-0000C3090000}"/>
    <cellStyle name="60% - Accent2 4" xfId="3497" xr:uid="{00000000-0005-0000-0000-0000C4090000}"/>
    <cellStyle name="60% - Accent2 4 2" xfId="3498" xr:uid="{00000000-0005-0000-0000-0000C5090000}"/>
    <cellStyle name="60% - Accent2 4 2 2" xfId="3499" xr:uid="{00000000-0005-0000-0000-0000C6090000}"/>
    <cellStyle name="60% - Accent2 4 3" xfId="3500" xr:uid="{00000000-0005-0000-0000-0000C7090000}"/>
    <cellStyle name="60% - Accent2 5" xfId="3501" xr:uid="{00000000-0005-0000-0000-0000C8090000}"/>
    <cellStyle name="60% - Accent2 5 2" xfId="3502" xr:uid="{00000000-0005-0000-0000-0000C9090000}"/>
    <cellStyle name="60% - Accent2 5 2 2" xfId="3503" xr:uid="{00000000-0005-0000-0000-0000CA090000}"/>
    <cellStyle name="60% - Accent2 5 3" xfId="3504" xr:uid="{00000000-0005-0000-0000-0000CB090000}"/>
    <cellStyle name="60% - Accent2 6" xfId="3505" xr:uid="{00000000-0005-0000-0000-0000CC090000}"/>
    <cellStyle name="60% - Accent2 6 2" xfId="3506" xr:uid="{00000000-0005-0000-0000-0000CD090000}"/>
    <cellStyle name="60% - Accent2 6 2 2" xfId="3507" xr:uid="{00000000-0005-0000-0000-0000CE090000}"/>
    <cellStyle name="60% - Accent2 6 3" xfId="3508" xr:uid="{00000000-0005-0000-0000-0000CF090000}"/>
    <cellStyle name="60% - Accent2 7" xfId="3509" xr:uid="{00000000-0005-0000-0000-0000D0090000}"/>
    <cellStyle name="60% - Accent2 7 2" xfId="3510" xr:uid="{00000000-0005-0000-0000-0000D1090000}"/>
    <cellStyle name="60% - Accent2 7 2 2" xfId="3511" xr:uid="{00000000-0005-0000-0000-0000D2090000}"/>
    <cellStyle name="60% - Accent2 7 3" xfId="3512" xr:uid="{00000000-0005-0000-0000-0000D3090000}"/>
    <cellStyle name="60% - Accent2 8" xfId="3513" xr:uid="{00000000-0005-0000-0000-0000D4090000}"/>
    <cellStyle name="60% - Accent2 8 2" xfId="3514" xr:uid="{00000000-0005-0000-0000-0000D5090000}"/>
    <cellStyle name="60% - Accent2 8 2 2" xfId="3515" xr:uid="{00000000-0005-0000-0000-0000D6090000}"/>
    <cellStyle name="60% - Accent2 8 3" xfId="3516" xr:uid="{00000000-0005-0000-0000-0000D7090000}"/>
    <cellStyle name="60% - Accent2 9" xfId="3517" xr:uid="{00000000-0005-0000-0000-0000D8090000}"/>
    <cellStyle name="60% - Accent2 9 2" xfId="3518" xr:uid="{00000000-0005-0000-0000-0000D9090000}"/>
    <cellStyle name="60% - Accent2 9 2 2" xfId="3519" xr:uid="{00000000-0005-0000-0000-0000DA090000}"/>
    <cellStyle name="60% - Accent2 9 3" xfId="3520" xr:uid="{00000000-0005-0000-0000-0000DB090000}"/>
    <cellStyle name="60% - Accent3 10" xfId="3521" xr:uid="{00000000-0005-0000-0000-0000DC090000}"/>
    <cellStyle name="60% - Accent3 10 2" xfId="3522" xr:uid="{00000000-0005-0000-0000-0000DD090000}"/>
    <cellStyle name="60% - Accent3 10 2 2" xfId="3523" xr:uid="{00000000-0005-0000-0000-0000DE090000}"/>
    <cellStyle name="60% - Accent3 10 3" xfId="3524" xr:uid="{00000000-0005-0000-0000-0000DF090000}"/>
    <cellStyle name="60% - Accent3 11" xfId="3525" xr:uid="{00000000-0005-0000-0000-0000E0090000}"/>
    <cellStyle name="60% - Accent3 11 2" xfId="3526" xr:uid="{00000000-0005-0000-0000-0000E1090000}"/>
    <cellStyle name="60% - Accent3 12" xfId="3527" xr:uid="{00000000-0005-0000-0000-0000E2090000}"/>
    <cellStyle name="60% - Accent3 2" xfId="378" xr:uid="{00000000-0005-0000-0000-0000E3090000}"/>
    <cellStyle name="60% - Accent3 2 10" xfId="3528" xr:uid="{00000000-0005-0000-0000-0000E4090000}"/>
    <cellStyle name="60% - Accent3 2 11" xfId="3529" xr:uid="{00000000-0005-0000-0000-0000E5090000}"/>
    <cellStyle name="60% - Accent3 2 12" xfId="3530" xr:uid="{00000000-0005-0000-0000-0000E6090000}"/>
    <cellStyle name="60% - Accent3 2 13" xfId="3531" xr:uid="{00000000-0005-0000-0000-0000E7090000}"/>
    <cellStyle name="60% - Accent3 2 14" xfId="3532" xr:uid="{00000000-0005-0000-0000-0000E8090000}"/>
    <cellStyle name="60% - Accent3 2 15" xfId="3533" xr:uid="{00000000-0005-0000-0000-0000E9090000}"/>
    <cellStyle name="60% - Accent3 2 16" xfId="3534" xr:uid="{00000000-0005-0000-0000-0000EA090000}"/>
    <cellStyle name="60% - Accent3 2 17" xfId="3535" xr:uid="{00000000-0005-0000-0000-0000EB090000}"/>
    <cellStyle name="60% - Accent3 2 18" xfId="3536" xr:uid="{00000000-0005-0000-0000-0000EC090000}"/>
    <cellStyle name="60% - Accent3 2 19" xfId="3537" xr:uid="{00000000-0005-0000-0000-0000ED090000}"/>
    <cellStyle name="60% - Accent3 2 2" xfId="3538" xr:uid="{00000000-0005-0000-0000-0000EE090000}"/>
    <cellStyle name="60% - Accent3 2 2 2" xfId="3539" xr:uid="{00000000-0005-0000-0000-0000EF090000}"/>
    <cellStyle name="60% - Accent3 2 2 3" xfId="3540" xr:uid="{00000000-0005-0000-0000-0000F0090000}"/>
    <cellStyle name="60% - Accent3 2 20" xfId="3541" xr:uid="{00000000-0005-0000-0000-0000F1090000}"/>
    <cellStyle name="60% - Accent3 2 21" xfId="3542" xr:uid="{00000000-0005-0000-0000-0000F2090000}"/>
    <cellStyle name="60% - Accent3 2 22" xfId="3543" xr:uid="{00000000-0005-0000-0000-0000F3090000}"/>
    <cellStyle name="60% - Accent3 2 23" xfId="3544" xr:uid="{00000000-0005-0000-0000-0000F4090000}"/>
    <cellStyle name="60% - Accent3 2 24" xfId="3545" xr:uid="{00000000-0005-0000-0000-0000F5090000}"/>
    <cellStyle name="60% - Accent3 2 25" xfId="3546" xr:uid="{00000000-0005-0000-0000-0000F6090000}"/>
    <cellStyle name="60% - Accent3 2 26" xfId="3547" xr:uid="{00000000-0005-0000-0000-0000F7090000}"/>
    <cellStyle name="60% - Accent3 2 27" xfId="3548" xr:uid="{00000000-0005-0000-0000-0000F8090000}"/>
    <cellStyle name="60% - Accent3 2 28" xfId="3549" xr:uid="{00000000-0005-0000-0000-0000F9090000}"/>
    <cellStyle name="60% - Accent3 2 29" xfId="3550" xr:uid="{00000000-0005-0000-0000-0000FA090000}"/>
    <cellStyle name="60% - Accent3 2 3" xfId="3551" xr:uid="{00000000-0005-0000-0000-0000FB090000}"/>
    <cellStyle name="60% - Accent3 2 3 2" xfId="3552" xr:uid="{00000000-0005-0000-0000-0000FC090000}"/>
    <cellStyle name="60% - Accent3 2 30" xfId="3553" xr:uid="{00000000-0005-0000-0000-0000FD090000}"/>
    <cellStyle name="60% - Accent3 2 31" xfId="3554" xr:uid="{00000000-0005-0000-0000-0000FE090000}"/>
    <cellStyle name="60% - Accent3 2 32" xfId="3555" xr:uid="{00000000-0005-0000-0000-0000FF090000}"/>
    <cellStyle name="60% - Accent3 2 33" xfId="3556" xr:uid="{00000000-0005-0000-0000-0000000A0000}"/>
    <cellStyle name="60% - Accent3 2 34" xfId="3557" xr:uid="{00000000-0005-0000-0000-0000010A0000}"/>
    <cellStyle name="60% - Accent3 2 35" xfId="3558" xr:uid="{00000000-0005-0000-0000-0000020A0000}"/>
    <cellStyle name="60% - Accent3 2 36" xfId="3559" xr:uid="{00000000-0005-0000-0000-0000030A0000}"/>
    <cellStyle name="60% - Accent3 2 37" xfId="3560" xr:uid="{00000000-0005-0000-0000-0000040A0000}"/>
    <cellStyle name="60% - Accent3 2 38" xfId="3561" xr:uid="{00000000-0005-0000-0000-0000050A0000}"/>
    <cellStyle name="60% - Accent3 2 39" xfId="3562" xr:uid="{00000000-0005-0000-0000-0000060A0000}"/>
    <cellStyle name="60% - Accent3 2 4" xfId="3563" xr:uid="{00000000-0005-0000-0000-0000070A0000}"/>
    <cellStyle name="60% - Accent3 2 40" xfId="3564" xr:uid="{00000000-0005-0000-0000-0000080A0000}"/>
    <cellStyle name="60% - Accent3 2 41" xfId="3565" xr:uid="{00000000-0005-0000-0000-0000090A0000}"/>
    <cellStyle name="60% - Accent3 2 42" xfId="3566" xr:uid="{00000000-0005-0000-0000-00000A0A0000}"/>
    <cellStyle name="60% - Accent3 2 43" xfId="3567" xr:uid="{00000000-0005-0000-0000-00000B0A0000}"/>
    <cellStyle name="60% - Accent3 2 44" xfId="3568" xr:uid="{00000000-0005-0000-0000-00000C0A0000}"/>
    <cellStyle name="60% - Accent3 2 45" xfId="3569" xr:uid="{00000000-0005-0000-0000-00000D0A0000}"/>
    <cellStyle name="60% - Accent3 2 46" xfId="3570" xr:uid="{00000000-0005-0000-0000-00000E0A0000}"/>
    <cellStyle name="60% - Accent3 2 47" xfId="3571" xr:uid="{00000000-0005-0000-0000-00000F0A0000}"/>
    <cellStyle name="60% - Accent3 2 48" xfId="3572" xr:uid="{00000000-0005-0000-0000-0000100A0000}"/>
    <cellStyle name="60% - Accent3 2 49" xfId="3573" xr:uid="{00000000-0005-0000-0000-0000110A0000}"/>
    <cellStyle name="60% - Accent3 2 5" xfId="3574" xr:uid="{00000000-0005-0000-0000-0000120A0000}"/>
    <cellStyle name="60% - Accent3 2 6" xfId="3575" xr:uid="{00000000-0005-0000-0000-0000130A0000}"/>
    <cellStyle name="60% - Accent3 2 7" xfId="3576" xr:uid="{00000000-0005-0000-0000-0000140A0000}"/>
    <cellStyle name="60% - Accent3 2 8" xfId="3577" xr:uid="{00000000-0005-0000-0000-0000150A0000}"/>
    <cellStyle name="60% - Accent3 2 9" xfId="3578" xr:uid="{00000000-0005-0000-0000-0000160A0000}"/>
    <cellStyle name="60% - Accent3 3" xfId="3579" xr:uid="{00000000-0005-0000-0000-0000170A0000}"/>
    <cellStyle name="60% - Accent3 3 2" xfId="3580" xr:uid="{00000000-0005-0000-0000-0000180A0000}"/>
    <cellStyle name="60% - Accent3 3 2 2" xfId="3581" xr:uid="{00000000-0005-0000-0000-0000190A0000}"/>
    <cellStyle name="60% - Accent3 3 3" xfId="3582" xr:uid="{00000000-0005-0000-0000-00001A0A0000}"/>
    <cellStyle name="60% - Accent3 4" xfId="3583" xr:uid="{00000000-0005-0000-0000-00001B0A0000}"/>
    <cellStyle name="60% - Accent3 4 2" xfId="3584" xr:uid="{00000000-0005-0000-0000-00001C0A0000}"/>
    <cellStyle name="60% - Accent3 4 2 2" xfId="3585" xr:uid="{00000000-0005-0000-0000-00001D0A0000}"/>
    <cellStyle name="60% - Accent3 4 3" xfId="3586" xr:uid="{00000000-0005-0000-0000-00001E0A0000}"/>
    <cellStyle name="60% - Accent3 5" xfId="3587" xr:uid="{00000000-0005-0000-0000-00001F0A0000}"/>
    <cellStyle name="60% - Accent3 5 2" xfId="3588" xr:uid="{00000000-0005-0000-0000-0000200A0000}"/>
    <cellStyle name="60% - Accent3 5 2 2" xfId="3589" xr:uid="{00000000-0005-0000-0000-0000210A0000}"/>
    <cellStyle name="60% - Accent3 5 3" xfId="3590" xr:uid="{00000000-0005-0000-0000-0000220A0000}"/>
    <cellStyle name="60% - Accent3 6" xfId="3591" xr:uid="{00000000-0005-0000-0000-0000230A0000}"/>
    <cellStyle name="60% - Accent3 6 2" xfId="3592" xr:uid="{00000000-0005-0000-0000-0000240A0000}"/>
    <cellStyle name="60% - Accent3 6 2 2" xfId="3593" xr:uid="{00000000-0005-0000-0000-0000250A0000}"/>
    <cellStyle name="60% - Accent3 6 3" xfId="3594" xr:uid="{00000000-0005-0000-0000-0000260A0000}"/>
    <cellStyle name="60% - Accent3 7" xfId="3595" xr:uid="{00000000-0005-0000-0000-0000270A0000}"/>
    <cellStyle name="60% - Accent3 7 2" xfId="3596" xr:uid="{00000000-0005-0000-0000-0000280A0000}"/>
    <cellStyle name="60% - Accent3 7 2 2" xfId="3597" xr:uid="{00000000-0005-0000-0000-0000290A0000}"/>
    <cellStyle name="60% - Accent3 7 3" xfId="3598" xr:uid="{00000000-0005-0000-0000-00002A0A0000}"/>
    <cellStyle name="60% - Accent3 8" xfId="3599" xr:uid="{00000000-0005-0000-0000-00002B0A0000}"/>
    <cellStyle name="60% - Accent3 8 2" xfId="3600" xr:uid="{00000000-0005-0000-0000-00002C0A0000}"/>
    <cellStyle name="60% - Accent3 8 2 2" xfId="3601" xr:uid="{00000000-0005-0000-0000-00002D0A0000}"/>
    <cellStyle name="60% - Accent3 8 3" xfId="3602" xr:uid="{00000000-0005-0000-0000-00002E0A0000}"/>
    <cellStyle name="60% - Accent3 9" xfId="3603" xr:uid="{00000000-0005-0000-0000-00002F0A0000}"/>
    <cellStyle name="60% - Accent3 9 2" xfId="3604" xr:uid="{00000000-0005-0000-0000-0000300A0000}"/>
    <cellStyle name="60% - Accent3 9 2 2" xfId="3605" xr:uid="{00000000-0005-0000-0000-0000310A0000}"/>
    <cellStyle name="60% - Accent3 9 3" xfId="3606" xr:uid="{00000000-0005-0000-0000-0000320A0000}"/>
    <cellStyle name="60% - Accent4 10" xfId="3607" xr:uid="{00000000-0005-0000-0000-0000330A0000}"/>
    <cellStyle name="60% - Accent4 10 2" xfId="3608" xr:uid="{00000000-0005-0000-0000-0000340A0000}"/>
    <cellStyle name="60% - Accent4 10 2 2" xfId="3609" xr:uid="{00000000-0005-0000-0000-0000350A0000}"/>
    <cellStyle name="60% - Accent4 10 3" xfId="3610" xr:uid="{00000000-0005-0000-0000-0000360A0000}"/>
    <cellStyle name="60% - Accent4 11" xfId="3611" xr:uid="{00000000-0005-0000-0000-0000370A0000}"/>
    <cellStyle name="60% - Accent4 11 2" xfId="3612" xr:uid="{00000000-0005-0000-0000-0000380A0000}"/>
    <cellStyle name="60% - Accent4 12" xfId="3613" xr:uid="{00000000-0005-0000-0000-0000390A0000}"/>
    <cellStyle name="60% - Accent4 2" xfId="379" xr:uid="{00000000-0005-0000-0000-00003A0A0000}"/>
    <cellStyle name="60% - Accent4 2 10" xfId="3614" xr:uid="{00000000-0005-0000-0000-00003B0A0000}"/>
    <cellStyle name="60% - Accent4 2 11" xfId="3615" xr:uid="{00000000-0005-0000-0000-00003C0A0000}"/>
    <cellStyle name="60% - Accent4 2 12" xfId="3616" xr:uid="{00000000-0005-0000-0000-00003D0A0000}"/>
    <cellStyle name="60% - Accent4 2 13" xfId="3617" xr:uid="{00000000-0005-0000-0000-00003E0A0000}"/>
    <cellStyle name="60% - Accent4 2 14" xfId="3618" xr:uid="{00000000-0005-0000-0000-00003F0A0000}"/>
    <cellStyle name="60% - Accent4 2 15" xfId="3619" xr:uid="{00000000-0005-0000-0000-0000400A0000}"/>
    <cellStyle name="60% - Accent4 2 16" xfId="3620" xr:uid="{00000000-0005-0000-0000-0000410A0000}"/>
    <cellStyle name="60% - Accent4 2 17" xfId="3621" xr:uid="{00000000-0005-0000-0000-0000420A0000}"/>
    <cellStyle name="60% - Accent4 2 18" xfId="3622" xr:uid="{00000000-0005-0000-0000-0000430A0000}"/>
    <cellStyle name="60% - Accent4 2 19" xfId="3623" xr:uid="{00000000-0005-0000-0000-0000440A0000}"/>
    <cellStyle name="60% - Accent4 2 2" xfId="3624" xr:uid="{00000000-0005-0000-0000-0000450A0000}"/>
    <cellStyle name="60% - Accent4 2 2 2" xfId="3625" xr:uid="{00000000-0005-0000-0000-0000460A0000}"/>
    <cellStyle name="60% - Accent4 2 2 3" xfId="3626" xr:uid="{00000000-0005-0000-0000-0000470A0000}"/>
    <cellStyle name="60% - Accent4 2 20" xfId="3627" xr:uid="{00000000-0005-0000-0000-0000480A0000}"/>
    <cellStyle name="60% - Accent4 2 21" xfId="3628" xr:uid="{00000000-0005-0000-0000-0000490A0000}"/>
    <cellStyle name="60% - Accent4 2 22" xfId="3629" xr:uid="{00000000-0005-0000-0000-00004A0A0000}"/>
    <cellStyle name="60% - Accent4 2 23" xfId="3630" xr:uid="{00000000-0005-0000-0000-00004B0A0000}"/>
    <cellStyle name="60% - Accent4 2 24" xfId="3631" xr:uid="{00000000-0005-0000-0000-00004C0A0000}"/>
    <cellStyle name="60% - Accent4 2 25" xfId="3632" xr:uid="{00000000-0005-0000-0000-00004D0A0000}"/>
    <cellStyle name="60% - Accent4 2 26" xfId="3633" xr:uid="{00000000-0005-0000-0000-00004E0A0000}"/>
    <cellStyle name="60% - Accent4 2 27" xfId="3634" xr:uid="{00000000-0005-0000-0000-00004F0A0000}"/>
    <cellStyle name="60% - Accent4 2 28" xfId="3635" xr:uid="{00000000-0005-0000-0000-0000500A0000}"/>
    <cellStyle name="60% - Accent4 2 29" xfId="3636" xr:uid="{00000000-0005-0000-0000-0000510A0000}"/>
    <cellStyle name="60% - Accent4 2 3" xfId="3637" xr:uid="{00000000-0005-0000-0000-0000520A0000}"/>
    <cellStyle name="60% - Accent4 2 3 2" xfId="3638" xr:uid="{00000000-0005-0000-0000-0000530A0000}"/>
    <cellStyle name="60% - Accent4 2 30" xfId="3639" xr:uid="{00000000-0005-0000-0000-0000540A0000}"/>
    <cellStyle name="60% - Accent4 2 31" xfId="3640" xr:uid="{00000000-0005-0000-0000-0000550A0000}"/>
    <cellStyle name="60% - Accent4 2 32" xfId="3641" xr:uid="{00000000-0005-0000-0000-0000560A0000}"/>
    <cellStyle name="60% - Accent4 2 33" xfId="3642" xr:uid="{00000000-0005-0000-0000-0000570A0000}"/>
    <cellStyle name="60% - Accent4 2 34" xfId="3643" xr:uid="{00000000-0005-0000-0000-0000580A0000}"/>
    <cellStyle name="60% - Accent4 2 35" xfId="3644" xr:uid="{00000000-0005-0000-0000-0000590A0000}"/>
    <cellStyle name="60% - Accent4 2 36" xfId="3645" xr:uid="{00000000-0005-0000-0000-00005A0A0000}"/>
    <cellStyle name="60% - Accent4 2 37" xfId="3646" xr:uid="{00000000-0005-0000-0000-00005B0A0000}"/>
    <cellStyle name="60% - Accent4 2 38" xfId="3647" xr:uid="{00000000-0005-0000-0000-00005C0A0000}"/>
    <cellStyle name="60% - Accent4 2 39" xfId="3648" xr:uid="{00000000-0005-0000-0000-00005D0A0000}"/>
    <cellStyle name="60% - Accent4 2 4" xfId="3649" xr:uid="{00000000-0005-0000-0000-00005E0A0000}"/>
    <cellStyle name="60% - Accent4 2 40" xfId="3650" xr:uid="{00000000-0005-0000-0000-00005F0A0000}"/>
    <cellStyle name="60% - Accent4 2 41" xfId="3651" xr:uid="{00000000-0005-0000-0000-0000600A0000}"/>
    <cellStyle name="60% - Accent4 2 42" xfId="3652" xr:uid="{00000000-0005-0000-0000-0000610A0000}"/>
    <cellStyle name="60% - Accent4 2 43" xfId="3653" xr:uid="{00000000-0005-0000-0000-0000620A0000}"/>
    <cellStyle name="60% - Accent4 2 44" xfId="3654" xr:uid="{00000000-0005-0000-0000-0000630A0000}"/>
    <cellStyle name="60% - Accent4 2 45" xfId="3655" xr:uid="{00000000-0005-0000-0000-0000640A0000}"/>
    <cellStyle name="60% - Accent4 2 46" xfId="3656" xr:uid="{00000000-0005-0000-0000-0000650A0000}"/>
    <cellStyle name="60% - Accent4 2 47" xfId="3657" xr:uid="{00000000-0005-0000-0000-0000660A0000}"/>
    <cellStyle name="60% - Accent4 2 48" xfId="3658" xr:uid="{00000000-0005-0000-0000-0000670A0000}"/>
    <cellStyle name="60% - Accent4 2 49" xfId="3659" xr:uid="{00000000-0005-0000-0000-0000680A0000}"/>
    <cellStyle name="60% - Accent4 2 5" xfId="3660" xr:uid="{00000000-0005-0000-0000-0000690A0000}"/>
    <cellStyle name="60% - Accent4 2 6" xfId="3661" xr:uid="{00000000-0005-0000-0000-00006A0A0000}"/>
    <cellStyle name="60% - Accent4 2 7" xfId="3662" xr:uid="{00000000-0005-0000-0000-00006B0A0000}"/>
    <cellStyle name="60% - Accent4 2 8" xfId="3663" xr:uid="{00000000-0005-0000-0000-00006C0A0000}"/>
    <cellStyle name="60% - Accent4 2 9" xfId="3664" xr:uid="{00000000-0005-0000-0000-00006D0A0000}"/>
    <cellStyle name="60% - Accent4 3" xfId="3665" xr:uid="{00000000-0005-0000-0000-00006E0A0000}"/>
    <cellStyle name="60% - Accent4 3 2" xfId="3666" xr:uid="{00000000-0005-0000-0000-00006F0A0000}"/>
    <cellStyle name="60% - Accent4 3 2 2" xfId="3667" xr:uid="{00000000-0005-0000-0000-0000700A0000}"/>
    <cellStyle name="60% - Accent4 3 3" xfId="3668" xr:uid="{00000000-0005-0000-0000-0000710A0000}"/>
    <cellStyle name="60% - Accent4 4" xfId="3669" xr:uid="{00000000-0005-0000-0000-0000720A0000}"/>
    <cellStyle name="60% - Accent4 4 2" xfId="3670" xr:uid="{00000000-0005-0000-0000-0000730A0000}"/>
    <cellStyle name="60% - Accent4 4 2 2" xfId="3671" xr:uid="{00000000-0005-0000-0000-0000740A0000}"/>
    <cellStyle name="60% - Accent4 4 3" xfId="3672" xr:uid="{00000000-0005-0000-0000-0000750A0000}"/>
    <cellStyle name="60% - Accent4 5" xfId="3673" xr:uid="{00000000-0005-0000-0000-0000760A0000}"/>
    <cellStyle name="60% - Accent4 5 2" xfId="3674" xr:uid="{00000000-0005-0000-0000-0000770A0000}"/>
    <cellStyle name="60% - Accent4 5 2 2" xfId="3675" xr:uid="{00000000-0005-0000-0000-0000780A0000}"/>
    <cellStyle name="60% - Accent4 5 3" xfId="3676" xr:uid="{00000000-0005-0000-0000-0000790A0000}"/>
    <cellStyle name="60% - Accent4 6" xfId="3677" xr:uid="{00000000-0005-0000-0000-00007A0A0000}"/>
    <cellStyle name="60% - Accent4 6 2" xfId="3678" xr:uid="{00000000-0005-0000-0000-00007B0A0000}"/>
    <cellStyle name="60% - Accent4 6 2 2" xfId="3679" xr:uid="{00000000-0005-0000-0000-00007C0A0000}"/>
    <cellStyle name="60% - Accent4 6 3" xfId="3680" xr:uid="{00000000-0005-0000-0000-00007D0A0000}"/>
    <cellStyle name="60% - Accent4 7" xfId="3681" xr:uid="{00000000-0005-0000-0000-00007E0A0000}"/>
    <cellStyle name="60% - Accent4 7 2" xfId="3682" xr:uid="{00000000-0005-0000-0000-00007F0A0000}"/>
    <cellStyle name="60% - Accent4 7 2 2" xfId="3683" xr:uid="{00000000-0005-0000-0000-0000800A0000}"/>
    <cellStyle name="60% - Accent4 7 3" xfId="3684" xr:uid="{00000000-0005-0000-0000-0000810A0000}"/>
    <cellStyle name="60% - Accent4 8" xfId="3685" xr:uid="{00000000-0005-0000-0000-0000820A0000}"/>
    <cellStyle name="60% - Accent4 8 2" xfId="3686" xr:uid="{00000000-0005-0000-0000-0000830A0000}"/>
    <cellStyle name="60% - Accent4 8 2 2" xfId="3687" xr:uid="{00000000-0005-0000-0000-0000840A0000}"/>
    <cellStyle name="60% - Accent4 8 3" xfId="3688" xr:uid="{00000000-0005-0000-0000-0000850A0000}"/>
    <cellStyle name="60% - Accent4 9" xfId="3689" xr:uid="{00000000-0005-0000-0000-0000860A0000}"/>
    <cellStyle name="60% - Accent4 9 2" xfId="3690" xr:uid="{00000000-0005-0000-0000-0000870A0000}"/>
    <cellStyle name="60% - Accent4 9 2 2" xfId="3691" xr:uid="{00000000-0005-0000-0000-0000880A0000}"/>
    <cellStyle name="60% - Accent4 9 3" xfId="3692" xr:uid="{00000000-0005-0000-0000-0000890A0000}"/>
    <cellStyle name="60% - Accent5 10" xfId="3693" xr:uid="{00000000-0005-0000-0000-00008A0A0000}"/>
    <cellStyle name="60% - Accent5 10 2" xfId="3694" xr:uid="{00000000-0005-0000-0000-00008B0A0000}"/>
    <cellStyle name="60% - Accent5 10 2 2" xfId="3695" xr:uid="{00000000-0005-0000-0000-00008C0A0000}"/>
    <cellStyle name="60% - Accent5 10 3" xfId="3696" xr:uid="{00000000-0005-0000-0000-00008D0A0000}"/>
    <cellStyle name="60% - Accent5 11" xfId="3697" xr:uid="{00000000-0005-0000-0000-00008E0A0000}"/>
    <cellStyle name="60% - Accent5 11 2" xfId="3698" xr:uid="{00000000-0005-0000-0000-00008F0A0000}"/>
    <cellStyle name="60% - Accent5 12" xfId="3699" xr:uid="{00000000-0005-0000-0000-0000900A0000}"/>
    <cellStyle name="60% - Accent5 12 2" xfId="3700" xr:uid="{00000000-0005-0000-0000-0000910A0000}"/>
    <cellStyle name="60% - Accent5 13" xfId="3701" xr:uid="{00000000-0005-0000-0000-0000920A0000}"/>
    <cellStyle name="60% - Accent5 2" xfId="380" xr:uid="{00000000-0005-0000-0000-0000930A0000}"/>
    <cellStyle name="60% - Accent5 2 10" xfId="3702" xr:uid="{00000000-0005-0000-0000-0000940A0000}"/>
    <cellStyle name="60% - Accent5 2 11" xfId="3703" xr:uid="{00000000-0005-0000-0000-0000950A0000}"/>
    <cellStyle name="60% - Accent5 2 12" xfId="3704" xr:uid="{00000000-0005-0000-0000-0000960A0000}"/>
    <cellStyle name="60% - Accent5 2 13" xfId="3705" xr:uid="{00000000-0005-0000-0000-0000970A0000}"/>
    <cellStyle name="60% - Accent5 2 14" xfId="3706" xr:uid="{00000000-0005-0000-0000-0000980A0000}"/>
    <cellStyle name="60% - Accent5 2 15" xfId="3707" xr:uid="{00000000-0005-0000-0000-0000990A0000}"/>
    <cellStyle name="60% - Accent5 2 16" xfId="3708" xr:uid="{00000000-0005-0000-0000-00009A0A0000}"/>
    <cellStyle name="60% - Accent5 2 17" xfId="3709" xr:uid="{00000000-0005-0000-0000-00009B0A0000}"/>
    <cellStyle name="60% - Accent5 2 18" xfId="3710" xr:uid="{00000000-0005-0000-0000-00009C0A0000}"/>
    <cellStyle name="60% - Accent5 2 19" xfId="3711" xr:uid="{00000000-0005-0000-0000-00009D0A0000}"/>
    <cellStyle name="60% - Accent5 2 2" xfId="381" xr:uid="{00000000-0005-0000-0000-00009E0A0000}"/>
    <cellStyle name="60% - Accent5 2 2 2" xfId="3712" xr:uid="{00000000-0005-0000-0000-00009F0A0000}"/>
    <cellStyle name="60% - Accent5 2 2 3" xfId="3713" xr:uid="{00000000-0005-0000-0000-0000A00A0000}"/>
    <cellStyle name="60% - Accent5 2 20" xfId="3714" xr:uid="{00000000-0005-0000-0000-0000A10A0000}"/>
    <cellStyle name="60% - Accent5 2 21" xfId="3715" xr:uid="{00000000-0005-0000-0000-0000A20A0000}"/>
    <cellStyle name="60% - Accent5 2 22" xfId="3716" xr:uid="{00000000-0005-0000-0000-0000A30A0000}"/>
    <cellStyle name="60% - Accent5 2 23" xfId="3717" xr:uid="{00000000-0005-0000-0000-0000A40A0000}"/>
    <cellStyle name="60% - Accent5 2 24" xfId="3718" xr:uid="{00000000-0005-0000-0000-0000A50A0000}"/>
    <cellStyle name="60% - Accent5 2 25" xfId="3719" xr:uid="{00000000-0005-0000-0000-0000A60A0000}"/>
    <cellStyle name="60% - Accent5 2 26" xfId="3720" xr:uid="{00000000-0005-0000-0000-0000A70A0000}"/>
    <cellStyle name="60% - Accent5 2 27" xfId="3721" xr:uid="{00000000-0005-0000-0000-0000A80A0000}"/>
    <cellStyle name="60% - Accent5 2 28" xfId="3722" xr:uid="{00000000-0005-0000-0000-0000A90A0000}"/>
    <cellStyle name="60% - Accent5 2 29" xfId="3723" xr:uid="{00000000-0005-0000-0000-0000AA0A0000}"/>
    <cellStyle name="60% - Accent5 2 3" xfId="3724" xr:uid="{00000000-0005-0000-0000-0000AB0A0000}"/>
    <cellStyle name="60% - Accent5 2 3 2" xfId="3725" xr:uid="{00000000-0005-0000-0000-0000AC0A0000}"/>
    <cellStyle name="60% - Accent5 2 30" xfId="3726" xr:uid="{00000000-0005-0000-0000-0000AD0A0000}"/>
    <cellStyle name="60% - Accent5 2 31" xfId="3727" xr:uid="{00000000-0005-0000-0000-0000AE0A0000}"/>
    <cellStyle name="60% - Accent5 2 32" xfId="3728" xr:uid="{00000000-0005-0000-0000-0000AF0A0000}"/>
    <cellStyle name="60% - Accent5 2 33" xfId="3729" xr:uid="{00000000-0005-0000-0000-0000B00A0000}"/>
    <cellStyle name="60% - Accent5 2 34" xfId="3730" xr:uid="{00000000-0005-0000-0000-0000B10A0000}"/>
    <cellStyle name="60% - Accent5 2 35" xfId="3731" xr:uid="{00000000-0005-0000-0000-0000B20A0000}"/>
    <cellStyle name="60% - Accent5 2 36" xfId="3732" xr:uid="{00000000-0005-0000-0000-0000B30A0000}"/>
    <cellStyle name="60% - Accent5 2 37" xfId="3733" xr:uid="{00000000-0005-0000-0000-0000B40A0000}"/>
    <cellStyle name="60% - Accent5 2 38" xfId="3734" xr:uid="{00000000-0005-0000-0000-0000B50A0000}"/>
    <cellStyle name="60% - Accent5 2 39" xfId="3735" xr:uid="{00000000-0005-0000-0000-0000B60A0000}"/>
    <cellStyle name="60% - Accent5 2 4" xfId="3736" xr:uid="{00000000-0005-0000-0000-0000B70A0000}"/>
    <cellStyle name="60% - Accent5 2 40" xfId="3737" xr:uid="{00000000-0005-0000-0000-0000B80A0000}"/>
    <cellStyle name="60% - Accent5 2 41" xfId="3738" xr:uid="{00000000-0005-0000-0000-0000B90A0000}"/>
    <cellStyle name="60% - Accent5 2 42" xfId="3739" xr:uid="{00000000-0005-0000-0000-0000BA0A0000}"/>
    <cellStyle name="60% - Accent5 2 43" xfId="3740" xr:uid="{00000000-0005-0000-0000-0000BB0A0000}"/>
    <cellStyle name="60% - Accent5 2 44" xfId="3741" xr:uid="{00000000-0005-0000-0000-0000BC0A0000}"/>
    <cellStyle name="60% - Accent5 2 45" xfId="3742" xr:uid="{00000000-0005-0000-0000-0000BD0A0000}"/>
    <cellStyle name="60% - Accent5 2 46" xfId="3743" xr:uid="{00000000-0005-0000-0000-0000BE0A0000}"/>
    <cellStyle name="60% - Accent5 2 47" xfId="3744" xr:uid="{00000000-0005-0000-0000-0000BF0A0000}"/>
    <cellStyle name="60% - Accent5 2 48" xfId="3745" xr:uid="{00000000-0005-0000-0000-0000C00A0000}"/>
    <cellStyle name="60% - Accent5 2 49" xfId="3746" xr:uid="{00000000-0005-0000-0000-0000C10A0000}"/>
    <cellStyle name="60% - Accent5 2 5" xfId="3747" xr:uid="{00000000-0005-0000-0000-0000C20A0000}"/>
    <cellStyle name="60% - Accent5 2 50" xfId="3748" xr:uid="{00000000-0005-0000-0000-0000C30A0000}"/>
    <cellStyle name="60% - Accent5 2 51" xfId="3749" xr:uid="{00000000-0005-0000-0000-0000C40A0000}"/>
    <cellStyle name="60% - Accent5 2 6" xfId="3750" xr:uid="{00000000-0005-0000-0000-0000C50A0000}"/>
    <cellStyle name="60% - Accent5 2 7" xfId="3751" xr:uid="{00000000-0005-0000-0000-0000C60A0000}"/>
    <cellStyle name="60% - Accent5 2 8" xfId="3752" xr:uid="{00000000-0005-0000-0000-0000C70A0000}"/>
    <cellStyle name="60% - Accent5 2 9" xfId="3753" xr:uid="{00000000-0005-0000-0000-0000C80A0000}"/>
    <cellStyle name="60% - Accent5 3" xfId="3754" xr:uid="{00000000-0005-0000-0000-0000C90A0000}"/>
    <cellStyle name="60% - Accent5 3 2" xfId="3755" xr:uid="{00000000-0005-0000-0000-0000CA0A0000}"/>
    <cellStyle name="60% - Accent5 3 2 2" xfId="3756" xr:uid="{00000000-0005-0000-0000-0000CB0A0000}"/>
    <cellStyle name="60% - Accent5 3 3" xfId="3757" xr:uid="{00000000-0005-0000-0000-0000CC0A0000}"/>
    <cellStyle name="60% - Accent5 4" xfId="3758" xr:uid="{00000000-0005-0000-0000-0000CD0A0000}"/>
    <cellStyle name="60% - Accent5 4 2" xfId="3759" xr:uid="{00000000-0005-0000-0000-0000CE0A0000}"/>
    <cellStyle name="60% - Accent5 4 2 2" xfId="3760" xr:uid="{00000000-0005-0000-0000-0000CF0A0000}"/>
    <cellStyle name="60% - Accent5 4 3" xfId="3761" xr:uid="{00000000-0005-0000-0000-0000D00A0000}"/>
    <cellStyle name="60% - Accent5 5" xfId="3762" xr:uid="{00000000-0005-0000-0000-0000D10A0000}"/>
    <cellStyle name="60% - Accent5 5 2" xfId="3763" xr:uid="{00000000-0005-0000-0000-0000D20A0000}"/>
    <cellStyle name="60% - Accent5 5 2 2" xfId="3764" xr:uid="{00000000-0005-0000-0000-0000D30A0000}"/>
    <cellStyle name="60% - Accent5 5 3" xfId="3765" xr:uid="{00000000-0005-0000-0000-0000D40A0000}"/>
    <cellStyle name="60% - Accent5 6" xfId="3766" xr:uid="{00000000-0005-0000-0000-0000D50A0000}"/>
    <cellStyle name="60% - Accent5 6 2" xfId="3767" xr:uid="{00000000-0005-0000-0000-0000D60A0000}"/>
    <cellStyle name="60% - Accent5 6 2 2" xfId="3768" xr:uid="{00000000-0005-0000-0000-0000D70A0000}"/>
    <cellStyle name="60% - Accent5 6 3" xfId="3769" xr:uid="{00000000-0005-0000-0000-0000D80A0000}"/>
    <cellStyle name="60% - Accent5 7" xfId="3770" xr:uid="{00000000-0005-0000-0000-0000D90A0000}"/>
    <cellStyle name="60% - Accent5 7 2" xfId="3771" xr:uid="{00000000-0005-0000-0000-0000DA0A0000}"/>
    <cellStyle name="60% - Accent5 7 2 2" xfId="3772" xr:uid="{00000000-0005-0000-0000-0000DB0A0000}"/>
    <cellStyle name="60% - Accent5 7 3" xfId="3773" xr:uid="{00000000-0005-0000-0000-0000DC0A0000}"/>
    <cellStyle name="60% - Accent5 8" xfId="3774" xr:uid="{00000000-0005-0000-0000-0000DD0A0000}"/>
    <cellStyle name="60% - Accent5 8 2" xfId="3775" xr:uid="{00000000-0005-0000-0000-0000DE0A0000}"/>
    <cellStyle name="60% - Accent5 8 2 2" xfId="3776" xr:uid="{00000000-0005-0000-0000-0000DF0A0000}"/>
    <cellStyle name="60% - Accent5 8 3" xfId="3777" xr:uid="{00000000-0005-0000-0000-0000E00A0000}"/>
    <cellStyle name="60% - Accent5 9" xfId="3778" xr:uid="{00000000-0005-0000-0000-0000E10A0000}"/>
    <cellStyle name="60% - Accent5 9 2" xfId="3779" xr:uid="{00000000-0005-0000-0000-0000E20A0000}"/>
    <cellStyle name="60% - Accent5 9 2 2" xfId="3780" xr:uid="{00000000-0005-0000-0000-0000E30A0000}"/>
    <cellStyle name="60% - Accent5 9 3" xfId="3781" xr:uid="{00000000-0005-0000-0000-0000E40A0000}"/>
    <cellStyle name="60% - Accent6 10" xfId="3782" xr:uid="{00000000-0005-0000-0000-0000E50A0000}"/>
    <cellStyle name="60% - Accent6 10 2" xfId="3783" xr:uid="{00000000-0005-0000-0000-0000E60A0000}"/>
    <cellStyle name="60% - Accent6 10 2 2" xfId="3784" xr:uid="{00000000-0005-0000-0000-0000E70A0000}"/>
    <cellStyle name="60% - Accent6 10 3" xfId="3785" xr:uid="{00000000-0005-0000-0000-0000E80A0000}"/>
    <cellStyle name="60% - Accent6 11" xfId="3786" xr:uid="{00000000-0005-0000-0000-0000E90A0000}"/>
    <cellStyle name="60% - Accent6 11 2" xfId="3787" xr:uid="{00000000-0005-0000-0000-0000EA0A0000}"/>
    <cellStyle name="60% - Accent6 12" xfId="3788" xr:uid="{00000000-0005-0000-0000-0000EB0A0000}"/>
    <cellStyle name="60% - Accent6 2" xfId="382" xr:uid="{00000000-0005-0000-0000-0000EC0A0000}"/>
    <cellStyle name="60% - Accent6 2 10" xfId="3789" xr:uid="{00000000-0005-0000-0000-0000ED0A0000}"/>
    <cellStyle name="60% - Accent6 2 11" xfId="3790" xr:uid="{00000000-0005-0000-0000-0000EE0A0000}"/>
    <cellStyle name="60% - Accent6 2 12" xfId="3791" xr:uid="{00000000-0005-0000-0000-0000EF0A0000}"/>
    <cellStyle name="60% - Accent6 2 13" xfId="3792" xr:uid="{00000000-0005-0000-0000-0000F00A0000}"/>
    <cellStyle name="60% - Accent6 2 14" xfId="3793" xr:uid="{00000000-0005-0000-0000-0000F10A0000}"/>
    <cellStyle name="60% - Accent6 2 15" xfId="3794" xr:uid="{00000000-0005-0000-0000-0000F20A0000}"/>
    <cellStyle name="60% - Accent6 2 16" xfId="3795" xr:uid="{00000000-0005-0000-0000-0000F30A0000}"/>
    <cellStyle name="60% - Accent6 2 17" xfId="3796" xr:uid="{00000000-0005-0000-0000-0000F40A0000}"/>
    <cellStyle name="60% - Accent6 2 18" xfId="3797" xr:uid="{00000000-0005-0000-0000-0000F50A0000}"/>
    <cellStyle name="60% - Accent6 2 19" xfId="3798" xr:uid="{00000000-0005-0000-0000-0000F60A0000}"/>
    <cellStyle name="60% - Accent6 2 2" xfId="383" xr:uid="{00000000-0005-0000-0000-0000F70A0000}"/>
    <cellStyle name="60% - Accent6 2 2 2" xfId="3799" xr:uid="{00000000-0005-0000-0000-0000F80A0000}"/>
    <cellStyle name="60% - Accent6 2 2 3" xfId="3800" xr:uid="{00000000-0005-0000-0000-0000F90A0000}"/>
    <cellStyle name="60% - Accent6 2 20" xfId="3801" xr:uid="{00000000-0005-0000-0000-0000FA0A0000}"/>
    <cellStyle name="60% - Accent6 2 21" xfId="3802" xr:uid="{00000000-0005-0000-0000-0000FB0A0000}"/>
    <cellStyle name="60% - Accent6 2 22" xfId="3803" xr:uid="{00000000-0005-0000-0000-0000FC0A0000}"/>
    <cellStyle name="60% - Accent6 2 23" xfId="3804" xr:uid="{00000000-0005-0000-0000-0000FD0A0000}"/>
    <cellStyle name="60% - Accent6 2 24" xfId="3805" xr:uid="{00000000-0005-0000-0000-0000FE0A0000}"/>
    <cellStyle name="60% - Accent6 2 25" xfId="3806" xr:uid="{00000000-0005-0000-0000-0000FF0A0000}"/>
    <cellStyle name="60% - Accent6 2 26" xfId="3807" xr:uid="{00000000-0005-0000-0000-0000000B0000}"/>
    <cellStyle name="60% - Accent6 2 27" xfId="3808" xr:uid="{00000000-0005-0000-0000-0000010B0000}"/>
    <cellStyle name="60% - Accent6 2 28" xfId="3809" xr:uid="{00000000-0005-0000-0000-0000020B0000}"/>
    <cellStyle name="60% - Accent6 2 29" xfId="3810" xr:uid="{00000000-0005-0000-0000-0000030B0000}"/>
    <cellStyle name="60% - Accent6 2 3" xfId="3811" xr:uid="{00000000-0005-0000-0000-0000040B0000}"/>
    <cellStyle name="60% - Accent6 2 3 2" xfId="3812" xr:uid="{00000000-0005-0000-0000-0000050B0000}"/>
    <cellStyle name="60% - Accent6 2 30" xfId="3813" xr:uid="{00000000-0005-0000-0000-0000060B0000}"/>
    <cellStyle name="60% - Accent6 2 31" xfId="3814" xr:uid="{00000000-0005-0000-0000-0000070B0000}"/>
    <cellStyle name="60% - Accent6 2 32" xfId="3815" xr:uid="{00000000-0005-0000-0000-0000080B0000}"/>
    <cellStyle name="60% - Accent6 2 33" xfId="3816" xr:uid="{00000000-0005-0000-0000-0000090B0000}"/>
    <cellStyle name="60% - Accent6 2 34" xfId="3817" xr:uid="{00000000-0005-0000-0000-00000A0B0000}"/>
    <cellStyle name="60% - Accent6 2 35" xfId="3818" xr:uid="{00000000-0005-0000-0000-00000B0B0000}"/>
    <cellStyle name="60% - Accent6 2 36" xfId="3819" xr:uid="{00000000-0005-0000-0000-00000C0B0000}"/>
    <cellStyle name="60% - Accent6 2 37" xfId="3820" xr:uid="{00000000-0005-0000-0000-00000D0B0000}"/>
    <cellStyle name="60% - Accent6 2 38" xfId="3821" xr:uid="{00000000-0005-0000-0000-00000E0B0000}"/>
    <cellStyle name="60% - Accent6 2 39" xfId="3822" xr:uid="{00000000-0005-0000-0000-00000F0B0000}"/>
    <cellStyle name="60% - Accent6 2 4" xfId="3823" xr:uid="{00000000-0005-0000-0000-0000100B0000}"/>
    <cellStyle name="60% - Accent6 2 40" xfId="3824" xr:uid="{00000000-0005-0000-0000-0000110B0000}"/>
    <cellStyle name="60% - Accent6 2 41" xfId="3825" xr:uid="{00000000-0005-0000-0000-0000120B0000}"/>
    <cellStyle name="60% - Accent6 2 42" xfId="3826" xr:uid="{00000000-0005-0000-0000-0000130B0000}"/>
    <cellStyle name="60% - Accent6 2 43" xfId="3827" xr:uid="{00000000-0005-0000-0000-0000140B0000}"/>
    <cellStyle name="60% - Accent6 2 44" xfId="3828" xr:uid="{00000000-0005-0000-0000-0000150B0000}"/>
    <cellStyle name="60% - Accent6 2 45" xfId="3829" xr:uid="{00000000-0005-0000-0000-0000160B0000}"/>
    <cellStyle name="60% - Accent6 2 46" xfId="3830" xr:uid="{00000000-0005-0000-0000-0000170B0000}"/>
    <cellStyle name="60% - Accent6 2 47" xfId="3831" xr:uid="{00000000-0005-0000-0000-0000180B0000}"/>
    <cellStyle name="60% - Accent6 2 48" xfId="3832" xr:uid="{00000000-0005-0000-0000-0000190B0000}"/>
    <cellStyle name="60% - Accent6 2 49" xfId="3833" xr:uid="{00000000-0005-0000-0000-00001A0B0000}"/>
    <cellStyle name="60% - Accent6 2 5" xfId="3834" xr:uid="{00000000-0005-0000-0000-00001B0B0000}"/>
    <cellStyle name="60% - Accent6 2 50" xfId="3835" xr:uid="{00000000-0005-0000-0000-00001C0B0000}"/>
    <cellStyle name="60% - Accent6 2 51" xfId="3836" xr:uid="{00000000-0005-0000-0000-00001D0B0000}"/>
    <cellStyle name="60% - Accent6 2 6" xfId="3837" xr:uid="{00000000-0005-0000-0000-00001E0B0000}"/>
    <cellStyle name="60% - Accent6 2 7" xfId="3838" xr:uid="{00000000-0005-0000-0000-00001F0B0000}"/>
    <cellStyle name="60% - Accent6 2 8" xfId="3839" xr:uid="{00000000-0005-0000-0000-0000200B0000}"/>
    <cellStyle name="60% - Accent6 2 9" xfId="3840" xr:uid="{00000000-0005-0000-0000-0000210B0000}"/>
    <cellStyle name="60% - Accent6 3" xfId="3841" xr:uid="{00000000-0005-0000-0000-0000220B0000}"/>
    <cellStyle name="60% - Accent6 3 2" xfId="3842" xr:uid="{00000000-0005-0000-0000-0000230B0000}"/>
    <cellStyle name="60% - Accent6 3 2 2" xfId="3843" xr:uid="{00000000-0005-0000-0000-0000240B0000}"/>
    <cellStyle name="60% - Accent6 3 3" xfId="3844" xr:uid="{00000000-0005-0000-0000-0000250B0000}"/>
    <cellStyle name="60% - Accent6 4" xfId="3845" xr:uid="{00000000-0005-0000-0000-0000260B0000}"/>
    <cellStyle name="60% - Accent6 4 2" xfId="3846" xr:uid="{00000000-0005-0000-0000-0000270B0000}"/>
    <cellStyle name="60% - Accent6 4 2 2" xfId="3847" xr:uid="{00000000-0005-0000-0000-0000280B0000}"/>
    <cellStyle name="60% - Accent6 4 3" xfId="3848" xr:uid="{00000000-0005-0000-0000-0000290B0000}"/>
    <cellStyle name="60% - Accent6 5" xfId="3849" xr:uid="{00000000-0005-0000-0000-00002A0B0000}"/>
    <cellStyle name="60% - Accent6 5 2" xfId="3850" xr:uid="{00000000-0005-0000-0000-00002B0B0000}"/>
    <cellStyle name="60% - Accent6 5 2 2" xfId="3851" xr:uid="{00000000-0005-0000-0000-00002C0B0000}"/>
    <cellStyle name="60% - Accent6 5 3" xfId="3852" xr:uid="{00000000-0005-0000-0000-00002D0B0000}"/>
    <cellStyle name="60% - Accent6 6" xfId="3853" xr:uid="{00000000-0005-0000-0000-00002E0B0000}"/>
    <cellStyle name="60% - Accent6 6 2" xfId="3854" xr:uid="{00000000-0005-0000-0000-00002F0B0000}"/>
    <cellStyle name="60% - Accent6 6 2 2" xfId="3855" xr:uid="{00000000-0005-0000-0000-0000300B0000}"/>
    <cellStyle name="60% - Accent6 6 3" xfId="3856" xr:uid="{00000000-0005-0000-0000-0000310B0000}"/>
    <cellStyle name="60% - Accent6 7" xfId="3857" xr:uid="{00000000-0005-0000-0000-0000320B0000}"/>
    <cellStyle name="60% - Accent6 7 2" xfId="3858" xr:uid="{00000000-0005-0000-0000-0000330B0000}"/>
    <cellStyle name="60% - Accent6 7 2 2" xfId="3859" xr:uid="{00000000-0005-0000-0000-0000340B0000}"/>
    <cellStyle name="60% - Accent6 7 3" xfId="3860" xr:uid="{00000000-0005-0000-0000-0000350B0000}"/>
    <cellStyle name="60% - Accent6 8" xfId="3861" xr:uid="{00000000-0005-0000-0000-0000360B0000}"/>
    <cellStyle name="60% - Accent6 8 2" xfId="3862" xr:uid="{00000000-0005-0000-0000-0000370B0000}"/>
    <cellStyle name="60% - Accent6 8 2 2" xfId="3863" xr:uid="{00000000-0005-0000-0000-0000380B0000}"/>
    <cellStyle name="60% - Accent6 8 3" xfId="3864" xr:uid="{00000000-0005-0000-0000-0000390B0000}"/>
    <cellStyle name="60% - Accent6 9" xfId="3865" xr:uid="{00000000-0005-0000-0000-00003A0B0000}"/>
    <cellStyle name="60% - Accent6 9 2" xfId="3866" xr:uid="{00000000-0005-0000-0000-00003B0B0000}"/>
    <cellStyle name="60% - Accent6 9 2 2" xfId="3867" xr:uid="{00000000-0005-0000-0000-00003C0B0000}"/>
    <cellStyle name="60% - Accent6 9 3" xfId="3868" xr:uid="{00000000-0005-0000-0000-00003D0B0000}"/>
    <cellStyle name="75" xfId="384" xr:uid="{00000000-0005-0000-0000-00003E0B0000}"/>
    <cellStyle name="75 2" xfId="1454" xr:uid="{00000000-0005-0000-0000-00003F0B0000}"/>
    <cellStyle name="A4 Small 210 x 297 mm" xfId="385" xr:uid="{00000000-0005-0000-0000-0000400B0000}"/>
    <cellStyle name="Accent1 10" xfId="3869" xr:uid="{00000000-0005-0000-0000-0000410B0000}"/>
    <cellStyle name="Accent1 10 2" xfId="3870" xr:uid="{00000000-0005-0000-0000-0000420B0000}"/>
    <cellStyle name="Accent1 10 2 2" xfId="3871" xr:uid="{00000000-0005-0000-0000-0000430B0000}"/>
    <cellStyle name="Accent1 10 3" xfId="3872" xr:uid="{00000000-0005-0000-0000-0000440B0000}"/>
    <cellStyle name="Accent1 11" xfId="3873" xr:uid="{00000000-0005-0000-0000-0000450B0000}"/>
    <cellStyle name="Accent1 11 2" xfId="3874" xr:uid="{00000000-0005-0000-0000-0000460B0000}"/>
    <cellStyle name="Accent1 12" xfId="3875" xr:uid="{00000000-0005-0000-0000-0000470B0000}"/>
    <cellStyle name="Accent1 2" xfId="386" xr:uid="{00000000-0005-0000-0000-0000480B0000}"/>
    <cellStyle name="Accent1 2 10" xfId="3876" xr:uid="{00000000-0005-0000-0000-0000490B0000}"/>
    <cellStyle name="Accent1 2 11" xfId="3877" xr:uid="{00000000-0005-0000-0000-00004A0B0000}"/>
    <cellStyle name="Accent1 2 12" xfId="3878" xr:uid="{00000000-0005-0000-0000-00004B0B0000}"/>
    <cellStyle name="Accent1 2 13" xfId="3879" xr:uid="{00000000-0005-0000-0000-00004C0B0000}"/>
    <cellStyle name="Accent1 2 14" xfId="3880" xr:uid="{00000000-0005-0000-0000-00004D0B0000}"/>
    <cellStyle name="Accent1 2 15" xfId="3881" xr:uid="{00000000-0005-0000-0000-00004E0B0000}"/>
    <cellStyle name="Accent1 2 16" xfId="3882" xr:uid="{00000000-0005-0000-0000-00004F0B0000}"/>
    <cellStyle name="Accent1 2 17" xfId="3883" xr:uid="{00000000-0005-0000-0000-0000500B0000}"/>
    <cellStyle name="Accent1 2 18" xfId="3884" xr:uid="{00000000-0005-0000-0000-0000510B0000}"/>
    <cellStyle name="Accent1 2 19" xfId="3885" xr:uid="{00000000-0005-0000-0000-0000520B0000}"/>
    <cellStyle name="Accent1 2 2" xfId="3886" xr:uid="{00000000-0005-0000-0000-0000530B0000}"/>
    <cellStyle name="Accent1 2 2 2" xfId="3887" xr:uid="{00000000-0005-0000-0000-0000540B0000}"/>
    <cellStyle name="Accent1 2 2 3" xfId="3888" xr:uid="{00000000-0005-0000-0000-0000550B0000}"/>
    <cellStyle name="Accent1 2 20" xfId="3889" xr:uid="{00000000-0005-0000-0000-0000560B0000}"/>
    <cellStyle name="Accent1 2 21" xfId="3890" xr:uid="{00000000-0005-0000-0000-0000570B0000}"/>
    <cellStyle name="Accent1 2 22" xfId="3891" xr:uid="{00000000-0005-0000-0000-0000580B0000}"/>
    <cellStyle name="Accent1 2 23" xfId="3892" xr:uid="{00000000-0005-0000-0000-0000590B0000}"/>
    <cellStyle name="Accent1 2 24" xfId="3893" xr:uid="{00000000-0005-0000-0000-00005A0B0000}"/>
    <cellStyle name="Accent1 2 25" xfId="3894" xr:uid="{00000000-0005-0000-0000-00005B0B0000}"/>
    <cellStyle name="Accent1 2 26" xfId="3895" xr:uid="{00000000-0005-0000-0000-00005C0B0000}"/>
    <cellStyle name="Accent1 2 27" xfId="3896" xr:uid="{00000000-0005-0000-0000-00005D0B0000}"/>
    <cellStyle name="Accent1 2 28" xfId="3897" xr:uid="{00000000-0005-0000-0000-00005E0B0000}"/>
    <cellStyle name="Accent1 2 29" xfId="3898" xr:uid="{00000000-0005-0000-0000-00005F0B0000}"/>
    <cellStyle name="Accent1 2 3" xfId="3899" xr:uid="{00000000-0005-0000-0000-0000600B0000}"/>
    <cellStyle name="Accent1 2 3 2" xfId="3900" xr:uid="{00000000-0005-0000-0000-0000610B0000}"/>
    <cellStyle name="Accent1 2 30" xfId="3901" xr:uid="{00000000-0005-0000-0000-0000620B0000}"/>
    <cellStyle name="Accent1 2 31" xfId="3902" xr:uid="{00000000-0005-0000-0000-0000630B0000}"/>
    <cellStyle name="Accent1 2 32" xfId="3903" xr:uid="{00000000-0005-0000-0000-0000640B0000}"/>
    <cellStyle name="Accent1 2 33" xfId="3904" xr:uid="{00000000-0005-0000-0000-0000650B0000}"/>
    <cellStyle name="Accent1 2 34" xfId="3905" xr:uid="{00000000-0005-0000-0000-0000660B0000}"/>
    <cellStyle name="Accent1 2 35" xfId="3906" xr:uid="{00000000-0005-0000-0000-0000670B0000}"/>
    <cellStyle name="Accent1 2 36" xfId="3907" xr:uid="{00000000-0005-0000-0000-0000680B0000}"/>
    <cellStyle name="Accent1 2 37" xfId="3908" xr:uid="{00000000-0005-0000-0000-0000690B0000}"/>
    <cellStyle name="Accent1 2 38" xfId="3909" xr:uid="{00000000-0005-0000-0000-00006A0B0000}"/>
    <cellStyle name="Accent1 2 39" xfId="3910" xr:uid="{00000000-0005-0000-0000-00006B0B0000}"/>
    <cellStyle name="Accent1 2 4" xfId="3911" xr:uid="{00000000-0005-0000-0000-00006C0B0000}"/>
    <cellStyle name="Accent1 2 40" xfId="3912" xr:uid="{00000000-0005-0000-0000-00006D0B0000}"/>
    <cellStyle name="Accent1 2 41" xfId="3913" xr:uid="{00000000-0005-0000-0000-00006E0B0000}"/>
    <cellStyle name="Accent1 2 42" xfId="3914" xr:uid="{00000000-0005-0000-0000-00006F0B0000}"/>
    <cellStyle name="Accent1 2 43" xfId="3915" xr:uid="{00000000-0005-0000-0000-0000700B0000}"/>
    <cellStyle name="Accent1 2 44" xfId="3916" xr:uid="{00000000-0005-0000-0000-0000710B0000}"/>
    <cellStyle name="Accent1 2 45" xfId="3917" xr:uid="{00000000-0005-0000-0000-0000720B0000}"/>
    <cellStyle name="Accent1 2 46" xfId="3918" xr:uid="{00000000-0005-0000-0000-0000730B0000}"/>
    <cellStyle name="Accent1 2 47" xfId="3919" xr:uid="{00000000-0005-0000-0000-0000740B0000}"/>
    <cellStyle name="Accent1 2 48" xfId="3920" xr:uid="{00000000-0005-0000-0000-0000750B0000}"/>
    <cellStyle name="Accent1 2 49" xfId="3921" xr:uid="{00000000-0005-0000-0000-0000760B0000}"/>
    <cellStyle name="Accent1 2 5" xfId="3922" xr:uid="{00000000-0005-0000-0000-0000770B0000}"/>
    <cellStyle name="Accent1 2 6" xfId="3923" xr:uid="{00000000-0005-0000-0000-0000780B0000}"/>
    <cellStyle name="Accent1 2 7" xfId="3924" xr:uid="{00000000-0005-0000-0000-0000790B0000}"/>
    <cellStyle name="Accent1 2 8" xfId="3925" xr:uid="{00000000-0005-0000-0000-00007A0B0000}"/>
    <cellStyle name="Accent1 2 9" xfId="3926" xr:uid="{00000000-0005-0000-0000-00007B0B0000}"/>
    <cellStyle name="Accent1 3" xfId="3927" xr:uid="{00000000-0005-0000-0000-00007C0B0000}"/>
    <cellStyle name="Accent1 3 2" xfId="3928" xr:uid="{00000000-0005-0000-0000-00007D0B0000}"/>
    <cellStyle name="Accent1 3 2 2" xfId="3929" xr:uid="{00000000-0005-0000-0000-00007E0B0000}"/>
    <cellStyle name="Accent1 3 3" xfId="3930" xr:uid="{00000000-0005-0000-0000-00007F0B0000}"/>
    <cellStyle name="Accent1 4" xfId="3931" xr:uid="{00000000-0005-0000-0000-0000800B0000}"/>
    <cellStyle name="Accent1 4 2" xfId="3932" xr:uid="{00000000-0005-0000-0000-0000810B0000}"/>
    <cellStyle name="Accent1 4 2 2" xfId="3933" xr:uid="{00000000-0005-0000-0000-0000820B0000}"/>
    <cellStyle name="Accent1 4 3" xfId="3934" xr:uid="{00000000-0005-0000-0000-0000830B0000}"/>
    <cellStyle name="Accent1 5" xfId="3935" xr:uid="{00000000-0005-0000-0000-0000840B0000}"/>
    <cellStyle name="Accent1 5 2" xfId="3936" xr:uid="{00000000-0005-0000-0000-0000850B0000}"/>
    <cellStyle name="Accent1 5 2 2" xfId="3937" xr:uid="{00000000-0005-0000-0000-0000860B0000}"/>
    <cellStyle name="Accent1 5 3" xfId="3938" xr:uid="{00000000-0005-0000-0000-0000870B0000}"/>
    <cellStyle name="Accent1 6" xfId="3939" xr:uid="{00000000-0005-0000-0000-0000880B0000}"/>
    <cellStyle name="Accent1 6 2" xfId="3940" xr:uid="{00000000-0005-0000-0000-0000890B0000}"/>
    <cellStyle name="Accent1 6 2 2" xfId="3941" xr:uid="{00000000-0005-0000-0000-00008A0B0000}"/>
    <cellStyle name="Accent1 6 3" xfId="3942" xr:uid="{00000000-0005-0000-0000-00008B0B0000}"/>
    <cellStyle name="Accent1 7" xfId="3943" xr:uid="{00000000-0005-0000-0000-00008C0B0000}"/>
    <cellStyle name="Accent1 7 2" xfId="3944" xr:uid="{00000000-0005-0000-0000-00008D0B0000}"/>
    <cellStyle name="Accent1 7 2 2" xfId="3945" xr:uid="{00000000-0005-0000-0000-00008E0B0000}"/>
    <cellStyle name="Accent1 7 3" xfId="3946" xr:uid="{00000000-0005-0000-0000-00008F0B0000}"/>
    <cellStyle name="Accent1 8" xfId="3947" xr:uid="{00000000-0005-0000-0000-0000900B0000}"/>
    <cellStyle name="Accent1 8 2" xfId="3948" xr:uid="{00000000-0005-0000-0000-0000910B0000}"/>
    <cellStyle name="Accent1 8 2 2" xfId="3949" xr:uid="{00000000-0005-0000-0000-0000920B0000}"/>
    <cellStyle name="Accent1 8 3" xfId="3950" xr:uid="{00000000-0005-0000-0000-0000930B0000}"/>
    <cellStyle name="Accent1 9" xfId="3951" xr:uid="{00000000-0005-0000-0000-0000940B0000}"/>
    <cellStyle name="Accent1 9 2" xfId="3952" xr:uid="{00000000-0005-0000-0000-0000950B0000}"/>
    <cellStyle name="Accent1 9 2 2" xfId="3953" xr:uid="{00000000-0005-0000-0000-0000960B0000}"/>
    <cellStyle name="Accent1 9 3" xfId="3954" xr:uid="{00000000-0005-0000-0000-0000970B0000}"/>
    <cellStyle name="Accent2 10" xfId="3955" xr:uid="{00000000-0005-0000-0000-0000980B0000}"/>
    <cellStyle name="Accent2 10 2" xfId="3956" xr:uid="{00000000-0005-0000-0000-0000990B0000}"/>
    <cellStyle name="Accent2 10 2 2" xfId="3957" xr:uid="{00000000-0005-0000-0000-00009A0B0000}"/>
    <cellStyle name="Accent2 10 3" xfId="3958" xr:uid="{00000000-0005-0000-0000-00009B0B0000}"/>
    <cellStyle name="Accent2 11" xfId="3959" xr:uid="{00000000-0005-0000-0000-00009C0B0000}"/>
    <cellStyle name="Accent2 11 2" xfId="3960" xr:uid="{00000000-0005-0000-0000-00009D0B0000}"/>
    <cellStyle name="Accent2 12" xfId="3961" xr:uid="{00000000-0005-0000-0000-00009E0B0000}"/>
    <cellStyle name="Accent2 2" xfId="387" xr:uid="{00000000-0005-0000-0000-00009F0B0000}"/>
    <cellStyle name="Accent2 2 10" xfId="3962" xr:uid="{00000000-0005-0000-0000-0000A00B0000}"/>
    <cellStyle name="Accent2 2 11" xfId="3963" xr:uid="{00000000-0005-0000-0000-0000A10B0000}"/>
    <cellStyle name="Accent2 2 12" xfId="3964" xr:uid="{00000000-0005-0000-0000-0000A20B0000}"/>
    <cellStyle name="Accent2 2 13" xfId="3965" xr:uid="{00000000-0005-0000-0000-0000A30B0000}"/>
    <cellStyle name="Accent2 2 14" xfId="3966" xr:uid="{00000000-0005-0000-0000-0000A40B0000}"/>
    <cellStyle name="Accent2 2 15" xfId="3967" xr:uid="{00000000-0005-0000-0000-0000A50B0000}"/>
    <cellStyle name="Accent2 2 16" xfId="3968" xr:uid="{00000000-0005-0000-0000-0000A60B0000}"/>
    <cellStyle name="Accent2 2 17" xfId="3969" xr:uid="{00000000-0005-0000-0000-0000A70B0000}"/>
    <cellStyle name="Accent2 2 18" xfId="3970" xr:uid="{00000000-0005-0000-0000-0000A80B0000}"/>
    <cellStyle name="Accent2 2 19" xfId="3971" xr:uid="{00000000-0005-0000-0000-0000A90B0000}"/>
    <cellStyle name="Accent2 2 2" xfId="3972" xr:uid="{00000000-0005-0000-0000-0000AA0B0000}"/>
    <cellStyle name="Accent2 2 2 2" xfId="3973" xr:uid="{00000000-0005-0000-0000-0000AB0B0000}"/>
    <cellStyle name="Accent2 2 2 3" xfId="3974" xr:uid="{00000000-0005-0000-0000-0000AC0B0000}"/>
    <cellStyle name="Accent2 2 20" xfId="3975" xr:uid="{00000000-0005-0000-0000-0000AD0B0000}"/>
    <cellStyle name="Accent2 2 21" xfId="3976" xr:uid="{00000000-0005-0000-0000-0000AE0B0000}"/>
    <cellStyle name="Accent2 2 22" xfId="3977" xr:uid="{00000000-0005-0000-0000-0000AF0B0000}"/>
    <cellStyle name="Accent2 2 23" xfId="3978" xr:uid="{00000000-0005-0000-0000-0000B00B0000}"/>
    <cellStyle name="Accent2 2 24" xfId="3979" xr:uid="{00000000-0005-0000-0000-0000B10B0000}"/>
    <cellStyle name="Accent2 2 25" xfId="3980" xr:uid="{00000000-0005-0000-0000-0000B20B0000}"/>
    <cellStyle name="Accent2 2 26" xfId="3981" xr:uid="{00000000-0005-0000-0000-0000B30B0000}"/>
    <cellStyle name="Accent2 2 27" xfId="3982" xr:uid="{00000000-0005-0000-0000-0000B40B0000}"/>
    <cellStyle name="Accent2 2 28" xfId="3983" xr:uid="{00000000-0005-0000-0000-0000B50B0000}"/>
    <cellStyle name="Accent2 2 29" xfId="3984" xr:uid="{00000000-0005-0000-0000-0000B60B0000}"/>
    <cellStyle name="Accent2 2 3" xfId="127" xr:uid="{00000000-0005-0000-0000-0000B70B0000}"/>
    <cellStyle name="Accent2 2 3 2" xfId="3986" xr:uid="{00000000-0005-0000-0000-0000B80B0000}"/>
    <cellStyle name="Accent2 2 3 3" xfId="3985" xr:uid="{00000000-0005-0000-0000-0000B90B0000}"/>
    <cellStyle name="Accent2 2 30" xfId="3987" xr:uid="{00000000-0005-0000-0000-0000BA0B0000}"/>
    <cellStyle name="Accent2 2 31" xfId="3988" xr:uid="{00000000-0005-0000-0000-0000BB0B0000}"/>
    <cellStyle name="Accent2 2 32" xfId="3989" xr:uid="{00000000-0005-0000-0000-0000BC0B0000}"/>
    <cellStyle name="Accent2 2 33" xfId="3990" xr:uid="{00000000-0005-0000-0000-0000BD0B0000}"/>
    <cellStyle name="Accent2 2 34" xfId="3991" xr:uid="{00000000-0005-0000-0000-0000BE0B0000}"/>
    <cellStyle name="Accent2 2 35" xfId="3992" xr:uid="{00000000-0005-0000-0000-0000BF0B0000}"/>
    <cellStyle name="Accent2 2 36" xfId="3993" xr:uid="{00000000-0005-0000-0000-0000C00B0000}"/>
    <cellStyle name="Accent2 2 37" xfId="3994" xr:uid="{00000000-0005-0000-0000-0000C10B0000}"/>
    <cellStyle name="Accent2 2 38" xfId="3995" xr:uid="{00000000-0005-0000-0000-0000C20B0000}"/>
    <cellStyle name="Accent2 2 39" xfId="3996" xr:uid="{00000000-0005-0000-0000-0000C30B0000}"/>
    <cellStyle name="Accent2 2 4" xfId="3997" xr:uid="{00000000-0005-0000-0000-0000C40B0000}"/>
    <cellStyle name="Accent2 2 40" xfId="3998" xr:uid="{00000000-0005-0000-0000-0000C50B0000}"/>
    <cellStyle name="Accent2 2 41" xfId="3999" xr:uid="{00000000-0005-0000-0000-0000C60B0000}"/>
    <cellStyle name="Accent2 2 42" xfId="4000" xr:uid="{00000000-0005-0000-0000-0000C70B0000}"/>
    <cellStyle name="Accent2 2 43" xfId="4001" xr:uid="{00000000-0005-0000-0000-0000C80B0000}"/>
    <cellStyle name="Accent2 2 44" xfId="4002" xr:uid="{00000000-0005-0000-0000-0000C90B0000}"/>
    <cellStyle name="Accent2 2 45" xfId="4003" xr:uid="{00000000-0005-0000-0000-0000CA0B0000}"/>
    <cellStyle name="Accent2 2 46" xfId="4004" xr:uid="{00000000-0005-0000-0000-0000CB0B0000}"/>
    <cellStyle name="Accent2 2 47" xfId="4005" xr:uid="{00000000-0005-0000-0000-0000CC0B0000}"/>
    <cellStyle name="Accent2 2 48" xfId="4006" xr:uid="{00000000-0005-0000-0000-0000CD0B0000}"/>
    <cellStyle name="Accent2 2 49" xfId="4007" xr:uid="{00000000-0005-0000-0000-0000CE0B0000}"/>
    <cellStyle name="Accent2 2 5" xfId="4008" xr:uid="{00000000-0005-0000-0000-0000CF0B0000}"/>
    <cellStyle name="Accent2 2 6" xfId="4009" xr:uid="{00000000-0005-0000-0000-0000D00B0000}"/>
    <cellStyle name="Accent2 2 7" xfId="4010" xr:uid="{00000000-0005-0000-0000-0000D10B0000}"/>
    <cellStyle name="Accent2 2 8" xfId="4011" xr:uid="{00000000-0005-0000-0000-0000D20B0000}"/>
    <cellStyle name="Accent2 2 9" xfId="4012" xr:uid="{00000000-0005-0000-0000-0000D30B0000}"/>
    <cellStyle name="Accent2 3" xfId="4013" xr:uid="{00000000-0005-0000-0000-0000D40B0000}"/>
    <cellStyle name="Accent2 3 2" xfId="4014" xr:uid="{00000000-0005-0000-0000-0000D50B0000}"/>
    <cellStyle name="Accent2 3 2 2" xfId="4015" xr:uid="{00000000-0005-0000-0000-0000D60B0000}"/>
    <cellStyle name="Accent2 3 3" xfId="4016" xr:uid="{00000000-0005-0000-0000-0000D70B0000}"/>
    <cellStyle name="Accent2 4" xfId="4017" xr:uid="{00000000-0005-0000-0000-0000D80B0000}"/>
    <cellStyle name="Accent2 4 2" xfId="4018" xr:uid="{00000000-0005-0000-0000-0000D90B0000}"/>
    <cellStyle name="Accent2 4 2 2" xfId="4019" xr:uid="{00000000-0005-0000-0000-0000DA0B0000}"/>
    <cellStyle name="Accent2 4 3" xfId="4020" xr:uid="{00000000-0005-0000-0000-0000DB0B0000}"/>
    <cellStyle name="Accent2 5" xfId="4021" xr:uid="{00000000-0005-0000-0000-0000DC0B0000}"/>
    <cellStyle name="Accent2 5 2" xfId="4022" xr:uid="{00000000-0005-0000-0000-0000DD0B0000}"/>
    <cellStyle name="Accent2 5 2 2" xfId="4023" xr:uid="{00000000-0005-0000-0000-0000DE0B0000}"/>
    <cellStyle name="Accent2 5 3" xfId="4024" xr:uid="{00000000-0005-0000-0000-0000DF0B0000}"/>
    <cellStyle name="Accent2 6" xfId="4025" xr:uid="{00000000-0005-0000-0000-0000E00B0000}"/>
    <cellStyle name="Accent2 6 2" xfId="4026" xr:uid="{00000000-0005-0000-0000-0000E10B0000}"/>
    <cellStyle name="Accent2 6 2 2" xfId="4027" xr:uid="{00000000-0005-0000-0000-0000E20B0000}"/>
    <cellStyle name="Accent2 6 3" xfId="4028" xr:uid="{00000000-0005-0000-0000-0000E30B0000}"/>
    <cellStyle name="Accent2 7" xfId="4029" xr:uid="{00000000-0005-0000-0000-0000E40B0000}"/>
    <cellStyle name="Accent2 7 2" xfId="4030" xr:uid="{00000000-0005-0000-0000-0000E50B0000}"/>
    <cellStyle name="Accent2 7 2 2" xfId="4031" xr:uid="{00000000-0005-0000-0000-0000E60B0000}"/>
    <cellStyle name="Accent2 7 3" xfId="4032" xr:uid="{00000000-0005-0000-0000-0000E70B0000}"/>
    <cellStyle name="Accent2 8" xfId="4033" xr:uid="{00000000-0005-0000-0000-0000E80B0000}"/>
    <cellStyle name="Accent2 8 2" xfId="4034" xr:uid="{00000000-0005-0000-0000-0000E90B0000}"/>
    <cellStyle name="Accent2 8 2 2" xfId="4035" xr:uid="{00000000-0005-0000-0000-0000EA0B0000}"/>
    <cellStyle name="Accent2 8 3" xfId="4036" xr:uid="{00000000-0005-0000-0000-0000EB0B0000}"/>
    <cellStyle name="Accent2 9" xfId="4037" xr:uid="{00000000-0005-0000-0000-0000EC0B0000}"/>
    <cellStyle name="Accent2 9 2" xfId="4038" xr:uid="{00000000-0005-0000-0000-0000ED0B0000}"/>
    <cellStyle name="Accent2 9 2 2" xfId="4039" xr:uid="{00000000-0005-0000-0000-0000EE0B0000}"/>
    <cellStyle name="Accent2 9 3" xfId="4040" xr:uid="{00000000-0005-0000-0000-0000EF0B0000}"/>
    <cellStyle name="Accent3 10" xfId="4041" xr:uid="{00000000-0005-0000-0000-0000F00B0000}"/>
    <cellStyle name="Accent3 10 2" xfId="4042" xr:uid="{00000000-0005-0000-0000-0000F10B0000}"/>
    <cellStyle name="Accent3 10 2 2" xfId="4043" xr:uid="{00000000-0005-0000-0000-0000F20B0000}"/>
    <cellStyle name="Accent3 10 3" xfId="4044" xr:uid="{00000000-0005-0000-0000-0000F30B0000}"/>
    <cellStyle name="Accent3 11" xfId="4045" xr:uid="{00000000-0005-0000-0000-0000F40B0000}"/>
    <cellStyle name="Accent3 11 2" xfId="4046" xr:uid="{00000000-0005-0000-0000-0000F50B0000}"/>
    <cellStyle name="Accent3 12" xfId="4047" xr:uid="{00000000-0005-0000-0000-0000F60B0000}"/>
    <cellStyle name="Accent3 2" xfId="388" xr:uid="{00000000-0005-0000-0000-0000F70B0000}"/>
    <cellStyle name="Accent3 2 10" xfId="4048" xr:uid="{00000000-0005-0000-0000-0000F80B0000}"/>
    <cellStyle name="Accent3 2 11" xfId="4049" xr:uid="{00000000-0005-0000-0000-0000F90B0000}"/>
    <cellStyle name="Accent3 2 12" xfId="4050" xr:uid="{00000000-0005-0000-0000-0000FA0B0000}"/>
    <cellStyle name="Accent3 2 13" xfId="4051" xr:uid="{00000000-0005-0000-0000-0000FB0B0000}"/>
    <cellStyle name="Accent3 2 14" xfId="4052" xr:uid="{00000000-0005-0000-0000-0000FC0B0000}"/>
    <cellStyle name="Accent3 2 15" xfId="4053" xr:uid="{00000000-0005-0000-0000-0000FD0B0000}"/>
    <cellStyle name="Accent3 2 16" xfId="4054" xr:uid="{00000000-0005-0000-0000-0000FE0B0000}"/>
    <cellStyle name="Accent3 2 17" xfId="4055" xr:uid="{00000000-0005-0000-0000-0000FF0B0000}"/>
    <cellStyle name="Accent3 2 18" xfId="4056" xr:uid="{00000000-0005-0000-0000-0000000C0000}"/>
    <cellStyle name="Accent3 2 19" xfId="4057" xr:uid="{00000000-0005-0000-0000-0000010C0000}"/>
    <cellStyle name="Accent3 2 2" xfId="4058" xr:uid="{00000000-0005-0000-0000-0000020C0000}"/>
    <cellStyle name="Accent3 2 2 2" xfId="4059" xr:uid="{00000000-0005-0000-0000-0000030C0000}"/>
    <cellStyle name="Accent3 2 2 3" xfId="4060" xr:uid="{00000000-0005-0000-0000-0000040C0000}"/>
    <cellStyle name="Accent3 2 20" xfId="4061" xr:uid="{00000000-0005-0000-0000-0000050C0000}"/>
    <cellStyle name="Accent3 2 21" xfId="4062" xr:uid="{00000000-0005-0000-0000-0000060C0000}"/>
    <cellStyle name="Accent3 2 22" xfId="4063" xr:uid="{00000000-0005-0000-0000-0000070C0000}"/>
    <cellStyle name="Accent3 2 23" xfId="4064" xr:uid="{00000000-0005-0000-0000-0000080C0000}"/>
    <cellStyle name="Accent3 2 24" xfId="4065" xr:uid="{00000000-0005-0000-0000-0000090C0000}"/>
    <cellStyle name="Accent3 2 25" xfId="4066" xr:uid="{00000000-0005-0000-0000-00000A0C0000}"/>
    <cellStyle name="Accent3 2 26" xfId="4067" xr:uid="{00000000-0005-0000-0000-00000B0C0000}"/>
    <cellStyle name="Accent3 2 27" xfId="4068" xr:uid="{00000000-0005-0000-0000-00000C0C0000}"/>
    <cellStyle name="Accent3 2 28" xfId="4069" xr:uid="{00000000-0005-0000-0000-00000D0C0000}"/>
    <cellStyle name="Accent3 2 29" xfId="4070" xr:uid="{00000000-0005-0000-0000-00000E0C0000}"/>
    <cellStyle name="Accent3 2 3" xfId="4071" xr:uid="{00000000-0005-0000-0000-00000F0C0000}"/>
    <cellStyle name="Accent3 2 3 2" xfId="4072" xr:uid="{00000000-0005-0000-0000-0000100C0000}"/>
    <cellStyle name="Accent3 2 30" xfId="4073" xr:uid="{00000000-0005-0000-0000-0000110C0000}"/>
    <cellStyle name="Accent3 2 31" xfId="4074" xr:uid="{00000000-0005-0000-0000-0000120C0000}"/>
    <cellStyle name="Accent3 2 32" xfId="4075" xr:uid="{00000000-0005-0000-0000-0000130C0000}"/>
    <cellStyle name="Accent3 2 33" xfId="4076" xr:uid="{00000000-0005-0000-0000-0000140C0000}"/>
    <cellStyle name="Accent3 2 34" xfId="4077" xr:uid="{00000000-0005-0000-0000-0000150C0000}"/>
    <cellStyle name="Accent3 2 35" xfId="4078" xr:uid="{00000000-0005-0000-0000-0000160C0000}"/>
    <cellStyle name="Accent3 2 36" xfId="4079" xr:uid="{00000000-0005-0000-0000-0000170C0000}"/>
    <cellStyle name="Accent3 2 37" xfId="4080" xr:uid="{00000000-0005-0000-0000-0000180C0000}"/>
    <cellStyle name="Accent3 2 38" xfId="4081" xr:uid="{00000000-0005-0000-0000-0000190C0000}"/>
    <cellStyle name="Accent3 2 39" xfId="4082" xr:uid="{00000000-0005-0000-0000-00001A0C0000}"/>
    <cellStyle name="Accent3 2 4" xfId="4083" xr:uid="{00000000-0005-0000-0000-00001B0C0000}"/>
    <cellStyle name="Accent3 2 40" xfId="4084" xr:uid="{00000000-0005-0000-0000-00001C0C0000}"/>
    <cellStyle name="Accent3 2 41" xfId="4085" xr:uid="{00000000-0005-0000-0000-00001D0C0000}"/>
    <cellStyle name="Accent3 2 42" xfId="4086" xr:uid="{00000000-0005-0000-0000-00001E0C0000}"/>
    <cellStyle name="Accent3 2 43" xfId="4087" xr:uid="{00000000-0005-0000-0000-00001F0C0000}"/>
    <cellStyle name="Accent3 2 44" xfId="4088" xr:uid="{00000000-0005-0000-0000-0000200C0000}"/>
    <cellStyle name="Accent3 2 45" xfId="4089" xr:uid="{00000000-0005-0000-0000-0000210C0000}"/>
    <cellStyle name="Accent3 2 46" xfId="4090" xr:uid="{00000000-0005-0000-0000-0000220C0000}"/>
    <cellStyle name="Accent3 2 47" xfId="4091" xr:uid="{00000000-0005-0000-0000-0000230C0000}"/>
    <cellStyle name="Accent3 2 48" xfId="4092" xr:uid="{00000000-0005-0000-0000-0000240C0000}"/>
    <cellStyle name="Accent3 2 49" xfId="4093" xr:uid="{00000000-0005-0000-0000-0000250C0000}"/>
    <cellStyle name="Accent3 2 5" xfId="4094" xr:uid="{00000000-0005-0000-0000-0000260C0000}"/>
    <cellStyle name="Accent3 2 6" xfId="4095" xr:uid="{00000000-0005-0000-0000-0000270C0000}"/>
    <cellStyle name="Accent3 2 7" xfId="4096" xr:uid="{00000000-0005-0000-0000-0000280C0000}"/>
    <cellStyle name="Accent3 2 8" xfId="4097" xr:uid="{00000000-0005-0000-0000-0000290C0000}"/>
    <cellStyle name="Accent3 2 9" xfId="4098" xr:uid="{00000000-0005-0000-0000-00002A0C0000}"/>
    <cellStyle name="Accent3 3" xfId="4099" xr:uid="{00000000-0005-0000-0000-00002B0C0000}"/>
    <cellStyle name="Accent3 3 2" xfId="4100" xr:uid="{00000000-0005-0000-0000-00002C0C0000}"/>
    <cellStyle name="Accent3 3 2 2" xfId="4101" xr:uid="{00000000-0005-0000-0000-00002D0C0000}"/>
    <cellStyle name="Accent3 3 3" xfId="4102" xr:uid="{00000000-0005-0000-0000-00002E0C0000}"/>
    <cellStyle name="Accent3 4" xfId="4103" xr:uid="{00000000-0005-0000-0000-00002F0C0000}"/>
    <cellStyle name="Accent3 4 2" xfId="4104" xr:uid="{00000000-0005-0000-0000-0000300C0000}"/>
    <cellStyle name="Accent3 4 2 2" xfId="4105" xr:uid="{00000000-0005-0000-0000-0000310C0000}"/>
    <cellStyle name="Accent3 4 3" xfId="4106" xr:uid="{00000000-0005-0000-0000-0000320C0000}"/>
    <cellStyle name="Accent3 5" xfId="4107" xr:uid="{00000000-0005-0000-0000-0000330C0000}"/>
    <cellStyle name="Accent3 5 2" xfId="4108" xr:uid="{00000000-0005-0000-0000-0000340C0000}"/>
    <cellStyle name="Accent3 5 2 2" xfId="4109" xr:uid="{00000000-0005-0000-0000-0000350C0000}"/>
    <cellStyle name="Accent3 5 3" xfId="4110" xr:uid="{00000000-0005-0000-0000-0000360C0000}"/>
    <cellStyle name="Accent3 6" xfId="4111" xr:uid="{00000000-0005-0000-0000-0000370C0000}"/>
    <cellStyle name="Accent3 6 2" xfId="4112" xr:uid="{00000000-0005-0000-0000-0000380C0000}"/>
    <cellStyle name="Accent3 6 2 2" xfId="4113" xr:uid="{00000000-0005-0000-0000-0000390C0000}"/>
    <cellStyle name="Accent3 6 3" xfId="4114" xr:uid="{00000000-0005-0000-0000-00003A0C0000}"/>
    <cellStyle name="Accent3 7" xfId="4115" xr:uid="{00000000-0005-0000-0000-00003B0C0000}"/>
    <cellStyle name="Accent3 7 2" xfId="4116" xr:uid="{00000000-0005-0000-0000-00003C0C0000}"/>
    <cellStyle name="Accent3 7 2 2" xfId="4117" xr:uid="{00000000-0005-0000-0000-00003D0C0000}"/>
    <cellStyle name="Accent3 7 3" xfId="4118" xr:uid="{00000000-0005-0000-0000-00003E0C0000}"/>
    <cellStyle name="Accent3 8" xfId="4119" xr:uid="{00000000-0005-0000-0000-00003F0C0000}"/>
    <cellStyle name="Accent3 8 2" xfId="4120" xr:uid="{00000000-0005-0000-0000-0000400C0000}"/>
    <cellStyle name="Accent3 8 2 2" xfId="4121" xr:uid="{00000000-0005-0000-0000-0000410C0000}"/>
    <cellStyle name="Accent3 8 3" xfId="4122" xr:uid="{00000000-0005-0000-0000-0000420C0000}"/>
    <cellStyle name="Accent3 9" xfId="4123" xr:uid="{00000000-0005-0000-0000-0000430C0000}"/>
    <cellStyle name="Accent3 9 2" xfId="4124" xr:uid="{00000000-0005-0000-0000-0000440C0000}"/>
    <cellStyle name="Accent3 9 2 2" xfId="4125" xr:uid="{00000000-0005-0000-0000-0000450C0000}"/>
    <cellStyle name="Accent3 9 3" xfId="4126" xr:uid="{00000000-0005-0000-0000-0000460C0000}"/>
    <cellStyle name="Accent4 10" xfId="4127" xr:uid="{00000000-0005-0000-0000-0000470C0000}"/>
    <cellStyle name="Accent4 10 2" xfId="4128" xr:uid="{00000000-0005-0000-0000-0000480C0000}"/>
    <cellStyle name="Accent4 10 2 2" xfId="4129" xr:uid="{00000000-0005-0000-0000-0000490C0000}"/>
    <cellStyle name="Accent4 10 3" xfId="4130" xr:uid="{00000000-0005-0000-0000-00004A0C0000}"/>
    <cellStyle name="Accent4 11" xfId="4131" xr:uid="{00000000-0005-0000-0000-00004B0C0000}"/>
    <cellStyle name="Accent4 11 2" xfId="4132" xr:uid="{00000000-0005-0000-0000-00004C0C0000}"/>
    <cellStyle name="Accent4 12" xfId="4133" xr:uid="{00000000-0005-0000-0000-00004D0C0000}"/>
    <cellStyle name="Accent4 2" xfId="389" xr:uid="{00000000-0005-0000-0000-00004E0C0000}"/>
    <cellStyle name="Accent4 2 10" xfId="4134" xr:uid="{00000000-0005-0000-0000-00004F0C0000}"/>
    <cellStyle name="Accent4 2 11" xfId="4135" xr:uid="{00000000-0005-0000-0000-0000500C0000}"/>
    <cellStyle name="Accent4 2 12" xfId="4136" xr:uid="{00000000-0005-0000-0000-0000510C0000}"/>
    <cellStyle name="Accent4 2 13" xfId="4137" xr:uid="{00000000-0005-0000-0000-0000520C0000}"/>
    <cellStyle name="Accent4 2 14" xfId="4138" xr:uid="{00000000-0005-0000-0000-0000530C0000}"/>
    <cellStyle name="Accent4 2 15" xfId="4139" xr:uid="{00000000-0005-0000-0000-0000540C0000}"/>
    <cellStyle name="Accent4 2 16" xfId="4140" xr:uid="{00000000-0005-0000-0000-0000550C0000}"/>
    <cellStyle name="Accent4 2 17" xfId="4141" xr:uid="{00000000-0005-0000-0000-0000560C0000}"/>
    <cellStyle name="Accent4 2 18" xfId="4142" xr:uid="{00000000-0005-0000-0000-0000570C0000}"/>
    <cellStyle name="Accent4 2 19" xfId="4143" xr:uid="{00000000-0005-0000-0000-0000580C0000}"/>
    <cellStyle name="Accent4 2 2" xfId="4144" xr:uid="{00000000-0005-0000-0000-0000590C0000}"/>
    <cellStyle name="Accent4 2 2 2" xfId="4145" xr:uid="{00000000-0005-0000-0000-00005A0C0000}"/>
    <cellStyle name="Accent4 2 2 3" xfId="4146" xr:uid="{00000000-0005-0000-0000-00005B0C0000}"/>
    <cellStyle name="Accent4 2 20" xfId="4147" xr:uid="{00000000-0005-0000-0000-00005C0C0000}"/>
    <cellStyle name="Accent4 2 21" xfId="4148" xr:uid="{00000000-0005-0000-0000-00005D0C0000}"/>
    <cellStyle name="Accent4 2 22" xfId="4149" xr:uid="{00000000-0005-0000-0000-00005E0C0000}"/>
    <cellStyle name="Accent4 2 23" xfId="4150" xr:uid="{00000000-0005-0000-0000-00005F0C0000}"/>
    <cellStyle name="Accent4 2 24" xfId="4151" xr:uid="{00000000-0005-0000-0000-0000600C0000}"/>
    <cellStyle name="Accent4 2 25" xfId="4152" xr:uid="{00000000-0005-0000-0000-0000610C0000}"/>
    <cellStyle name="Accent4 2 26" xfId="4153" xr:uid="{00000000-0005-0000-0000-0000620C0000}"/>
    <cellStyle name="Accent4 2 27" xfId="4154" xr:uid="{00000000-0005-0000-0000-0000630C0000}"/>
    <cellStyle name="Accent4 2 28" xfId="4155" xr:uid="{00000000-0005-0000-0000-0000640C0000}"/>
    <cellStyle name="Accent4 2 29" xfId="4156" xr:uid="{00000000-0005-0000-0000-0000650C0000}"/>
    <cellStyle name="Accent4 2 3" xfId="4157" xr:uid="{00000000-0005-0000-0000-0000660C0000}"/>
    <cellStyle name="Accent4 2 3 2" xfId="4158" xr:uid="{00000000-0005-0000-0000-0000670C0000}"/>
    <cellStyle name="Accent4 2 30" xfId="4159" xr:uid="{00000000-0005-0000-0000-0000680C0000}"/>
    <cellStyle name="Accent4 2 31" xfId="4160" xr:uid="{00000000-0005-0000-0000-0000690C0000}"/>
    <cellStyle name="Accent4 2 32" xfId="4161" xr:uid="{00000000-0005-0000-0000-00006A0C0000}"/>
    <cellStyle name="Accent4 2 33" xfId="4162" xr:uid="{00000000-0005-0000-0000-00006B0C0000}"/>
    <cellStyle name="Accent4 2 34" xfId="4163" xr:uid="{00000000-0005-0000-0000-00006C0C0000}"/>
    <cellStyle name="Accent4 2 35" xfId="4164" xr:uid="{00000000-0005-0000-0000-00006D0C0000}"/>
    <cellStyle name="Accent4 2 36" xfId="4165" xr:uid="{00000000-0005-0000-0000-00006E0C0000}"/>
    <cellStyle name="Accent4 2 37" xfId="4166" xr:uid="{00000000-0005-0000-0000-00006F0C0000}"/>
    <cellStyle name="Accent4 2 38" xfId="4167" xr:uid="{00000000-0005-0000-0000-0000700C0000}"/>
    <cellStyle name="Accent4 2 39" xfId="4168" xr:uid="{00000000-0005-0000-0000-0000710C0000}"/>
    <cellStyle name="Accent4 2 4" xfId="4169" xr:uid="{00000000-0005-0000-0000-0000720C0000}"/>
    <cellStyle name="Accent4 2 40" xfId="4170" xr:uid="{00000000-0005-0000-0000-0000730C0000}"/>
    <cellStyle name="Accent4 2 41" xfId="4171" xr:uid="{00000000-0005-0000-0000-0000740C0000}"/>
    <cellStyle name="Accent4 2 42" xfId="4172" xr:uid="{00000000-0005-0000-0000-0000750C0000}"/>
    <cellStyle name="Accent4 2 43" xfId="4173" xr:uid="{00000000-0005-0000-0000-0000760C0000}"/>
    <cellStyle name="Accent4 2 44" xfId="4174" xr:uid="{00000000-0005-0000-0000-0000770C0000}"/>
    <cellStyle name="Accent4 2 45" xfId="4175" xr:uid="{00000000-0005-0000-0000-0000780C0000}"/>
    <cellStyle name="Accent4 2 46" xfId="4176" xr:uid="{00000000-0005-0000-0000-0000790C0000}"/>
    <cellStyle name="Accent4 2 47" xfId="4177" xr:uid="{00000000-0005-0000-0000-00007A0C0000}"/>
    <cellStyle name="Accent4 2 48" xfId="4178" xr:uid="{00000000-0005-0000-0000-00007B0C0000}"/>
    <cellStyle name="Accent4 2 49" xfId="4179" xr:uid="{00000000-0005-0000-0000-00007C0C0000}"/>
    <cellStyle name="Accent4 2 5" xfId="4180" xr:uid="{00000000-0005-0000-0000-00007D0C0000}"/>
    <cellStyle name="Accent4 2 6" xfId="4181" xr:uid="{00000000-0005-0000-0000-00007E0C0000}"/>
    <cellStyle name="Accent4 2 7" xfId="4182" xr:uid="{00000000-0005-0000-0000-00007F0C0000}"/>
    <cellStyle name="Accent4 2 8" xfId="4183" xr:uid="{00000000-0005-0000-0000-0000800C0000}"/>
    <cellStyle name="Accent4 2 9" xfId="4184" xr:uid="{00000000-0005-0000-0000-0000810C0000}"/>
    <cellStyle name="Accent4 3" xfId="4185" xr:uid="{00000000-0005-0000-0000-0000820C0000}"/>
    <cellStyle name="Accent4 3 2" xfId="4186" xr:uid="{00000000-0005-0000-0000-0000830C0000}"/>
    <cellStyle name="Accent4 3 2 2" xfId="4187" xr:uid="{00000000-0005-0000-0000-0000840C0000}"/>
    <cellStyle name="Accent4 3 3" xfId="4188" xr:uid="{00000000-0005-0000-0000-0000850C0000}"/>
    <cellStyle name="Accent4 4" xfId="4189" xr:uid="{00000000-0005-0000-0000-0000860C0000}"/>
    <cellStyle name="Accent4 4 2" xfId="4190" xr:uid="{00000000-0005-0000-0000-0000870C0000}"/>
    <cellStyle name="Accent4 4 2 2" xfId="4191" xr:uid="{00000000-0005-0000-0000-0000880C0000}"/>
    <cellStyle name="Accent4 4 3" xfId="4192" xr:uid="{00000000-0005-0000-0000-0000890C0000}"/>
    <cellStyle name="Accent4 5" xfId="4193" xr:uid="{00000000-0005-0000-0000-00008A0C0000}"/>
    <cellStyle name="Accent4 5 2" xfId="4194" xr:uid="{00000000-0005-0000-0000-00008B0C0000}"/>
    <cellStyle name="Accent4 5 2 2" xfId="4195" xr:uid="{00000000-0005-0000-0000-00008C0C0000}"/>
    <cellStyle name="Accent4 5 3" xfId="4196" xr:uid="{00000000-0005-0000-0000-00008D0C0000}"/>
    <cellStyle name="Accent4 6" xfId="4197" xr:uid="{00000000-0005-0000-0000-00008E0C0000}"/>
    <cellStyle name="Accent4 6 2" xfId="4198" xr:uid="{00000000-0005-0000-0000-00008F0C0000}"/>
    <cellStyle name="Accent4 6 2 2" xfId="4199" xr:uid="{00000000-0005-0000-0000-0000900C0000}"/>
    <cellStyle name="Accent4 6 3" xfId="4200" xr:uid="{00000000-0005-0000-0000-0000910C0000}"/>
    <cellStyle name="Accent4 7" xfId="4201" xr:uid="{00000000-0005-0000-0000-0000920C0000}"/>
    <cellStyle name="Accent4 7 2" xfId="4202" xr:uid="{00000000-0005-0000-0000-0000930C0000}"/>
    <cellStyle name="Accent4 7 2 2" xfId="4203" xr:uid="{00000000-0005-0000-0000-0000940C0000}"/>
    <cellStyle name="Accent4 7 3" xfId="4204" xr:uid="{00000000-0005-0000-0000-0000950C0000}"/>
    <cellStyle name="Accent4 8" xfId="4205" xr:uid="{00000000-0005-0000-0000-0000960C0000}"/>
    <cellStyle name="Accent4 8 2" xfId="4206" xr:uid="{00000000-0005-0000-0000-0000970C0000}"/>
    <cellStyle name="Accent4 8 2 2" xfId="4207" xr:uid="{00000000-0005-0000-0000-0000980C0000}"/>
    <cellStyle name="Accent4 8 3" xfId="4208" xr:uid="{00000000-0005-0000-0000-0000990C0000}"/>
    <cellStyle name="Accent4 9" xfId="4209" xr:uid="{00000000-0005-0000-0000-00009A0C0000}"/>
    <cellStyle name="Accent4 9 2" xfId="4210" xr:uid="{00000000-0005-0000-0000-00009B0C0000}"/>
    <cellStyle name="Accent4 9 2 2" xfId="4211" xr:uid="{00000000-0005-0000-0000-00009C0C0000}"/>
    <cellStyle name="Accent4 9 3" xfId="4212" xr:uid="{00000000-0005-0000-0000-00009D0C0000}"/>
    <cellStyle name="Accent5 10" xfId="4213" xr:uid="{00000000-0005-0000-0000-00009E0C0000}"/>
    <cellStyle name="Accent5 10 2" xfId="4214" xr:uid="{00000000-0005-0000-0000-00009F0C0000}"/>
    <cellStyle name="Accent5 10 2 2" xfId="4215" xr:uid="{00000000-0005-0000-0000-0000A00C0000}"/>
    <cellStyle name="Accent5 10 3" xfId="4216" xr:uid="{00000000-0005-0000-0000-0000A10C0000}"/>
    <cellStyle name="Accent5 11" xfId="4217" xr:uid="{00000000-0005-0000-0000-0000A20C0000}"/>
    <cellStyle name="Accent5 11 2" xfId="4218" xr:uid="{00000000-0005-0000-0000-0000A30C0000}"/>
    <cellStyle name="Accent5 12" xfId="4219" xr:uid="{00000000-0005-0000-0000-0000A40C0000}"/>
    <cellStyle name="Accent5 2" xfId="390" xr:uid="{00000000-0005-0000-0000-0000A50C0000}"/>
    <cellStyle name="Accent5 2 10" xfId="4220" xr:uid="{00000000-0005-0000-0000-0000A60C0000}"/>
    <cellStyle name="Accent5 2 11" xfId="4221" xr:uid="{00000000-0005-0000-0000-0000A70C0000}"/>
    <cellStyle name="Accent5 2 12" xfId="4222" xr:uid="{00000000-0005-0000-0000-0000A80C0000}"/>
    <cellStyle name="Accent5 2 13" xfId="4223" xr:uid="{00000000-0005-0000-0000-0000A90C0000}"/>
    <cellStyle name="Accent5 2 14" xfId="4224" xr:uid="{00000000-0005-0000-0000-0000AA0C0000}"/>
    <cellStyle name="Accent5 2 15" xfId="4225" xr:uid="{00000000-0005-0000-0000-0000AB0C0000}"/>
    <cellStyle name="Accent5 2 16" xfId="4226" xr:uid="{00000000-0005-0000-0000-0000AC0C0000}"/>
    <cellStyle name="Accent5 2 17" xfId="4227" xr:uid="{00000000-0005-0000-0000-0000AD0C0000}"/>
    <cellStyle name="Accent5 2 18" xfId="4228" xr:uid="{00000000-0005-0000-0000-0000AE0C0000}"/>
    <cellStyle name="Accent5 2 19" xfId="4229" xr:uid="{00000000-0005-0000-0000-0000AF0C0000}"/>
    <cellStyle name="Accent5 2 2" xfId="4230" xr:uid="{00000000-0005-0000-0000-0000B00C0000}"/>
    <cellStyle name="Accent5 2 2 2" xfId="4231" xr:uid="{00000000-0005-0000-0000-0000B10C0000}"/>
    <cellStyle name="Accent5 2 2 3" xfId="4232" xr:uid="{00000000-0005-0000-0000-0000B20C0000}"/>
    <cellStyle name="Accent5 2 20" xfId="4233" xr:uid="{00000000-0005-0000-0000-0000B30C0000}"/>
    <cellStyle name="Accent5 2 21" xfId="4234" xr:uid="{00000000-0005-0000-0000-0000B40C0000}"/>
    <cellStyle name="Accent5 2 22" xfId="4235" xr:uid="{00000000-0005-0000-0000-0000B50C0000}"/>
    <cellStyle name="Accent5 2 23" xfId="4236" xr:uid="{00000000-0005-0000-0000-0000B60C0000}"/>
    <cellStyle name="Accent5 2 24" xfId="4237" xr:uid="{00000000-0005-0000-0000-0000B70C0000}"/>
    <cellStyle name="Accent5 2 25" xfId="4238" xr:uid="{00000000-0005-0000-0000-0000B80C0000}"/>
    <cellStyle name="Accent5 2 26" xfId="4239" xr:uid="{00000000-0005-0000-0000-0000B90C0000}"/>
    <cellStyle name="Accent5 2 27" xfId="4240" xr:uid="{00000000-0005-0000-0000-0000BA0C0000}"/>
    <cellStyle name="Accent5 2 28" xfId="4241" xr:uid="{00000000-0005-0000-0000-0000BB0C0000}"/>
    <cellStyle name="Accent5 2 29" xfId="4242" xr:uid="{00000000-0005-0000-0000-0000BC0C0000}"/>
    <cellStyle name="Accent5 2 3" xfId="4243" xr:uid="{00000000-0005-0000-0000-0000BD0C0000}"/>
    <cellStyle name="Accent5 2 3 2" xfId="4244" xr:uid="{00000000-0005-0000-0000-0000BE0C0000}"/>
    <cellStyle name="Accent5 2 30" xfId="4245" xr:uid="{00000000-0005-0000-0000-0000BF0C0000}"/>
    <cellStyle name="Accent5 2 31" xfId="4246" xr:uid="{00000000-0005-0000-0000-0000C00C0000}"/>
    <cellStyle name="Accent5 2 32" xfId="4247" xr:uid="{00000000-0005-0000-0000-0000C10C0000}"/>
    <cellStyle name="Accent5 2 33" xfId="4248" xr:uid="{00000000-0005-0000-0000-0000C20C0000}"/>
    <cellStyle name="Accent5 2 34" xfId="4249" xr:uid="{00000000-0005-0000-0000-0000C30C0000}"/>
    <cellStyle name="Accent5 2 35" xfId="4250" xr:uid="{00000000-0005-0000-0000-0000C40C0000}"/>
    <cellStyle name="Accent5 2 36" xfId="4251" xr:uid="{00000000-0005-0000-0000-0000C50C0000}"/>
    <cellStyle name="Accent5 2 37" xfId="4252" xr:uid="{00000000-0005-0000-0000-0000C60C0000}"/>
    <cellStyle name="Accent5 2 38" xfId="4253" xr:uid="{00000000-0005-0000-0000-0000C70C0000}"/>
    <cellStyle name="Accent5 2 39" xfId="4254" xr:uid="{00000000-0005-0000-0000-0000C80C0000}"/>
    <cellStyle name="Accent5 2 4" xfId="4255" xr:uid="{00000000-0005-0000-0000-0000C90C0000}"/>
    <cellStyle name="Accent5 2 40" xfId="4256" xr:uid="{00000000-0005-0000-0000-0000CA0C0000}"/>
    <cellStyle name="Accent5 2 41" xfId="4257" xr:uid="{00000000-0005-0000-0000-0000CB0C0000}"/>
    <cellStyle name="Accent5 2 42" xfId="4258" xr:uid="{00000000-0005-0000-0000-0000CC0C0000}"/>
    <cellStyle name="Accent5 2 43" xfId="4259" xr:uid="{00000000-0005-0000-0000-0000CD0C0000}"/>
    <cellStyle name="Accent5 2 44" xfId="4260" xr:uid="{00000000-0005-0000-0000-0000CE0C0000}"/>
    <cellStyle name="Accent5 2 45" xfId="4261" xr:uid="{00000000-0005-0000-0000-0000CF0C0000}"/>
    <cellStyle name="Accent5 2 46" xfId="4262" xr:uid="{00000000-0005-0000-0000-0000D00C0000}"/>
    <cellStyle name="Accent5 2 47" xfId="4263" xr:uid="{00000000-0005-0000-0000-0000D10C0000}"/>
    <cellStyle name="Accent5 2 48" xfId="4264" xr:uid="{00000000-0005-0000-0000-0000D20C0000}"/>
    <cellStyle name="Accent5 2 49" xfId="4265" xr:uid="{00000000-0005-0000-0000-0000D30C0000}"/>
    <cellStyle name="Accent5 2 5" xfId="4266" xr:uid="{00000000-0005-0000-0000-0000D40C0000}"/>
    <cellStyle name="Accent5 2 6" xfId="4267" xr:uid="{00000000-0005-0000-0000-0000D50C0000}"/>
    <cellStyle name="Accent5 2 7" xfId="4268" xr:uid="{00000000-0005-0000-0000-0000D60C0000}"/>
    <cellStyle name="Accent5 2 8" xfId="4269" xr:uid="{00000000-0005-0000-0000-0000D70C0000}"/>
    <cellStyle name="Accent5 2 9" xfId="4270" xr:uid="{00000000-0005-0000-0000-0000D80C0000}"/>
    <cellStyle name="Accent5 3" xfId="4271" xr:uid="{00000000-0005-0000-0000-0000D90C0000}"/>
    <cellStyle name="Accent5 3 2" xfId="4272" xr:uid="{00000000-0005-0000-0000-0000DA0C0000}"/>
    <cellStyle name="Accent5 3 2 2" xfId="4273" xr:uid="{00000000-0005-0000-0000-0000DB0C0000}"/>
    <cellStyle name="Accent5 3 3" xfId="4274" xr:uid="{00000000-0005-0000-0000-0000DC0C0000}"/>
    <cellStyle name="Accent5 4" xfId="4275" xr:uid="{00000000-0005-0000-0000-0000DD0C0000}"/>
    <cellStyle name="Accent5 4 2" xfId="4276" xr:uid="{00000000-0005-0000-0000-0000DE0C0000}"/>
    <cellStyle name="Accent5 4 2 2" xfId="4277" xr:uid="{00000000-0005-0000-0000-0000DF0C0000}"/>
    <cellStyle name="Accent5 4 3" xfId="4278" xr:uid="{00000000-0005-0000-0000-0000E00C0000}"/>
    <cellStyle name="Accent5 5" xfId="4279" xr:uid="{00000000-0005-0000-0000-0000E10C0000}"/>
    <cellStyle name="Accent5 5 2" xfId="4280" xr:uid="{00000000-0005-0000-0000-0000E20C0000}"/>
    <cellStyle name="Accent5 5 2 2" xfId="4281" xr:uid="{00000000-0005-0000-0000-0000E30C0000}"/>
    <cellStyle name="Accent5 5 3" xfId="4282" xr:uid="{00000000-0005-0000-0000-0000E40C0000}"/>
    <cellStyle name="Accent5 6" xfId="4283" xr:uid="{00000000-0005-0000-0000-0000E50C0000}"/>
    <cellStyle name="Accent5 6 2" xfId="4284" xr:uid="{00000000-0005-0000-0000-0000E60C0000}"/>
    <cellStyle name="Accent5 6 2 2" xfId="4285" xr:uid="{00000000-0005-0000-0000-0000E70C0000}"/>
    <cellStyle name="Accent5 6 3" xfId="4286" xr:uid="{00000000-0005-0000-0000-0000E80C0000}"/>
    <cellStyle name="Accent5 7" xfId="4287" xr:uid="{00000000-0005-0000-0000-0000E90C0000}"/>
    <cellStyle name="Accent5 7 2" xfId="4288" xr:uid="{00000000-0005-0000-0000-0000EA0C0000}"/>
    <cellStyle name="Accent5 7 2 2" xfId="4289" xr:uid="{00000000-0005-0000-0000-0000EB0C0000}"/>
    <cellStyle name="Accent5 7 3" xfId="4290" xr:uid="{00000000-0005-0000-0000-0000EC0C0000}"/>
    <cellStyle name="Accent5 8" xfId="4291" xr:uid="{00000000-0005-0000-0000-0000ED0C0000}"/>
    <cellStyle name="Accent5 8 2" xfId="4292" xr:uid="{00000000-0005-0000-0000-0000EE0C0000}"/>
    <cellStyle name="Accent5 8 2 2" xfId="4293" xr:uid="{00000000-0005-0000-0000-0000EF0C0000}"/>
    <cellStyle name="Accent5 8 3" xfId="4294" xr:uid="{00000000-0005-0000-0000-0000F00C0000}"/>
    <cellStyle name="Accent5 9" xfId="4295" xr:uid="{00000000-0005-0000-0000-0000F10C0000}"/>
    <cellStyle name="Accent5 9 2" xfId="4296" xr:uid="{00000000-0005-0000-0000-0000F20C0000}"/>
    <cellStyle name="Accent5 9 2 2" xfId="4297" xr:uid="{00000000-0005-0000-0000-0000F30C0000}"/>
    <cellStyle name="Accent5 9 3" xfId="4298" xr:uid="{00000000-0005-0000-0000-0000F40C0000}"/>
    <cellStyle name="Accent6 10" xfId="135" xr:uid="{00000000-0005-0000-0000-0000F50C0000}"/>
    <cellStyle name="Accent6 10 2" xfId="4300" xr:uid="{00000000-0005-0000-0000-0000F60C0000}"/>
    <cellStyle name="Accent6 10 2 2" xfId="4301" xr:uid="{00000000-0005-0000-0000-0000F70C0000}"/>
    <cellStyle name="Accent6 10 3" xfId="4302" xr:uid="{00000000-0005-0000-0000-0000F80C0000}"/>
    <cellStyle name="Accent6 10 4" xfId="4299" xr:uid="{00000000-0005-0000-0000-0000F90C0000}"/>
    <cellStyle name="Accent6 11" xfId="4303" xr:uid="{00000000-0005-0000-0000-0000FA0C0000}"/>
    <cellStyle name="Accent6 11 2" xfId="4304" xr:uid="{00000000-0005-0000-0000-0000FB0C0000}"/>
    <cellStyle name="Accent6 12" xfId="4305" xr:uid="{00000000-0005-0000-0000-0000FC0C0000}"/>
    <cellStyle name="Accent6 2" xfId="391" xr:uid="{00000000-0005-0000-0000-0000FD0C0000}"/>
    <cellStyle name="Accent6 2 10" xfId="4306" xr:uid="{00000000-0005-0000-0000-0000FE0C0000}"/>
    <cellStyle name="Accent6 2 11" xfId="4307" xr:uid="{00000000-0005-0000-0000-0000FF0C0000}"/>
    <cellStyle name="Accent6 2 12" xfId="4308" xr:uid="{00000000-0005-0000-0000-0000000D0000}"/>
    <cellStyle name="Accent6 2 13" xfId="4309" xr:uid="{00000000-0005-0000-0000-0000010D0000}"/>
    <cellStyle name="Accent6 2 14" xfId="4310" xr:uid="{00000000-0005-0000-0000-0000020D0000}"/>
    <cellStyle name="Accent6 2 15" xfId="4311" xr:uid="{00000000-0005-0000-0000-0000030D0000}"/>
    <cellStyle name="Accent6 2 16" xfId="4312" xr:uid="{00000000-0005-0000-0000-0000040D0000}"/>
    <cellStyle name="Accent6 2 17" xfId="4313" xr:uid="{00000000-0005-0000-0000-0000050D0000}"/>
    <cellStyle name="Accent6 2 18" xfId="4314" xr:uid="{00000000-0005-0000-0000-0000060D0000}"/>
    <cellStyle name="Accent6 2 19" xfId="4315" xr:uid="{00000000-0005-0000-0000-0000070D0000}"/>
    <cellStyle name="Accent6 2 2" xfId="392" xr:uid="{00000000-0005-0000-0000-0000080D0000}"/>
    <cellStyle name="Accent6 2 2 2" xfId="4317" xr:uid="{00000000-0005-0000-0000-0000090D0000}"/>
    <cellStyle name="Accent6 2 2 3" xfId="4318" xr:uid="{00000000-0005-0000-0000-00000A0D0000}"/>
    <cellStyle name="Accent6 2 2 4" xfId="4316" xr:uid="{00000000-0005-0000-0000-00000B0D0000}"/>
    <cellStyle name="Accent6 2 20" xfId="4319" xr:uid="{00000000-0005-0000-0000-00000C0D0000}"/>
    <cellStyle name="Accent6 2 21" xfId="4320" xr:uid="{00000000-0005-0000-0000-00000D0D0000}"/>
    <cellStyle name="Accent6 2 22" xfId="4321" xr:uid="{00000000-0005-0000-0000-00000E0D0000}"/>
    <cellStyle name="Accent6 2 23" xfId="4322" xr:uid="{00000000-0005-0000-0000-00000F0D0000}"/>
    <cellStyle name="Accent6 2 24" xfId="4323" xr:uid="{00000000-0005-0000-0000-0000100D0000}"/>
    <cellStyle name="Accent6 2 25" xfId="4324" xr:uid="{00000000-0005-0000-0000-0000110D0000}"/>
    <cellStyle name="Accent6 2 26" xfId="4325" xr:uid="{00000000-0005-0000-0000-0000120D0000}"/>
    <cellStyle name="Accent6 2 27" xfId="4326" xr:uid="{00000000-0005-0000-0000-0000130D0000}"/>
    <cellStyle name="Accent6 2 28" xfId="4327" xr:uid="{00000000-0005-0000-0000-0000140D0000}"/>
    <cellStyle name="Accent6 2 29" xfId="4328" xr:uid="{00000000-0005-0000-0000-0000150D0000}"/>
    <cellStyle name="Accent6 2 3" xfId="4329" xr:uid="{00000000-0005-0000-0000-0000160D0000}"/>
    <cellStyle name="Accent6 2 3 2" xfId="4330" xr:uid="{00000000-0005-0000-0000-0000170D0000}"/>
    <cellStyle name="Accent6 2 30" xfId="4331" xr:uid="{00000000-0005-0000-0000-0000180D0000}"/>
    <cellStyle name="Accent6 2 31" xfId="4332" xr:uid="{00000000-0005-0000-0000-0000190D0000}"/>
    <cellStyle name="Accent6 2 32" xfId="4333" xr:uid="{00000000-0005-0000-0000-00001A0D0000}"/>
    <cellStyle name="Accent6 2 33" xfId="4334" xr:uid="{00000000-0005-0000-0000-00001B0D0000}"/>
    <cellStyle name="Accent6 2 34" xfId="4335" xr:uid="{00000000-0005-0000-0000-00001C0D0000}"/>
    <cellStyle name="Accent6 2 35" xfId="4336" xr:uid="{00000000-0005-0000-0000-00001D0D0000}"/>
    <cellStyle name="Accent6 2 36" xfId="4337" xr:uid="{00000000-0005-0000-0000-00001E0D0000}"/>
    <cellStyle name="Accent6 2 37" xfId="4338" xr:uid="{00000000-0005-0000-0000-00001F0D0000}"/>
    <cellStyle name="Accent6 2 38" xfId="4339" xr:uid="{00000000-0005-0000-0000-0000200D0000}"/>
    <cellStyle name="Accent6 2 39" xfId="4340" xr:uid="{00000000-0005-0000-0000-0000210D0000}"/>
    <cellStyle name="Accent6 2 4" xfId="4341" xr:uid="{00000000-0005-0000-0000-0000220D0000}"/>
    <cellStyle name="Accent6 2 40" xfId="4342" xr:uid="{00000000-0005-0000-0000-0000230D0000}"/>
    <cellStyle name="Accent6 2 41" xfId="4343" xr:uid="{00000000-0005-0000-0000-0000240D0000}"/>
    <cellStyle name="Accent6 2 42" xfId="4344" xr:uid="{00000000-0005-0000-0000-0000250D0000}"/>
    <cellStyle name="Accent6 2 43" xfId="4345" xr:uid="{00000000-0005-0000-0000-0000260D0000}"/>
    <cellStyle name="Accent6 2 44" xfId="4346" xr:uid="{00000000-0005-0000-0000-0000270D0000}"/>
    <cellStyle name="Accent6 2 45" xfId="4347" xr:uid="{00000000-0005-0000-0000-0000280D0000}"/>
    <cellStyle name="Accent6 2 46" xfId="4348" xr:uid="{00000000-0005-0000-0000-0000290D0000}"/>
    <cellStyle name="Accent6 2 47" xfId="4349" xr:uid="{00000000-0005-0000-0000-00002A0D0000}"/>
    <cellStyle name="Accent6 2 48" xfId="4350" xr:uid="{00000000-0005-0000-0000-00002B0D0000}"/>
    <cellStyle name="Accent6 2 49" xfId="4351" xr:uid="{00000000-0005-0000-0000-00002C0D0000}"/>
    <cellStyle name="Accent6 2 5" xfId="4352" xr:uid="{00000000-0005-0000-0000-00002D0D0000}"/>
    <cellStyle name="Accent6 2 6" xfId="4353" xr:uid="{00000000-0005-0000-0000-00002E0D0000}"/>
    <cellStyle name="Accent6 2 7" xfId="4354" xr:uid="{00000000-0005-0000-0000-00002F0D0000}"/>
    <cellStyle name="Accent6 2 8" xfId="4355" xr:uid="{00000000-0005-0000-0000-0000300D0000}"/>
    <cellStyle name="Accent6 2 9" xfId="4356" xr:uid="{00000000-0005-0000-0000-0000310D0000}"/>
    <cellStyle name="Accent6 3" xfId="4357" xr:uid="{00000000-0005-0000-0000-0000320D0000}"/>
    <cellStyle name="Accent6 3 2" xfId="4358" xr:uid="{00000000-0005-0000-0000-0000330D0000}"/>
    <cellStyle name="Accent6 3 2 2" xfId="4359" xr:uid="{00000000-0005-0000-0000-0000340D0000}"/>
    <cellStyle name="Accent6 3 3" xfId="4360" xr:uid="{00000000-0005-0000-0000-0000350D0000}"/>
    <cellStyle name="Accent6 4" xfId="4361" xr:uid="{00000000-0005-0000-0000-0000360D0000}"/>
    <cellStyle name="Accent6 4 2" xfId="4362" xr:uid="{00000000-0005-0000-0000-0000370D0000}"/>
    <cellStyle name="Accent6 4 2 2" xfId="4363" xr:uid="{00000000-0005-0000-0000-0000380D0000}"/>
    <cellStyle name="Accent6 4 3" xfId="4364" xr:uid="{00000000-0005-0000-0000-0000390D0000}"/>
    <cellStyle name="Accent6 5" xfId="4365" xr:uid="{00000000-0005-0000-0000-00003A0D0000}"/>
    <cellStyle name="Accent6 5 2" xfId="4366" xr:uid="{00000000-0005-0000-0000-00003B0D0000}"/>
    <cellStyle name="Accent6 5 2 2" xfId="4367" xr:uid="{00000000-0005-0000-0000-00003C0D0000}"/>
    <cellStyle name="Accent6 5 3" xfId="4368" xr:uid="{00000000-0005-0000-0000-00003D0D0000}"/>
    <cellStyle name="Accent6 6" xfId="4369" xr:uid="{00000000-0005-0000-0000-00003E0D0000}"/>
    <cellStyle name="Accent6 6 2" xfId="4370" xr:uid="{00000000-0005-0000-0000-00003F0D0000}"/>
    <cellStyle name="Accent6 6 2 2" xfId="4371" xr:uid="{00000000-0005-0000-0000-0000400D0000}"/>
    <cellStyle name="Accent6 6 3" xfId="4372" xr:uid="{00000000-0005-0000-0000-0000410D0000}"/>
    <cellStyle name="Accent6 7" xfId="4373" xr:uid="{00000000-0005-0000-0000-0000420D0000}"/>
    <cellStyle name="Accent6 7 2" xfId="4374" xr:uid="{00000000-0005-0000-0000-0000430D0000}"/>
    <cellStyle name="Accent6 7 2 2" xfId="4375" xr:uid="{00000000-0005-0000-0000-0000440D0000}"/>
    <cellStyle name="Accent6 7 3" xfId="4376" xr:uid="{00000000-0005-0000-0000-0000450D0000}"/>
    <cellStyle name="Accent6 8" xfId="4377" xr:uid="{00000000-0005-0000-0000-0000460D0000}"/>
    <cellStyle name="Accent6 8 2" xfId="4378" xr:uid="{00000000-0005-0000-0000-0000470D0000}"/>
    <cellStyle name="Accent6 8 2 2" xfId="4379" xr:uid="{00000000-0005-0000-0000-0000480D0000}"/>
    <cellStyle name="Accent6 8 3" xfId="4380" xr:uid="{00000000-0005-0000-0000-0000490D0000}"/>
    <cellStyle name="Accent6 9" xfId="4381" xr:uid="{00000000-0005-0000-0000-00004A0D0000}"/>
    <cellStyle name="Accent6 9 2" xfId="4382" xr:uid="{00000000-0005-0000-0000-00004B0D0000}"/>
    <cellStyle name="Accent6 9 2 2" xfId="4383" xr:uid="{00000000-0005-0000-0000-00004C0D0000}"/>
    <cellStyle name="Accent6 9 3" xfId="4384" xr:uid="{00000000-0005-0000-0000-00004D0D0000}"/>
    <cellStyle name="ÅëÈ­ [0]_±âÅ¸" xfId="393" xr:uid="{00000000-0005-0000-0000-00004E0D0000}"/>
    <cellStyle name="ÅëÈ­_±âÅ¸" xfId="394" xr:uid="{00000000-0005-0000-0000-00004F0D0000}"/>
    <cellStyle name="AMAR1" xfId="395" xr:uid="{00000000-0005-0000-0000-0000500D0000}"/>
    <cellStyle name="Arial1 - Style1" xfId="396" xr:uid="{00000000-0005-0000-0000-0000510D0000}"/>
    <cellStyle name="Arial1 - Style2" xfId="397" xr:uid="{00000000-0005-0000-0000-0000520D0000}"/>
    <cellStyle name="Arial10" xfId="398" xr:uid="{00000000-0005-0000-0000-0000530D0000}"/>
    <cellStyle name="ÄÞ¸¶ [0]_±âÅ¸" xfId="399" xr:uid="{00000000-0005-0000-0000-0000540D0000}"/>
    <cellStyle name="ÄÞ¸¶_±âÅ¸" xfId="400" xr:uid="{00000000-0005-0000-0000-0000550D0000}"/>
    <cellStyle name="b1x" xfId="401" xr:uid="{00000000-0005-0000-0000-0000560D0000}"/>
    <cellStyle name="Bad 10" xfId="4385" xr:uid="{00000000-0005-0000-0000-0000570D0000}"/>
    <cellStyle name="Bad 10 2" xfId="4386" xr:uid="{00000000-0005-0000-0000-0000580D0000}"/>
    <cellStyle name="Bad 10 2 2" xfId="4387" xr:uid="{00000000-0005-0000-0000-0000590D0000}"/>
    <cellStyle name="Bad 10 3" xfId="4388" xr:uid="{00000000-0005-0000-0000-00005A0D0000}"/>
    <cellStyle name="Bad 11" xfId="4389" xr:uid="{00000000-0005-0000-0000-00005B0D0000}"/>
    <cellStyle name="Bad 11 2" xfId="4390" xr:uid="{00000000-0005-0000-0000-00005C0D0000}"/>
    <cellStyle name="Bad 12" xfId="4391" xr:uid="{00000000-0005-0000-0000-00005D0D0000}"/>
    <cellStyle name="Bad 2" xfId="402" xr:uid="{00000000-0005-0000-0000-00005E0D0000}"/>
    <cellStyle name="Bad 2 10" xfId="4392" xr:uid="{00000000-0005-0000-0000-00005F0D0000}"/>
    <cellStyle name="Bad 2 11" xfId="4393" xr:uid="{00000000-0005-0000-0000-0000600D0000}"/>
    <cellStyle name="Bad 2 12" xfId="4394" xr:uid="{00000000-0005-0000-0000-0000610D0000}"/>
    <cellStyle name="Bad 2 13" xfId="4395" xr:uid="{00000000-0005-0000-0000-0000620D0000}"/>
    <cellStyle name="Bad 2 14" xfId="4396" xr:uid="{00000000-0005-0000-0000-0000630D0000}"/>
    <cellStyle name="Bad 2 15" xfId="4397" xr:uid="{00000000-0005-0000-0000-0000640D0000}"/>
    <cellStyle name="Bad 2 16" xfId="4398" xr:uid="{00000000-0005-0000-0000-0000650D0000}"/>
    <cellStyle name="Bad 2 17" xfId="4399" xr:uid="{00000000-0005-0000-0000-0000660D0000}"/>
    <cellStyle name="Bad 2 18" xfId="4400" xr:uid="{00000000-0005-0000-0000-0000670D0000}"/>
    <cellStyle name="Bad 2 19" xfId="4401" xr:uid="{00000000-0005-0000-0000-0000680D0000}"/>
    <cellStyle name="Bad 2 2" xfId="4402" xr:uid="{00000000-0005-0000-0000-0000690D0000}"/>
    <cellStyle name="Bad 2 2 2" xfId="4403" xr:uid="{00000000-0005-0000-0000-00006A0D0000}"/>
    <cellStyle name="Bad 2 2 3" xfId="4404" xr:uid="{00000000-0005-0000-0000-00006B0D0000}"/>
    <cellStyle name="Bad 2 20" xfId="4405" xr:uid="{00000000-0005-0000-0000-00006C0D0000}"/>
    <cellStyle name="Bad 2 21" xfId="4406" xr:uid="{00000000-0005-0000-0000-00006D0D0000}"/>
    <cellStyle name="Bad 2 22" xfId="4407" xr:uid="{00000000-0005-0000-0000-00006E0D0000}"/>
    <cellStyle name="Bad 2 23" xfId="4408" xr:uid="{00000000-0005-0000-0000-00006F0D0000}"/>
    <cellStyle name="Bad 2 24" xfId="4409" xr:uid="{00000000-0005-0000-0000-0000700D0000}"/>
    <cellStyle name="Bad 2 25" xfId="4410" xr:uid="{00000000-0005-0000-0000-0000710D0000}"/>
    <cellStyle name="Bad 2 26" xfId="4411" xr:uid="{00000000-0005-0000-0000-0000720D0000}"/>
    <cellStyle name="Bad 2 27" xfId="4412" xr:uid="{00000000-0005-0000-0000-0000730D0000}"/>
    <cellStyle name="Bad 2 28" xfId="4413" xr:uid="{00000000-0005-0000-0000-0000740D0000}"/>
    <cellStyle name="Bad 2 29" xfId="4414" xr:uid="{00000000-0005-0000-0000-0000750D0000}"/>
    <cellStyle name="Bad 2 3" xfId="4415" xr:uid="{00000000-0005-0000-0000-0000760D0000}"/>
    <cellStyle name="Bad 2 3 2" xfId="4416" xr:uid="{00000000-0005-0000-0000-0000770D0000}"/>
    <cellStyle name="Bad 2 30" xfId="4417" xr:uid="{00000000-0005-0000-0000-0000780D0000}"/>
    <cellStyle name="Bad 2 31" xfId="4418" xr:uid="{00000000-0005-0000-0000-0000790D0000}"/>
    <cellStyle name="Bad 2 32" xfId="4419" xr:uid="{00000000-0005-0000-0000-00007A0D0000}"/>
    <cellStyle name="Bad 2 33" xfId="4420" xr:uid="{00000000-0005-0000-0000-00007B0D0000}"/>
    <cellStyle name="Bad 2 34" xfId="4421" xr:uid="{00000000-0005-0000-0000-00007C0D0000}"/>
    <cellStyle name="Bad 2 35" xfId="4422" xr:uid="{00000000-0005-0000-0000-00007D0D0000}"/>
    <cellStyle name="Bad 2 36" xfId="4423" xr:uid="{00000000-0005-0000-0000-00007E0D0000}"/>
    <cellStyle name="Bad 2 37" xfId="4424" xr:uid="{00000000-0005-0000-0000-00007F0D0000}"/>
    <cellStyle name="Bad 2 38" xfId="4425" xr:uid="{00000000-0005-0000-0000-0000800D0000}"/>
    <cellStyle name="Bad 2 39" xfId="4426" xr:uid="{00000000-0005-0000-0000-0000810D0000}"/>
    <cellStyle name="Bad 2 4" xfId="4427" xr:uid="{00000000-0005-0000-0000-0000820D0000}"/>
    <cellStyle name="Bad 2 40" xfId="4428" xr:uid="{00000000-0005-0000-0000-0000830D0000}"/>
    <cellStyle name="Bad 2 41" xfId="4429" xr:uid="{00000000-0005-0000-0000-0000840D0000}"/>
    <cellStyle name="Bad 2 42" xfId="4430" xr:uid="{00000000-0005-0000-0000-0000850D0000}"/>
    <cellStyle name="Bad 2 43" xfId="4431" xr:uid="{00000000-0005-0000-0000-0000860D0000}"/>
    <cellStyle name="Bad 2 44" xfId="4432" xr:uid="{00000000-0005-0000-0000-0000870D0000}"/>
    <cellStyle name="Bad 2 45" xfId="4433" xr:uid="{00000000-0005-0000-0000-0000880D0000}"/>
    <cellStyle name="Bad 2 46" xfId="4434" xr:uid="{00000000-0005-0000-0000-0000890D0000}"/>
    <cellStyle name="Bad 2 47" xfId="4435" xr:uid="{00000000-0005-0000-0000-00008A0D0000}"/>
    <cellStyle name="Bad 2 48" xfId="4436" xr:uid="{00000000-0005-0000-0000-00008B0D0000}"/>
    <cellStyle name="Bad 2 49" xfId="4437" xr:uid="{00000000-0005-0000-0000-00008C0D0000}"/>
    <cellStyle name="Bad 2 5" xfId="4438" xr:uid="{00000000-0005-0000-0000-00008D0D0000}"/>
    <cellStyle name="Bad 2 6" xfId="4439" xr:uid="{00000000-0005-0000-0000-00008E0D0000}"/>
    <cellStyle name="Bad 2 7" xfId="4440" xr:uid="{00000000-0005-0000-0000-00008F0D0000}"/>
    <cellStyle name="Bad 2 8" xfId="4441" xr:uid="{00000000-0005-0000-0000-0000900D0000}"/>
    <cellStyle name="Bad 2 9" xfId="4442" xr:uid="{00000000-0005-0000-0000-0000910D0000}"/>
    <cellStyle name="Bad 3" xfId="4443" xr:uid="{00000000-0005-0000-0000-0000920D0000}"/>
    <cellStyle name="Bad 3 2" xfId="4444" xr:uid="{00000000-0005-0000-0000-0000930D0000}"/>
    <cellStyle name="Bad 3 2 2" xfId="4445" xr:uid="{00000000-0005-0000-0000-0000940D0000}"/>
    <cellStyle name="Bad 3 3" xfId="4446" xr:uid="{00000000-0005-0000-0000-0000950D0000}"/>
    <cellStyle name="Bad 4" xfId="4447" xr:uid="{00000000-0005-0000-0000-0000960D0000}"/>
    <cellStyle name="Bad 4 2" xfId="4448" xr:uid="{00000000-0005-0000-0000-0000970D0000}"/>
    <cellStyle name="Bad 4 2 2" xfId="4449" xr:uid="{00000000-0005-0000-0000-0000980D0000}"/>
    <cellStyle name="Bad 4 3" xfId="4450" xr:uid="{00000000-0005-0000-0000-0000990D0000}"/>
    <cellStyle name="Bad 5" xfId="4451" xr:uid="{00000000-0005-0000-0000-00009A0D0000}"/>
    <cellStyle name="Bad 5 2" xfId="4452" xr:uid="{00000000-0005-0000-0000-00009B0D0000}"/>
    <cellStyle name="Bad 5 2 2" xfId="4453" xr:uid="{00000000-0005-0000-0000-00009C0D0000}"/>
    <cellStyle name="Bad 5 3" xfId="4454" xr:uid="{00000000-0005-0000-0000-00009D0D0000}"/>
    <cellStyle name="Bad 6" xfId="4455" xr:uid="{00000000-0005-0000-0000-00009E0D0000}"/>
    <cellStyle name="Bad 6 2" xfId="4456" xr:uid="{00000000-0005-0000-0000-00009F0D0000}"/>
    <cellStyle name="Bad 6 2 2" xfId="4457" xr:uid="{00000000-0005-0000-0000-0000A00D0000}"/>
    <cellStyle name="Bad 6 3" xfId="4458" xr:uid="{00000000-0005-0000-0000-0000A10D0000}"/>
    <cellStyle name="Bad 7" xfId="4459" xr:uid="{00000000-0005-0000-0000-0000A20D0000}"/>
    <cellStyle name="Bad 7 2" xfId="4460" xr:uid="{00000000-0005-0000-0000-0000A30D0000}"/>
    <cellStyle name="Bad 7 2 2" xfId="4461" xr:uid="{00000000-0005-0000-0000-0000A40D0000}"/>
    <cellStyle name="Bad 7 3" xfId="4462" xr:uid="{00000000-0005-0000-0000-0000A50D0000}"/>
    <cellStyle name="Bad 8" xfId="4463" xr:uid="{00000000-0005-0000-0000-0000A60D0000}"/>
    <cellStyle name="Bad 8 2" xfId="4464" xr:uid="{00000000-0005-0000-0000-0000A70D0000}"/>
    <cellStyle name="Bad 8 2 2" xfId="4465" xr:uid="{00000000-0005-0000-0000-0000A80D0000}"/>
    <cellStyle name="Bad 8 3" xfId="4466" xr:uid="{00000000-0005-0000-0000-0000A90D0000}"/>
    <cellStyle name="Bad 9" xfId="4467" xr:uid="{00000000-0005-0000-0000-0000AA0D0000}"/>
    <cellStyle name="Bad 9 2" xfId="4468" xr:uid="{00000000-0005-0000-0000-0000AB0D0000}"/>
    <cellStyle name="Bad 9 2 2" xfId="4469" xr:uid="{00000000-0005-0000-0000-0000AC0D0000}"/>
    <cellStyle name="Bad 9 3" xfId="4470" xr:uid="{00000000-0005-0000-0000-0000AD0D0000}"/>
    <cellStyle name="Body" xfId="403" xr:uid="{00000000-0005-0000-0000-0000AE0D0000}"/>
    <cellStyle name="Ç¥ÁØ_¿¬°£´©°è¿¹»ó" xfId="404" xr:uid="{00000000-0005-0000-0000-0000AF0D0000}"/>
    <cellStyle name="Calc Currency (0)" xfId="405" xr:uid="{00000000-0005-0000-0000-0000B00D0000}"/>
    <cellStyle name="Calc Currency (2)" xfId="406" xr:uid="{00000000-0005-0000-0000-0000B10D0000}"/>
    <cellStyle name="Calc Percent (0)" xfId="407" xr:uid="{00000000-0005-0000-0000-0000B20D0000}"/>
    <cellStyle name="Calc Percent (1)" xfId="408" xr:uid="{00000000-0005-0000-0000-0000B30D0000}"/>
    <cellStyle name="Calc Percent (2)" xfId="409" xr:uid="{00000000-0005-0000-0000-0000B40D0000}"/>
    <cellStyle name="Calc Units (0)" xfId="410" xr:uid="{00000000-0005-0000-0000-0000B50D0000}"/>
    <cellStyle name="Calc Units (1)" xfId="411" xr:uid="{00000000-0005-0000-0000-0000B60D0000}"/>
    <cellStyle name="Calc Units (2)" xfId="412" xr:uid="{00000000-0005-0000-0000-0000B70D0000}"/>
    <cellStyle name="Calculation 10" xfId="4471" xr:uid="{00000000-0005-0000-0000-0000B80D0000}"/>
    <cellStyle name="Calculation 10 2" xfId="4472" xr:uid="{00000000-0005-0000-0000-0000B90D0000}"/>
    <cellStyle name="Calculation 10 2 2" xfId="4473" xr:uid="{00000000-0005-0000-0000-0000BA0D0000}"/>
    <cellStyle name="Calculation 10 2 2 2" xfId="6240" xr:uid="{00000000-0005-0000-0000-0000BB0D0000}"/>
    <cellStyle name="Calculation 10 2 3" xfId="6239" xr:uid="{00000000-0005-0000-0000-0000BC0D0000}"/>
    <cellStyle name="Calculation 10 3" xfId="4474" xr:uid="{00000000-0005-0000-0000-0000BD0D0000}"/>
    <cellStyle name="Calculation 10 3 2" xfId="6241" xr:uid="{00000000-0005-0000-0000-0000BE0D0000}"/>
    <cellStyle name="Calculation 10 4" xfId="6238" xr:uid="{00000000-0005-0000-0000-0000BF0D0000}"/>
    <cellStyle name="Calculation 11" xfId="4475" xr:uid="{00000000-0005-0000-0000-0000C00D0000}"/>
    <cellStyle name="Calculation 11 2" xfId="4476" xr:uid="{00000000-0005-0000-0000-0000C10D0000}"/>
    <cellStyle name="Calculation 11 2 2" xfId="6243" xr:uid="{00000000-0005-0000-0000-0000C20D0000}"/>
    <cellStyle name="Calculation 11 3" xfId="6242" xr:uid="{00000000-0005-0000-0000-0000C30D0000}"/>
    <cellStyle name="Calculation 12" xfId="4477" xr:uid="{00000000-0005-0000-0000-0000C40D0000}"/>
    <cellStyle name="Calculation 12 2" xfId="6244" xr:uid="{00000000-0005-0000-0000-0000C50D0000}"/>
    <cellStyle name="Calculation 2" xfId="413" xr:uid="{00000000-0005-0000-0000-0000C60D0000}"/>
    <cellStyle name="Calculation 2 10" xfId="4478" xr:uid="{00000000-0005-0000-0000-0000C70D0000}"/>
    <cellStyle name="Calculation 2 10 2" xfId="6245" xr:uid="{00000000-0005-0000-0000-0000C80D0000}"/>
    <cellStyle name="Calculation 2 11" xfId="4479" xr:uid="{00000000-0005-0000-0000-0000C90D0000}"/>
    <cellStyle name="Calculation 2 11 2" xfId="6246" xr:uid="{00000000-0005-0000-0000-0000CA0D0000}"/>
    <cellStyle name="Calculation 2 12" xfId="4480" xr:uid="{00000000-0005-0000-0000-0000CB0D0000}"/>
    <cellStyle name="Calculation 2 12 2" xfId="6247" xr:uid="{00000000-0005-0000-0000-0000CC0D0000}"/>
    <cellStyle name="Calculation 2 13" xfId="4481" xr:uid="{00000000-0005-0000-0000-0000CD0D0000}"/>
    <cellStyle name="Calculation 2 13 2" xfId="6248" xr:uid="{00000000-0005-0000-0000-0000CE0D0000}"/>
    <cellStyle name="Calculation 2 14" xfId="4482" xr:uid="{00000000-0005-0000-0000-0000CF0D0000}"/>
    <cellStyle name="Calculation 2 14 2" xfId="6249" xr:uid="{00000000-0005-0000-0000-0000D00D0000}"/>
    <cellStyle name="Calculation 2 15" xfId="4483" xr:uid="{00000000-0005-0000-0000-0000D10D0000}"/>
    <cellStyle name="Calculation 2 15 2" xfId="6250" xr:uid="{00000000-0005-0000-0000-0000D20D0000}"/>
    <cellStyle name="Calculation 2 16" xfId="4484" xr:uid="{00000000-0005-0000-0000-0000D30D0000}"/>
    <cellStyle name="Calculation 2 16 2" xfId="6251" xr:uid="{00000000-0005-0000-0000-0000D40D0000}"/>
    <cellStyle name="Calculation 2 17" xfId="4485" xr:uid="{00000000-0005-0000-0000-0000D50D0000}"/>
    <cellStyle name="Calculation 2 17 2" xfId="6252" xr:uid="{00000000-0005-0000-0000-0000D60D0000}"/>
    <cellStyle name="Calculation 2 18" xfId="4486" xr:uid="{00000000-0005-0000-0000-0000D70D0000}"/>
    <cellStyle name="Calculation 2 18 2" xfId="6253" xr:uid="{00000000-0005-0000-0000-0000D80D0000}"/>
    <cellStyle name="Calculation 2 19" xfId="4487" xr:uid="{00000000-0005-0000-0000-0000D90D0000}"/>
    <cellStyle name="Calculation 2 19 2" xfId="6254" xr:uid="{00000000-0005-0000-0000-0000DA0D0000}"/>
    <cellStyle name="Calculation 2 2" xfId="414" xr:uid="{00000000-0005-0000-0000-0000DB0D0000}"/>
    <cellStyle name="Calculation 2 2 2" xfId="415" xr:uid="{00000000-0005-0000-0000-0000DC0D0000}"/>
    <cellStyle name="Calculation 2 2 2 2" xfId="4488" xr:uid="{00000000-0005-0000-0000-0000DD0D0000}"/>
    <cellStyle name="Calculation 2 2 2 2 2" xfId="7334" xr:uid="{00000000-0005-0000-0000-0000DE0D0000}"/>
    <cellStyle name="Calculation 2 2 2 3" xfId="6255" xr:uid="{00000000-0005-0000-0000-0000DF0D0000}"/>
    <cellStyle name="Calculation 2 2 2 4" xfId="6437" xr:uid="{00000000-0005-0000-0000-0000E00D0000}"/>
    <cellStyle name="Calculation 2 2 3" xfId="416" xr:uid="{00000000-0005-0000-0000-0000E10D0000}"/>
    <cellStyle name="Calculation 2 2 3 2" xfId="4489" xr:uid="{00000000-0005-0000-0000-0000E20D0000}"/>
    <cellStyle name="Calculation 2 2 3 2 2" xfId="7335" xr:uid="{00000000-0005-0000-0000-0000E30D0000}"/>
    <cellStyle name="Calculation 2 2 3 3" xfId="6256" xr:uid="{00000000-0005-0000-0000-0000E40D0000}"/>
    <cellStyle name="Calculation 2 20" xfId="4490" xr:uid="{00000000-0005-0000-0000-0000E50D0000}"/>
    <cellStyle name="Calculation 2 20 2" xfId="6257" xr:uid="{00000000-0005-0000-0000-0000E60D0000}"/>
    <cellStyle name="Calculation 2 21" xfId="4491" xr:uid="{00000000-0005-0000-0000-0000E70D0000}"/>
    <cellStyle name="Calculation 2 21 2" xfId="6258" xr:uid="{00000000-0005-0000-0000-0000E80D0000}"/>
    <cellStyle name="Calculation 2 22" xfId="4492" xr:uid="{00000000-0005-0000-0000-0000E90D0000}"/>
    <cellStyle name="Calculation 2 22 2" xfId="6259" xr:uid="{00000000-0005-0000-0000-0000EA0D0000}"/>
    <cellStyle name="Calculation 2 23" xfId="4493" xr:uid="{00000000-0005-0000-0000-0000EB0D0000}"/>
    <cellStyle name="Calculation 2 23 2" xfId="6260" xr:uid="{00000000-0005-0000-0000-0000EC0D0000}"/>
    <cellStyle name="Calculation 2 24" xfId="4494" xr:uid="{00000000-0005-0000-0000-0000ED0D0000}"/>
    <cellStyle name="Calculation 2 24 2" xfId="6261" xr:uid="{00000000-0005-0000-0000-0000EE0D0000}"/>
    <cellStyle name="Calculation 2 25" xfId="4495" xr:uid="{00000000-0005-0000-0000-0000EF0D0000}"/>
    <cellStyle name="Calculation 2 25 2" xfId="6262" xr:uid="{00000000-0005-0000-0000-0000F00D0000}"/>
    <cellStyle name="Calculation 2 26" xfId="4496" xr:uid="{00000000-0005-0000-0000-0000F10D0000}"/>
    <cellStyle name="Calculation 2 26 2" xfId="6263" xr:uid="{00000000-0005-0000-0000-0000F20D0000}"/>
    <cellStyle name="Calculation 2 27" xfId="4497" xr:uid="{00000000-0005-0000-0000-0000F30D0000}"/>
    <cellStyle name="Calculation 2 27 2" xfId="6264" xr:uid="{00000000-0005-0000-0000-0000F40D0000}"/>
    <cellStyle name="Calculation 2 28" xfId="4498" xr:uid="{00000000-0005-0000-0000-0000F50D0000}"/>
    <cellStyle name="Calculation 2 28 2" xfId="6265" xr:uid="{00000000-0005-0000-0000-0000F60D0000}"/>
    <cellStyle name="Calculation 2 29" xfId="4499" xr:uid="{00000000-0005-0000-0000-0000F70D0000}"/>
    <cellStyle name="Calculation 2 29 2" xfId="6266" xr:uid="{00000000-0005-0000-0000-0000F80D0000}"/>
    <cellStyle name="Calculation 2 3" xfId="417" xr:uid="{00000000-0005-0000-0000-0000F90D0000}"/>
    <cellStyle name="Calculation 2 3 2" xfId="4501" xr:uid="{00000000-0005-0000-0000-0000FA0D0000}"/>
    <cellStyle name="Calculation 2 3 2 2" xfId="6268" xr:uid="{00000000-0005-0000-0000-0000FB0D0000}"/>
    <cellStyle name="Calculation 2 3 3" xfId="4500" xr:uid="{00000000-0005-0000-0000-0000FC0D0000}"/>
    <cellStyle name="Calculation 2 3 3 2" xfId="7336" xr:uid="{00000000-0005-0000-0000-0000FD0D0000}"/>
    <cellStyle name="Calculation 2 3 4" xfId="6267" xr:uid="{00000000-0005-0000-0000-0000FE0D0000}"/>
    <cellStyle name="Calculation 2 30" xfId="4502" xr:uid="{00000000-0005-0000-0000-0000FF0D0000}"/>
    <cellStyle name="Calculation 2 30 2" xfId="6269" xr:uid="{00000000-0005-0000-0000-0000000E0000}"/>
    <cellStyle name="Calculation 2 31" xfId="4503" xr:uid="{00000000-0005-0000-0000-0000010E0000}"/>
    <cellStyle name="Calculation 2 31 2" xfId="6270" xr:uid="{00000000-0005-0000-0000-0000020E0000}"/>
    <cellStyle name="Calculation 2 32" xfId="4504" xr:uid="{00000000-0005-0000-0000-0000030E0000}"/>
    <cellStyle name="Calculation 2 32 2" xfId="6271" xr:uid="{00000000-0005-0000-0000-0000040E0000}"/>
    <cellStyle name="Calculation 2 33" xfId="4505" xr:uid="{00000000-0005-0000-0000-0000050E0000}"/>
    <cellStyle name="Calculation 2 33 2" xfId="6272" xr:uid="{00000000-0005-0000-0000-0000060E0000}"/>
    <cellStyle name="Calculation 2 34" xfId="4506" xr:uid="{00000000-0005-0000-0000-0000070E0000}"/>
    <cellStyle name="Calculation 2 34 2" xfId="6273" xr:uid="{00000000-0005-0000-0000-0000080E0000}"/>
    <cellStyle name="Calculation 2 35" xfId="4507" xr:uid="{00000000-0005-0000-0000-0000090E0000}"/>
    <cellStyle name="Calculation 2 35 2" xfId="6274" xr:uid="{00000000-0005-0000-0000-00000A0E0000}"/>
    <cellStyle name="Calculation 2 36" xfId="4508" xr:uid="{00000000-0005-0000-0000-00000B0E0000}"/>
    <cellStyle name="Calculation 2 36 2" xfId="6275" xr:uid="{00000000-0005-0000-0000-00000C0E0000}"/>
    <cellStyle name="Calculation 2 37" xfId="4509" xr:uid="{00000000-0005-0000-0000-00000D0E0000}"/>
    <cellStyle name="Calculation 2 37 2" xfId="6276" xr:uid="{00000000-0005-0000-0000-00000E0E0000}"/>
    <cellStyle name="Calculation 2 38" xfId="4510" xr:uid="{00000000-0005-0000-0000-00000F0E0000}"/>
    <cellStyle name="Calculation 2 38 2" xfId="6277" xr:uid="{00000000-0005-0000-0000-0000100E0000}"/>
    <cellStyle name="Calculation 2 39" xfId="4511" xr:uid="{00000000-0005-0000-0000-0000110E0000}"/>
    <cellStyle name="Calculation 2 39 2" xfId="6278" xr:uid="{00000000-0005-0000-0000-0000120E0000}"/>
    <cellStyle name="Calculation 2 4" xfId="418" xr:uid="{00000000-0005-0000-0000-0000130E0000}"/>
    <cellStyle name="Calculation 2 4 2" xfId="4512" xr:uid="{00000000-0005-0000-0000-0000140E0000}"/>
    <cellStyle name="Calculation 2 4 2 2" xfId="7337" xr:uid="{00000000-0005-0000-0000-0000150E0000}"/>
    <cellStyle name="Calculation 2 4 3" xfId="6279" xr:uid="{00000000-0005-0000-0000-0000160E0000}"/>
    <cellStyle name="Calculation 2 4 4" xfId="6438" xr:uid="{00000000-0005-0000-0000-0000170E0000}"/>
    <cellStyle name="Calculation 2 40" xfId="4513" xr:uid="{00000000-0005-0000-0000-0000180E0000}"/>
    <cellStyle name="Calculation 2 40 2" xfId="6280" xr:uid="{00000000-0005-0000-0000-0000190E0000}"/>
    <cellStyle name="Calculation 2 41" xfId="4514" xr:uid="{00000000-0005-0000-0000-00001A0E0000}"/>
    <cellStyle name="Calculation 2 41 2" xfId="6281" xr:uid="{00000000-0005-0000-0000-00001B0E0000}"/>
    <cellStyle name="Calculation 2 42" xfId="4515" xr:uid="{00000000-0005-0000-0000-00001C0E0000}"/>
    <cellStyle name="Calculation 2 42 2" xfId="6282" xr:uid="{00000000-0005-0000-0000-00001D0E0000}"/>
    <cellStyle name="Calculation 2 43" xfId="4516" xr:uid="{00000000-0005-0000-0000-00001E0E0000}"/>
    <cellStyle name="Calculation 2 43 2" xfId="6283" xr:uid="{00000000-0005-0000-0000-00001F0E0000}"/>
    <cellStyle name="Calculation 2 44" xfId="4517" xr:uid="{00000000-0005-0000-0000-0000200E0000}"/>
    <cellStyle name="Calculation 2 44 2" xfId="6284" xr:uid="{00000000-0005-0000-0000-0000210E0000}"/>
    <cellStyle name="Calculation 2 45" xfId="4518" xr:uid="{00000000-0005-0000-0000-0000220E0000}"/>
    <cellStyle name="Calculation 2 45 2" xfId="6285" xr:uid="{00000000-0005-0000-0000-0000230E0000}"/>
    <cellStyle name="Calculation 2 46" xfId="4519" xr:uid="{00000000-0005-0000-0000-0000240E0000}"/>
    <cellStyle name="Calculation 2 46 2" xfId="6286" xr:uid="{00000000-0005-0000-0000-0000250E0000}"/>
    <cellStyle name="Calculation 2 47" xfId="4520" xr:uid="{00000000-0005-0000-0000-0000260E0000}"/>
    <cellStyle name="Calculation 2 47 2" xfId="6287" xr:uid="{00000000-0005-0000-0000-0000270E0000}"/>
    <cellStyle name="Calculation 2 48" xfId="4521" xr:uid="{00000000-0005-0000-0000-0000280E0000}"/>
    <cellStyle name="Calculation 2 48 2" xfId="6288" xr:uid="{00000000-0005-0000-0000-0000290E0000}"/>
    <cellStyle name="Calculation 2 49" xfId="4522" xr:uid="{00000000-0005-0000-0000-00002A0E0000}"/>
    <cellStyle name="Calculation 2 49 2" xfId="6289" xr:uid="{00000000-0005-0000-0000-00002B0E0000}"/>
    <cellStyle name="Calculation 2 5" xfId="4523" xr:uid="{00000000-0005-0000-0000-00002C0E0000}"/>
    <cellStyle name="Calculation 2 5 2" xfId="6290" xr:uid="{00000000-0005-0000-0000-00002D0E0000}"/>
    <cellStyle name="Calculation 2 50" xfId="4524" xr:uid="{00000000-0005-0000-0000-00002E0E0000}"/>
    <cellStyle name="Calculation 2 50 2" xfId="6291" xr:uid="{00000000-0005-0000-0000-00002F0E0000}"/>
    <cellStyle name="Calculation 2 51" xfId="4525" xr:uid="{00000000-0005-0000-0000-0000300E0000}"/>
    <cellStyle name="Calculation 2 52" xfId="1455" xr:uid="{00000000-0005-0000-0000-0000310E0000}"/>
    <cellStyle name="Calculation 2 6" xfId="4526" xr:uid="{00000000-0005-0000-0000-0000320E0000}"/>
    <cellStyle name="Calculation 2 6 2" xfId="6292" xr:uid="{00000000-0005-0000-0000-0000330E0000}"/>
    <cellStyle name="Calculation 2 7" xfId="4527" xr:uid="{00000000-0005-0000-0000-0000340E0000}"/>
    <cellStyle name="Calculation 2 7 2" xfId="6293" xr:uid="{00000000-0005-0000-0000-0000350E0000}"/>
    <cellStyle name="Calculation 2 8" xfId="4528" xr:uid="{00000000-0005-0000-0000-0000360E0000}"/>
    <cellStyle name="Calculation 2 8 2" xfId="6294" xr:uid="{00000000-0005-0000-0000-0000370E0000}"/>
    <cellStyle name="Calculation 2 9" xfId="4529" xr:uid="{00000000-0005-0000-0000-0000380E0000}"/>
    <cellStyle name="Calculation 2 9 2" xfId="6295" xr:uid="{00000000-0005-0000-0000-0000390E0000}"/>
    <cellStyle name="Calculation 3" xfId="4530" xr:uid="{00000000-0005-0000-0000-00003A0E0000}"/>
    <cellStyle name="Calculation 3 2" xfId="4531" xr:uid="{00000000-0005-0000-0000-00003B0E0000}"/>
    <cellStyle name="Calculation 3 2 2" xfId="4532" xr:uid="{00000000-0005-0000-0000-00003C0E0000}"/>
    <cellStyle name="Calculation 3 2 2 2" xfId="6298" xr:uid="{00000000-0005-0000-0000-00003D0E0000}"/>
    <cellStyle name="Calculation 3 2 3" xfId="6297" xr:uid="{00000000-0005-0000-0000-00003E0E0000}"/>
    <cellStyle name="Calculation 3 3" xfId="4533" xr:uid="{00000000-0005-0000-0000-00003F0E0000}"/>
    <cellStyle name="Calculation 3 3 2" xfId="6299" xr:uid="{00000000-0005-0000-0000-0000400E0000}"/>
    <cellStyle name="Calculation 3 4" xfId="6296" xr:uid="{00000000-0005-0000-0000-0000410E0000}"/>
    <cellStyle name="Calculation 4" xfId="4534" xr:uid="{00000000-0005-0000-0000-0000420E0000}"/>
    <cellStyle name="Calculation 4 2" xfId="4535" xr:uid="{00000000-0005-0000-0000-0000430E0000}"/>
    <cellStyle name="Calculation 4 2 2" xfId="4536" xr:uid="{00000000-0005-0000-0000-0000440E0000}"/>
    <cellStyle name="Calculation 4 2 2 2" xfId="6302" xr:uid="{00000000-0005-0000-0000-0000450E0000}"/>
    <cellStyle name="Calculation 4 2 3" xfId="6301" xr:uid="{00000000-0005-0000-0000-0000460E0000}"/>
    <cellStyle name="Calculation 4 3" xfId="4537" xr:uid="{00000000-0005-0000-0000-0000470E0000}"/>
    <cellStyle name="Calculation 4 3 2" xfId="6303" xr:uid="{00000000-0005-0000-0000-0000480E0000}"/>
    <cellStyle name="Calculation 4 4" xfId="6300" xr:uid="{00000000-0005-0000-0000-0000490E0000}"/>
    <cellStyle name="Calculation 5" xfId="4538" xr:uid="{00000000-0005-0000-0000-00004A0E0000}"/>
    <cellStyle name="Calculation 5 2" xfId="4539" xr:uid="{00000000-0005-0000-0000-00004B0E0000}"/>
    <cellStyle name="Calculation 5 2 2" xfId="4540" xr:uid="{00000000-0005-0000-0000-00004C0E0000}"/>
    <cellStyle name="Calculation 5 2 2 2" xfId="6306" xr:uid="{00000000-0005-0000-0000-00004D0E0000}"/>
    <cellStyle name="Calculation 5 2 3" xfId="6305" xr:uid="{00000000-0005-0000-0000-00004E0E0000}"/>
    <cellStyle name="Calculation 5 3" xfId="4541" xr:uid="{00000000-0005-0000-0000-00004F0E0000}"/>
    <cellStyle name="Calculation 5 3 2" xfId="6307" xr:uid="{00000000-0005-0000-0000-0000500E0000}"/>
    <cellStyle name="Calculation 5 4" xfId="6304" xr:uid="{00000000-0005-0000-0000-0000510E0000}"/>
    <cellStyle name="Calculation 6" xfId="4542" xr:uid="{00000000-0005-0000-0000-0000520E0000}"/>
    <cellStyle name="Calculation 6 2" xfId="4543" xr:uid="{00000000-0005-0000-0000-0000530E0000}"/>
    <cellStyle name="Calculation 6 2 2" xfId="4544" xr:uid="{00000000-0005-0000-0000-0000540E0000}"/>
    <cellStyle name="Calculation 6 2 2 2" xfId="6310" xr:uid="{00000000-0005-0000-0000-0000550E0000}"/>
    <cellStyle name="Calculation 6 2 3" xfId="6309" xr:uid="{00000000-0005-0000-0000-0000560E0000}"/>
    <cellStyle name="Calculation 6 3" xfId="4545" xr:uid="{00000000-0005-0000-0000-0000570E0000}"/>
    <cellStyle name="Calculation 6 3 2" xfId="6311" xr:uid="{00000000-0005-0000-0000-0000580E0000}"/>
    <cellStyle name="Calculation 6 4" xfId="6308" xr:uid="{00000000-0005-0000-0000-0000590E0000}"/>
    <cellStyle name="Calculation 7" xfId="4546" xr:uid="{00000000-0005-0000-0000-00005A0E0000}"/>
    <cellStyle name="Calculation 7 2" xfId="4547" xr:uid="{00000000-0005-0000-0000-00005B0E0000}"/>
    <cellStyle name="Calculation 7 2 2" xfId="4548" xr:uid="{00000000-0005-0000-0000-00005C0E0000}"/>
    <cellStyle name="Calculation 7 2 2 2" xfId="6314" xr:uid="{00000000-0005-0000-0000-00005D0E0000}"/>
    <cellStyle name="Calculation 7 2 3" xfId="6313" xr:uid="{00000000-0005-0000-0000-00005E0E0000}"/>
    <cellStyle name="Calculation 7 3" xfId="4549" xr:uid="{00000000-0005-0000-0000-00005F0E0000}"/>
    <cellStyle name="Calculation 7 3 2" xfId="6315" xr:uid="{00000000-0005-0000-0000-0000600E0000}"/>
    <cellStyle name="Calculation 7 4" xfId="6312" xr:uid="{00000000-0005-0000-0000-0000610E0000}"/>
    <cellStyle name="Calculation 8" xfId="4550" xr:uid="{00000000-0005-0000-0000-0000620E0000}"/>
    <cellStyle name="Calculation 8 2" xfId="4551" xr:uid="{00000000-0005-0000-0000-0000630E0000}"/>
    <cellStyle name="Calculation 8 2 2" xfId="4552" xr:uid="{00000000-0005-0000-0000-0000640E0000}"/>
    <cellStyle name="Calculation 8 2 2 2" xfId="6318" xr:uid="{00000000-0005-0000-0000-0000650E0000}"/>
    <cellStyle name="Calculation 8 2 3" xfId="6317" xr:uid="{00000000-0005-0000-0000-0000660E0000}"/>
    <cellStyle name="Calculation 8 3" xfId="4553" xr:uid="{00000000-0005-0000-0000-0000670E0000}"/>
    <cellStyle name="Calculation 8 3 2" xfId="6319" xr:uid="{00000000-0005-0000-0000-0000680E0000}"/>
    <cellStyle name="Calculation 8 4" xfId="6316" xr:uid="{00000000-0005-0000-0000-0000690E0000}"/>
    <cellStyle name="Calculation 9" xfId="4554" xr:uid="{00000000-0005-0000-0000-00006A0E0000}"/>
    <cellStyle name="Calculation 9 2" xfId="4555" xr:uid="{00000000-0005-0000-0000-00006B0E0000}"/>
    <cellStyle name="Calculation 9 2 2" xfId="4556" xr:uid="{00000000-0005-0000-0000-00006C0E0000}"/>
    <cellStyle name="Calculation 9 2 2 2" xfId="6322" xr:uid="{00000000-0005-0000-0000-00006D0E0000}"/>
    <cellStyle name="Calculation 9 2 3" xfId="6321" xr:uid="{00000000-0005-0000-0000-00006E0E0000}"/>
    <cellStyle name="Calculation 9 3" xfId="4557" xr:uid="{00000000-0005-0000-0000-00006F0E0000}"/>
    <cellStyle name="Calculation 9 3 2" xfId="6323" xr:uid="{00000000-0005-0000-0000-0000700E0000}"/>
    <cellStyle name="Calculation 9 4" xfId="6320" xr:uid="{00000000-0005-0000-0000-0000710E0000}"/>
    <cellStyle name="Check Cell 10" xfId="4558" xr:uid="{00000000-0005-0000-0000-0000720E0000}"/>
    <cellStyle name="Check Cell 10 2" xfId="4559" xr:uid="{00000000-0005-0000-0000-0000730E0000}"/>
    <cellStyle name="Check Cell 10 2 2" xfId="4560" xr:uid="{00000000-0005-0000-0000-0000740E0000}"/>
    <cellStyle name="Check Cell 10 3" xfId="4561" xr:uid="{00000000-0005-0000-0000-0000750E0000}"/>
    <cellStyle name="Check Cell 11" xfId="4562" xr:uid="{00000000-0005-0000-0000-0000760E0000}"/>
    <cellStyle name="Check Cell 11 2" xfId="4563" xr:uid="{00000000-0005-0000-0000-0000770E0000}"/>
    <cellStyle name="Check Cell 12" xfId="4564" xr:uid="{00000000-0005-0000-0000-0000780E0000}"/>
    <cellStyle name="Check Cell 2" xfId="419" xr:uid="{00000000-0005-0000-0000-0000790E0000}"/>
    <cellStyle name="Check Cell 2 10" xfId="4565" xr:uid="{00000000-0005-0000-0000-00007A0E0000}"/>
    <cellStyle name="Check Cell 2 11" xfId="4566" xr:uid="{00000000-0005-0000-0000-00007B0E0000}"/>
    <cellStyle name="Check Cell 2 12" xfId="4567" xr:uid="{00000000-0005-0000-0000-00007C0E0000}"/>
    <cellStyle name="Check Cell 2 13" xfId="4568" xr:uid="{00000000-0005-0000-0000-00007D0E0000}"/>
    <cellStyle name="Check Cell 2 14" xfId="4569" xr:uid="{00000000-0005-0000-0000-00007E0E0000}"/>
    <cellStyle name="Check Cell 2 15" xfId="4570" xr:uid="{00000000-0005-0000-0000-00007F0E0000}"/>
    <cellStyle name="Check Cell 2 16" xfId="4571" xr:uid="{00000000-0005-0000-0000-0000800E0000}"/>
    <cellStyle name="Check Cell 2 17" xfId="4572" xr:uid="{00000000-0005-0000-0000-0000810E0000}"/>
    <cellStyle name="Check Cell 2 18" xfId="4573" xr:uid="{00000000-0005-0000-0000-0000820E0000}"/>
    <cellStyle name="Check Cell 2 19" xfId="4574" xr:uid="{00000000-0005-0000-0000-0000830E0000}"/>
    <cellStyle name="Check Cell 2 2" xfId="4575" xr:uid="{00000000-0005-0000-0000-0000840E0000}"/>
    <cellStyle name="Check Cell 2 2 2" xfId="4576" xr:uid="{00000000-0005-0000-0000-0000850E0000}"/>
    <cellStyle name="Check Cell 2 2 3" xfId="4577" xr:uid="{00000000-0005-0000-0000-0000860E0000}"/>
    <cellStyle name="Check Cell 2 20" xfId="4578" xr:uid="{00000000-0005-0000-0000-0000870E0000}"/>
    <cellStyle name="Check Cell 2 21" xfId="4579" xr:uid="{00000000-0005-0000-0000-0000880E0000}"/>
    <cellStyle name="Check Cell 2 22" xfId="4580" xr:uid="{00000000-0005-0000-0000-0000890E0000}"/>
    <cellStyle name="Check Cell 2 23" xfId="4581" xr:uid="{00000000-0005-0000-0000-00008A0E0000}"/>
    <cellStyle name="Check Cell 2 24" xfId="4582" xr:uid="{00000000-0005-0000-0000-00008B0E0000}"/>
    <cellStyle name="Check Cell 2 25" xfId="4583" xr:uid="{00000000-0005-0000-0000-00008C0E0000}"/>
    <cellStyle name="Check Cell 2 26" xfId="4584" xr:uid="{00000000-0005-0000-0000-00008D0E0000}"/>
    <cellStyle name="Check Cell 2 27" xfId="4585" xr:uid="{00000000-0005-0000-0000-00008E0E0000}"/>
    <cellStyle name="Check Cell 2 28" xfId="4586" xr:uid="{00000000-0005-0000-0000-00008F0E0000}"/>
    <cellStyle name="Check Cell 2 29" xfId="4587" xr:uid="{00000000-0005-0000-0000-0000900E0000}"/>
    <cellStyle name="Check Cell 2 3" xfId="4588" xr:uid="{00000000-0005-0000-0000-0000910E0000}"/>
    <cellStyle name="Check Cell 2 3 2" xfId="4589" xr:uid="{00000000-0005-0000-0000-0000920E0000}"/>
    <cellStyle name="Check Cell 2 30" xfId="4590" xr:uid="{00000000-0005-0000-0000-0000930E0000}"/>
    <cellStyle name="Check Cell 2 31" xfId="4591" xr:uid="{00000000-0005-0000-0000-0000940E0000}"/>
    <cellStyle name="Check Cell 2 32" xfId="4592" xr:uid="{00000000-0005-0000-0000-0000950E0000}"/>
    <cellStyle name="Check Cell 2 33" xfId="4593" xr:uid="{00000000-0005-0000-0000-0000960E0000}"/>
    <cellStyle name="Check Cell 2 34" xfId="4594" xr:uid="{00000000-0005-0000-0000-0000970E0000}"/>
    <cellStyle name="Check Cell 2 35" xfId="4595" xr:uid="{00000000-0005-0000-0000-0000980E0000}"/>
    <cellStyle name="Check Cell 2 36" xfId="4596" xr:uid="{00000000-0005-0000-0000-0000990E0000}"/>
    <cellStyle name="Check Cell 2 37" xfId="4597" xr:uid="{00000000-0005-0000-0000-00009A0E0000}"/>
    <cellStyle name="Check Cell 2 38" xfId="4598" xr:uid="{00000000-0005-0000-0000-00009B0E0000}"/>
    <cellStyle name="Check Cell 2 39" xfId="4599" xr:uid="{00000000-0005-0000-0000-00009C0E0000}"/>
    <cellStyle name="Check Cell 2 4" xfId="4600" xr:uid="{00000000-0005-0000-0000-00009D0E0000}"/>
    <cellStyle name="Check Cell 2 40" xfId="4601" xr:uid="{00000000-0005-0000-0000-00009E0E0000}"/>
    <cellStyle name="Check Cell 2 41" xfId="4602" xr:uid="{00000000-0005-0000-0000-00009F0E0000}"/>
    <cellStyle name="Check Cell 2 42" xfId="4603" xr:uid="{00000000-0005-0000-0000-0000A00E0000}"/>
    <cellStyle name="Check Cell 2 43" xfId="4604" xr:uid="{00000000-0005-0000-0000-0000A10E0000}"/>
    <cellStyle name="Check Cell 2 44" xfId="4605" xr:uid="{00000000-0005-0000-0000-0000A20E0000}"/>
    <cellStyle name="Check Cell 2 45" xfId="4606" xr:uid="{00000000-0005-0000-0000-0000A30E0000}"/>
    <cellStyle name="Check Cell 2 46" xfId="4607" xr:uid="{00000000-0005-0000-0000-0000A40E0000}"/>
    <cellStyle name="Check Cell 2 47" xfId="4608" xr:uid="{00000000-0005-0000-0000-0000A50E0000}"/>
    <cellStyle name="Check Cell 2 48" xfId="4609" xr:uid="{00000000-0005-0000-0000-0000A60E0000}"/>
    <cellStyle name="Check Cell 2 49" xfId="4610" xr:uid="{00000000-0005-0000-0000-0000A70E0000}"/>
    <cellStyle name="Check Cell 2 5" xfId="4611" xr:uid="{00000000-0005-0000-0000-0000A80E0000}"/>
    <cellStyle name="Check Cell 2 6" xfId="4612" xr:uid="{00000000-0005-0000-0000-0000A90E0000}"/>
    <cellStyle name="Check Cell 2 7" xfId="4613" xr:uid="{00000000-0005-0000-0000-0000AA0E0000}"/>
    <cellStyle name="Check Cell 2 8" xfId="4614" xr:uid="{00000000-0005-0000-0000-0000AB0E0000}"/>
    <cellStyle name="Check Cell 2 9" xfId="4615" xr:uid="{00000000-0005-0000-0000-0000AC0E0000}"/>
    <cellStyle name="Check Cell 3" xfId="420" xr:uid="{00000000-0005-0000-0000-0000AD0E0000}"/>
    <cellStyle name="Check Cell 3 2" xfId="4616" xr:uid="{00000000-0005-0000-0000-0000AE0E0000}"/>
    <cellStyle name="Check Cell 3 2 2" xfId="4617" xr:uid="{00000000-0005-0000-0000-0000AF0E0000}"/>
    <cellStyle name="Check Cell 3 3" xfId="4618" xr:uid="{00000000-0005-0000-0000-0000B00E0000}"/>
    <cellStyle name="Check Cell 4" xfId="4619" xr:uid="{00000000-0005-0000-0000-0000B10E0000}"/>
    <cellStyle name="Check Cell 4 2" xfId="4620" xr:uid="{00000000-0005-0000-0000-0000B20E0000}"/>
    <cellStyle name="Check Cell 4 2 2" xfId="4621" xr:uid="{00000000-0005-0000-0000-0000B30E0000}"/>
    <cellStyle name="Check Cell 4 3" xfId="4622" xr:uid="{00000000-0005-0000-0000-0000B40E0000}"/>
    <cellStyle name="Check Cell 5" xfId="4623" xr:uid="{00000000-0005-0000-0000-0000B50E0000}"/>
    <cellStyle name="Check Cell 5 2" xfId="4624" xr:uid="{00000000-0005-0000-0000-0000B60E0000}"/>
    <cellStyle name="Check Cell 5 2 2" xfId="4625" xr:uid="{00000000-0005-0000-0000-0000B70E0000}"/>
    <cellStyle name="Check Cell 5 3" xfId="4626" xr:uid="{00000000-0005-0000-0000-0000B80E0000}"/>
    <cellStyle name="Check Cell 6" xfId="4627" xr:uid="{00000000-0005-0000-0000-0000B90E0000}"/>
    <cellStyle name="Check Cell 6 2" xfId="4628" xr:uid="{00000000-0005-0000-0000-0000BA0E0000}"/>
    <cellStyle name="Check Cell 6 2 2" xfId="4629" xr:uid="{00000000-0005-0000-0000-0000BB0E0000}"/>
    <cellStyle name="Check Cell 6 3" xfId="4630" xr:uid="{00000000-0005-0000-0000-0000BC0E0000}"/>
    <cellStyle name="Check Cell 7" xfId="4631" xr:uid="{00000000-0005-0000-0000-0000BD0E0000}"/>
    <cellStyle name="Check Cell 7 2" xfId="4632" xr:uid="{00000000-0005-0000-0000-0000BE0E0000}"/>
    <cellStyle name="Check Cell 7 2 2" xfId="4633" xr:uid="{00000000-0005-0000-0000-0000BF0E0000}"/>
    <cellStyle name="Check Cell 7 3" xfId="4634" xr:uid="{00000000-0005-0000-0000-0000C00E0000}"/>
    <cellStyle name="Check Cell 8" xfId="4635" xr:uid="{00000000-0005-0000-0000-0000C10E0000}"/>
    <cellStyle name="Check Cell 8 2" xfId="4636" xr:uid="{00000000-0005-0000-0000-0000C20E0000}"/>
    <cellStyle name="Check Cell 8 2 2" xfId="4637" xr:uid="{00000000-0005-0000-0000-0000C30E0000}"/>
    <cellStyle name="Check Cell 8 3" xfId="4638" xr:uid="{00000000-0005-0000-0000-0000C40E0000}"/>
    <cellStyle name="Check Cell 9" xfId="4639" xr:uid="{00000000-0005-0000-0000-0000C50E0000}"/>
    <cellStyle name="Check Cell 9 2" xfId="4640" xr:uid="{00000000-0005-0000-0000-0000C60E0000}"/>
    <cellStyle name="Check Cell 9 2 2" xfId="4641" xr:uid="{00000000-0005-0000-0000-0000C70E0000}"/>
    <cellStyle name="Check Cell 9 3" xfId="4642" xr:uid="{00000000-0005-0000-0000-0000C80E0000}"/>
    <cellStyle name="Comma" xfId="10622" builtinId="3"/>
    <cellStyle name="Comma  - Style1" xfId="422" xr:uid="{00000000-0005-0000-0000-0000CA0E0000}"/>
    <cellStyle name="Comma  - Style2" xfId="423" xr:uid="{00000000-0005-0000-0000-0000CB0E0000}"/>
    <cellStyle name="Comma  - Style3" xfId="424" xr:uid="{00000000-0005-0000-0000-0000CC0E0000}"/>
    <cellStyle name="Comma  - Style4" xfId="425" xr:uid="{00000000-0005-0000-0000-0000CD0E0000}"/>
    <cellStyle name="Comma  - Style5" xfId="426" xr:uid="{00000000-0005-0000-0000-0000CE0E0000}"/>
    <cellStyle name="Comma  - Style6" xfId="427" xr:uid="{00000000-0005-0000-0000-0000CF0E0000}"/>
    <cellStyle name="Comma  - Style7" xfId="428" xr:uid="{00000000-0005-0000-0000-0000D00E0000}"/>
    <cellStyle name="Comma  - Style8" xfId="429" xr:uid="{00000000-0005-0000-0000-0000D10E0000}"/>
    <cellStyle name="Comma [0] 2" xfId="430" xr:uid="{00000000-0005-0000-0000-0000D20E0000}"/>
    <cellStyle name="Comma [00]" xfId="431" xr:uid="{00000000-0005-0000-0000-0000D30E0000}"/>
    <cellStyle name="Comma 10" xfId="16" xr:uid="{00000000-0005-0000-0000-0000D40E0000}"/>
    <cellStyle name="Comma 10 14 2" xfId="136" xr:uid="{00000000-0005-0000-0000-0000D50E0000}"/>
    <cellStyle name="Comma 10 14 2 2" xfId="129" xr:uid="{00000000-0005-0000-0000-0000D60E0000}"/>
    <cellStyle name="Comma 10 14 2 2 2" xfId="1149" xr:uid="{00000000-0005-0000-0000-0000D70E0000}"/>
    <cellStyle name="Comma 10 14 2 2 2 2" xfId="6867" xr:uid="{00000000-0005-0000-0000-0000D80E0000}"/>
    <cellStyle name="Comma 10 14 2 2 2 2 2" xfId="9574" xr:uid="{00000000-0005-0000-0000-0000D90E0000}"/>
    <cellStyle name="Comma 10 14 2 2 2 3" xfId="8235" xr:uid="{00000000-0005-0000-0000-0000DA0E0000}"/>
    <cellStyle name="Comma 10 14 2 2 3" xfId="873" xr:uid="{00000000-0005-0000-0000-0000DB0E0000}"/>
    <cellStyle name="Comma 10 14 2 2 3 2" xfId="6606" xr:uid="{00000000-0005-0000-0000-0000DC0E0000}"/>
    <cellStyle name="Comma 10 14 2 2 3 2 2" xfId="9313" xr:uid="{00000000-0005-0000-0000-0000DD0E0000}"/>
    <cellStyle name="Comma 10 14 2 2 3 3" xfId="7974" xr:uid="{00000000-0005-0000-0000-0000DE0E0000}"/>
    <cellStyle name="Comma 10 14 2 2 4" xfId="1352" xr:uid="{00000000-0005-0000-0000-0000DF0E0000}"/>
    <cellStyle name="Comma 10 14 2 2 4 2" xfId="7057" xr:uid="{00000000-0005-0000-0000-0000E00E0000}"/>
    <cellStyle name="Comma 10 14 2 2 4 2 2" xfId="9764" xr:uid="{00000000-0005-0000-0000-0000E10E0000}"/>
    <cellStyle name="Comma 10 14 2 2 4 3" xfId="8425" xr:uid="{00000000-0005-0000-0000-0000E20E0000}"/>
    <cellStyle name="Comma 10 14 2 2 5" xfId="6220" xr:uid="{00000000-0005-0000-0000-0000E30E0000}"/>
    <cellStyle name="Comma 10 14 2 2 5 2" xfId="7698" xr:uid="{00000000-0005-0000-0000-0000E40E0000}"/>
    <cellStyle name="Comma 10 14 2 2 5 2 2" xfId="10379" xr:uid="{00000000-0005-0000-0000-0000E50E0000}"/>
    <cellStyle name="Comma 10 14 2 2 5 3" xfId="9039" xr:uid="{00000000-0005-0000-0000-0000E60E0000}"/>
    <cellStyle name="Comma 10 14 2 2 6" xfId="6334" xr:uid="{00000000-0005-0000-0000-0000E70E0000}"/>
    <cellStyle name="Comma 10 14 2 2 6 2" xfId="9053" xr:uid="{00000000-0005-0000-0000-0000E80E0000}"/>
    <cellStyle name="Comma 10 14 2 2 7" xfId="7714" xr:uid="{00000000-0005-0000-0000-0000E90E0000}"/>
    <cellStyle name="Comma 10 14 2 3" xfId="1057" xr:uid="{00000000-0005-0000-0000-0000EA0E0000}"/>
    <cellStyle name="Comma 10 14 2 3 2" xfId="6788" xr:uid="{00000000-0005-0000-0000-0000EB0E0000}"/>
    <cellStyle name="Comma 10 14 2 3 2 2" xfId="9495" xr:uid="{00000000-0005-0000-0000-0000EC0E0000}"/>
    <cellStyle name="Comma 10 14 2 3 3" xfId="8156" xr:uid="{00000000-0005-0000-0000-0000ED0E0000}"/>
    <cellStyle name="Comma 10 14 2 4" xfId="433" xr:uid="{00000000-0005-0000-0000-0000EE0E0000}"/>
    <cellStyle name="Comma 10 14 2 4 2" xfId="6441" xr:uid="{00000000-0005-0000-0000-0000EF0E0000}"/>
    <cellStyle name="Comma 10 14 2 4 2 2" xfId="9158" xr:uid="{00000000-0005-0000-0000-0000F00E0000}"/>
    <cellStyle name="Comma 10 14 2 4 3" xfId="7819" xr:uid="{00000000-0005-0000-0000-0000F10E0000}"/>
    <cellStyle name="Comma 10 14 2 5" xfId="1357" xr:uid="{00000000-0005-0000-0000-0000F20E0000}"/>
    <cellStyle name="Comma 10 14 2 5 2" xfId="7062" xr:uid="{00000000-0005-0000-0000-0000F30E0000}"/>
    <cellStyle name="Comma 10 14 2 5 2 2" xfId="9768" xr:uid="{00000000-0005-0000-0000-0000F40E0000}"/>
    <cellStyle name="Comma 10 14 2 5 3" xfId="8429" xr:uid="{00000000-0005-0000-0000-0000F50E0000}"/>
    <cellStyle name="Comma 10 14 2 6" xfId="6219" xr:uid="{00000000-0005-0000-0000-0000F60E0000}"/>
    <cellStyle name="Comma 10 14 2 6 2" xfId="7697" xr:uid="{00000000-0005-0000-0000-0000F70E0000}"/>
    <cellStyle name="Comma 10 14 2 6 2 2" xfId="10378" xr:uid="{00000000-0005-0000-0000-0000F80E0000}"/>
    <cellStyle name="Comma 10 14 2 6 3" xfId="9038" xr:uid="{00000000-0005-0000-0000-0000F90E0000}"/>
    <cellStyle name="Comma 10 14 2 7" xfId="6338" xr:uid="{00000000-0005-0000-0000-0000FA0E0000}"/>
    <cellStyle name="Comma 10 14 2 7 2" xfId="9057" xr:uid="{00000000-0005-0000-0000-0000FB0E0000}"/>
    <cellStyle name="Comma 10 14 2 8" xfId="7718" xr:uid="{00000000-0005-0000-0000-0000FC0E0000}"/>
    <cellStyle name="Comma 10 2" xfId="76" xr:uid="{00000000-0005-0000-0000-0000FD0E0000}"/>
    <cellStyle name="Comma 10 2 10" xfId="45" xr:uid="{00000000-0005-0000-0000-0000FE0E0000}"/>
    <cellStyle name="Comma 10 2 10 2" xfId="137" xr:uid="{00000000-0005-0000-0000-0000FF0E0000}"/>
    <cellStyle name="Comma 10 2 10 2 2" xfId="10553" xr:uid="{00000000-0005-0000-0000-0000000F0000}"/>
    <cellStyle name="Comma 10 2 10 3" xfId="10484" xr:uid="{00000000-0005-0000-0000-0000010F0000}"/>
    <cellStyle name="Comma 10 2 11" xfId="37" xr:uid="{00000000-0005-0000-0000-0000020F0000}"/>
    <cellStyle name="Comma 10 2 12" xfId="10617" xr:uid="{00000000-0005-0000-0000-0000030F0000}"/>
    <cellStyle name="Comma 10 2 13" xfId="10494" xr:uid="{00000000-0005-0000-0000-0000040F0000}"/>
    <cellStyle name="Comma 10 2 2" xfId="80" xr:uid="{00000000-0005-0000-0000-0000050F0000}"/>
    <cellStyle name="Comma 10 2 2 10" xfId="133" xr:uid="{00000000-0005-0000-0000-0000060F0000}"/>
    <cellStyle name="Comma 10 2 2 2" xfId="79" xr:uid="{00000000-0005-0000-0000-0000070F0000}"/>
    <cellStyle name="Comma 10 2 2 2 2" xfId="103" xr:uid="{00000000-0005-0000-0000-0000080F0000}"/>
    <cellStyle name="Comma 10 2 2 2 2 2" xfId="6869" xr:uid="{00000000-0005-0000-0000-0000090F0000}"/>
    <cellStyle name="Comma 10 2 2 2 2 2 2" xfId="9576" xr:uid="{00000000-0005-0000-0000-00000A0F0000}"/>
    <cellStyle name="Comma 10 2 2 2 2 3" xfId="8237" xr:uid="{00000000-0005-0000-0000-00000B0F0000}"/>
    <cellStyle name="Comma 10 2 2 2 2 4" xfId="1151" xr:uid="{00000000-0005-0000-0000-00000C0F0000}"/>
    <cellStyle name="Comma 10 2 2 2 3" xfId="4643" xr:uid="{00000000-0005-0000-0000-00000D0F0000}"/>
    <cellStyle name="Comma 10 2 2 2 3 2" xfId="7338" xr:uid="{00000000-0005-0000-0000-00000E0F0000}"/>
    <cellStyle name="Comma 10 2 2 2 3 2 2" xfId="10037" xr:uid="{00000000-0005-0000-0000-00000F0F0000}"/>
    <cellStyle name="Comma 10 2 2 2 3 3" xfId="8697" xr:uid="{00000000-0005-0000-0000-0000100F0000}"/>
    <cellStyle name="Comma 10 2 2 2 4" xfId="6608" xr:uid="{00000000-0005-0000-0000-0000110F0000}"/>
    <cellStyle name="Comma 10 2 2 2 4 2" xfId="9315" xr:uid="{00000000-0005-0000-0000-0000120F0000}"/>
    <cellStyle name="Comma 10 2 2 2 5" xfId="7976" xr:uid="{00000000-0005-0000-0000-0000130F0000}"/>
    <cellStyle name="Comma 10 2 2 2 6" xfId="875" xr:uid="{00000000-0005-0000-0000-0000140F0000}"/>
    <cellStyle name="Comma 10 2 2 3" xfId="78" xr:uid="{00000000-0005-0000-0000-0000150F0000}"/>
    <cellStyle name="Comma 10 2 2 3 2" xfId="102" xr:uid="{00000000-0005-0000-0000-0000160F0000}"/>
    <cellStyle name="Comma 10 2 2 3 2 2" xfId="7339" xr:uid="{00000000-0005-0000-0000-0000170F0000}"/>
    <cellStyle name="Comma 10 2 2 3 2 2 2" xfId="10038" xr:uid="{00000000-0005-0000-0000-0000180F0000}"/>
    <cellStyle name="Comma 10 2 2 3 2 3" xfId="8698" xr:uid="{00000000-0005-0000-0000-0000190F0000}"/>
    <cellStyle name="Comma 10 2 2 3 2 4" xfId="4644" xr:uid="{00000000-0005-0000-0000-00001A0F0000}"/>
    <cellStyle name="Comma 10 2 2 3 3" xfId="7017" xr:uid="{00000000-0005-0000-0000-00001B0F0000}"/>
    <cellStyle name="Comma 10 2 2 3 3 2" xfId="9724" xr:uid="{00000000-0005-0000-0000-00001C0F0000}"/>
    <cellStyle name="Comma 10 2 2 3 4" xfId="8385" xr:uid="{00000000-0005-0000-0000-00001D0F0000}"/>
    <cellStyle name="Comma 10 2 2 3 5" xfId="1307" xr:uid="{00000000-0005-0000-0000-00001E0F0000}"/>
    <cellStyle name="Comma 10 2 2 4" xfId="104" xr:uid="{00000000-0005-0000-0000-00001F0F0000}"/>
    <cellStyle name="Comma 10 2 2 4 2" xfId="6790" xr:uid="{00000000-0005-0000-0000-0000200F0000}"/>
    <cellStyle name="Comma 10 2 2 4 2 2" xfId="9497" xr:uid="{00000000-0005-0000-0000-0000210F0000}"/>
    <cellStyle name="Comma 10 2 2 4 3" xfId="8158" xr:uid="{00000000-0005-0000-0000-0000220F0000}"/>
    <cellStyle name="Comma 10 2 2 4 4" xfId="1059" xr:uid="{00000000-0005-0000-0000-0000230F0000}"/>
    <cellStyle name="Comma 10 2 2 5" xfId="435" xr:uid="{00000000-0005-0000-0000-0000240F0000}"/>
    <cellStyle name="Comma 10 2 2 5 2" xfId="6443" xr:uid="{00000000-0005-0000-0000-0000250F0000}"/>
    <cellStyle name="Comma 10 2 2 5 2 2" xfId="9160" xr:uid="{00000000-0005-0000-0000-0000260F0000}"/>
    <cellStyle name="Comma 10 2 2 5 3" xfId="7821" xr:uid="{00000000-0005-0000-0000-0000270F0000}"/>
    <cellStyle name="Comma 10 2 2 6" xfId="1355" xr:uid="{00000000-0005-0000-0000-0000280F0000}"/>
    <cellStyle name="Comma 10 2 2 6 2" xfId="7060" xr:uid="{00000000-0005-0000-0000-0000290F0000}"/>
    <cellStyle name="Comma 10 2 2 6 2 2" xfId="9766" xr:uid="{00000000-0005-0000-0000-00002A0F0000}"/>
    <cellStyle name="Comma 10 2 2 6 3" xfId="8427" xr:uid="{00000000-0005-0000-0000-00002B0F0000}"/>
    <cellStyle name="Comma 10 2 2 7" xfId="1441" xr:uid="{00000000-0005-0000-0000-00002C0F0000}"/>
    <cellStyle name="Comma 10 2 2 7 2" xfId="7137" xr:uid="{00000000-0005-0000-0000-00002D0F0000}"/>
    <cellStyle name="Comma 10 2 2 7 2 2" xfId="9840" xr:uid="{00000000-0005-0000-0000-00002E0F0000}"/>
    <cellStyle name="Comma 10 2 2 7 3" xfId="8500" xr:uid="{00000000-0005-0000-0000-00002F0F0000}"/>
    <cellStyle name="Comma 10 2 2 8" xfId="6336" xr:uid="{00000000-0005-0000-0000-0000300F0000}"/>
    <cellStyle name="Comma 10 2 2 8 2" xfId="9055" xr:uid="{00000000-0005-0000-0000-0000310F0000}"/>
    <cellStyle name="Comma 10 2 2 9" xfId="7716" xr:uid="{00000000-0005-0000-0000-0000320F0000}"/>
    <cellStyle name="Comma 10 2 3" xfId="231" xr:uid="{00000000-0005-0000-0000-0000330F0000}"/>
    <cellStyle name="Comma 10 2 3 2" xfId="1250" xr:uid="{00000000-0005-0000-0000-0000340F0000}"/>
    <cellStyle name="Comma 10 2 3 2 2" xfId="6968" xr:uid="{00000000-0005-0000-0000-0000350F0000}"/>
    <cellStyle name="Comma 10 2 3 2 2 2" xfId="9675" xr:uid="{00000000-0005-0000-0000-0000360F0000}"/>
    <cellStyle name="Comma 10 2 3 2 3" xfId="8336" xr:uid="{00000000-0005-0000-0000-0000370F0000}"/>
    <cellStyle name="Comma 10 2 3 3" xfId="1150" xr:uid="{00000000-0005-0000-0000-0000380F0000}"/>
    <cellStyle name="Comma 10 2 3 3 2" xfId="6868" xr:uid="{00000000-0005-0000-0000-0000390F0000}"/>
    <cellStyle name="Comma 10 2 3 3 2 2" xfId="9575" xr:uid="{00000000-0005-0000-0000-00003A0F0000}"/>
    <cellStyle name="Comma 10 2 3 3 3" xfId="8236" xr:uid="{00000000-0005-0000-0000-00003B0F0000}"/>
    <cellStyle name="Comma 10 2 3 4" xfId="874" xr:uid="{00000000-0005-0000-0000-00003C0F0000}"/>
    <cellStyle name="Comma 10 2 3 4 2" xfId="6607" xr:uid="{00000000-0005-0000-0000-00003D0F0000}"/>
    <cellStyle name="Comma 10 2 3 4 2 2" xfId="9314" xr:uid="{00000000-0005-0000-0000-00003E0F0000}"/>
    <cellStyle name="Comma 10 2 3 4 3" xfId="7975" xr:uid="{00000000-0005-0000-0000-00003F0F0000}"/>
    <cellStyle name="Comma 10 2 3 5" xfId="4645" xr:uid="{00000000-0005-0000-0000-0000400F0000}"/>
    <cellStyle name="Comma 10 2 3 5 2" xfId="7340" xr:uid="{00000000-0005-0000-0000-0000410F0000}"/>
    <cellStyle name="Comma 10 2 3 5 2 2" xfId="10039" xr:uid="{00000000-0005-0000-0000-0000420F0000}"/>
    <cellStyle name="Comma 10 2 3 5 3" xfId="8699" xr:uid="{00000000-0005-0000-0000-0000430F0000}"/>
    <cellStyle name="Comma 10 2 4" xfId="1058" xr:uid="{00000000-0005-0000-0000-0000440F0000}"/>
    <cellStyle name="Comma 10 2 4 2" xfId="6789" xr:uid="{00000000-0005-0000-0000-0000450F0000}"/>
    <cellStyle name="Comma 10 2 4 2 2" xfId="9496" xr:uid="{00000000-0005-0000-0000-0000460F0000}"/>
    <cellStyle name="Comma 10 2 4 3" xfId="8157" xr:uid="{00000000-0005-0000-0000-0000470F0000}"/>
    <cellStyle name="Comma 10 2 5" xfId="434" xr:uid="{00000000-0005-0000-0000-0000480F0000}"/>
    <cellStyle name="Comma 10 2 5 2" xfId="6442" xr:uid="{00000000-0005-0000-0000-0000490F0000}"/>
    <cellStyle name="Comma 10 2 5 2 2" xfId="9159" xr:uid="{00000000-0005-0000-0000-00004A0F0000}"/>
    <cellStyle name="Comma 10 2 5 3" xfId="7820" xr:uid="{00000000-0005-0000-0000-00004B0F0000}"/>
    <cellStyle name="Comma 10 2 6" xfId="1358" xr:uid="{00000000-0005-0000-0000-00004C0F0000}"/>
    <cellStyle name="Comma 10 2 6 2" xfId="7063" xr:uid="{00000000-0005-0000-0000-00004D0F0000}"/>
    <cellStyle name="Comma 10 2 6 2 2" xfId="9769" xr:uid="{00000000-0005-0000-0000-00004E0F0000}"/>
    <cellStyle name="Comma 10 2 6 3" xfId="8430" xr:uid="{00000000-0005-0000-0000-00004F0F0000}"/>
    <cellStyle name="Comma 10 2 7" xfId="6339" xr:uid="{00000000-0005-0000-0000-0000500F0000}"/>
    <cellStyle name="Comma 10 2 7 2" xfId="9058" xr:uid="{00000000-0005-0000-0000-0000510F0000}"/>
    <cellStyle name="Comma 10 2 8" xfId="7719" xr:uid="{00000000-0005-0000-0000-0000520F0000}"/>
    <cellStyle name="Comma 10 2 9" xfId="10390" xr:uid="{00000000-0005-0000-0000-0000530F0000}"/>
    <cellStyle name="Comma 10 3" xfId="436" xr:uid="{00000000-0005-0000-0000-0000540F0000}"/>
    <cellStyle name="Comma 10 3 2" xfId="876" xr:uid="{00000000-0005-0000-0000-0000550F0000}"/>
    <cellStyle name="Comma 10 3 2 2" xfId="1152" xr:uid="{00000000-0005-0000-0000-0000560F0000}"/>
    <cellStyle name="Comma 10 3 2 2 2" xfId="6870" xr:uid="{00000000-0005-0000-0000-0000570F0000}"/>
    <cellStyle name="Comma 10 3 2 2 2 2" xfId="9577" xr:uid="{00000000-0005-0000-0000-0000580F0000}"/>
    <cellStyle name="Comma 10 3 2 2 3" xfId="8238" xr:uid="{00000000-0005-0000-0000-0000590F0000}"/>
    <cellStyle name="Comma 10 3 2 3" xfId="4646" xr:uid="{00000000-0005-0000-0000-00005A0F0000}"/>
    <cellStyle name="Comma 10 3 2 3 2" xfId="7341" xr:uid="{00000000-0005-0000-0000-00005B0F0000}"/>
    <cellStyle name="Comma 10 3 2 3 2 2" xfId="10040" xr:uid="{00000000-0005-0000-0000-00005C0F0000}"/>
    <cellStyle name="Comma 10 3 2 3 3" xfId="8700" xr:uid="{00000000-0005-0000-0000-00005D0F0000}"/>
    <cellStyle name="Comma 10 3 2 4" xfId="6609" xr:uid="{00000000-0005-0000-0000-00005E0F0000}"/>
    <cellStyle name="Comma 10 3 2 4 2" xfId="9316" xr:uid="{00000000-0005-0000-0000-00005F0F0000}"/>
    <cellStyle name="Comma 10 3 2 5" xfId="7977" xr:uid="{00000000-0005-0000-0000-0000600F0000}"/>
    <cellStyle name="Comma 10 3 3" xfId="1060" xr:uid="{00000000-0005-0000-0000-0000610F0000}"/>
    <cellStyle name="Comma 10 3 3 2" xfId="4647" xr:uid="{00000000-0005-0000-0000-0000620F0000}"/>
    <cellStyle name="Comma 10 3 3 2 2" xfId="7342" xr:uid="{00000000-0005-0000-0000-0000630F0000}"/>
    <cellStyle name="Comma 10 3 3 2 2 2" xfId="10041" xr:uid="{00000000-0005-0000-0000-0000640F0000}"/>
    <cellStyle name="Comma 10 3 3 2 3" xfId="8701" xr:uid="{00000000-0005-0000-0000-0000650F0000}"/>
    <cellStyle name="Comma 10 3 3 3" xfId="6791" xr:uid="{00000000-0005-0000-0000-0000660F0000}"/>
    <cellStyle name="Comma 10 3 3 3 2" xfId="9498" xr:uid="{00000000-0005-0000-0000-0000670F0000}"/>
    <cellStyle name="Comma 10 3 3 4" xfId="8159" xr:uid="{00000000-0005-0000-0000-0000680F0000}"/>
    <cellStyle name="Comma 10 3 4" xfId="1457" xr:uid="{00000000-0005-0000-0000-0000690F0000}"/>
    <cellStyle name="Comma 10 3 4 2" xfId="7150" xr:uid="{00000000-0005-0000-0000-00006A0F0000}"/>
    <cellStyle name="Comma 10 3 4 2 2" xfId="9853" xr:uid="{00000000-0005-0000-0000-00006B0F0000}"/>
    <cellStyle name="Comma 10 3 4 3" xfId="8513" xr:uid="{00000000-0005-0000-0000-00006C0F0000}"/>
    <cellStyle name="Comma 10 3 5" xfId="6444" xr:uid="{00000000-0005-0000-0000-00006D0F0000}"/>
    <cellStyle name="Comma 10 3 5 2" xfId="9161" xr:uid="{00000000-0005-0000-0000-00006E0F0000}"/>
    <cellStyle name="Comma 10 3 6" xfId="7822" xr:uid="{00000000-0005-0000-0000-00006F0F0000}"/>
    <cellStyle name="Comma 10 3 7" xfId="21" xr:uid="{00000000-0005-0000-0000-0000700F0000}"/>
    <cellStyle name="Comma 10 4" xfId="872" xr:uid="{00000000-0005-0000-0000-0000710F0000}"/>
    <cellStyle name="Comma 10 4 2" xfId="1148" xr:uid="{00000000-0005-0000-0000-0000720F0000}"/>
    <cellStyle name="Comma 10 4 2 2" xfId="6866" xr:uid="{00000000-0005-0000-0000-0000730F0000}"/>
    <cellStyle name="Comma 10 4 2 2 2" xfId="9573" xr:uid="{00000000-0005-0000-0000-0000740F0000}"/>
    <cellStyle name="Comma 10 4 2 3" xfId="8234" xr:uid="{00000000-0005-0000-0000-0000750F0000}"/>
    <cellStyle name="Comma 10 4 3" xfId="6605" xr:uid="{00000000-0005-0000-0000-0000760F0000}"/>
    <cellStyle name="Comma 10 4 3 2" xfId="9312" xr:uid="{00000000-0005-0000-0000-0000770F0000}"/>
    <cellStyle name="Comma 10 4 4" xfId="7973" xr:uid="{00000000-0005-0000-0000-0000780F0000}"/>
    <cellStyle name="Comma 10 5" xfId="1056" xr:uid="{00000000-0005-0000-0000-0000790F0000}"/>
    <cellStyle name="Comma 10 5 2" xfId="6787" xr:uid="{00000000-0005-0000-0000-00007A0F0000}"/>
    <cellStyle name="Comma 10 5 2 2" xfId="9494" xr:uid="{00000000-0005-0000-0000-00007B0F0000}"/>
    <cellStyle name="Comma 10 5 3" xfId="8155" xr:uid="{00000000-0005-0000-0000-00007C0F0000}"/>
    <cellStyle name="Comma 10 6" xfId="432" xr:uid="{00000000-0005-0000-0000-00007D0F0000}"/>
    <cellStyle name="Comma 10 6 2" xfId="6440" xr:uid="{00000000-0005-0000-0000-00007E0F0000}"/>
    <cellStyle name="Comma 10 6 2 2" xfId="9157" xr:uid="{00000000-0005-0000-0000-00007F0F0000}"/>
    <cellStyle name="Comma 10 6 3" xfId="7818" xr:uid="{00000000-0005-0000-0000-0000800F0000}"/>
    <cellStyle name="Comma 100" xfId="67" xr:uid="{00000000-0005-0000-0000-0000810F0000}"/>
    <cellStyle name="Comma 100 2" xfId="96" xr:uid="{00000000-0005-0000-0000-0000820F0000}"/>
    <cellStyle name="Comma 101" xfId="10475" xr:uid="{00000000-0005-0000-0000-0000830F0000}"/>
    <cellStyle name="Comma 101 3 2" xfId="10607" xr:uid="{00000000-0005-0000-0000-0000840F0000}"/>
    <cellStyle name="Comma 102" xfId="10584" xr:uid="{00000000-0005-0000-0000-0000850F0000}"/>
    <cellStyle name="Comma 103 2 2 2" xfId="62" xr:uid="{00000000-0005-0000-0000-0000860F0000}"/>
    <cellStyle name="Comma 103 2 2 2 2" xfId="93" xr:uid="{00000000-0005-0000-0000-0000870F0000}"/>
    <cellStyle name="Comma 104" xfId="2" xr:uid="{00000000-0005-0000-0000-0000880F0000}"/>
    <cellStyle name="Comma 105" xfId="4648" xr:uid="{00000000-0005-0000-0000-0000890F0000}"/>
    <cellStyle name="Comma 105 2" xfId="4649" xr:uid="{00000000-0005-0000-0000-00008A0F0000}"/>
    <cellStyle name="Comma 105 2 2" xfId="7344" xr:uid="{00000000-0005-0000-0000-00008B0F0000}"/>
    <cellStyle name="Comma 105 2 2 2" xfId="10043" xr:uid="{00000000-0005-0000-0000-00008C0F0000}"/>
    <cellStyle name="Comma 105 2 3" xfId="8703" xr:uid="{00000000-0005-0000-0000-00008D0F0000}"/>
    <cellStyle name="Comma 105 3" xfId="7343" xr:uid="{00000000-0005-0000-0000-00008E0F0000}"/>
    <cellStyle name="Comma 105 3 2" xfId="10042" xr:uid="{00000000-0005-0000-0000-00008F0F0000}"/>
    <cellStyle name="Comma 105 4" xfId="8702" xr:uid="{00000000-0005-0000-0000-0000900F0000}"/>
    <cellStyle name="Comma 106" xfId="10529" xr:uid="{00000000-0005-0000-0000-0000910F0000}"/>
    <cellStyle name="Comma 106 2" xfId="10557" xr:uid="{00000000-0005-0000-0000-0000920F0000}"/>
    <cellStyle name="Comma 11" xfId="117" xr:uid="{00000000-0005-0000-0000-0000930F0000}"/>
    <cellStyle name="Comma 11 2" xfId="438" xr:uid="{00000000-0005-0000-0000-0000940F0000}"/>
    <cellStyle name="Comma 11 2 2" xfId="878" xr:uid="{00000000-0005-0000-0000-0000950F0000}"/>
    <cellStyle name="Comma 11 2 2 2" xfId="1154" xr:uid="{00000000-0005-0000-0000-0000960F0000}"/>
    <cellStyle name="Comma 11 2 2 2 2" xfId="4651" xr:uid="{00000000-0005-0000-0000-0000970F0000}"/>
    <cellStyle name="Comma 11 2 2 2 2 2" xfId="7346" xr:uid="{00000000-0005-0000-0000-0000980F0000}"/>
    <cellStyle name="Comma 11 2 2 2 2 2 2" xfId="10045" xr:uid="{00000000-0005-0000-0000-0000990F0000}"/>
    <cellStyle name="Comma 11 2 2 2 2 3" xfId="8705" xr:uid="{00000000-0005-0000-0000-00009A0F0000}"/>
    <cellStyle name="Comma 11 2 2 2 3" xfId="6872" xr:uid="{00000000-0005-0000-0000-00009B0F0000}"/>
    <cellStyle name="Comma 11 2 2 2 3 2" xfId="9579" xr:uid="{00000000-0005-0000-0000-00009C0F0000}"/>
    <cellStyle name="Comma 11 2 2 2 4" xfId="8240" xr:uid="{00000000-0005-0000-0000-00009D0F0000}"/>
    <cellStyle name="Comma 11 2 2 3" xfId="4650" xr:uid="{00000000-0005-0000-0000-00009E0F0000}"/>
    <cellStyle name="Comma 11 2 2 3 2" xfId="7345" xr:uid="{00000000-0005-0000-0000-00009F0F0000}"/>
    <cellStyle name="Comma 11 2 2 3 2 2" xfId="10044" xr:uid="{00000000-0005-0000-0000-0000A00F0000}"/>
    <cellStyle name="Comma 11 2 2 3 3" xfId="8704" xr:uid="{00000000-0005-0000-0000-0000A10F0000}"/>
    <cellStyle name="Comma 11 2 2 4" xfId="6611" xr:uid="{00000000-0005-0000-0000-0000A20F0000}"/>
    <cellStyle name="Comma 11 2 2 4 2" xfId="9318" xr:uid="{00000000-0005-0000-0000-0000A30F0000}"/>
    <cellStyle name="Comma 11 2 2 5" xfId="7979" xr:uid="{00000000-0005-0000-0000-0000A40F0000}"/>
    <cellStyle name="Comma 11 2 3" xfId="1062" xr:uid="{00000000-0005-0000-0000-0000A50F0000}"/>
    <cellStyle name="Comma 11 2 3 2" xfId="4652" xr:uid="{00000000-0005-0000-0000-0000A60F0000}"/>
    <cellStyle name="Comma 11 2 3 2 2" xfId="7347" xr:uid="{00000000-0005-0000-0000-0000A70F0000}"/>
    <cellStyle name="Comma 11 2 3 2 2 2" xfId="10046" xr:uid="{00000000-0005-0000-0000-0000A80F0000}"/>
    <cellStyle name="Comma 11 2 3 2 3" xfId="8706" xr:uid="{00000000-0005-0000-0000-0000A90F0000}"/>
    <cellStyle name="Comma 11 2 3 3" xfId="6793" xr:uid="{00000000-0005-0000-0000-0000AA0F0000}"/>
    <cellStyle name="Comma 11 2 3 3 2" xfId="9500" xr:uid="{00000000-0005-0000-0000-0000AB0F0000}"/>
    <cellStyle name="Comma 11 2 3 4" xfId="8161" xr:uid="{00000000-0005-0000-0000-0000AC0F0000}"/>
    <cellStyle name="Comma 11 2 4" xfId="6446" xr:uid="{00000000-0005-0000-0000-0000AD0F0000}"/>
    <cellStyle name="Comma 11 2 4 2" xfId="9163" xr:uid="{00000000-0005-0000-0000-0000AE0F0000}"/>
    <cellStyle name="Comma 11 2 5" xfId="7824" xr:uid="{00000000-0005-0000-0000-0000AF0F0000}"/>
    <cellStyle name="Comma 11 3" xfId="877" xr:uid="{00000000-0005-0000-0000-0000B00F0000}"/>
    <cellStyle name="Comma 11 3 2" xfId="1153" xr:uid="{00000000-0005-0000-0000-0000B10F0000}"/>
    <cellStyle name="Comma 11 3 2 2" xfId="4655" xr:uid="{00000000-0005-0000-0000-0000B20F0000}"/>
    <cellStyle name="Comma 11 3 2 2 2" xfId="7350" xr:uid="{00000000-0005-0000-0000-0000B30F0000}"/>
    <cellStyle name="Comma 11 3 2 2 2 2" xfId="10049" xr:uid="{00000000-0005-0000-0000-0000B40F0000}"/>
    <cellStyle name="Comma 11 3 2 2 3" xfId="8709" xr:uid="{00000000-0005-0000-0000-0000B50F0000}"/>
    <cellStyle name="Comma 11 3 2 3" xfId="4654" xr:uid="{00000000-0005-0000-0000-0000B60F0000}"/>
    <cellStyle name="Comma 11 3 2 3 2" xfId="7349" xr:uid="{00000000-0005-0000-0000-0000B70F0000}"/>
    <cellStyle name="Comma 11 3 2 3 2 2" xfId="10048" xr:uid="{00000000-0005-0000-0000-0000B80F0000}"/>
    <cellStyle name="Comma 11 3 2 3 3" xfId="8708" xr:uid="{00000000-0005-0000-0000-0000B90F0000}"/>
    <cellStyle name="Comma 11 3 2 4" xfId="6871" xr:uid="{00000000-0005-0000-0000-0000BA0F0000}"/>
    <cellStyle name="Comma 11 3 2 4 2" xfId="9578" xr:uid="{00000000-0005-0000-0000-0000BB0F0000}"/>
    <cellStyle name="Comma 11 3 2 5" xfId="8239" xr:uid="{00000000-0005-0000-0000-0000BC0F0000}"/>
    <cellStyle name="Comma 11 3 3" xfId="4656" xr:uid="{00000000-0005-0000-0000-0000BD0F0000}"/>
    <cellStyle name="Comma 11 3 3 2" xfId="7351" xr:uid="{00000000-0005-0000-0000-0000BE0F0000}"/>
    <cellStyle name="Comma 11 3 3 2 2" xfId="10050" xr:uid="{00000000-0005-0000-0000-0000BF0F0000}"/>
    <cellStyle name="Comma 11 3 3 3" xfId="8710" xr:uid="{00000000-0005-0000-0000-0000C00F0000}"/>
    <cellStyle name="Comma 11 3 4" xfId="4653" xr:uid="{00000000-0005-0000-0000-0000C10F0000}"/>
    <cellStyle name="Comma 11 3 4 2" xfId="7348" xr:uid="{00000000-0005-0000-0000-0000C20F0000}"/>
    <cellStyle name="Comma 11 3 4 2 2" xfId="10047" xr:uid="{00000000-0005-0000-0000-0000C30F0000}"/>
    <cellStyle name="Comma 11 3 4 3" xfId="8707" xr:uid="{00000000-0005-0000-0000-0000C40F0000}"/>
    <cellStyle name="Comma 11 3 5" xfId="6610" xr:uid="{00000000-0005-0000-0000-0000C50F0000}"/>
    <cellStyle name="Comma 11 3 5 2" xfId="9317" xr:uid="{00000000-0005-0000-0000-0000C60F0000}"/>
    <cellStyle name="Comma 11 3 6" xfId="7978" xr:uid="{00000000-0005-0000-0000-0000C70F0000}"/>
    <cellStyle name="Comma 11 3 7" xfId="10516" xr:uid="{00000000-0005-0000-0000-0000C80F0000}"/>
    <cellStyle name="Comma 11 3 7 2" xfId="10547" xr:uid="{00000000-0005-0000-0000-0000C90F0000}"/>
    <cellStyle name="Comma 11 3 7 2 2" xfId="10576" xr:uid="{00000000-0005-0000-0000-0000CA0F0000}"/>
    <cellStyle name="Comma 11 3 7 4" xfId="10596" xr:uid="{00000000-0005-0000-0000-0000CB0F0000}"/>
    <cellStyle name="Comma 11 3 8" xfId="4657" xr:uid="{00000000-0005-0000-0000-0000CC0F0000}"/>
    <cellStyle name="Comma 11 3 8 2" xfId="7352" xr:uid="{00000000-0005-0000-0000-0000CD0F0000}"/>
    <cellStyle name="Comma 11 3 8 2 2" xfId="10051" xr:uid="{00000000-0005-0000-0000-0000CE0F0000}"/>
    <cellStyle name="Comma 11 3 8 3" xfId="8711" xr:uid="{00000000-0005-0000-0000-0000CF0F0000}"/>
    <cellStyle name="Comma 11 4" xfId="1309" xr:uid="{00000000-0005-0000-0000-0000D00F0000}"/>
    <cellStyle name="Comma 11 4 2" xfId="4659" xr:uid="{00000000-0005-0000-0000-0000D10F0000}"/>
    <cellStyle name="Comma 11 4 2 2" xfId="7354" xr:uid="{00000000-0005-0000-0000-0000D20F0000}"/>
    <cellStyle name="Comma 11 4 2 2 2" xfId="10053" xr:uid="{00000000-0005-0000-0000-0000D30F0000}"/>
    <cellStyle name="Comma 11 4 2 3" xfId="8713" xr:uid="{00000000-0005-0000-0000-0000D40F0000}"/>
    <cellStyle name="Comma 11 4 3" xfId="4658" xr:uid="{00000000-0005-0000-0000-0000D50F0000}"/>
    <cellStyle name="Comma 11 4 3 2" xfId="7353" xr:uid="{00000000-0005-0000-0000-0000D60F0000}"/>
    <cellStyle name="Comma 11 4 3 2 2" xfId="10052" xr:uid="{00000000-0005-0000-0000-0000D70F0000}"/>
    <cellStyle name="Comma 11 4 3 3" xfId="8712" xr:uid="{00000000-0005-0000-0000-0000D80F0000}"/>
    <cellStyle name="Comma 11 5" xfId="1061" xr:uid="{00000000-0005-0000-0000-0000D90F0000}"/>
    <cellStyle name="Comma 11 5 2" xfId="4660" xr:uid="{00000000-0005-0000-0000-0000DA0F0000}"/>
    <cellStyle name="Comma 11 5 2 2" xfId="7355" xr:uid="{00000000-0005-0000-0000-0000DB0F0000}"/>
    <cellStyle name="Comma 11 5 2 2 2" xfId="10054" xr:uid="{00000000-0005-0000-0000-0000DC0F0000}"/>
    <cellStyle name="Comma 11 5 2 3" xfId="8714" xr:uid="{00000000-0005-0000-0000-0000DD0F0000}"/>
    <cellStyle name="Comma 11 5 3" xfId="6792" xr:uid="{00000000-0005-0000-0000-0000DE0F0000}"/>
    <cellStyle name="Comma 11 5 3 2" xfId="9499" xr:uid="{00000000-0005-0000-0000-0000DF0F0000}"/>
    <cellStyle name="Comma 11 5 4" xfId="8160" xr:uid="{00000000-0005-0000-0000-0000E00F0000}"/>
    <cellStyle name="Comma 11 6" xfId="437" xr:uid="{00000000-0005-0000-0000-0000E10F0000}"/>
    <cellStyle name="Comma 11 6 2" xfId="4661" xr:uid="{00000000-0005-0000-0000-0000E20F0000}"/>
    <cellStyle name="Comma 11 6 2 2" xfId="7356" xr:uid="{00000000-0005-0000-0000-0000E30F0000}"/>
    <cellStyle name="Comma 11 6 2 2 2" xfId="10055" xr:uid="{00000000-0005-0000-0000-0000E40F0000}"/>
    <cellStyle name="Comma 11 6 2 3" xfId="8715" xr:uid="{00000000-0005-0000-0000-0000E50F0000}"/>
    <cellStyle name="Comma 11 6 3" xfId="6445" xr:uid="{00000000-0005-0000-0000-0000E60F0000}"/>
    <cellStyle name="Comma 11 6 3 2" xfId="9162" xr:uid="{00000000-0005-0000-0000-0000E70F0000}"/>
    <cellStyle name="Comma 11 6 4" xfId="7823" xr:uid="{00000000-0005-0000-0000-0000E80F0000}"/>
    <cellStyle name="Comma 11 7" xfId="1353" xr:uid="{00000000-0005-0000-0000-0000E90F0000}"/>
    <cellStyle name="Comma 11 7 2" xfId="4662" xr:uid="{00000000-0005-0000-0000-0000EA0F0000}"/>
    <cellStyle name="Comma 11 7 2 2" xfId="7357" xr:uid="{00000000-0005-0000-0000-0000EB0F0000}"/>
    <cellStyle name="Comma 11 7 2 2 2" xfId="10056" xr:uid="{00000000-0005-0000-0000-0000EC0F0000}"/>
    <cellStyle name="Comma 11 7 2 3" xfId="8716" xr:uid="{00000000-0005-0000-0000-0000ED0F0000}"/>
    <cellStyle name="Comma 11 7 3" xfId="7058" xr:uid="{00000000-0005-0000-0000-0000EE0F0000}"/>
    <cellStyle name="Comma 11 8" xfId="131" xr:uid="{00000000-0005-0000-0000-0000EF0F0000}"/>
    <cellStyle name="Comma 117" xfId="10618" xr:uid="{00000000-0005-0000-0000-0000F00F0000}"/>
    <cellStyle name="Comma 12" xfId="227" xr:uid="{00000000-0005-0000-0000-0000F10F0000}"/>
    <cellStyle name="Comma 12 10" xfId="6392" xr:uid="{00000000-0005-0000-0000-0000F20F0000}"/>
    <cellStyle name="Comma 12 10 2" xfId="9111" xr:uid="{00000000-0005-0000-0000-0000F30F0000}"/>
    <cellStyle name="Comma 12 11" xfId="7772" xr:uid="{00000000-0005-0000-0000-0000F40F0000}"/>
    <cellStyle name="Comma 12 2" xfId="440" xr:uid="{00000000-0005-0000-0000-0000F50F0000}"/>
    <cellStyle name="Comma 12 2 2" xfId="4663" xr:uid="{00000000-0005-0000-0000-0000F60F0000}"/>
    <cellStyle name="Comma 12 2 2 2" xfId="4664" xr:uid="{00000000-0005-0000-0000-0000F70F0000}"/>
    <cellStyle name="Comma 12 2 2 2 2" xfId="7359" xr:uid="{00000000-0005-0000-0000-0000F80F0000}"/>
    <cellStyle name="Comma 12 2 2 2 2 2" xfId="10058" xr:uid="{00000000-0005-0000-0000-0000F90F0000}"/>
    <cellStyle name="Comma 12 2 2 2 3" xfId="8718" xr:uid="{00000000-0005-0000-0000-0000FA0F0000}"/>
    <cellStyle name="Comma 12 2 2 3" xfId="4665" xr:uid="{00000000-0005-0000-0000-0000FB0F0000}"/>
    <cellStyle name="Comma 12 2 2 3 2" xfId="7360" xr:uid="{00000000-0005-0000-0000-0000FC0F0000}"/>
    <cellStyle name="Comma 12 2 2 3 2 2" xfId="10059" xr:uid="{00000000-0005-0000-0000-0000FD0F0000}"/>
    <cellStyle name="Comma 12 2 2 3 3" xfId="8719" xr:uid="{00000000-0005-0000-0000-0000FE0F0000}"/>
    <cellStyle name="Comma 12 2 2 4" xfId="7358" xr:uid="{00000000-0005-0000-0000-0000FF0F0000}"/>
    <cellStyle name="Comma 12 2 2 4 2" xfId="10057" xr:uid="{00000000-0005-0000-0000-000000100000}"/>
    <cellStyle name="Comma 12 2 2 5" xfId="8717" xr:uid="{00000000-0005-0000-0000-000001100000}"/>
    <cellStyle name="Comma 12 2 4 2" xfId="64" xr:uid="{00000000-0005-0000-0000-000002100000}"/>
    <cellStyle name="Comma 12 2 4 2 2" xfId="94" xr:uid="{00000000-0005-0000-0000-000003100000}"/>
    <cellStyle name="Comma 12 3" xfId="441" xr:uid="{00000000-0005-0000-0000-000004100000}"/>
    <cellStyle name="Comma 12 3 2" xfId="880" xr:uid="{00000000-0005-0000-0000-000005100000}"/>
    <cellStyle name="Comma 12 3 2 2" xfId="1156" xr:uid="{00000000-0005-0000-0000-000006100000}"/>
    <cellStyle name="Comma 12 3 2 2 2" xfId="6874" xr:uid="{00000000-0005-0000-0000-000007100000}"/>
    <cellStyle name="Comma 12 3 2 2 2 2" xfId="9581" xr:uid="{00000000-0005-0000-0000-000008100000}"/>
    <cellStyle name="Comma 12 3 2 2 3" xfId="8242" xr:uid="{00000000-0005-0000-0000-000009100000}"/>
    <cellStyle name="Comma 12 3 2 3" xfId="4666" xr:uid="{00000000-0005-0000-0000-00000A100000}"/>
    <cellStyle name="Comma 12 3 2 3 2" xfId="7361" xr:uid="{00000000-0005-0000-0000-00000B100000}"/>
    <cellStyle name="Comma 12 3 2 3 2 2" xfId="10060" xr:uid="{00000000-0005-0000-0000-00000C100000}"/>
    <cellStyle name="Comma 12 3 2 3 3" xfId="8720" xr:uid="{00000000-0005-0000-0000-00000D100000}"/>
    <cellStyle name="Comma 12 3 2 4" xfId="6613" xr:uid="{00000000-0005-0000-0000-00000E100000}"/>
    <cellStyle name="Comma 12 3 2 4 2" xfId="9320" xr:uid="{00000000-0005-0000-0000-00000F100000}"/>
    <cellStyle name="Comma 12 3 2 5" xfId="7981" xr:uid="{00000000-0005-0000-0000-000010100000}"/>
    <cellStyle name="Comma 12 3 3" xfId="1064" xr:uid="{00000000-0005-0000-0000-000011100000}"/>
    <cellStyle name="Comma 12 3 3 2" xfId="4667" xr:uid="{00000000-0005-0000-0000-000012100000}"/>
    <cellStyle name="Comma 12 3 3 2 2" xfId="7362" xr:uid="{00000000-0005-0000-0000-000013100000}"/>
    <cellStyle name="Comma 12 3 3 2 2 2" xfId="10061" xr:uid="{00000000-0005-0000-0000-000014100000}"/>
    <cellStyle name="Comma 12 3 3 2 3" xfId="8721" xr:uid="{00000000-0005-0000-0000-000015100000}"/>
    <cellStyle name="Comma 12 3 3 3" xfId="6795" xr:uid="{00000000-0005-0000-0000-000016100000}"/>
    <cellStyle name="Comma 12 3 3 3 2" xfId="9502" xr:uid="{00000000-0005-0000-0000-000017100000}"/>
    <cellStyle name="Comma 12 3 3 4" xfId="8163" xr:uid="{00000000-0005-0000-0000-000018100000}"/>
    <cellStyle name="Comma 12 3 4" xfId="1459" xr:uid="{00000000-0005-0000-0000-000019100000}"/>
    <cellStyle name="Comma 12 3 4 2" xfId="7152" xr:uid="{00000000-0005-0000-0000-00001A100000}"/>
    <cellStyle name="Comma 12 3 4 2 2" xfId="9855" xr:uid="{00000000-0005-0000-0000-00001B100000}"/>
    <cellStyle name="Comma 12 3 4 3" xfId="8515" xr:uid="{00000000-0005-0000-0000-00001C100000}"/>
    <cellStyle name="Comma 12 3 5" xfId="6448" xr:uid="{00000000-0005-0000-0000-00001D100000}"/>
    <cellStyle name="Comma 12 3 5 2" xfId="9165" xr:uid="{00000000-0005-0000-0000-00001E100000}"/>
    <cellStyle name="Comma 12 3 6" xfId="7826" xr:uid="{00000000-0005-0000-0000-00001F100000}"/>
    <cellStyle name="Comma 12 4" xfId="879" xr:uid="{00000000-0005-0000-0000-000020100000}"/>
    <cellStyle name="Comma 12 4 2" xfId="1155" xr:uid="{00000000-0005-0000-0000-000021100000}"/>
    <cellStyle name="Comma 12 4 2 2" xfId="6873" xr:uid="{00000000-0005-0000-0000-000022100000}"/>
    <cellStyle name="Comma 12 4 2 2 2" xfId="9580" xr:uid="{00000000-0005-0000-0000-000023100000}"/>
    <cellStyle name="Comma 12 4 2 3" xfId="8241" xr:uid="{00000000-0005-0000-0000-000024100000}"/>
    <cellStyle name="Comma 12 4 3" xfId="4668" xr:uid="{00000000-0005-0000-0000-000025100000}"/>
    <cellStyle name="Comma 12 4 3 2" xfId="7363" xr:uid="{00000000-0005-0000-0000-000026100000}"/>
    <cellStyle name="Comma 12 4 3 2 2" xfId="10062" xr:uid="{00000000-0005-0000-0000-000027100000}"/>
    <cellStyle name="Comma 12 4 3 3" xfId="8722" xr:uid="{00000000-0005-0000-0000-000028100000}"/>
    <cellStyle name="Comma 12 4 4" xfId="6612" xr:uid="{00000000-0005-0000-0000-000029100000}"/>
    <cellStyle name="Comma 12 4 4 2" xfId="9319" xr:uid="{00000000-0005-0000-0000-00002A100000}"/>
    <cellStyle name="Comma 12 4 5" xfId="7980" xr:uid="{00000000-0005-0000-0000-00002B100000}"/>
    <cellStyle name="Comma 12 5" xfId="1063" xr:uid="{00000000-0005-0000-0000-00002C100000}"/>
    <cellStyle name="Comma 12 5 2" xfId="6794" xr:uid="{00000000-0005-0000-0000-00002D100000}"/>
    <cellStyle name="Comma 12 5 2 2" xfId="9501" xr:uid="{00000000-0005-0000-0000-00002E100000}"/>
    <cellStyle name="Comma 12 5 3" xfId="8162" xr:uid="{00000000-0005-0000-0000-00002F100000}"/>
    <cellStyle name="Comma 12 6" xfId="439" xr:uid="{00000000-0005-0000-0000-000030100000}"/>
    <cellStyle name="Comma 12 6 2" xfId="6447" xr:uid="{00000000-0005-0000-0000-000031100000}"/>
    <cellStyle name="Comma 12 6 2 2" xfId="9164" xr:uid="{00000000-0005-0000-0000-000032100000}"/>
    <cellStyle name="Comma 12 6 3" xfId="7825" xr:uid="{00000000-0005-0000-0000-000033100000}"/>
    <cellStyle name="Comma 12 7" xfId="1414" xr:uid="{00000000-0005-0000-0000-000034100000}"/>
    <cellStyle name="Comma 12 7 2" xfId="7119" xr:uid="{00000000-0005-0000-0000-000035100000}"/>
    <cellStyle name="Comma 12 7 2 2" xfId="9822" xr:uid="{00000000-0005-0000-0000-000036100000}"/>
    <cellStyle name="Comma 12 7 3" xfId="8483" xr:uid="{00000000-0005-0000-0000-000037100000}"/>
    <cellStyle name="Comma 12 8" xfId="4669" xr:uid="{00000000-0005-0000-0000-000038100000}"/>
    <cellStyle name="Comma 12 9" xfId="1458" xr:uid="{00000000-0005-0000-0000-000039100000}"/>
    <cellStyle name="Comma 12 9 2" xfId="7151" xr:uid="{00000000-0005-0000-0000-00003A100000}"/>
    <cellStyle name="Comma 12 9 2 2" xfId="9854" xr:uid="{00000000-0005-0000-0000-00003B100000}"/>
    <cellStyle name="Comma 12 9 3" xfId="8514" xr:uid="{00000000-0005-0000-0000-00003C100000}"/>
    <cellStyle name="Comma 120 2" xfId="442" xr:uid="{00000000-0005-0000-0000-00003D100000}"/>
    <cellStyle name="Comma 123" xfId="10450" xr:uid="{00000000-0005-0000-0000-00003E100000}"/>
    <cellStyle name="Comma 126 2" xfId="10513" xr:uid="{00000000-0005-0000-0000-00003F100000}"/>
    <cellStyle name="Comma 126 2 2" xfId="10544" xr:uid="{00000000-0005-0000-0000-000040100000}"/>
    <cellStyle name="Comma 126 2 2 2" xfId="10572" xr:uid="{00000000-0005-0000-0000-000041100000}"/>
    <cellStyle name="Comma 126 2 3" xfId="10593" xr:uid="{00000000-0005-0000-0000-000042100000}"/>
    <cellStyle name="Comma 128" xfId="10504" xr:uid="{00000000-0005-0000-0000-000043100000}"/>
    <cellStyle name="Comma 128 2" xfId="10538" xr:uid="{00000000-0005-0000-0000-000044100000}"/>
    <cellStyle name="Comma 129" xfId="10582" xr:uid="{00000000-0005-0000-0000-000045100000}"/>
    <cellStyle name="Comma 129 2" xfId="10519" xr:uid="{00000000-0005-0000-0000-000046100000}"/>
    <cellStyle name="Comma 13" xfId="132" xr:uid="{00000000-0005-0000-0000-000047100000}"/>
    <cellStyle name="Comma 13 2" xfId="125" xr:uid="{00000000-0005-0000-0000-000048100000}"/>
    <cellStyle name="Comma 13 2 2" xfId="1157" xr:uid="{00000000-0005-0000-0000-000049100000}"/>
    <cellStyle name="Comma 13 2 2 2" xfId="4671" xr:uid="{00000000-0005-0000-0000-00004A100000}"/>
    <cellStyle name="Comma 13 2 2 2 2" xfId="7365" xr:uid="{00000000-0005-0000-0000-00004B100000}"/>
    <cellStyle name="Comma 13 2 2 2 2 2" xfId="10064" xr:uid="{00000000-0005-0000-0000-00004C100000}"/>
    <cellStyle name="Comma 13 2 2 2 3" xfId="8724" xr:uid="{00000000-0005-0000-0000-00004D100000}"/>
    <cellStyle name="Comma 13 2 2 3" xfId="4672" xr:uid="{00000000-0005-0000-0000-00004E100000}"/>
    <cellStyle name="Comma 13 2 2 3 2" xfId="7366" xr:uid="{00000000-0005-0000-0000-00004F100000}"/>
    <cellStyle name="Comma 13 2 2 3 2 2" xfId="10065" xr:uid="{00000000-0005-0000-0000-000050100000}"/>
    <cellStyle name="Comma 13 2 2 3 3" xfId="8725" xr:uid="{00000000-0005-0000-0000-000051100000}"/>
    <cellStyle name="Comma 13 2 2 4" xfId="4670" xr:uid="{00000000-0005-0000-0000-000052100000}"/>
    <cellStyle name="Comma 13 2 2 4 2" xfId="7364" xr:uid="{00000000-0005-0000-0000-000053100000}"/>
    <cellStyle name="Comma 13 2 2 4 2 2" xfId="10063" xr:uid="{00000000-0005-0000-0000-000054100000}"/>
    <cellStyle name="Comma 13 2 2 4 3" xfId="8723" xr:uid="{00000000-0005-0000-0000-000055100000}"/>
    <cellStyle name="Comma 13 2 2 5" xfId="6875" xr:uid="{00000000-0005-0000-0000-000056100000}"/>
    <cellStyle name="Comma 13 2 2 5 2" xfId="9582" xr:uid="{00000000-0005-0000-0000-000057100000}"/>
    <cellStyle name="Comma 13 2 2 6" xfId="8243" xr:uid="{00000000-0005-0000-0000-000058100000}"/>
    <cellStyle name="Comma 13 2 3" xfId="881" xr:uid="{00000000-0005-0000-0000-000059100000}"/>
    <cellStyle name="Comma 13 2 3 2" xfId="6614" xr:uid="{00000000-0005-0000-0000-00005A100000}"/>
    <cellStyle name="Comma 13 2 3 2 2" xfId="9321" xr:uid="{00000000-0005-0000-0000-00005B100000}"/>
    <cellStyle name="Comma 13 2 3 3" xfId="7982" xr:uid="{00000000-0005-0000-0000-00005C100000}"/>
    <cellStyle name="Comma 13 2 4" xfId="1350" xr:uid="{00000000-0005-0000-0000-00005D100000}"/>
    <cellStyle name="Comma 13 2 4 2" xfId="7055" xr:uid="{00000000-0005-0000-0000-00005E100000}"/>
    <cellStyle name="Comma 13 2 4 2 2" xfId="9762" xr:uid="{00000000-0005-0000-0000-00005F100000}"/>
    <cellStyle name="Comma 13 2 4 3" xfId="8423" xr:uid="{00000000-0005-0000-0000-000060100000}"/>
    <cellStyle name="Comma 13 2 5" xfId="6332" xr:uid="{00000000-0005-0000-0000-000061100000}"/>
    <cellStyle name="Comma 13 2 5 2" xfId="9051" xr:uid="{00000000-0005-0000-0000-000062100000}"/>
    <cellStyle name="Comma 13 2 6" xfId="7712" xr:uid="{00000000-0005-0000-0000-000063100000}"/>
    <cellStyle name="Comma 13 3" xfId="1065" xr:uid="{00000000-0005-0000-0000-000064100000}"/>
    <cellStyle name="Comma 13 3 2" xfId="4674" xr:uid="{00000000-0005-0000-0000-000065100000}"/>
    <cellStyle name="Comma 13 3 2 2" xfId="7368" xr:uid="{00000000-0005-0000-0000-000066100000}"/>
    <cellStyle name="Comma 13 3 2 2 2" xfId="10067" xr:uid="{00000000-0005-0000-0000-000067100000}"/>
    <cellStyle name="Comma 13 3 2 3" xfId="8727" xr:uid="{00000000-0005-0000-0000-000068100000}"/>
    <cellStyle name="Comma 13 3 3" xfId="4675" xr:uid="{00000000-0005-0000-0000-000069100000}"/>
    <cellStyle name="Comma 13 3 3 2" xfId="7369" xr:uid="{00000000-0005-0000-0000-00006A100000}"/>
    <cellStyle name="Comma 13 3 3 2 2" xfId="10068" xr:uid="{00000000-0005-0000-0000-00006B100000}"/>
    <cellStyle name="Comma 13 3 3 3" xfId="8728" xr:uid="{00000000-0005-0000-0000-00006C100000}"/>
    <cellStyle name="Comma 13 3 4" xfId="4673" xr:uid="{00000000-0005-0000-0000-00006D100000}"/>
    <cellStyle name="Comma 13 3 4 2" xfId="7367" xr:uid="{00000000-0005-0000-0000-00006E100000}"/>
    <cellStyle name="Comma 13 3 4 2 2" xfId="10066" xr:uid="{00000000-0005-0000-0000-00006F100000}"/>
    <cellStyle name="Comma 13 3 4 3" xfId="8726" xr:uid="{00000000-0005-0000-0000-000070100000}"/>
    <cellStyle name="Comma 13 3 5" xfId="6796" xr:uid="{00000000-0005-0000-0000-000071100000}"/>
    <cellStyle name="Comma 13 3 5 2" xfId="9503" xr:uid="{00000000-0005-0000-0000-000072100000}"/>
    <cellStyle name="Comma 13 3 6" xfId="8164" xr:uid="{00000000-0005-0000-0000-000073100000}"/>
    <cellStyle name="Comma 13 4" xfId="443" xr:uid="{00000000-0005-0000-0000-000074100000}"/>
    <cellStyle name="Comma 13 4 2" xfId="6449" xr:uid="{00000000-0005-0000-0000-000075100000}"/>
    <cellStyle name="Comma 13 4 2 2" xfId="9166" xr:uid="{00000000-0005-0000-0000-000076100000}"/>
    <cellStyle name="Comma 13 4 3" xfId="7827" xr:uid="{00000000-0005-0000-0000-000077100000}"/>
    <cellStyle name="Comma 13 5" xfId="1354" xr:uid="{00000000-0005-0000-0000-000078100000}"/>
    <cellStyle name="Comma 13 5 2" xfId="7059" xr:uid="{00000000-0005-0000-0000-000079100000}"/>
    <cellStyle name="Comma 13 5 2 2" xfId="9765" xr:uid="{00000000-0005-0000-0000-00007A100000}"/>
    <cellStyle name="Comma 13 5 3" xfId="8426" xr:uid="{00000000-0005-0000-0000-00007B100000}"/>
    <cellStyle name="Comma 13 6" xfId="6335" xr:uid="{00000000-0005-0000-0000-00007C100000}"/>
    <cellStyle name="Comma 13 6 2" xfId="9054" xr:uid="{00000000-0005-0000-0000-00007D100000}"/>
    <cellStyle name="Comma 13 7" xfId="7715" xr:uid="{00000000-0005-0000-0000-00007E100000}"/>
    <cellStyle name="Comma 130" xfId="10492" xr:uid="{00000000-0005-0000-0000-00007F100000}"/>
    <cellStyle name="Comma 130 2" xfId="10608" xr:uid="{00000000-0005-0000-0000-000080100000}"/>
    <cellStyle name="Comma 131" xfId="10490" xr:uid="{00000000-0005-0000-0000-000081100000}"/>
    <cellStyle name="Comma 131 2" xfId="10534" xr:uid="{00000000-0005-0000-0000-000082100000}"/>
    <cellStyle name="Comma 131 2 2" xfId="10561" xr:uid="{00000000-0005-0000-0000-000083100000}"/>
    <cellStyle name="Comma 14" xfId="239" xr:uid="{00000000-0005-0000-0000-000084100000}"/>
    <cellStyle name="Comma 14 2" xfId="267" xr:uid="{00000000-0005-0000-0000-000085100000}"/>
    <cellStyle name="Comma 14 2 2" xfId="446" xr:uid="{00000000-0005-0000-0000-000086100000}"/>
    <cellStyle name="Comma 14 2 2 2" xfId="965" xr:uid="{00000000-0005-0000-0000-000087100000}"/>
    <cellStyle name="Comma 14 2 2 2 2" xfId="4677" xr:uid="{00000000-0005-0000-0000-000088100000}"/>
    <cellStyle name="Comma 14 2 2 2 2 2" xfId="7371" xr:uid="{00000000-0005-0000-0000-000089100000}"/>
    <cellStyle name="Comma 14 2 2 2 2 2 2" xfId="10070" xr:uid="{00000000-0005-0000-0000-00008A100000}"/>
    <cellStyle name="Comma 14 2 2 2 2 3" xfId="8730" xr:uid="{00000000-0005-0000-0000-00008B100000}"/>
    <cellStyle name="Comma 14 2 2 2 3" xfId="6697" xr:uid="{00000000-0005-0000-0000-00008C100000}"/>
    <cellStyle name="Comma 14 2 2 2 3 2" xfId="9404" xr:uid="{00000000-0005-0000-0000-00008D100000}"/>
    <cellStyle name="Comma 14 2 2 2 4" xfId="8065" xr:uid="{00000000-0005-0000-0000-00008E100000}"/>
    <cellStyle name="Comma 14 2 2 3" xfId="980" xr:uid="{00000000-0005-0000-0000-00008F100000}"/>
    <cellStyle name="Comma 14 2 2 3 2" xfId="1299" xr:uid="{00000000-0005-0000-0000-000090100000}"/>
    <cellStyle name="Comma 14 2 2 3 2 2" xfId="7009" xr:uid="{00000000-0005-0000-0000-000091100000}"/>
    <cellStyle name="Comma 14 2 2 3 2 2 2" xfId="9716" xr:uid="{00000000-0005-0000-0000-000092100000}"/>
    <cellStyle name="Comma 14 2 2 3 2 3" xfId="8377" xr:uid="{00000000-0005-0000-0000-000093100000}"/>
    <cellStyle name="Comma 14 2 2 3 3" xfId="4678" xr:uid="{00000000-0005-0000-0000-000094100000}"/>
    <cellStyle name="Comma 14 2 2 3 3 2" xfId="7372" xr:uid="{00000000-0005-0000-0000-000095100000}"/>
    <cellStyle name="Comma 14 2 2 3 3 2 2" xfId="10071" xr:uid="{00000000-0005-0000-0000-000096100000}"/>
    <cellStyle name="Comma 14 2 2 3 3 3" xfId="8731" xr:uid="{00000000-0005-0000-0000-000097100000}"/>
    <cellStyle name="Comma 14 2 2 3 4" xfId="6712" xr:uid="{00000000-0005-0000-0000-000098100000}"/>
    <cellStyle name="Comma 14 2 2 3 4 2" xfId="9419" xr:uid="{00000000-0005-0000-0000-000099100000}"/>
    <cellStyle name="Comma 14 2 2 3 5" xfId="8080" xr:uid="{00000000-0005-0000-0000-00009A100000}"/>
    <cellStyle name="Comma 14 2 2 4" xfId="1041" xr:uid="{00000000-0005-0000-0000-00009B100000}"/>
    <cellStyle name="Comma 14 2 2 4 2" xfId="6772" xr:uid="{00000000-0005-0000-0000-00009C100000}"/>
    <cellStyle name="Comma 14 2 2 4 2 2" xfId="9479" xr:uid="{00000000-0005-0000-0000-00009D100000}"/>
    <cellStyle name="Comma 14 2 2 4 3" xfId="8140" xr:uid="{00000000-0005-0000-0000-00009E100000}"/>
    <cellStyle name="Comma 14 2 2 5" xfId="4676" xr:uid="{00000000-0005-0000-0000-00009F100000}"/>
    <cellStyle name="Comma 14 2 2 5 2" xfId="7370" xr:uid="{00000000-0005-0000-0000-0000A0100000}"/>
    <cellStyle name="Comma 14 2 2 5 2 2" xfId="10069" xr:uid="{00000000-0005-0000-0000-0000A1100000}"/>
    <cellStyle name="Comma 14 2 2 5 3" xfId="8729" xr:uid="{00000000-0005-0000-0000-0000A2100000}"/>
    <cellStyle name="Comma 14 2 2 6" xfId="6452" xr:uid="{00000000-0005-0000-0000-0000A3100000}"/>
    <cellStyle name="Comma 14 2 2 6 2" xfId="9169" xr:uid="{00000000-0005-0000-0000-0000A4100000}"/>
    <cellStyle name="Comma 14 2 2 7" xfId="7830" xr:uid="{00000000-0005-0000-0000-0000A5100000}"/>
    <cellStyle name="Comma 14 2 3" xfId="445" xr:uid="{00000000-0005-0000-0000-0000A6100000}"/>
    <cellStyle name="Comma 14 2 3 2" xfId="1159" xr:uid="{00000000-0005-0000-0000-0000A7100000}"/>
    <cellStyle name="Comma 14 2 3 2 2" xfId="6877" xr:uid="{00000000-0005-0000-0000-0000A8100000}"/>
    <cellStyle name="Comma 14 2 3 2 2 2" xfId="9584" xr:uid="{00000000-0005-0000-0000-0000A9100000}"/>
    <cellStyle name="Comma 14 2 3 2 3" xfId="8245" xr:uid="{00000000-0005-0000-0000-0000AA100000}"/>
    <cellStyle name="Comma 14 2 3 3" xfId="6451" xr:uid="{00000000-0005-0000-0000-0000AB100000}"/>
    <cellStyle name="Comma 14 2 3 3 2" xfId="9168" xr:uid="{00000000-0005-0000-0000-0000AC100000}"/>
    <cellStyle name="Comma 14 2 3 4" xfId="7829" xr:uid="{00000000-0005-0000-0000-0000AD100000}"/>
    <cellStyle name="Comma 14 2 4" xfId="883" xr:uid="{00000000-0005-0000-0000-0000AE100000}"/>
    <cellStyle name="Comma 14 2 4 2" xfId="6616" xr:uid="{00000000-0005-0000-0000-0000AF100000}"/>
    <cellStyle name="Comma 14 2 4 2 2" xfId="9323" xr:uid="{00000000-0005-0000-0000-0000B0100000}"/>
    <cellStyle name="Comma 14 2 4 3" xfId="7984" xr:uid="{00000000-0005-0000-0000-0000B1100000}"/>
    <cellStyle name="Comma 14 2 5" xfId="1013" xr:uid="{00000000-0005-0000-0000-0000B2100000}"/>
    <cellStyle name="Comma 14 2 5 2" xfId="6744" xr:uid="{00000000-0005-0000-0000-0000B3100000}"/>
    <cellStyle name="Comma 14 2 5 2 2" xfId="9451" xr:uid="{00000000-0005-0000-0000-0000B4100000}"/>
    <cellStyle name="Comma 14 2 5 3" xfId="8112" xr:uid="{00000000-0005-0000-0000-0000B5100000}"/>
    <cellStyle name="Comma 14 2 6" xfId="1435" xr:uid="{00000000-0005-0000-0000-0000B6100000}"/>
    <cellStyle name="Comma 14 2 6 2" xfId="7131" xr:uid="{00000000-0005-0000-0000-0000B7100000}"/>
    <cellStyle name="Comma 14 2 6 2 2" xfId="9834" xr:uid="{00000000-0005-0000-0000-0000B8100000}"/>
    <cellStyle name="Comma 14 2 6 3" xfId="8494" xr:uid="{00000000-0005-0000-0000-0000B9100000}"/>
    <cellStyle name="Comma 14 2 7" xfId="6418" xr:uid="{00000000-0005-0000-0000-0000BA100000}"/>
    <cellStyle name="Comma 14 2 7 2" xfId="9137" xr:uid="{00000000-0005-0000-0000-0000BB100000}"/>
    <cellStyle name="Comma 14 2 8" xfId="7798" xr:uid="{00000000-0005-0000-0000-0000BC100000}"/>
    <cellStyle name="Comma 14 3" xfId="447" xr:uid="{00000000-0005-0000-0000-0000BD100000}"/>
    <cellStyle name="Comma 14 3 2" xfId="998" xr:uid="{00000000-0005-0000-0000-0000BE100000}"/>
    <cellStyle name="Comma 14 3 2 2" xfId="4680" xr:uid="{00000000-0005-0000-0000-0000BF100000}"/>
    <cellStyle name="Comma 14 3 2 2 2" xfId="7374" xr:uid="{00000000-0005-0000-0000-0000C0100000}"/>
    <cellStyle name="Comma 14 3 2 2 2 2" xfId="10073" xr:uid="{00000000-0005-0000-0000-0000C1100000}"/>
    <cellStyle name="Comma 14 3 2 2 3" xfId="8733" xr:uid="{00000000-0005-0000-0000-0000C2100000}"/>
    <cellStyle name="Comma 14 3 2 3" xfId="6729" xr:uid="{00000000-0005-0000-0000-0000C3100000}"/>
    <cellStyle name="Comma 14 3 2 3 2" xfId="9436" xr:uid="{00000000-0005-0000-0000-0000C4100000}"/>
    <cellStyle name="Comma 14 3 2 4" xfId="8097" xr:uid="{00000000-0005-0000-0000-0000C5100000}"/>
    <cellStyle name="Comma 14 3 3" xfId="990" xr:uid="{00000000-0005-0000-0000-0000C6100000}"/>
    <cellStyle name="Comma 14 3 3 2" xfId="1316" xr:uid="{00000000-0005-0000-0000-0000C7100000}"/>
    <cellStyle name="Comma 14 3 3 2 2" xfId="7022" xr:uid="{00000000-0005-0000-0000-0000C8100000}"/>
    <cellStyle name="Comma 14 3 3 2 2 2" xfId="9729" xr:uid="{00000000-0005-0000-0000-0000C9100000}"/>
    <cellStyle name="Comma 14 3 3 2 3" xfId="8390" xr:uid="{00000000-0005-0000-0000-0000CA100000}"/>
    <cellStyle name="Comma 14 3 3 3" xfId="4681" xr:uid="{00000000-0005-0000-0000-0000CB100000}"/>
    <cellStyle name="Comma 14 3 3 3 2" xfId="7375" xr:uid="{00000000-0005-0000-0000-0000CC100000}"/>
    <cellStyle name="Comma 14 3 3 3 2 2" xfId="10074" xr:uid="{00000000-0005-0000-0000-0000CD100000}"/>
    <cellStyle name="Comma 14 3 3 3 3" xfId="8734" xr:uid="{00000000-0005-0000-0000-0000CE100000}"/>
    <cellStyle name="Comma 14 3 3 4" xfId="6722" xr:uid="{00000000-0005-0000-0000-0000CF100000}"/>
    <cellStyle name="Comma 14 3 3 4 2" xfId="9429" xr:uid="{00000000-0005-0000-0000-0000D0100000}"/>
    <cellStyle name="Comma 14 3 3 5" xfId="8090" xr:uid="{00000000-0005-0000-0000-0000D1100000}"/>
    <cellStyle name="Comma 14 3 4" xfId="1028" xr:uid="{00000000-0005-0000-0000-0000D2100000}"/>
    <cellStyle name="Comma 14 3 4 2" xfId="6759" xr:uid="{00000000-0005-0000-0000-0000D3100000}"/>
    <cellStyle name="Comma 14 3 4 2 2" xfId="9466" xr:uid="{00000000-0005-0000-0000-0000D4100000}"/>
    <cellStyle name="Comma 14 3 4 3" xfId="8127" xr:uid="{00000000-0005-0000-0000-0000D5100000}"/>
    <cellStyle name="Comma 14 3 5" xfId="4679" xr:uid="{00000000-0005-0000-0000-0000D6100000}"/>
    <cellStyle name="Comma 14 3 5 2" xfId="7373" xr:uid="{00000000-0005-0000-0000-0000D7100000}"/>
    <cellStyle name="Comma 14 3 5 2 2" xfId="10072" xr:uid="{00000000-0005-0000-0000-0000D8100000}"/>
    <cellStyle name="Comma 14 3 5 3" xfId="8732" xr:uid="{00000000-0005-0000-0000-0000D9100000}"/>
    <cellStyle name="Comma 14 3 6" xfId="6453" xr:uid="{00000000-0005-0000-0000-0000DA100000}"/>
    <cellStyle name="Comma 14 3 6 2" xfId="9170" xr:uid="{00000000-0005-0000-0000-0000DB100000}"/>
    <cellStyle name="Comma 14 3 7" xfId="7831" xr:uid="{00000000-0005-0000-0000-0000DC100000}"/>
    <cellStyle name="Comma 14 4" xfId="444" xr:uid="{00000000-0005-0000-0000-0000DD100000}"/>
    <cellStyle name="Comma 14 4 2" xfId="1158" xr:uid="{00000000-0005-0000-0000-0000DE100000}"/>
    <cellStyle name="Comma 14 4 2 2" xfId="6876" xr:uid="{00000000-0005-0000-0000-0000DF100000}"/>
    <cellStyle name="Comma 14 4 2 2 2" xfId="9583" xr:uid="{00000000-0005-0000-0000-0000E0100000}"/>
    <cellStyle name="Comma 14 4 2 3" xfId="8244" xr:uid="{00000000-0005-0000-0000-0000E1100000}"/>
    <cellStyle name="Comma 14 4 3" xfId="6450" xr:uid="{00000000-0005-0000-0000-0000E2100000}"/>
    <cellStyle name="Comma 14 4 3 2" xfId="9167" xr:uid="{00000000-0005-0000-0000-0000E3100000}"/>
    <cellStyle name="Comma 14 4 4" xfId="7828" xr:uid="{00000000-0005-0000-0000-0000E4100000}"/>
    <cellStyle name="Comma 14 5" xfId="882" xr:uid="{00000000-0005-0000-0000-0000E5100000}"/>
    <cellStyle name="Comma 14 5 2" xfId="6615" xr:uid="{00000000-0005-0000-0000-0000E6100000}"/>
    <cellStyle name="Comma 14 5 2 2" xfId="9322" xr:uid="{00000000-0005-0000-0000-0000E7100000}"/>
    <cellStyle name="Comma 14 5 3" xfId="7983" xr:uid="{00000000-0005-0000-0000-0000E8100000}"/>
    <cellStyle name="Comma 14 6" xfId="1002" xr:uid="{00000000-0005-0000-0000-0000E9100000}"/>
    <cellStyle name="Comma 14 6 2" xfId="6733" xr:uid="{00000000-0005-0000-0000-0000EA100000}"/>
    <cellStyle name="Comma 14 6 2 2" xfId="9440" xr:uid="{00000000-0005-0000-0000-0000EB100000}"/>
    <cellStyle name="Comma 14 6 3" xfId="8101" xr:uid="{00000000-0005-0000-0000-0000EC100000}"/>
    <cellStyle name="Comma 14 7" xfId="1460" xr:uid="{00000000-0005-0000-0000-0000ED100000}"/>
    <cellStyle name="Comma 14 7 2" xfId="7153" xr:uid="{00000000-0005-0000-0000-0000EE100000}"/>
    <cellStyle name="Comma 14 7 2 2" xfId="9856" xr:uid="{00000000-0005-0000-0000-0000EF100000}"/>
    <cellStyle name="Comma 14 7 3" xfId="8516" xr:uid="{00000000-0005-0000-0000-0000F0100000}"/>
    <cellStyle name="Comma 14 8" xfId="6400" xr:uid="{00000000-0005-0000-0000-0000F1100000}"/>
    <cellStyle name="Comma 14 8 2" xfId="9119" xr:uid="{00000000-0005-0000-0000-0000F2100000}"/>
    <cellStyle name="Comma 14 9" xfId="7780" xr:uid="{00000000-0005-0000-0000-0000F3100000}"/>
    <cellStyle name="Comma 15" xfId="240" xr:uid="{00000000-0005-0000-0000-0000F4100000}"/>
    <cellStyle name="Comma 15 2" xfId="116" xr:uid="{00000000-0005-0000-0000-0000F5100000}"/>
    <cellStyle name="Comma 15 2 2" xfId="449" xr:uid="{00000000-0005-0000-0000-0000F6100000}"/>
    <cellStyle name="Comma 15 2 2 2" xfId="885" xr:uid="{00000000-0005-0000-0000-0000F7100000}"/>
    <cellStyle name="Comma 15 2 2 2 2" xfId="1324" xr:uid="{00000000-0005-0000-0000-0000F8100000}"/>
    <cellStyle name="Comma 15 2 2 2 2 2" xfId="7030" xr:uid="{00000000-0005-0000-0000-0000F9100000}"/>
    <cellStyle name="Comma 15 2 2 2 2 2 2" xfId="9737" xr:uid="{00000000-0005-0000-0000-0000FA100000}"/>
    <cellStyle name="Comma 15 2 2 2 2 3" xfId="8398" xr:uid="{00000000-0005-0000-0000-0000FB100000}"/>
    <cellStyle name="Comma 15 2 2 2 3" xfId="1066" xr:uid="{00000000-0005-0000-0000-0000FC100000}"/>
    <cellStyle name="Comma 15 2 2 2 3 2" xfId="6797" xr:uid="{00000000-0005-0000-0000-0000FD100000}"/>
    <cellStyle name="Comma 15 2 2 2 3 2 2" xfId="9504" xr:uid="{00000000-0005-0000-0000-0000FE100000}"/>
    <cellStyle name="Comma 15 2 2 2 3 3" xfId="8165" xr:uid="{00000000-0005-0000-0000-0000FF100000}"/>
    <cellStyle name="Comma 15 2 2 2 4" xfId="4683" xr:uid="{00000000-0005-0000-0000-000000110000}"/>
    <cellStyle name="Comma 15 2 2 2 4 2" xfId="7377" xr:uid="{00000000-0005-0000-0000-000001110000}"/>
    <cellStyle name="Comma 15 2 2 2 4 2 2" xfId="10076" xr:uid="{00000000-0005-0000-0000-000002110000}"/>
    <cellStyle name="Comma 15 2 2 2 4 3" xfId="8736" xr:uid="{00000000-0005-0000-0000-000003110000}"/>
    <cellStyle name="Comma 15 2 2 2 5" xfId="6618" xr:uid="{00000000-0005-0000-0000-000004110000}"/>
    <cellStyle name="Comma 15 2 2 2 5 2" xfId="9325" xr:uid="{00000000-0005-0000-0000-000005110000}"/>
    <cellStyle name="Comma 15 2 2 2 6" xfId="7986" xr:uid="{00000000-0005-0000-0000-000006110000}"/>
    <cellStyle name="Comma 15 2 2 3" xfId="979" xr:uid="{00000000-0005-0000-0000-000007110000}"/>
    <cellStyle name="Comma 15 2 2 3 2" xfId="1161" xr:uid="{00000000-0005-0000-0000-000008110000}"/>
    <cellStyle name="Comma 15 2 2 3 2 2" xfId="6879" xr:uid="{00000000-0005-0000-0000-000009110000}"/>
    <cellStyle name="Comma 15 2 2 3 2 2 2" xfId="9586" xr:uid="{00000000-0005-0000-0000-00000A110000}"/>
    <cellStyle name="Comma 15 2 2 3 2 3" xfId="8247" xr:uid="{00000000-0005-0000-0000-00000B110000}"/>
    <cellStyle name="Comma 15 2 2 3 3" xfId="4684" xr:uid="{00000000-0005-0000-0000-00000C110000}"/>
    <cellStyle name="Comma 15 2 2 3 3 2" xfId="7378" xr:uid="{00000000-0005-0000-0000-00000D110000}"/>
    <cellStyle name="Comma 15 2 2 3 3 2 2" xfId="10077" xr:uid="{00000000-0005-0000-0000-00000E110000}"/>
    <cellStyle name="Comma 15 2 2 3 3 3" xfId="8737" xr:uid="{00000000-0005-0000-0000-00000F110000}"/>
    <cellStyle name="Comma 15 2 2 3 4" xfId="6711" xr:uid="{00000000-0005-0000-0000-000010110000}"/>
    <cellStyle name="Comma 15 2 2 3 4 2" xfId="9418" xr:uid="{00000000-0005-0000-0000-000011110000}"/>
    <cellStyle name="Comma 15 2 2 3 5" xfId="8079" xr:uid="{00000000-0005-0000-0000-000012110000}"/>
    <cellStyle name="Comma 15 2 2 4" xfId="1298" xr:uid="{00000000-0005-0000-0000-000013110000}"/>
    <cellStyle name="Comma 15 2 2 4 2" xfId="7008" xr:uid="{00000000-0005-0000-0000-000014110000}"/>
    <cellStyle name="Comma 15 2 2 4 2 2" xfId="9715" xr:uid="{00000000-0005-0000-0000-000015110000}"/>
    <cellStyle name="Comma 15 2 2 4 3" xfId="8376" xr:uid="{00000000-0005-0000-0000-000016110000}"/>
    <cellStyle name="Comma 15 2 2 5" xfId="1042" xr:uid="{00000000-0005-0000-0000-000017110000}"/>
    <cellStyle name="Comma 15 2 2 5 2" xfId="6773" xr:uid="{00000000-0005-0000-0000-000018110000}"/>
    <cellStyle name="Comma 15 2 2 5 2 2" xfId="9480" xr:uid="{00000000-0005-0000-0000-000019110000}"/>
    <cellStyle name="Comma 15 2 2 5 3" xfId="8141" xr:uid="{00000000-0005-0000-0000-00001A110000}"/>
    <cellStyle name="Comma 15 2 2 6" xfId="4682" xr:uid="{00000000-0005-0000-0000-00001B110000}"/>
    <cellStyle name="Comma 15 2 2 6 2" xfId="7376" xr:uid="{00000000-0005-0000-0000-00001C110000}"/>
    <cellStyle name="Comma 15 2 2 6 2 2" xfId="10075" xr:uid="{00000000-0005-0000-0000-00001D110000}"/>
    <cellStyle name="Comma 15 2 2 6 3" xfId="8735" xr:uid="{00000000-0005-0000-0000-00001E110000}"/>
    <cellStyle name="Comma 15 2 2 7" xfId="6455" xr:uid="{00000000-0005-0000-0000-00001F110000}"/>
    <cellStyle name="Comma 15 2 2 7 2" xfId="9172" xr:uid="{00000000-0005-0000-0000-000020110000}"/>
    <cellStyle name="Comma 15 2 2 8" xfId="7833" xr:uid="{00000000-0005-0000-0000-000021110000}"/>
    <cellStyle name="Comma 15 2 3" xfId="448" xr:uid="{00000000-0005-0000-0000-000022110000}"/>
    <cellStyle name="Comma 15 2 3 2" xfId="1160" xr:uid="{00000000-0005-0000-0000-000023110000}"/>
    <cellStyle name="Comma 15 2 3 2 2" xfId="6878" xr:uid="{00000000-0005-0000-0000-000024110000}"/>
    <cellStyle name="Comma 15 2 3 2 2 2" xfId="9585" xr:uid="{00000000-0005-0000-0000-000025110000}"/>
    <cellStyle name="Comma 15 2 3 2 3" xfId="8246" xr:uid="{00000000-0005-0000-0000-000026110000}"/>
    <cellStyle name="Comma 15 2 3 3" xfId="6454" xr:uid="{00000000-0005-0000-0000-000027110000}"/>
    <cellStyle name="Comma 15 2 3 3 2" xfId="9171" xr:uid="{00000000-0005-0000-0000-000028110000}"/>
    <cellStyle name="Comma 15 2 3 3 2 2" xfId="10524" xr:uid="{00000000-0005-0000-0000-000029110000}"/>
    <cellStyle name="Comma 15 2 3 3 2 2 2" xfId="10550" xr:uid="{00000000-0005-0000-0000-00002A110000}"/>
    <cellStyle name="Comma 15 2 3 4" xfId="7832" xr:uid="{00000000-0005-0000-0000-00002B110000}"/>
    <cellStyle name="Comma 15 2 3 5" xfId="10508" xr:uid="{00000000-0005-0000-0000-00002C110000}"/>
    <cellStyle name="Comma 15 2 3 6" xfId="10541" xr:uid="{00000000-0005-0000-0000-00002D110000}"/>
    <cellStyle name="Comma 15 2 4" xfId="884" xr:uid="{00000000-0005-0000-0000-00002E110000}"/>
    <cellStyle name="Comma 15 2 4 2" xfId="6617" xr:uid="{00000000-0005-0000-0000-00002F110000}"/>
    <cellStyle name="Comma 15 2 4 2 2" xfId="9324" xr:uid="{00000000-0005-0000-0000-000030110000}"/>
    <cellStyle name="Comma 15 2 4 3" xfId="7985" xr:uid="{00000000-0005-0000-0000-000031110000}"/>
    <cellStyle name="Comma 15 2 5" xfId="1014" xr:uid="{00000000-0005-0000-0000-000032110000}"/>
    <cellStyle name="Comma 15 2 5 2" xfId="6745" xr:uid="{00000000-0005-0000-0000-000033110000}"/>
    <cellStyle name="Comma 15 2 5 2 2" xfId="9452" xr:uid="{00000000-0005-0000-0000-000034110000}"/>
    <cellStyle name="Comma 15 2 5 3" xfId="8113" xr:uid="{00000000-0005-0000-0000-000035110000}"/>
    <cellStyle name="Comma 15 2 6" xfId="6419" xr:uid="{00000000-0005-0000-0000-000036110000}"/>
    <cellStyle name="Comma 15 2 6 2" xfId="9138" xr:uid="{00000000-0005-0000-0000-000037110000}"/>
    <cellStyle name="Comma 15 2 7" xfId="7799" xr:uid="{00000000-0005-0000-0000-000038110000}"/>
    <cellStyle name="Comma 15 2 8" xfId="268" xr:uid="{00000000-0005-0000-0000-000039110000}"/>
    <cellStyle name="Comma 15 3" xfId="450" xr:uid="{00000000-0005-0000-0000-00003A110000}"/>
    <cellStyle name="Comma 15 3 2" xfId="886" xr:uid="{00000000-0005-0000-0000-00003B110000}"/>
    <cellStyle name="Comma 15 3 2 2" xfId="1162" xr:uid="{00000000-0005-0000-0000-00003C110000}"/>
    <cellStyle name="Comma 15 3 2 2 2" xfId="6880" xr:uid="{00000000-0005-0000-0000-00003D110000}"/>
    <cellStyle name="Comma 15 3 2 2 2 2" xfId="9587" xr:uid="{00000000-0005-0000-0000-00003E110000}"/>
    <cellStyle name="Comma 15 3 2 2 3" xfId="8248" xr:uid="{00000000-0005-0000-0000-00003F110000}"/>
    <cellStyle name="Comma 15 3 2 3" xfId="4686" xr:uid="{00000000-0005-0000-0000-000040110000}"/>
    <cellStyle name="Comma 15 3 2 3 2" xfId="7380" xr:uid="{00000000-0005-0000-0000-000041110000}"/>
    <cellStyle name="Comma 15 3 2 3 2 2" xfId="10079" xr:uid="{00000000-0005-0000-0000-000042110000}"/>
    <cellStyle name="Comma 15 3 2 3 3" xfId="8739" xr:uid="{00000000-0005-0000-0000-000043110000}"/>
    <cellStyle name="Comma 15 3 2 4" xfId="6619" xr:uid="{00000000-0005-0000-0000-000044110000}"/>
    <cellStyle name="Comma 15 3 2 4 2" xfId="9326" xr:uid="{00000000-0005-0000-0000-000045110000}"/>
    <cellStyle name="Comma 15 3 2 5" xfId="7987" xr:uid="{00000000-0005-0000-0000-000046110000}"/>
    <cellStyle name="Comma 15 3 3" xfId="1067" xr:uid="{00000000-0005-0000-0000-000047110000}"/>
    <cellStyle name="Comma 15 3 3 2" xfId="4687" xr:uid="{00000000-0005-0000-0000-000048110000}"/>
    <cellStyle name="Comma 15 3 3 2 2" xfId="7381" xr:uid="{00000000-0005-0000-0000-000049110000}"/>
    <cellStyle name="Comma 15 3 3 2 2 2" xfId="10080" xr:uid="{00000000-0005-0000-0000-00004A110000}"/>
    <cellStyle name="Comma 15 3 3 2 3" xfId="8740" xr:uid="{00000000-0005-0000-0000-00004B110000}"/>
    <cellStyle name="Comma 15 3 3 3" xfId="6798" xr:uid="{00000000-0005-0000-0000-00004C110000}"/>
    <cellStyle name="Comma 15 3 3 3 2" xfId="9505" xr:uid="{00000000-0005-0000-0000-00004D110000}"/>
    <cellStyle name="Comma 15 3 3 4" xfId="8166" xr:uid="{00000000-0005-0000-0000-00004E110000}"/>
    <cellStyle name="Comma 15 3 4" xfId="4685" xr:uid="{00000000-0005-0000-0000-00004F110000}"/>
    <cellStyle name="Comma 15 3 4 2" xfId="7379" xr:uid="{00000000-0005-0000-0000-000050110000}"/>
    <cellStyle name="Comma 15 3 4 2 2" xfId="10078" xr:uid="{00000000-0005-0000-0000-000051110000}"/>
    <cellStyle name="Comma 15 3 4 3" xfId="8738" xr:uid="{00000000-0005-0000-0000-000052110000}"/>
    <cellStyle name="Comma 15 3 5" xfId="6456" xr:uid="{00000000-0005-0000-0000-000053110000}"/>
    <cellStyle name="Comma 15 3 5 2" xfId="9173" xr:uid="{00000000-0005-0000-0000-000054110000}"/>
    <cellStyle name="Comma 15 3 6" xfId="7834" xr:uid="{00000000-0005-0000-0000-000055110000}"/>
    <cellStyle name="Comma 15 4" xfId="6401" xr:uid="{00000000-0005-0000-0000-000056110000}"/>
    <cellStyle name="Comma 15 4 2" xfId="9120" xr:uid="{00000000-0005-0000-0000-000057110000}"/>
    <cellStyle name="Comma 15 5" xfId="7781" xr:uid="{00000000-0005-0000-0000-000058110000}"/>
    <cellStyle name="Comma 16" xfId="451" xr:uid="{00000000-0005-0000-0000-000059110000}"/>
    <cellStyle name="Comma 16 2" xfId="452" xr:uid="{00000000-0005-0000-0000-00005A110000}"/>
    <cellStyle name="Comma 16 2 2" xfId="888" xr:uid="{00000000-0005-0000-0000-00005B110000}"/>
    <cellStyle name="Comma 16 2 2 2" xfId="1164" xr:uid="{00000000-0005-0000-0000-00005C110000}"/>
    <cellStyle name="Comma 16 2 2 2 2" xfId="4689" xr:uid="{00000000-0005-0000-0000-00005D110000}"/>
    <cellStyle name="Comma 16 2 2 2 2 2" xfId="7383" xr:uid="{00000000-0005-0000-0000-00005E110000}"/>
    <cellStyle name="Comma 16 2 2 2 2 2 2" xfId="10082" xr:uid="{00000000-0005-0000-0000-00005F110000}"/>
    <cellStyle name="Comma 16 2 2 2 2 3" xfId="8742" xr:uid="{00000000-0005-0000-0000-000060110000}"/>
    <cellStyle name="Comma 16 2 2 2 3" xfId="6882" xr:uid="{00000000-0005-0000-0000-000061110000}"/>
    <cellStyle name="Comma 16 2 2 2 3 2" xfId="9589" xr:uid="{00000000-0005-0000-0000-000062110000}"/>
    <cellStyle name="Comma 16 2 2 2 4" xfId="8250" xr:uid="{00000000-0005-0000-0000-000063110000}"/>
    <cellStyle name="Comma 16 2 2 3" xfId="4690" xr:uid="{00000000-0005-0000-0000-000064110000}"/>
    <cellStyle name="Comma 16 2 2 3 2" xfId="7384" xr:uid="{00000000-0005-0000-0000-000065110000}"/>
    <cellStyle name="Comma 16 2 2 3 2 2" xfId="10083" xr:uid="{00000000-0005-0000-0000-000066110000}"/>
    <cellStyle name="Comma 16 2 2 3 3" xfId="8743" xr:uid="{00000000-0005-0000-0000-000067110000}"/>
    <cellStyle name="Comma 16 2 2 4" xfId="4688" xr:uid="{00000000-0005-0000-0000-000068110000}"/>
    <cellStyle name="Comma 16 2 2 4 2" xfId="7382" xr:uid="{00000000-0005-0000-0000-000069110000}"/>
    <cellStyle name="Comma 16 2 2 4 2 2" xfId="10081" xr:uid="{00000000-0005-0000-0000-00006A110000}"/>
    <cellStyle name="Comma 16 2 2 4 3" xfId="8741" xr:uid="{00000000-0005-0000-0000-00006B110000}"/>
    <cellStyle name="Comma 16 2 2 5" xfId="6621" xr:uid="{00000000-0005-0000-0000-00006C110000}"/>
    <cellStyle name="Comma 16 2 2 5 2" xfId="9328" xr:uid="{00000000-0005-0000-0000-00006D110000}"/>
    <cellStyle name="Comma 16 2 2 6" xfId="7989" xr:uid="{00000000-0005-0000-0000-00006E110000}"/>
    <cellStyle name="Comma 16 2 3" xfId="1069" xr:uid="{00000000-0005-0000-0000-00006F110000}"/>
    <cellStyle name="Comma 16 2 3 2" xfId="6800" xr:uid="{00000000-0005-0000-0000-000070110000}"/>
    <cellStyle name="Comma 16 2 3 2 2" xfId="9507" xr:uid="{00000000-0005-0000-0000-000071110000}"/>
    <cellStyle name="Comma 16 2 3 3" xfId="8168" xr:uid="{00000000-0005-0000-0000-000072110000}"/>
    <cellStyle name="Comma 16 2 4" xfId="1462" xr:uid="{00000000-0005-0000-0000-000073110000}"/>
    <cellStyle name="Comma 16 2 4 2" xfId="7155" xr:uid="{00000000-0005-0000-0000-000074110000}"/>
    <cellStyle name="Comma 16 2 4 2 2" xfId="9858" xr:uid="{00000000-0005-0000-0000-000075110000}"/>
    <cellStyle name="Comma 16 2 4 3" xfId="8518" xr:uid="{00000000-0005-0000-0000-000076110000}"/>
    <cellStyle name="Comma 16 2 5" xfId="6458" xr:uid="{00000000-0005-0000-0000-000077110000}"/>
    <cellStyle name="Comma 16 2 5 2" xfId="9175" xr:uid="{00000000-0005-0000-0000-000078110000}"/>
    <cellStyle name="Comma 16 2 6" xfId="7836" xr:uid="{00000000-0005-0000-0000-000079110000}"/>
    <cellStyle name="Comma 16 2 7" xfId="10509" xr:uid="{00000000-0005-0000-0000-00007A110000}"/>
    <cellStyle name="Comma 16 2 8" xfId="10542" xr:uid="{00000000-0005-0000-0000-00007B110000}"/>
    <cellStyle name="Comma 16 3" xfId="887" xr:uid="{00000000-0005-0000-0000-00007C110000}"/>
    <cellStyle name="Comma 16 3 2" xfId="1163" xr:uid="{00000000-0005-0000-0000-00007D110000}"/>
    <cellStyle name="Comma 16 3 2 2" xfId="4692" xr:uid="{00000000-0005-0000-0000-00007E110000}"/>
    <cellStyle name="Comma 16 3 2 2 2" xfId="7386" xr:uid="{00000000-0005-0000-0000-00007F110000}"/>
    <cellStyle name="Comma 16 3 2 2 2 2" xfId="10085" xr:uid="{00000000-0005-0000-0000-000080110000}"/>
    <cellStyle name="Comma 16 3 2 2 3" xfId="8745" xr:uid="{00000000-0005-0000-0000-000081110000}"/>
    <cellStyle name="Comma 16 3 2 3" xfId="6881" xr:uid="{00000000-0005-0000-0000-000082110000}"/>
    <cellStyle name="Comma 16 3 2 3 2" xfId="9588" xr:uid="{00000000-0005-0000-0000-000083110000}"/>
    <cellStyle name="Comma 16 3 2 4" xfId="8249" xr:uid="{00000000-0005-0000-0000-000084110000}"/>
    <cellStyle name="Comma 16 3 3" xfId="4693" xr:uid="{00000000-0005-0000-0000-000085110000}"/>
    <cellStyle name="Comma 16 3 3 2" xfId="7387" xr:uid="{00000000-0005-0000-0000-000086110000}"/>
    <cellStyle name="Comma 16 3 3 2 2" xfId="10086" xr:uid="{00000000-0005-0000-0000-000087110000}"/>
    <cellStyle name="Comma 16 3 3 3" xfId="8746" xr:uid="{00000000-0005-0000-0000-000088110000}"/>
    <cellStyle name="Comma 16 3 4" xfId="4691" xr:uid="{00000000-0005-0000-0000-000089110000}"/>
    <cellStyle name="Comma 16 3 4 2" xfId="7385" xr:uid="{00000000-0005-0000-0000-00008A110000}"/>
    <cellStyle name="Comma 16 3 4 2 2" xfId="10084" xr:uid="{00000000-0005-0000-0000-00008B110000}"/>
    <cellStyle name="Comma 16 3 4 3" xfId="8744" xr:uid="{00000000-0005-0000-0000-00008C110000}"/>
    <cellStyle name="Comma 16 3 5" xfId="6620" xr:uid="{00000000-0005-0000-0000-00008D110000}"/>
    <cellStyle name="Comma 16 3 5 2" xfId="9327" xr:uid="{00000000-0005-0000-0000-00008E110000}"/>
    <cellStyle name="Comma 16 3 6" xfId="7988" xr:uid="{00000000-0005-0000-0000-00008F110000}"/>
    <cellStyle name="Comma 16 4" xfId="1068" xr:uid="{00000000-0005-0000-0000-000090110000}"/>
    <cellStyle name="Comma 16 4 2" xfId="6799" xr:uid="{00000000-0005-0000-0000-000091110000}"/>
    <cellStyle name="Comma 16 4 2 2" xfId="9506" xr:uid="{00000000-0005-0000-0000-000092110000}"/>
    <cellStyle name="Comma 16 4 3" xfId="8167" xr:uid="{00000000-0005-0000-0000-000093110000}"/>
    <cellStyle name="Comma 16 5" xfId="1436" xr:uid="{00000000-0005-0000-0000-000094110000}"/>
    <cellStyle name="Comma 16 5 2" xfId="7132" xr:uid="{00000000-0005-0000-0000-000095110000}"/>
    <cellStyle name="Comma 16 5 2 2" xfId="9835" xr:uid="{00000000-0005-0000-0000-000096110000}"/>
    <cellStyle name="Comma 16 5 3" xfId="8495" xr:uid="{00000000-0005-0000-0000-000097110000}"/>
    <cellStyle name="Comma 16 6" xfId="6457" xr:uid="{00000000-0005-0000-0000-000098110000}"/>
    <cellStyle name="Comma 16 6 2" xfId="9174" xr:uid="{00000000-0005-0000-0000-000099110000}"/>
    <cellStyle name="Comma 16 7" xfId="7835" xr:uid="{00000000-0005-0000-0000-00009A110000}"/>
    <cellStyle name="Comma 17" xfId="453" xr:uid="{00000000-0005-0000-0000-00009B110000}"/>
    <cellStyle name="Comma 17 2" xfId="4694" xr:uid="{00000000-0005-0000-0000-00009C110000}"/>
    <cellStyle name="Comma 17 2 2" xfId="4695" xr:uid="{00000000-0005-0000-0000-00009D110000}"/>
    <cellStyle name="Comma 17 2 2 2" xfId="4696" xr:uid="{00000000-0005-0000-0000-00009E110000}"/>
    <cellStyle name="Comma 17 2 2 2 2" xfId="7390" xr:uid="{00000000-0005-0000-0000-00009F110000}"/>
    <cellStyle name="Comma 17 2 2 2 2 2" xfId="10089" xr:uid="{00000000-0005-0000-0000-0000A0110000}"/>
    <cellStyle name="Comma 17 2 2 2 3" xfId="8749" xr:uid="{00000000-0005-0000-0000-0000A1110000}"/>
    <cellStyle name="Comma 17 2 2 3" xfId="4697" xr:uid="{00000000-0005-0000-0000-0000A2110000}"/>
    <cellStyle name="Comma 17 2 2 3 2" xfId="7391" xr:uid="{00000000-0005-0000-0000-0000A3110000}"/>
    <cellStyle name="Comma 17 2 2 3 2 2" xfId="10090" xr:uid="{00000000-0005-0000-0000-0000A4110000}"/>
    <cellStyle name="Comma 17 2 2 3 3" xfId="8750" xr:uid="{00000000-0005-0000-0000-0000A5110000}"/>
    <cellStyle name="Comma 17 2 2 4" xfId="7389" xr:uid="{00000000-0005-0000-0000-0000A6110000}"/>
    <cellStyle name="Comma 17 2 2 4 2" xfId="10088" xr:uid="{00000000-0005-0000-0000-0000A7110000}"/>
    <cellStyle name="Comma 17 2 2 5" xfId="8748" xr:uid="{00000000-0005-0000-0000-0000A8110000}"/>
    <cellStyle name="Comma 17 2 3" xfId="7388" xr:uid="{00000000-0005-0000-0000-0000A9110000}"/>
    <cellStyle name="Comma 17 2 3 2" xfId="10087" xr:uid="{00000000-0005-0000-0000-0000AA110000}"/>
    <cellStyle name="Comma 17 2 4" xfId="8747" xr:uid="{00000000-0005-0000-0000-0000AB110000}"/>
    <cellStyle name="Comma 17 3" xfId="4698" xr:uid="{00000000-0005-0000-0000-0000AC110000}"/>
    <cellStyle name="Comma 17 3 2" xfId="4699" xr:uid="{00000000-0005-0000-0000-0000AD110000}"/>
    <cellStyle name="Comma 17 3 2 2" xfId="7393" xr:uid="{00000000-0005-0000-0000-0000AE110000}"/>
    <cellStyle name="Comma 17 3 2 2 2" xfId="10092" xr:uid="{00000000-0005-0000-0000-0000AF110000}"/>
    <cellStyle name="Comma 17 3 2 3" xfId="8752" xr:uid="{00000000-0005-0000-0000-0000B0110000}"/>
    <cellStyle name="Comma 17 3 3" xfId="4700" xr:uid="{00000000-0005-0000-0000-0000B1110000}"/>
    <cellStyle name="Comma 17 3 3 2" xfId="7394" xr:uid="{00000000-0005-0000-0000-0000B2110000}"/>
    <cellStyle name="Comma 17 3 3 2 2" xfId="10093" xr:uid="{00000000-0005-0000-0000-0000B3110000}"/>
    <cellStyle name="Comma 17 3 3 3" xfId="8753" xr:uid="{00000000-0005-0000-0000-0000B4110000}"/>
    <cellStyle name="Comma 17 3 4" xfId="7392" xr:uid="{00000000-0005-0000-0000-0000B5110000}"/>
    <cellStyle name="Comma 17 3 4 2" xfId="10091" xr:uid="{00000000-0005-0000-0000-0000B6110000}"/>
    <cellStyle name="Comma 17 3 5" xfId="8751" xr:uid="{00000000-0005-0000-0000-0000B7110000}"/>
    <cellStyle name="Comma 18" xfId="454" xr:uid="{00000000-0005-0000-0000-0000B8110000}"/>
    <cellStyle name="Comma 18 2" xfId="4701" xr:uid="{00000000-0005-0000-0000-0000B9110000}"/>
    <cellStyle name="Comma 18 2 2" xfId="4702" xr:uid="{00000000-0005-0000-0000-0000BA110000}"/>
    <cellStyle name="Comma 18 2 2 2" xfId="7396" xr:uid="{00000000-0005-0000-0000-0000BB110000}"/>
    <cellStyle name="Comma 18 2 2 2 2" xfId="10095" xr:uid="{00000000-0005-0000-0000-0000BC110000}"/>
    <cellStyle name="Comma 18 2 2 3" xfId="8755" xr:uid="{00000000-0005-0000-0000-0000BD110000}"/>
    <cellStyle name="Comma 18 2 3" xfId="4703" xr:uid="{00000000-0005-0000-0000-0000BE110000}"/>
    <cellStyle name="Comma 18 2 3 2" xfId="7397" xr:uid="{00000000-0005-0000-0000-0000BF110000}"/>
    <cellStyle name="Comma 18 2 3 2 2" xfId="10096" xr:uid="{00000000-0005-0000-0000-0000C0110000}"/>
    <cellStyle name="Comma 18 2 3 3" xfId="8756" xr:uid="{00000000-0005-0000-0000-0000C1110000}"/>
    <cellStyle name="Comma 18 2 4" xfId="7395" xr:uid="{00000000-0005-0000-0000-0000C2110000}"/>
    <cellStyle name="Comma 18 2 4 2" xfId="10094" xr:uid="{00000000-0005-0000-0000-0000C3110000}"/>
    <cellStyle name="Comma 18 2 5" xfId="8754" xr:uid="{00000000-0005-0000-0000-0000C4110000}"/>
    <cellStyle name="Comma 19" xfId="455" xr:uid="{00000000-0005-0000-0000-0000C5110000}"/>
    <cellStyle name="Comma 19 2" xfId="4704" xr:uid="{00000000-0005-0000-0000-0000C6110000}"/>
    <cellStyle name="Comma 19 2 2" xfId="4705" xr:uid="{00000000-0005-0000-0000-0000C7110000}"/>
    <cellStyle name="Comma 19 2 2 2" xfId="4706" xr:uid="{00000000-0005-0000-0000-0000C8110000}"/>
    <cellStyle name="Comma 19 2 2 2 2" xfId="7400" xr:uid="{00000000-0005-0000-0000-0000C9110000}"/>
    <cellStyle name="Comma 19 2 2 2 2 2" xfId="10099" xr:uid="{00000000-0005-0000-0000-0000CA110000}"/>
    <cellStyle name="Comma 19 2 2 2 3" xfId="8759" xr:uid="{00000000-0005-0000-0000-0000CB110000}"/>
    <cellStyle name="Comma 19 2 2 3" xfId="4707" xr:uid="{00000000-0005-0000-0000-0000CC110000}"/>
    <cellStyle name="Comma 19 2 2 3 2" xfId="7401" xr:uid="{00000000-0005-0000-0000-0000CD110000}"/>
    <cellStyle name="Comma 19 2 2 3 2 2" xfId="10100" xr:uid="{00000000-0005-0000-0000-0000CE110000}"/>
    <cellStyle name="Comma 19 2 2 3 3" xfId="8760" xr:uid="{00000000-0005-0000-0000-0000CF110000}"/>
    <cellStyle name="Comma 19 2 2 4" xfId="7399" xr:uid="{00000000-0005-0000-0000-0000D0110000}"/>
    <cellStyle name="Comma 19 2 2 4 2" xfId="10098" xr:uid="{00000000-0005-0000-0000-0000D1110000}"/>
    <cellStyle name="Comma 19 2 2 5" xfId="8758" xr:uid="{00000000-0005-0000-0000-0000D2110000}"/>
    <cellStyle name="Comma 19 2 3" xfId="7398" xr:uid="{00000000-0005-0000-0000-0000D3110000}"/>
    <cellStyle name="Comma 19 2 3 2" xfId="10097" xr:uid="{00000000-0005-0000-0000-0000D4110000}"/>
    <cellStyle name="Comma 19 2 4" xfId="8757" xr:uid="{00000000-0005-0000-0000-0000D5110000}"/>
    <cellStyle name="Comma 19 3" xfId="4708" xr:uid="{00000000-0005-0000-0000-0000D6110000}"/>
    <cellStyle name="Comma 19 3 2" xfId="4709" xr:uid="{00000000-0005-0000-0000-0000D7110000}"/>
    <cellStyle name="Comma 19 3 2 2" xfId="7403" xr:uid="{00000000-0005-0000-0000-0000D8110000}"/>
    <cellStyle name="Comma 19 3 2 2 2" xfId="10102" xr:uid="{00000000-0005-0000-0000-0000D9110000}"/>
    <cellStyle name="Comma 19 3 2 3" xfId="8762" xr:uid="{00000000-0005-0000-0000-0000DA110000}"/>
    <cellStyle name="Comma 19 3 3" xfId="4710" xr:uid="{00000000-0005-0000-0000-0000DB110000}"/>
    <cellStyle name="Comma 19 3 3 2" xfId="7404" xr:uid="{00000000-0005-0000-0000-0000DC110000}"/>
    <cellStyle name="Comma 19 3 3 2 2" xfId="10103" xr:uid="{00000000-0005-0000-0000-0000DD110000}"/>
    <cellStyle name="Comma 19 3 3 3" xfId="8763" xr:uid="{00000000-0005-0000-0000-0000DE110000}"/>
    <cellStyle name="Comma 19 3 4" xfId="7402" xr:uid="{00000000-0005-0000-0000-0000DF110000}"/>
    <cellStyle name="Comma 19 3 4 2" xfId="10101" xr:uid="{00000000-0005-0000-0000-0000E0110000}"/>
    <cellStyle name="Comma 19 3 5" xfId="8761" xr:uid="{00000000-0005-0000-0000-0000E1110000}"/>
    <cellStyle name="Comma 2" xfId="4" xr:uid="{00000000-0005-0000-0000-0000E2110000}"/>
    <cellStyle name="Comma 2 10" xfId="456" xr:uid="{00000000-0005-0000-0000-0000E3110000}"/>
    <cellStyle name="Comma 2 10 2" xfId="4711" xr:uid="{00000000-0005-0000-0000-0000E4110000}"/>
    <cellStyle name="Comma 2 10 2 2" xfId="4712" xr:uid="{00000000-0005-0000-0000-0000E5110000}"/>
    <cellStyle name="Comma 2 10 2 2 2" xfId="4713" xr:uid="{00000000-0005-0000-0000-0000E6110000}"/>
    <cellStyle name="Comma 2 10 2 2 2 2" xfId="7407" xr:uid="{00000000-0005-0000-0000-0000E7110000}"/>
    <cellStyle name="Comma 2 10 2 2 2 2 2" xfId="10106" xr:uid="{00000000-0005-0000-0000-0000E8110000}"/>
    <cellStyle name="Comma 2 10 2 2 2 3" xfId="8766" xr:uid="{00000000-0005-0000-0000-0000E9110000}"/>
    <cellStyle name="Comma 2 10 2 2 3" xfId="4714" xr:uid="{00000000-0005-0000-0000-0000EA110000}"/>
    <cellStyle name="Comma 2 10 2 2 3 2" xfId="7408" xr:uid="{00000000-0005-0000-0000-0000EB110000}"/>
    <cellStyle name="Comma 2 10 2 2 3 2 2" xfId="10107" xr:uid="{00000000-0005-0000-0000-0000EC110000}"/>
    <cellStyle name="Comma 2 10 2 2 3 3" xfId="8767" xr:uid="{00000000-0005-0000-0000-0000ED110000}"/>
    <cellStyle name="Comma 2 10 2 2 4" xfId="7406" xr:uid="{00000000-0005-0000-0000-0000EE110000}"/>
    <cellStyle name="Comma 2 10 2 2 4 2" xfId="10105" xr:uid="{00000000-0005-0000-0000-0000EF110000}"/>
    <cellStyle name="Comma 2 10 2 2 5" xfId="8765" xr:uid="{00000000-0005-0000-0000-0000F0110000}"/>
    <cellStyle name="Comma 2 10 2 3" xfId="7405" xr:uid="{00000000-0005-0000-0000-0000F1110000}"/>
    <cellStyle name="Comma 2 10 2 3 2" xfId="10104" xr:uid="{00000000-0005-0000-0000-0000F2110000}"/>
    <cellStyle name="Comma 2 10 2 4" xfId="8764" xr:uid="{00000000-0005-0000-0000-0000F3110000}"/>
    <cellStyle name="Comma 2 10 3" xfId="4715" xr:uid="{00000000-0005-0000-0000-0000F4110000}"/>
    <cellStyle name="Comma 2 10 3 2" xfId="4716" xr:uid="{00000000-0005-0000-0000-0000F5110000}"/>
    <cellStyle name="Comma 2 10 3 2 2" xfId="7410" xr:uid="{00000000-0005-0000-0000-0000F6110000}"/>
    <cellStyle name="Comma 2 10 3 2 2 2" xfId="10109" xr:uid="{00000000-0005-0000-0000-0000F7110000}"/>
    <cellStyle name="Comma 2 10 3 2 3" xfId="8769" xr:uid="{00000000-0005-0000-0000-0000F8110000}"/>
    <cellStyle name="Comma 2 10 3 3" xfId="4717" xr:uid="{00000000-0005-0000-0000-0000F9110000}"/>
    <cellStyle name="Comma 2 10 3 3 2" xfId="7411" xr:uid="{00000000-0005-0000-0000-0000FA110000}"/>
    <cellStyle name="Comma 2 10 3 3 2 2" xfId="10110" xr:uid="{00000000-0005-0000-0000-0000FB110000}"/>
    <cellStyle name="Comma 2 10 3 3 3" xfId="8770" xr:uid="{00000000-0005-0000-0000-0000FC110000}"/>
    <cellStyle name="Comma 2 10 3 4" xfId="7409" xr:uid="{00000000-0005-0000-0000-0000FD110000}"/>
    <cellStyle name="Comma 2 10 3 4 2" xfId="10108" xr:uid="{00000000-0005-0000-0000-0000FE110000}"/>
    <cellStyle name="Comma 2 10 3 5" xfId="8768" xr:uid="{00000000-0005-0000-0000-0000FF110000}"/>
    <cellStyle name="Comma 2 10 4" xfId="4718" xr:uid="{00000000-0005-0000-0000-000000120000}"/>
    <cellStyle name="Comma 2 10 4 2" xfId="7412" xr:uid="{00000000-0005-0000-0000-000001120000}"/>
    <cellStyle name="Comma 2 10 4 2 2" xfId="10111" xr:uid="{00000000-0005-0000-0000-000002120000}"/>
    <cellStyle name="Comma 2 10 4 3" xfId="8771" xr:uid="{00000000-0005-0000-0000-000003120000}"/>
    <cellStyle name="Comma 2 11" xfId="457" xr:uid="{00000000-0005-0000-0000-000004120000}"/>
    <cellStyle name="Comma 2 11 2" xfId="4719" xr:uid="{00000000-0005-0000-0000-000005120000}"/>
    <cellStyle name="Comma 2 11 2 2" xfId="7413" xr:uid="{00000000-0005-0000-0000-000006120000}"/>
    <cellStyle name="Comma 2 11 2 2 2" xfId="10112" xr:uid="{00000000-0005-0000-0000-000007120000}"/>
    <cellStyle name="Comma 2 11 2 3" xfId="8772" xr:uid="{00000000-0005-0000-0000-000008120000}"/>
    <cellStyle name="Comma 2 11 3" xfId="4720" xr:uid="{00000000-0005-0000-0000-000009120000}"/>
    <cellStyle name="Comma 2 11 3 2" xfId="7414" xr:uid="{00000000-0005-0000-0000-00000A120000}"/>
    <cellStyle name="Comma 2 11 3 2 2" xfId="10113" xr:uid="{00000000-0005-0000-0000-00000B120000}"/>
    <cellStyle name="Comma 2 11 3 3" xfId="8773" xr:uid="{00000000-0005-0000-0000-00000C120000}"/>
    <cellStyle name="Comma 2 11 4" xfId="4721" xr:uid="{00000000-0005-0000-0000-00000D120000}"/>
    <cellStyle name="Comma 2 11 4 2" xfId="7415" xr:uid="{00000000-0005-0000-0000-00000E120000}"/>
    <cellStyle name="Comma 2 11 4 2 2" xfId="10114" xr:uid="{00000000-0005-0000-0000-00000F120000}"/>
    <cellStyle name="Comma 2 11 4 3" xfId="8774" xr:uid="{00000000-0005-0000-0000-000010120000}"/>
    <cellStyle name="Comma 2 12" xfId="458" xr:uid="{00000000-0005-0000-0000-000011120000}"/>
    <cellStyle name="Comma 2 13" xfId="459" xr:uid="{00000000-0005-0000-0000-000012120000}"/>
    <cellStyle name="Comma 2 13 3 2 2" xfId="9" xr:uid="{00000000-0005-0000-0000-000013120000}"/>
    <cellStyle name="Comma 2 13 3 2 2 2" xfId="14" xr:uid="{00000000-0005-0000-0000-000014120000}"/>
    <cellStyle name="Comma 2 14" xfId="460" xr:uid="{00000000-0005-0000-0000-000015120000}"/>
    <cellStyle name="Comma 2 14 2" xfId="4722" xr:uid="{00000000-0005-0000-0000-000016120000}"/>
    <cellStyle name="Comma 2 14 3" xfId="4723" xr:uid="{00000000-0005-0000-0000-000017120000}"/>
    <cellStyle name="Comma 2 14 3 2" xfId="7416" xr:uid="{00000000-0005-0000-0000-000018120000}"/>
    <cellStyle name="Comma 2 14 3 2 2" xfId="10115" xr:uid="{00000000-0005-0000-0000-000019120000}"/>
    <cellStyle name="Comma 2 14 3 3" xfId="8775" xr:uid="{00000000-0005-0000-0000-00001A120000}"/>
    <cellStyle name="Comma 2 15" xfId="24" xr:uid="{00000000-0005-0000-0000-00001B120000}"/>
    <cellStyle name="Comma 2 15 10" xfId="242" xr:uid="{00000000-0005-0000-0000-00001C120000}"/>
    <cellStyle name="Comma 2 15 2" xfId="261" xr:uid="{00000000-0005-0000-0000-00001D120000}"/>
    <cellStyle name="Comma 2 15 2 2" xfId="276" xr:uid="{00000000-0005-0000-0000-00001E120000}"/>
    <cellStyle name="Comma 2 15 2 2 2" xfId="463" xr:uid="{00000000-0005-0000-0000-00001F120000}"/>
    <cellStyle name="Comma 2 15 2 2 2 2" xfId="971" xr:uid="{00000000-0005-0000-0000-000020120000}"/>
    <cellStyle name="Comma 2 15 2 2 2 2 2" xfId="1290" xr:uid="{00000000-0005-0000-0000-000021120000}"/>
    <cellStyle name="Comma 2 15 2 2 2 2 2 2" xfId="7000" xr:uid="{00000000-0005-0000-0000-000022120000}"/>
    <cellStyle name="Comma 2 15 2 2 2 2 2 2 2" xfId="9707" xr:uid="{00000000-0005-0000-0000-000023120000}"/>
    <cellStyle name="Comma 2 15 2 2 2 2 2 3" xfId="8368" xr:uid="{00000000-0005-0000-0000-000024120000}"/>
    <cellStyle name="Comma 2 15 2 2 2 2 3" xfId="6703" xr:uid="{00000000-0005-0000-0000-000025120000}"/>
    <cellStyle name="Comma 2 15 2 2 2 2 3 2" xfId="9410" xr:uid="{00000000-0005-0000-0000-000026120000}"/>
    <cellStyle name="Comma 2 15 2 2 2 2 4" xfId="8071" xr:uid="{00000000-0005-0000-0000-000027120000}"/>
    <cellStyle name="Comma 2 15 2 2 2 3" xfId="1050" xr:uid="{00000000-0005-0000-0000-000028120000}"/>
    <cellStyle name="Comma 2 15 2 2 2 3 2" xfId="6781" xr:uid="{00000000-0005-0000-0000-000029120000}"/>
    <cellStyle name="Comma 2 15 2 2 2 3 2 2" xfId="9488" xr:uid="{00000000-0005-0000-0000-00002A120000}"/>
    <cellStyle name="Comma 2 15 2 2 2 3 3" xfId="8149" xr:uid="{00000000-0005-0000-0000-00002B120000}"/>
    <cellStyle name="Comma 2 15 2 2 2 4" xfId="6461" xr:uid="{00000000-0005-0000-0000-00002C120000}"/>
    <cellStyle name="Comma 2 15 2 2 2 4 2" xfId="9178" xr:uid="{00000000-0005-0000-0000-00002D120000}"/>
    <cellStyle name="Comma 2 15 2 2 2 5" xfId="7839" xr:uid="{00000000-0005-0000-0000-00002E120000}"/>
    <cellStyle name="Comma 2 15 2 2 3" xfId="891" xr:uid="{00000000-0005-0000-0000-00002F120000}"/>
    <cellStyle name="Comma 2 15 2 2 3 2" xfId="1167" xr:uid="{00000000-0005-0000-0000-000030120000}"/>
    <cellStyle name="Comma 2 15 2 2 3 2 2" xfId="6885" xr:uid="{00000000-0005-0000-0000-000031120000}"/>
    <cellStyle name="Comma 2 15 2 2 3 2 2 2" xfId="9592" xr:uid="{00000000-0005-0000-0000-000032120000}"/>
    <cellStyle name="Comma 2 15 2 2 3 2 3" xfId="8253" xr:uid="{00000000-0005-0000-0000-000033120000}"/>
    <cellStyle name="Comma 2 15 2 2 3 3" xfId="6624" xr:uid="{00000000-0005-0000-0000-000034120000}"/>
    <cellStyle name="Comma 2 15 2 2 3 3 2" xfId="9331" xr:uid="{00000000-0005-0000-0000-000035120000}"/>
    <cellStyle name="Comma 2 15 2 2 3 4" xfId="7992" xr:uid="{00000000-0005-0000-0000-000036120000}"/>
    <cellStyle name="Comma 2 15 2 2 4" xfId="1022" xr:uid="{00000000-0005-0000-0000-000037120000}"/>
    <cellStyle name="Comma 2 15 2 2 4 2" xfId="6753" xr:uid="{00000000-0005-0000-0000-000038120000}"/>
    <cellStyle name="Comma 2 15 2 2 4 2 2" xfId="9460" xr:uid="{00000000-0005-0000-0000-000039120000}"/>
    <cellStyle name="Comma 2 15 2 2 4 3" xfId="8121" xr:uid="{00000000-0005-0000-0000-00003A120000}"/>
    <cellStyle name="Comma 2 15 2 2 5" xfId="6427" xr:uid="{00000000-0005-0000-0000-00003B120000}"/>
    <cellStyle name="Comma 2 15 2 2 5 2" xfId="9146" xr:uid="{00000000-0005-0000-0000-00003C120000}"/>
    <cellStyle name="Comma 2 15 2 2 6" xfId="7807" xr:uid="{00000000-0005-0000-0000-00003D120000}"/>
    <cellStyle name="Comma 2 15 2 3" xfId="462" xr:uid="{00000000-0005-0000-0000-00003E120000}"/>
    <cellStyle name="Comma 2 15 2 3 2" xfId="986" xr:uid="{00000000-0005-0000-0000-00003F120000}"/>
    <cellStyle name="Comma 2 15 2 3 2 2" xfId="1305" xr:uid="{00000000-0005-0000-0000-000040120000}"/>
    <cellStyle name="Comma 2 15 2 3 2 2 2" xfId="7015" xr:uid="{00000000-0005-0000-0000-000041120000}"/>
    <cellStyle name="Comma 2 15 2 3 2 2 2 2" xfId="9722" xr:uid="{00000000-0005-0000-0000-000042120000}"/>
    <cellStyle name="Comma 2 15 2 3 2 2 3" xfId="8383" xr:uid="{00000000-0005-0000-0000-000043120000}"/>
    <cellStyle name="Comma 2 15 2 3 2 3" xfId="6718" xr:uid="{00000000-0005-0000-0000-000044120000}"/>
    <cellStyle name="Comma 2 15 2 3 2 3 2" xfId="9425" xr:uid="{00000000-0005-0000-0000-000045120000}"/>
    <cellStyle name="Comma 2 15 2 3 2 4" xfId="8086" xr:uid="{00000000-0005-0000-0000-000046120000}"/>
    <cellStyle name="Comma 2 15 2 3 3" xfId="1035" xr:uid="{00000000-0005-0000-0000-000047120000}"/>
    <cellStyle name="Comma 2 15 2 3 3 2" xfId="6766" xr:uid="{00000000-0005-0000-0000-000048120000}"/>
    <cellStyle name="Comma 2 15 2 3 3 2 2" xfId="9473" xr:uid="{00000000-0005-0000-0000-000049120000}"/>
    <cellStyle name="Comma 2 15 2 3 3 3" xfId="8134" xr:uid="{00000000-0005-0000-0000-00004A120000}"/>
    <cellStyle name="Comma 2 15 2 3 4" xfId="6460" xr:uid="{00000000-0005-0000-0000-00004B120000}"/>
    <cellStyle name="Comma 2 15 2 3 4 2" xfId="9177" xr:uid="{00000000-0005-0000-0000-00004C120000}"/>
    <cellStyle name="Comma 2 15 2 3 5" xfId="7838" xr:uid="{00000000-0005-0000-0000-00004D120000}"/>
    <cellStyle name="Comma 2 15 2 4" xfId="890" xr:uid="{00000000-0005-0000-0000-00004E120000}"/>
    <cellStyle name="Comma 2 15 2 4 2" xfId="1166" xr:uid="{00000000-0005-0000-0000-00004F120000}"/>
    <cellStyle name="Comma 2 15 2 4 2 2" xfId="6884" xr:uid="{00000000-0005-0000-0000-000050120000}"/>
    <cellStyle name="Comma 2 15 2 4 2 2 2" xfId="9591" xr:uid="{00000000-0005-0000-0000-000051120000}"/>
    <cellStyle name="Comma 2 15 2 4 2 3" xfId="8252" xr:uid="{00000000-0005-0000-0000-000052120000}"/>
    <cellStyle name="Comma 2 15 2 4 3" xfId="6623" xr:uid="{00000000-0005-0000-0000-000053120000}"/>
    <cellStyle name="Comma 2 15 2 4 3 2" xfId="9330" xr:uid="{00000000-0005-0000-0000-000054120000}"/>
    <cellStyle name="Comma 2 15 2 4 4" xfId="7991" xr:uid="{00000000-0005-0000-0000-000055120000}"/>
    <cellStyle name="Comma 2 15 2 5" xfId="1007" xr:uid="{00000000-0005-0000-0000-000056120000}"/>
    <cellStyle name="Comma 2 15 2 5 2" xfId="6738" xr:uid="{00000000-0005-0000-0000-000057120000}"/>
    <cellStyle name="Comma 2 15 2 5 2 2" xfId="9445" xr:uid="{00000000-0005-0000-0000-000058120000}"/>
    <cellStyle name="Comma 2 15 2 5 3" xfId="8106" xr:uid="{00000000-0005-0000-0000-000059120000}"/>
    <cellStyle name="Comma 2 15 2 6" xfId="6412" xr:uid="{00000000-0005-0000-0000-00005A120000}"/>
    <cellStyle name="Comma 2 15 2 6 2" xfId="9131" xr:uid="{00000000-0005-0000-0000-00005B120000}"/>
    <cellStyle name="Comma 2 15 2 7" xfId="7792" xr:uid="{00000000-0005-0000-0000-00005C120000}"/>
    <cellStyle name="Comma 2 15 3" xfId="270" xr:uid="{00000000-0005-0000-0000-00005D120000}"/>
    <cellStyle name="Comma 2 15 3 2" xfId="464" xr:uid="{00000000-0005-0000-0000-00005E120000}"/>
    <cellStyle name="Comma 2 15 3 2 2" xfId="977" xr:uid="{00000000-0005-0000-0000-00005F120000}"/>
    <cellStyle name="Comma 2 15 3 2 2 2" xfId="1296" xr:uid="{00000000-0005-0000-0000-000060120000}"/>
    <cellStyle name="Comma 2 15 3 2 2 2 2" xfId="7006" xr:uid="{00000000-0005-0000-0000-000061120000}"/>
    <cellStyle name="Comma 2 15 3 2 2 2 2 2" xfId="9713" xr:uid="{00000000-0005-0000-0000-000062120000}"/>
    <cellStyle name="Comma 2 15 3 2 2 2 3" xfId="8374" xr:uid="{00000000-0005-0000-0000-000063120000}"/>
    <cellStyle name="Comma 2 15 3 2 2 3" xfId="6709" xr:uid="{00000000-0005-0000-0000-000064120000}"/>
    <cellStyle name="Comma 2 15 3 2 2 3 2" xfId="9416" xr:uid="{00000000-0005-0000-0000-000065120000}"/>
    <cellStyle name="Comma 2 15 3 2 2 4" xfId="8077" xr:uid="{00000000-0005-0000-0000-000066120000}"/>
    <cellStyle name="Comma 2 15 3 2 3" xfId="1044" xr:uid="{00000000-0005-0000-0000-000067120000}"/>
    <cellStyle name="Comma 2 15 3 2 3 2" xfId="6775" xr:uid="{00000000-0005-0000-0000-000068120000}"/>
    <cellStyle name="Comma 2 15 3 2 3 2 2" xfId="9482" xr:uid="{00000000-0005-0000-0000-000069120000}"/>
    <cellStyle name="Comma 2 15 3 2 3 3" xfId="8143" xr:uid="{00000000-0005-0000-0000-00006A120000}"/>
    <cellStyle name="Comma 2 15 3 2 4" xfId="6462" xr:uid="{00000000-0005-0000-0000-00006B120000}"/>
    <cellStyle name="Comma 2 15 3 2 4 2" xfId="9179" xr:uid="{00000000-0005-0000-0000-00006C120000}"/>
    <cellStyle name="Comma 2 15 3 2 5" xfId="7840" xr:uid="{00000000-0005-0000-0000-00006D120000}"/>
    <cellStyle name="Comma 2 15 3 3" xfId="892" xr:uid="{00000000-0005-0000-0000-00006E120000}"/>
    <cellStyle name="Comma 2 15 3 3 2" xfId="1168" xr:uid="{00000000-0005-0000-0000-00006F120000}"/>
    <cellStyle name="Comma 2 15 3 3 2 2" xfId="6886" xr:uid="{00000000-0005-0000-0000-000070120000}"/>
    <cellStyle name="Comma 2 15 3 3 2 2 2" xfId="9593" xr:uid="{00000000-0005-0000-0000-000071120000}"/>
    <cellStyle name="Comma 2 15 3 3 2 3" xfId="8254" xr:uid="{00000000-0005-0000-0000-000072120000}"/>
    <cellStyle name="Comma 2 15 3 3 3" xfId="6625" xr:uid="{00000000-0005-0000-0000-000073120000}"/>
    <cellStyle name="Comma 2 15 3 3 3 2" xfId="9332" xr:uid="{00000000-0005-0000-0000-000074120000}"/>
    <cellStyle name="Comma 2 15 3 3 4" xfId="7993" xr:uid="{00000000-0005-0000-0000-000075120000}"/>
    <cellStyle name="Comma 2 15 3 4" xfId="1016" xr:uid="{00000000-0005-0000-0000-000076120000}"/>
    <cellStyle name="Comma 2 15 3 4 2" xfId="6747" xr:uid="{00000000-0005-0000-0000-000077120000}"/>
    <cellStyle name="Comma 2 15 3 4 2 2" xfId="9454" xr:uid="{00000000-0005-0000-0000-000078120000}"/>
    <cellStyle name="Comma 2 15 3 4 3" xfId="8115" xr:uid="{00000000-0005-0000-0000-000079120000}"/>
    <cellStyle name="Comma 2 15 3 5" xfId="6421" xr:uid="{00000000-0005-0000-0000-00007A120000}"/>
    <cellStyle name="Comma 2 15 3 5 2" xfId="9140" xr:uid="{00000000-0005-0000-0000-00007B120000}"/>
    <cellStyle name="Comma 2 15 3 6" xfId="7801" xr:uid="{00000000-0005-0000-0000-00007C120000}"/>
    <cellStyle name="Comma 2 15 4" xfId="461" xr:uid="{00000000-0005-0000-0000-00007D120000}"/>
    <cellStyle name="Comma 2 15 4 2" xfId="989" xr:uid="{00000000-0005-0000-0000-00007E120000}"/>
    <cellStyle name="Comma 2 15 4 2 2" xfId="1315" xr:uid="{00000000-0005-0000-0000-00007F120000}"/>
    <cellStyle name="Comma 2 15 4 2 2 2" xfId="7021" xr:uid="{00000000-0005-0000-0000-000080120000}"/>
    <cellStyle name="Comma 2 15 4 2 2 2 2" xfId="9728" xr:uid="{00000000-0005-0000-0000-000081120000}"/>
    <cellStyle name="Comma 2 15 4 2 2 3" xfId="8389" xr:uid="{00000000-0005-0000-0000-000082120000}"/>
    <cellStyle name="Comma 2 15 4 2 3" xfId="6721" xr:uid="{00000000-0005-0000-0000-000083120000}"/>
    <cellStyle name="Comma 2 15 4 2 3 2" xfId="9428" xr:uid="{00000000-0005-0000-0000-000084120000}"/>
    <cellStyle name="Comma 2 15 4 2 4" xfId="8089" xr:uid="{00000000-0005-0000-0000-000085120000}"/>
    <cellStyle name="Comma 2 15 4 3" xfId="1029" xr:uid="{00000000-0005-0000-0000-000086120000}"/>
    <cellStyle name="Comma 2 15 4 3 2" xfId="6760" xr:uid="{00000000-0005-0000-0000-000087120000}"/>
    <cellStyle name="Comma 2 15 4 3 2 2" xfId="9467" xr:uid="{00000000-0005-0000-0000-000088120000}"/>
    <cellStyle name="Comma 2 15 4 3 3" xfId="8128" xr:uid="{00000000-0005-0000-0000-000089120000}"/>
    <cellStyle name="Comma 2 15 4 4" xfId="6459" xr:uid="{00000000-0005-0000-0000-00008A120000}"/>
    <cellStyle name="Comma 2 15 4 4 2" xfId="9176" xr:uid="{00000000-0005-0000-0000-00008B120000}"/>
    <cellStyle name="Comma 2 15 4 5" xfId="7837" xr:uid="{00000000-0005-0000-0000-00008C120000}"/>
    <cellStyle name="Comma 2 15 5" xfId="889" xr:uid="{00000000-0005-0000-0000-00008D120000}"/>
    <cellStyle name="Comma 2 15 5 2" xfId="1165" xr:uid="{00000000-0005-0000-0000-00008E120000}"/>
    <cellStyle name="Comma 2 15 5 2 2" xfId="6883" xr:uid="{00000000-0005-0000-0000-00008F120000}"/>
    <cellStyle name="Comma 2 15 5 2 2 2" xfId="9590" xr:uid="{00000000-0005-0000-0000-000090120000}"/>
    <cellStyle name="Comma 2 15 5 2 3" xfId="8251" xr:uid="{00000000-0005-0000-0000-000091120000}"/>
    <cellStyle name="Comma 2 15 5 3" xfId="6622" xr:uid="{00000000-0005-0000-0000-000092120000}"/>
    <cellStyle name="Comma 2 15 5 3 2" xfId="9329" xr:uid="{00000000-0005-0000-0000-000093120000}"/>
    <cellStyle name="Comma 2 15 5 4" xfId="7990" xr:uid="{00000000-0005-0000-0000-000094120000}"/>
    <cellStyle name="Comma 2 15 6" xfId="1003" xr:uid="{00000000-0005-0000-0000-000095120000}"/>
    <cellStyle name="Comma 2 15 6 2" xfId="6734" xr:uid="{00000000-0005-0000-0000-000096120000}"/>
    <cellStyle name="Comma 2 15 6 2 2" xfId="9441" xr:uid="{00000000-0005-0000-0000-000097120000}"/>
    <cellStyle name="Comma 2 15 6 3" xfId="8102" xr:uid="{00000000-0005-0000-0000-000098120000}"/>
    <cellStyle name="Comma 2 15 7" xfId="4724" xr:uid="{00000000-0005-0000-0000-000099120000}"/>
    <cellStyle name="Comma 2 15 8" xfId="6403" xr:uid="{00000000-0005-0000-0000-00009A120000}"/>
    <cellStyle name="Comma 2 15 8 2" xfId="9122" xr:uid="{00000000-0005-0000-0000-00009B120000}"/>
    <cellStyle name="Comma 2 15 9" xfId="7783" xr:uid="{00000000-0005-0000-0000-00009C120000}"/>
    <cellStyle name="Comma 2 16" xfId="1310" xr:uid="{00000000-0005-0000-0000-00009D120000}"/>
    <cellStyle name="Comma 2 16 2" xfId="4725" xr:uid="{00000000-0005-0000-0000-00009E120000}"/>
    <cellStyle name="Comma 2 17" xfId="241" xr:uid="{00000000-0005-0000-0000-00009F120000}"/>
    <cellStyle name="Comma 2 17 2" xfId="4726" xr:uid="{00000000-0005-0000-0000-0000A0120000}"/>
    <cellStyle name="Comma 2 17 3" xfId="6402" xr:uid="{00000000-0005-0000-0000-0000A1120000}"/>
    <cellStyle name="Comma 2 17 3 2" xfId="9121" xr:uid="{00000000-0005-0000-0000-0000A2120000}"/>
    <cellStyle name="Comma 2 17 4" xfId="7782" xr:uid="{00000000-0005-0000-0000-0000A3120000}"/>
    <cellStyle name="Comma 2 18" xfId="4727" xr:uid="{00000000-0005-0000-0000-0000A4120000}"/>
    <cellStyle name="Comma 2 19" xfId="4728" xr:uid="{00000000-0005-0000-0000-0000A5120000}"/>
    <cellStyle name="Comma 2 2" xfId="68" xr:uid="{00000000-0005-0000-0000-0000A6120000}"/>
    <cellStyle name="Comma 2 2 10" xfId="893" xr:uid="{00000000-0005-0000-0000-0000A7120000}"/>
    <cellStyle name="Comma 2 2 10 2" xfId="4729" xr:uid="{00000000-0005-0000-0000-0000A8120000}"/>
    <cellStyle name="Comma 2 2 10 3" xfId="6626" xr:uid="{00000000-0005-0000-0000-0000A9120000}"/>
    <cellStyle name="Comma 2 2 10 3 2" xfId="9333" xr:uid="{00000000-0005-0000-0000-0000AA120000}"/>
    <cellStyle name="Comma 2 2 10 4" xfId="7994" xr:uid="{00000000-0005-0000-0000-0000AB120000}"/>
    <cellStyle name="Comma 2 2 11" xfId="1004" xr:uid="{00000000-0005-0000-0000-0000AC120000}"/>
    <cellStyle name="Comma 2 2 11 2" xfId="4730" xr:uid="{00000000-0005-0000-0000-0000AD120000}"/>
    <cellStyle name="Comma 2 2 11 3" xfId="6735" xr:uid="{00000000-0005-0000-0000-0000AE120000}"/>
    <cellStyle name="Comma 2 2 11 3 2" xfId="9442" xr:uid="{00000000-0005-0000-0000-0000AF120000}"/>
    <cellStyle name="Comma 2 2 11 4" xfId="8103" xr:uid="{00000000-0005-0000-0000-0000B0120000}"/>
    <cellStyle name="Comma 2 2 12" xfId="243" xr:uid="{00000000-0005-0000-0000-0000B1120000}"/>
    <cellStyle name="Comma 2 2 12 2" xfId="4731" xr:uid="{00000000-0005-0000-0000-0000B2120000}"/>
    <cellStyle name="Comma 2 2 12 3" xfId="6404" xr:uid="{00000000-0005-0000-0000-0000B3120000}"/>
    <cellStyle name="Comma 2 2 12 3 2" xfId="9123" xr:uid="{00000000-0005-0000-0000-0000B4120000}"/>
    <cellStyle name="Comma 2 2 12 4" xfId="7784" xr:uid="{00000000-0005-0000-0000-0000B5120000}"/>
    <cellStyle name="Comma 2 2 13" xfId="4732" xr:uid="{00000000-0005-0000-0000-0000B6120000}"/>
    <cellStyle name="Comma 2 2 14" xfId="4733" xr:uid="{00000000-0005-0000-0000-0000B7120000}"/>
    <cellStyle name="Comma 2 2 15" xfId="4734" xr:uid="{00000000-0005-0000-0000-0000B8120000}"/>
    <cellStyle name="Comma 2 2 15 2" xfId="7417" xr:uid="{00000000-0005-0000-0000-0000B9120000}"/>
    <cellStyle name="Comma 2 2 15 2 2" xfId="10116" xr:uid="{00000000-0005-0000-0000-0000BA120000}"/>
    <cellStyle name="Comma 2 2 15 3" xfId="8776" xr:uid="{00000000-0005-0000-0000-0000BB120000}"/>
    <cellStyle name="Comma 2 2 16" xfId="4735" xr:uid="{00000000-0005-0000-0000-0000BC120000}"/>
    <cellStyle name="Comma 2 2 17" xfId="4736" xr:uid="{00000000-0005-0000-0000-0000BD120000}"/>
    <cellStyle name="Comma 2 2 18" xfId="4737" xr:uid="{00000000-0005-0000-0000-0000BE120000}"/>
    <cellStyle name="Comma 2 2 18 2" xfId="7418" xr:uid="{00000000-0005-0000-0000-0000BF120000}"/>
    <cellStyle name="Comma 2 2 18 2 2" xfId="10117" xr:uid="{00000000-0005-0000-0000-0000C0120000}"/>
    <cellStyle name="Comma 2 2 18 3" xfId="8777" xr:uid="{00000000-0005-0000-0000-0000C1120000}"/>
    <cellStyle name="Comma 2 2 2" xfId="18" xr:uid="{00000000-0005-0000-0000-0000C2120000}"/>
    <cellStyle name="Comma 2 2 2 10" xfId="139" xr:uid="{00000000-0005-0000-0000-0000C3120000}"/>
    <cellStyle name="Comma 2 2 2 11" xfId="71" xr:uid="{00000000-0005-0000-0000-0000C4120000}"/>
    <cellStyle name="Comma 2 2 2 2" xfId="23" xr:uid="{00000000-0005-0000-0000-0000C5120000}"/>
    <cellStyle name="Comma 2 2 2 2 10" xfId="6341" xr:uid="{00000000-0005-0000-0000-0000C6120000}"/>
    <cellStyle name="Comma 2 2 2 2 10 2" xfId="9060" xr:uid="{00000000-0005-0000-0000-0000C7120000}"/>
    <cellStyle name="Comma 2 2 2 2 11" xfId="7721" xr:uid="{00000000-0005-0000-0000-0000C8120000}"/>
    <cellStyle name="Comma 2 2 2 2 12" xfId="140" xr:uid="{00000000-0005-0000-0000-0000C9120000}"/>
    <cellStyle name="Comma 2 2 2 2 13" xfId="98" xr:uid="{00000000-0005-0000-0000-0000CA120000}"/>
    <cellStyle name="Comma 2 2 2 2 2" xfId="278" xr:uid="{00000000-0005-0000-0000-0000CB120000}"/>
    <cellStyle name="Comma 2 2 2 2 2 2" xfId="467" xr:uid="{00000000-0005-0000-0000-0000CC120000}"/>
    <cellStyle name="Comma 2 2 2 2 2 2 2" xfId="969" xr:uid="{00000000-0005-0000-0000-0000CD120000}"/>
    <cellStyle name="Comma 2 2 2 2 2 2 2 2" xfId="1288" xr:uid="{00000000-0005-0000-0000-0000CE120000}"/>
    <cellStyle name="Comma 2 2 2 2 2 2 2 2 2" xfId="6998" xr:uid="{00000000-0005-0000-0000-0000CF120000}"/>
    <cellStyle name="Comma 2 2 2 2 2 2 2 2 2 2" xfId="9705" xr:uid="{00000000-0005-0000-0000-0000D0120000}"/>
    <cellStyle name="Comma 2 2 2 2 2 2 2 2 3" xfId="8366" xr:uid="{00000000-0005-0000-0000-0000D1120000}"/>
    <cellStyle name="Comma 2 2 2 2 2 2 2 3" xfId="6701" xr:uid="{00000000-0005-0000-0000-0000D2120000}"/>
    <cellStyle name="Comma 2 2 2 2 2 2 2 3 2" xfId="9408" xr:uid="{00000000-0005-0000-0000-0000D3120000}"/>
    <cellStyle name="Comma 2 2 2 2 2 2 2 4" xfId="8069" xr:uid="{00000000-0005-0000-0000-0000D4120000}"/>
    <cellStyle name="Comma 2 2 2 2 2 2 3" xfId="1052" xr:uid="{00000000-0005-0000-0000-0000D5120000}"/>
    <cellStyle name="Comma 2 2 2 2 2 2 3 2" xfId="6783" xr:uid="{00000000-0005-0000-0000-0000D6120000}"/>
    <cellStyle name="Comma 2 2 2 2 2 2 3 2 2" xfId="9490" xr:uid="{00000000-0005-0000-0000-0000D7120000}"/>
    <cellStyle name="Comma 2 2 2 2 2 2 3 3" xfId="8151" xr:uid="{00000000-0005-0000-0000-0000D8120000}"/>
    <cellStyle name="Comma 2 2 2 2 2 2 4" xfId="4739" xr:uid="{00000000-0005-0000-0000-0000D9120000}"/>
    <cellStyle name="Comma 2 2 2 2 2 2 4 2" xfId="7419" xr:uid="{00000000-0005-0000-0000-0000DA120000}"/>
    <cellStyle name="Comma 2 2 2 2 2 2 4 2 2" xfId="10118" xr:uid="{00000000-0005-0000-0000-0000DB120000}"/>
    <cellStyle name="Comma 2 2 2 2 2 2 4 3" xfId="8778" xr:uid="{00000000-0005-0000-0000-0000DC120000}"/>
    <cellStyle name="Comma 2 2 2 2 2 2 5" xfId="6465" xr:uid="{00000000-0005-0000-0000-0000DD120000}"/>
    <cellStyle name="Comma 2 2 2 2 2 2 5 2" xfId="9182" xr:uid="{00000000-0005-0000-0000-0000DE120000}"/>
    <cellStyle name="Comma 2 2 2 2 2 2 6" xfId="7843" xr:uid="{00000000-0005-0000-0000-0000DF120000}"/>
    <cellStyle name="Comma 2 2 2 2 2 3" xfId="895" xr:uid="{00000000-0005-0000-0000-0000E0120000}"/>
    <cellStyle name="Comma 2 2 2 2 2 3 2" xfId="1171" xr:uid="{00000000-0005-0000-0000-0000E1120000}"/>
    <cellStyle name="Comma 2 2 2 2 2 3 2 2" xfId="6889" xr:uid="{00000000-0005-0000-0000-0000E2120000}"/>
    <cellStyle name="Comma 2 2 2 2 2 3 2 2 2" xfId="9596" xr:uid="{00000000-0005-0000-0000-0000E3120000}"/>
    <cellStyle name="Comma 2 2 2 2 2 3 2 3" xfId="8257" xr:uid="{00000000-0005-0000-0000-0000E4120000}"/>
    <cellStyle name="Comma 2 2 2 2 2 3 3" xfId="6628" xr:uid="{00000000-0005-0000-0000-0000E5120000}"/>
    <cellStyle name="Comma 2 2 2 2 2 3 3 2" xfId="9335" xr:uid="{00000000-0005-0000-0000-0000E6120000}"/>
    <cellStyle name="Comma 2 2 2 2 2 3 4" xfId="7996" xr:uid="{00000000-0005-0000-0000-0000E7120000}"/>
    <cellStyle name="Comma 2 2 2 2 2 4" xfId="1024" xr:uid="{00000000-0005-0000-0000-0000E8120000}"/>
    <cellStyle name="Comma 2 2 2 2 2 4 2" xfId="6755" xr:uid="{00000000-0005-0000-0000-0000E9120000}"/>
    <cellStyle name="Comma 2 2 2 2 2 4 2 2" xfId="9462" xr:uid="{00000000-0005-0000-0000-0000EA120000}"/>
    <cellStyle name="Comma 2 2 2 2 2 4 3" xfId="8123" xr:uid="{00000000-0005-0000-0000-0000EB120000}"/>
    <cellStyle name="Comma 2 2 2 2 2 5" xfId="4738" xr:uid="{00000000-0005-0000-0000-0000EC120000}"/>
    <cellStyle name="Comma 2 2 2 2 2 6" xfId="6429" xr:uid="{00000000-0005-0000-0000-0000ED120000}"/>
    <cellStyle name="Comma 2 2 2 2 2 6 2" xfId="9148" xr:uid="{00000000-0005-0000-0000-0000EE120000}"/>
    <cellStyle name="Comma 2 2 2 2 2 7" xfId="7809" xr:uid="{00000000-0005-0000-0000-0000EF120000}"/>
    <cellStyle name="Comma 2 2 2 2 3" xfId="468" xr:uid="{00000000-0005-0000-0000-0000F0120000}"/>
    <cellStyle name="Comma 2 2 2 2 3 2" xfId="896" xr:uid="{00000000-0005-0000-0000-0000F1120000}"/>
    <cellStyle name="Comma 2 2 2 2 3 2 2" xfId="1247" xr:uid="{00000000-0005-0000-0000-0000F2120000}"/>
    <cellStyle name="Comma 2 2 2 2 3 2 2 2" xfId="6965" xr:uid="{00000000-0005-0000-0000-0000F3120000}"/>
    <cellStyle name="Comma 2 2 2 2 3 2 2 2 2" xfId="9672" xr:uid="{00000000-0005-0000-0000-0000F4120000}"/>
    <cellStyle name="Comma 2 2 2 2 3 2 2 3" xfId="8333" xr:uid="{00000000-0005-0000-0000-0000F5120000}"/>
    <cellStyle name="Comma 2 2 2 2 3 2 3" xfId="1070" xr:uid="{00000000-0005-0000-0000-0000F6120000}"/>
    <cellStyle name="Comma 2 2 2 2 3 2 3 2" xfId="6801" xr:uid="{00000000-0005-0000-0000-0000F7120000}"/>
    <cellStyle name="Comma 2 2 2 2 3 2 3 2 2" xfId="9508" xr:uid="{00000000-0005-0000-0000-0000F8120000}"/>
    <cellStyle name="Comma 2 2 2 2 3 2 3 3" xfId="8169" xr:uid="{00000000-0005-0000-0000-0000F9120000}"/>
    <cellStyle name="Comma 2 2 2 2 3 2 4" xfId="4741" xr:uid="{00000000-0005-0000-0000-0000FA120000}"/>
    <cellStyle name="Comma 2 2 2 2 3 2 4 2" xfId="7420" xr:uid="{00000000-0005-0000-0000-0000FB120000}"/>
    <cellStyle name="Comma 2 2 2 2 3 2 4 2 2" xfId="10119" xr:uid="{00000000-0005-0000-0000-0000FC120000}"/>
    <cellStyle name="Comma 2 2 2 2 3 2 4 3" xfId="8779" xr:uid="{00000000-0005-0000-0000-0000FD120000}"/>
    <cellStyle name="Comma 2 2 2 2 3 2 5" xfId="6629" xr:uid="{00000000-0005-0000-0000-0000FE120000}"/>
    <cellStyle name="Comma 2 2 2 2 3 2 5 2" xfId="9336" xr:uid="{00000000-0005-0000-0000-0000FF120000}"/>
    <cellStyle name="Comma 2 2 2 2 3 2 6" xfId="7997" xr:uid="{00000000-0005-0000-0000-000000130000}"/>
    <cellStyle name="Comma 2 2 2 2 3 3" xfId="984" xr:uid="{00000000-0005-0000-0000-000001130000}"/>
    <cellStyle name="Comma 2 2 2 2 3 3 2" xfId="1172" xr:uid="{00000000-0005-0000-0000-000002130000}"/>
    <cellStyle name="Comma 2 2 2 2 3 3 2 2" xfId="6890" xr:uid="{00000000-0005-0000-0000-000003130000}"/>
    <cellStyle name="Comma 2 2 2 2 3 3 2 2 2" xfId="9597" xr:uid="{00000000-0005-0000-0000-000004130000}"/>
    <cellStyle name="Comma 2 2 2 2 3 3 2 3" xfId="8258" xr:uid="{00000000-0005-0000-0000-000005130000}"/>
    <cellStyle name="Comma 2 2 2 2 3 3 3" xfId="6716" xr:uid="{00000000-0005-0000-0000-000006130000}"/>
    <cellStyle name="Comma 2 2 2 2 3 3 3 2" xfId="9423" xr:uid="{00000000-0005-0000-0000-000007130000}"/>
    <cellStyle name="Comma 2 2 2 2 3 3 4" xfId="8084" xr:uid="{00000000-0005-0000-0000-000008130000}"/>
    <cellStyle name="Comma 2 2 2 2 3 4" xfId="1303" xr:uid="{00000000-0005-0000-0000-000009130000}"/>
    <cellStyle name="Comma 2 2 2 2 3 4 2" xfId="7013" xr:uid="{00000000-0005-0000-0000-00000A130000}"/>
    <cellStyle name="Comma 2 2 2 2 3 4 2 2" xfId="9720" xr:uid="{00000000-0005-0000-0000-00000B130000}"/>
    <cellStyle name="Comma 2 2 2 2 3 4 3" xfId="8381" xr:uid="{00000000-0005-0000-0000-00000C130000}"/>
    <cellStyle name="Comma 2 2 2 2 3 5" xfId="1037" xr:uid="{00000000-0005-0000-0000-00000D130000}"/>
    <cellStyle name="Comma 2 2 2 2 3 5 2" xfId="6768" xr:uid="{00000000-0005-0000-0000-00000E130000}"/>
    <cellStyle name="Comma 2 2 2 2 3 5 2 2" xfId="9475" xr:uid="{00000000-0005-0000-0000-00000F130000}"/>
    <cellStyle name="Comma 2 2 2 2 3 5 3" xfId="8136" xr:uid="{00000000-0005-0000-0000-000010130000}"/>
    <cellStyle name="Comma 2 2 2 2 3 6" xfId="4740" xr:uid="{00000000-0005-0000-0000-000011130000}"/>
    <cellStyle name="Comma 2 2 2 2 3 7" xfId="6466" xr:uid="{00000000-0005-0000-0000-000012130000}"/>
    <cellStyle name="Comma 2 2 2 2 3 7 2" xfId="9183" xr:uid="{00000000-0005-0000-0000-000013130000}"/>
    <cellStyle name="Comma 2 2 2 2 3 8" xfId="7844" xr:uid="{00000000-0005-0000-0000-000014130000}"/>
    <cellStyle name="Comma 2 2 2 2 4" xfId="466" xr:uid="{00000000-0005-0000-0000-000015130000}"/>
    <cellStyle name="Comma 2 2 2 2 4 2" xfId="1170" xr:uid="{00000000-0005-0000-0000-000016130000}"/>
    <cellStyle name="Comma 2 2 2 2 4 2 2" xfId="6888" xr:uid="{00000000-0005-0000-0000-000017130000}"/>
    <cellStyle name="Comma 2 2 2 2 4 2 2 2" xfId="9595" xr:uid="{00000000-0005-0000-0000-000018130000}"/>
    <cellStyle name="Comma 2 2 2 2 4 2 3" xfId="8256" xr:uid="{00000000-0005-0000-0000-000019130000}"/>
    <cellStyle name="Comma 2 2 2 2 4 3" xfId="4742" xr:uid="{00000000-0005-0000-0000-00001A130000}"/>
    <cellStyle name="Comma 2 2 2 2 4 4" xfId="6464" xr:uid="{00000000-0005-0000-0000-00001B130000}"/>
    <cellStyle name="Comma 2 2 2 2 4 4 2" xfId="9181" xr:uid="{00000000-0005-0000-0000-00001C130000}"/>
    <cellStyle name="Comma 2 2 2 2 4 5" xfId="7842" xr:uid="{00000000-0005-0000-0000-00001D130000}"/>
    <cellStyle name="Comma 2 2 2 2 5" xfId="894" xr:uid="{00000000-0005-0000-0000-00001E130000}"/>
    <cellStyle name="Comma 2 2 2 2 5 2" xfId="4743" xr:uid="{00000000-0005-0000-0000-00001F130000}"/>
    <cellStyle name="Comma 2 2 2 2 5 3" xfId="6627" xr:uid="{00000000-0005-0000-0000-000020130000}"/>
    <cellStyle name="Comma 2 2 2 2 5 3 2" xfId="9334" xr:uid="{00000000-0005-0000-0000-000021130000}"/>
    <cellStyle name="Comma 2 2 2 2 5 4" xfId="7995" xr:uid="{00000000-0005-0000-0000-000022130000}"/>
    <cellStyle name="Comma 2 2 2 2 6" xfId="1009" xr:uid="{00000000-0005-0000-0000-000023130000}"/>
    <cellStyle name="Comma 2 2 2 2 6 2" xfId="4744" xr:uid="{00000000-0005-0000-0000-000024130000}"/>
    <cellStyle name="Comma 2 2 2 2 6 2 2" xfId="7421" xr:uid="{00000000-0005-0000-0000-000025130000}"/>
    <cellStyle name="Comma 2 2 2 2 6 2 2 2" xfId="10120" xr:uid="{00000000-0005-0000-0000-000026130000}"/>
    <cellStyle name="Comma 2 2 2 2 6 2 3" xfId="8780" xr:uid="{00000000-0005-0000-0000-000027130000}"/>
    <cellStyle name="Comma 2 2 2 2 6 3" xfId="6740" xr:uid="{00000000-0005-0000-0000-000028130000}"/>
    <cellStyle name="Comma 2 2 2 2 6 3 2" xfId="9447" xr:uid="{00000000-0005-0000-0000-000029130000}"/>
    <cellStyle name="Comma 2 2 2 2 6 4" xfId="8108" xr:uid="{00000000-0005-0000-0000-00002A130000}"/>
    <cellStyle name="Comma 2 2 2 2 7" xfId="263" xr:uid="{00000000-0005-0000-0000-00002B130000}"/>
    <cellStyle name="Comma 2 2 2 2 7 2" xfId="6414" xr:uid="{00000000-0005-0000-0000-00002C130000}"/>
    <cellStyle name="Comma 2 2 2 2 7 2 2" xfId="9133" xr:uid="{00000000-0005-0000-0000-00002D130000}"/>
    <cellStyle name="Comma 2 2 2 2 7 3" xfId="7794" xr:uid="{00000000-0005-0000-0000-00002E130000}"/>
    <cellStyle name="Comma 2 2 2 2 8" xfId="1360" xr:uid="{00000000-0005-0000-0000-00002F130000}"/>
    <cellStyle name="Comma 2 2 2 2 8 2" xfId="7065" xr:uid="{00000000-0005-0000-0000-000030130000}"/>
    <cellStyle name="Comma 2 2 2 2 8 2 2" xfId="9771" xr:uid="{00000000-0005-0000-0000-000031130000}"/>
    <cellStyle name="Comma 2 2 2 2 8 3" xfId="8432" xr:uid="{00000000-0005-0000-0000-000032130000}"/>
    <cellStyle name="Comma 2 2 2 2 9" xfId="1466" xr:uid="{00000000-0005-0000-0000-000033130000}"/>
    <cellStyle name="Comma 2 2 2 2 9 2" xfId="7159" xr:uid="{00000000-0005-0000-0000-000034130000}"/>
    <cellStyle name="Comma 2 2 2 2 9 2 2" xfId="9862" xr:uid="{00000000-0005-0000-0000-000035130000}"/>
    <cellStyle name="Comma 2 2 2 2 9 3" xfId="8522" xr:uid="{00000000-0005-0000-0000-000036130000}"/>
    <cellStyle name="Comma 2 2 2 3" xfId="1359" xr:uid="{00000000-0005-0000-0000-000037130000}"/>
    <cellStyle name="Comma 2 2 2 3 2" xfId="4745" xr:uid="{00000000-0005-0000-0000-000038130000}"/>
    <cellStyle name="Comma 2 2 2 3 3" xfId="7064" xr:uid="{00000000-0005-0000-0000-000039130000}"/>
    <cellStyle name="Comma 2 2 2 3 3 2" xfId="9770" xr:uid="{00000000-0005-0000-0000-00003A130000}"/>
    <cellStyle name="Comma 2 2 2 3 4" xfId="8431" xr:uid="{00000000-0005-0000-0000-00003B130000}"/>
    <cellStyle name="Comma 2 2 2 3 6" xfId="10619" xr:uid="{00000000-0005-0000-0000-00003C130000}"/>
    <cellStyle name="Comma 2 2 2 4" xfId="4746" xr:uid="{00000000-0005-0000-0000-00003D130000}"/>
    <cellStyle name="Comma 2 2 2 5" xfId="4747" xr:uid="{00000000-0005-0000-0000-00003E130000}"/>
    <cellStyle name="Comma 2 2 2 6" xfId="4748" xr:uid="{00000000-0005-0000-0000-00003F130000}"/>
    <cellStyle name="Comma 2 2 2 6 10" xfId="10612" xr:uid="{00000000-0005-0000-0000-000040130000}"/>
    <cellStyle name="Comma 2 2 2 6 2" xfId="7422" xr:uid="{00000000-0005-0000-0000-000041130000}"/>
    <cellStyle name="Comma 2 2 2 6 2 2" xfId="10121" xr:uid="{00000000-0005-0000-0000-000042130000}"/>
    <cellStyle name="Comma 2 2 2 6 3" xfId="8781" xr:uid="{00000000-0005-0000-0000-000043130000}"/>
    <cellStyle name="Comma 2 2 2 6 4" xfId="10498" xr:uid="{00000000-0005-0000-0000-000044130000}"/>
    <cellStyle name="Comma 2 2 2 7" xfId="4749" xr:uid="{00000000-0005-0000-0000-000045130000}"/>
    <cellStyle name="Comma 2 2 2 7 2" xfId="7423" xr:uid="{00000000-0005-0000-0000-000046130000}"/>
    <cellStyle name="Comma 2 2 2 7 2 2" xfId="10122" xr:uid="{00000000-0005-0000-0000-000047130000}"/>
    <cellStyle name="Comma 2 2 2 7 3" xfId="8782" xr:uid="{00000000-0005-0000-0000-000048130000}"/>
    <cellStyle name="Comma 2 2 2 8" xfId="6340" xr:uid="{00000000-0005-0000-0000-000049130000}"/>
    <cellStyle name="Comma 2 2 2 8 2" xfId="9059" xr:uid="{00000000-0005-0000-0000-00004A130000}"/>
    <cellStyle name="Comma 2 2 2 9" xfId="7720" xr:uid="{00000000-0005-0000-0000-00004B130000}"/>
    <cellStyle name="Comma 2 2 3" xfId="44" xr:uid="{00000000-0005-0000-0000-00004C130000}"/>
    <cellStyle name="Comma 2 2 3 10" xfId="271" xr:uid="{00000000-0005-0000-0000-00004D130000}"/>
    <cellStyle name="Comma 2 2 3 11" xfId="75" xr:uid="{00000000-0005-0000-0000-00004E130000}"/>
    <cellStyle name="Comma 2 2 3 2" xfId="101" xr:uid="{00000000-0005-0000-0000-00004F130000}"/>
    <cellStyle name="Comma 2 2 3 2 2" xfId="964" xr:uid="{00000000-0005-0000-0000-000050130000}"/>
    <cellStyle name="Comma 2 2 3 2 2 2" xfId="4750" xr:uid="{00000000-0005-0000-0000-000051130000}"/>
    <cellStyle name="Comma 2 2 3 2 2 2 2" xfId="7424" xr:uid="{00000000-0005-0000-0000-000052130000}"/>
    <cellStyle name="Comma 2 2 3 2 2 2 2 2" xfId="10123" xr:uid="{00000000-0005-0000-0000-000053130000}"/>
    <cellStyle name="Comma 2 2 3 2 2 2 3" xfId="8783" xr:uid="{00000000-0005-0000-0000-000054130000}"/>
    <cellStyle name="Comma 2 2 3 2 3" xfId="976" xr:uid="{00000000-0005-0000-0000-000055130000}"/>
    <cellStyle name="Comma 2 2 3 2 3 2" xfId="1295" xr:uid="{00000000-0005-0000-0000-000056130000}"/>
    <cellStyle name="Comma 2 2 3 2 3 2 2" xfId="7005" xr:uid="{00000000-0005-0000-0000-000057130000}"/>
    <cellStyle name="Comma 2 2 3 2 3 2 2 2" xfId="9712" xr:uid="{00000000-0005-0000-0000-000058130000}"/>
    <cellStyle name="Comma 2 2 3 2 3 2 3" xfId="8373" xr:uid="{00000000-0005-0000-0000-000059130000}"/>
    <cellStyle name="Comma 2 2 3 2 3 3" xfId="4751" xr:uid="{00000000-0005-0000-0000-00005A130000}"/>
    <cellStyle name="Comma 2 2 3 2 3 3 2" xfId="7425" xr:uid="{00000000-0005-0000-0000-00005B130000}"/>
    <cellStyle name="Comma 2 2 3 2 3 3 2 2" xfId="10124" xr:uid="{00000000-0005-0000-0000-00005C130000}"/>
    <cellStyle name="Comma 2 2 3 2 3 3 3" xfId="8784" xr:uid="{00000000-0005-0000-0000-00005D130000}"/>
    <cellStyle name="Comma 2 2 3 2 3 4" xfId="6708" xr:uid="{00000000-0005-0000-0000-00005E130000}"/>
    <cellStyle name="Comma 2 2 3 2 3 4 2" xfId="9415" xr:uid="{00000000-0005-0000-0000-00005F130000}"/>
    <cellStyle name="Comma 2 2 3 2 3 5" xfId="8076" xr:uid="{00000000-0005-0000-0000-000060130000}"/>
    <cellStyle name="Comma 2 2 3 2 4" xfId="1045" xr:uid="{00000000-0005-0000-0000-000061130000}"/>
    <cellStyle name="Comma 2 2 3 2 4 2" xfId="6776" xr:uid="{00000000-0005-0000-0000-000062130000}"/>
    <cellStyle name="Comma 2 2 3 2 4 2 2" xfId="9483" xr:uid="{00000000-0005-0000-0000-000063130000}"/>
    <cellStyle name="Comma 2 2 3 2 4 3" xfId="8144" xr:uid="{00000000-0005-0000-0000-000064130000}"/>
    <cellStyle name="Comma 2 2 3 2 5" xfId="470" xr:uid="{00000000-0005-0000-0000-000065130000}"/>
    <cellStyle name="Comma 2 2 3 3" xfId="471" xr:uid="{00000000-0005-0000-0000-000066130000}"/>
    <cellStyle name="Comma 2 2 3 4" xfId="472" xr:uid="{00000000-0005-0000-0000-000067130000}"/>
    <cellStyle name="Comma 2 2 3 4 2" xfId="898" xr:uid="{00000000-0005-0000-0000-000068130000}"/>
    <cellStyle name="Comma 2 2 3 4 2 2" xfId="1174" xr:uid="{00000000-0005-0000-0000-000069130000}"/>
    <cellStyle name="Comma 2 2 3 4 2 2 2" xfId="6892" xr:uid="{00000000-0005-0000-0000-00006A130000}"/>
    <cellStyle name="Comma 2 2 3 4 2 2 2 2" xfId="9599" xr:uid="{00000000-0005-0000-0000-00006B130000}"/>
    <cellStyle name="Comma 2 2 3 4 2 2 3" xfId="8260" xr:uid="{00000000-0005-0000-0000-00006C130000}"/>
    <cellStyle name="Comma 2 2 3 4 2 3" xfId="6631" xr:uid="{00000000-0005-0000-0000-00006D130000}"/>
    <cellStyle name="Comma 2 2 3 4 2 3 2" xfId="9338" xr:uid="{00000000-0005-0000-0000-00006E130000}"/>
    <cellStyle name="Comma 2 2 3 4 2 4" xfId="7999" xr:uid="{00000000-0005-0000-0000-00006F130000}"/>
    <cellStyle name="Comma 2 2 3 4 3" xfId="1071" xr:uid="{00000000-0005-0000-0000-000070130000}"/>
    <cellStyle name="Comma 2 2 3 4 3 2" xfId="6802" xr:uid="{00000000-0005-0000-0000-000071130000}"/>
    <cellStyle name="Comma 2 2 3 4 3 2 2" xfId="9509" xr:uid="{00000000-0005-0000-0000-000072130000}"/>
    <cellStyle name="Comma 2 2 3 4 3 3" xfId="8170" xr:uid="{00000000-0005-0000-0000-000073130000}"/>
    <cellStyle name="Comma 2 2 3 4 4" xfId="6468" xr:uid="{00000000-0005-0000-0000-000074130000}"/>
    <cellStyle name="Comma 2 2 3 4 4 2" xfId="9185" xr:uid="{00000000-0005-0000-0000-000075130000}"/>
    <cellStyle name="Comma 2 2 3 4 5" xfId="7846" xr:uid="{00000000-0005-0000-0000-000076130000}"/>
    <cellStyle name="Comma 2 2 3 5" xfId="469" xr:uid="{00000000-0005-0000-0000-000077130000}"/>
    <cellStyle name="Comma 2 2 3 5 2" xfId="1173" xr:uid="{00000000-0005-0000-0000-000078130000}"/>
    <cellStyle name="Comma 2 2 3 5 2 2" xfId="6891" xr:uid="{00000000-0005-0000-0000-000079130000}"/>
    <cellStyle name="Comma 2 2 3 5 2 2 2" xfId="9598" xr:uid="{00000000-0005-0000-0000-00007A130000}"/>
    <cellStyle name="Comma 2 2 3 5 2 3" xfId="8259" xr:uid="{00000000-0005-0000-0000-00007B130000}"/>
    <cellStyle name="Comma 2 2 3 5 3" xfId="6467" xr:uid="{00000000-0005-0000-0000-00007C130000}"/>
    <cellStyle name="Comma 2 2 3 5 3 2" xfId="9184" xr:uid="{00000000-0005-0000-0000-00007D130000}"/>
    <cellStyle name="Comma 2 2 3 5 4" xfId="7845" xr:uid="{00000000-0005-0000-0000-00007E130000}"/>
    <cellStyle name="Comma 2 2 3 6" xfId="897" xr:uid="{00000000-0005-0000-0000-00007F130000}"/>
    <cellStyle name="Comma 2 2 3 6 2" xfId="6630" xr:uid="{00000000-0005-0000-0000-000080130000}"/>
    <cellStyle name="Comma 2 2 3 6 2 2" xfId="9337" xr:uid="{00000000-0005-0000-0000-000081130000}"/>
    <cellStyle name="Comma 2 2 3 6 3" xfId="7998" xr:uid="{00000000-0005-0000-0000-000082130000}"/>
    <cellStyle name="Comma 2 2 3 7" xfId="1017" xr:uid="{00000000-0005-0000-0000-000083130000}"/>
    <cellStyle name="Comma 2 2 3 7 2" xfId="6748" xr:uid="{00000000-0005-0000-0000-000084130000}"/>
    <cellStyle name="Comma 2 2 3 7 2 2" xfId="9455" xr:uid="{00000000-0005-0000-0000-000085130000}"/>
    <cellStyle name="Comma 2 2 3 7 3" xfId="8116" xr:uid="{00000000-0005-0000-0000-000086130000}"/>
    <cellStyle name="Comma 2 2 3 8" xfId="6422" xr:uid="{00000000-0005-0000-0000-000087130000}"/>
    <cellStyle name="Comma 2 2 3 8 2" xfId="9141" xr:uid="{00000000-0005-0000-0000-000088130000}"/>
    <cellStyle name="Comma 2 2 3 9" xfId="7802" xr:uid="{00000000-0005-0000-0000-000089130000}"/>
    <cellStyle name="Comma 2 2 4" xfId="473" xr:uid="{00000000-0005-0000-0000-00008A130000}"/>
    <cellStyle name="Comma 2 2 4 2" xfId="474" xr:uid="{00000000-0005-0000-0000-00008B130000}"/>
    <cellStyle name="Comma 2 2 4 2 2" xfId="4752" xr:uid="{00000000-0005-0000-0000-00008C130000}"/>
    <cellStyle name="Comma 2 2 4 2 2 2" xfId="7426" xr:uid="{00000000-0005-0000-0000-00008D130000}"/>
    <cellStyle name="Comma 2 2 4 2 2 2 2" xfId="10125" xr:uid="{00000000-0005-0000-0000-00008E130000}"/>
    <cellStyle name="Comma 2 2 4 2 2 3" xfId="8785" xr:uid="{00000000-0005-0000-0000-00008F130000}"/>
    <cellStyle name="Comma 2 2 4 3" xfId="61" xr:uid="{00000000-0005-0000-0000-000090130000}"/>
    <cellStyle name="Comma 2 2 4 3 2" xfId="92" xr:uid="{00000000-0005-0000-0000-000091130000}"/>
    <cellStyle name="Comma 2 2 4 3 2 2" xfId="10126" xr:uid="{00000000-0005-0000-0000-000092130000}"/>
    <cellStyle name="Comma 2 2 4 3 2 3" xfId="7427" xr:uid="{00000000-0005-0000-0000-000093130000}"/>
    <cellStyle name="Comma 2 2 4 3 3" xfId="8786" xr:uid="{00000000-0005-0000-0000-000094130000}"/>
    <cellStyle name="Comma 2 2 4 3 4" xfId="4753" xr:uid="{00000000-0005-0000-0000-000095130000}"/>
    <cellStyle name="Comma 2 2 4 3 5" xfId="38" xr:uid="{00000000-0005-0000-0000-000096130000}"/>
    <cellStyle name="Comma 2 2 4 3 5 2" xfId="10470" xr:uid="{00000000-0005-0000-0000-000097130000}"/>
    <cellStyle name="Comma 2 2 4 3 5 2 2" xfId="10604" xr:uid="{00000000-0005-0000-0000-000098130000}"/>
    <cellStyle name="Comma 2 2 4 3 5 3" xfId="10489" xr:uid="{00000000-0005-0000-0000-000099130000}"/>
    <cellStyle name="Comma 2 2 4 3 5 4" xfId="10533" xr:uid="{00000000-0005-0000-0000-00009A130000}"/>
    <cellStyle name="Comma 2 2 4 3 5 4 2" xfId="10560" xr:uid="{00000000-0005-0000-0000-00009B130000}"/>
    <cellStyle name="Comma 2 2 4 3 5 4 3" xfId="10610" xr:uid="{00000000-0005-0000-0000-00009C130000}"/>
    <cellStyle name="Comma 2 2 4 4" xfId="4754" xr:uid="{00000000-0005-0000-0000-00009D130000}"/>
    <cellStyle name="Comma 2 2 4 4 2" xfId="7428" xr:uid="{00000000-0005-0000-0000-00009E130000}"/>
    <cellStyle name="Comma 2 2 4 4 2 2" xfId="10127" xr:uid="{00000000-0005-0000-0000-00009F130000}"/>
    <cellStyle name="Comma 2 2 4 4 3" xfId="8787" xr:uid="{00000000-0005-0000-0000-0000A0130000}"/>
    <cellStyle name="Comma 2 2 4 8" xfId="4755" xr:uid="{00000000-0005-0000-0000-0000A1130000}"/>
    <cellStyle name="Comma 2 2 5" xfId="475" xr:uid="{00000000-0005-0000-0000-0000A2130000}"/>
    <cellStyle name="Comma 2 2 5 2" xfId="899" xr:uid="{00000000-0005-0000-0000-0000A3130000}"/>
    <cellStyle name="Comma 2 2 5 2 2" xfId="1246" xr:uid="{00000000-0005-0000-0000-0000A4130000}"/>
    <cellStyle name="Comma 2 2 5 2 2 2" xfId="6964" xr:uid="{00000000-0005-0000-0000-0000A5130000}"/>
    <cellStyle name="Comma 2 2 5 2 2 2 2" xfId="9671" xr:uid="{00000000-0005-0000-0000-0000A6130000}"/>
    <cellStyle name="Comma 2 2 5 2 2 3" xfId="8332" xr:uid="{00000000-0005-0000-0000-0000A7130000}"/>
    <cellStyle name="Comma 2 2 5 2 3" xfId="1072" xr:uid="{00000000-0005-0000-0000-0000A8130000}"/>
    <cellStyle name="Comma 2 2 5 2 3 2" xfId="6803" xr:uid="{00000000-0005-0000-0000-0000A9130000}"/>
    <cellStyle name="Comma 2 2 5 2 3 2 2" xfId="9510" xr:uid="{00000000-0005-0000-0000-0000AA130000}"/>
    <cellStyle name="Comma 2 2 5 2 3 3" xfId="8171" xr:uid="{00000000-0005-0000-0000-0000AB130000}"/>
    <cellStyle name="Comma 2 2 5 2 4" xfId="6632" xr:uid="{00000000-0005-0000-0000-0000AC130000}"/>
    <cellStyle name="Comma 2 2 5 2 4 2" xfId="9339" xr:uid="{00000000-0005-0000-0000-0000AD130000}"/>
    <cellStyle name="Comma 2 2 5 2 5" xfId="8000" xr:uid="{00000000-0005-0000-0000-0000AE130000}"/>
    <cellStyle name="Comma 2 2 5 3" xfId="988" xr:uid="{00000000-0005-0000-0000-0000AF130000}"/>
    <cellStyle name="Comma 2 2 5 3 2" xfId="1175" xr:uid="{00000000-0005-0000-0000-0000B0130000}"/>
    <cellStyle name="Comma 2 2 5 3 2 2" xfId="6893" xr:uid="{00000000-0005-0000-0000-0000B1130000}"/>
    <cellStyle name="Comma 2 2 5 3 2 2 2" xfId="9600" xr:uid="{00000000-0005-0000-0000-0000B2130000}"/>
    <cellStyle name="Comma 2 2 5 3 2 3" xfId="8261" xr:uid="{00000000-0005-0000-0000-0000B3130000}"/>
    <cellStyle name="Comma 2 2 5 3 3" xfId="6720" xr:uid="{00000000-0005-0000-0000-0000B4130000}"/>
    <cellStyle name="Comma 2 2 5 3 3 2" xfId="9427" xr:uid="{00000000-0005-0000-0000-0000B5130000}"/>
    <cellStyle name="Comma 2 2 5 3 4" xfId="8088" xr:uid="{00000000-0005-0000-0000-0000B6130000}"/>
    <cellStyle name="Comma 2 2 5 4" xfId="1314" xr:uid="{00000000-0005-0000-0000-0000B7130000}"/>
    <cellStyle name="Comma 2 2 5 4 2" xfId="7020" xr:uid="{00000000-0005-0000-0000-0000B8130000}"/>
    <cellStyle name="Comma 2 2 5 4 2 2" xfId="9727" xr:uid="{00000000-0005-0000-0000-0000B9130000}"/>
    <cellStyle name="Comma 2 2 5 4 3" xfId="8388" xr:uid="{00000000-0005-0000-0000-0000BA130000}"/>
    <cellStyle name="Comma 2 2 5 5" xfId="1030" xr:uid="{00000000-0005-0000-0000-0000BB130000}"/>
    <cellStyle name="Comma 2 2 5 5 2" xfId="6761" xr:uid="{00000000-0005-0000-0000-0000BC130000}"/>
    <cellStyle name="Comma 2 2 5 5 2 2" xfId="9468" xr:uid="{00000000-0005-0000-0000-0000BD130000}"/>
    <cellStyle name="Comma 2 2 5 5 3" xfId="8129" xr:uid="{00000000-0005-0000-0000-0000BE130000}"/>
    <cellStyle name="Comma 2 2 5 6" xfId="1468" xr:uid="{00000000-0005-0000-0000-0000BF130000}"/>
    <cellStyle name="Comma 2 2 5 6 2" xfId="7161" xr:uid="{00000000-0005-0000-0000-0000C0130000}"/>
    <cellStyle name="Comma 2 2 5 6 2 2" xfId="9864" xr:uid="{00000000-0005-0000-0000-0000C1130000}"/>
    <cellStyle name="Comma 2 2 5 6 3" xfId="8524" xr:uid="{00000000-0005-0000-0000-0000C2130000}"/>
    <cellStyle name="Comma 2 2 5 7" xfId="6469" xr:uid="{00000000-0005-0000-0000-0000C3130000}"/>
    <cellStyle name="Comma 2 2 5 7 2" xfId="9186" xr:uid="{00000000-0005-0000-0000-0000C4130000}"/>
    <cellStyle name="Comma 2 2 5 8" xfId="7847" xr:uid="{00000000-0005-0000-0000-0000C5130000}"/>
    <cellStyle name="Comma 2 2 6" xfId="476" xr:uid="{00000000-0005-0000-0000-0000C6130000}"/>
    <cellStyle name="Comma 2 2 7" xfId="477" xr:uid="{00000000-0005-0000-0000-0000C7130000}"/>
    <cellStyle name="Comma 2 2 8" xfId="478" xr:uid="{00000000-0005-0000-0000-0000C8130000}"/>
    <cellStyle name="Comma 2 2 8 2" xfId="4756" xr:uid="{00000000-0005-0000-0000-0000C9130000}"/>
    <cellStyle name="Comma 2 2 9" xfId="465" xr:uid="{00000000-0005-0000-0000-0000CA130000}"/>
    <cellStyle name="Comma 2 2 9 2" xfId="1169" xr:uid="{00000000-0005-0000-0000-0000CB130000}"/>
    <cellStyle name="Comma 2 2 9 2 2" xfId="6887" xr:uid="{00000000-0005-0000-0000-0000CC130000}"/>
    <cellStyle name="Comma 2 2 9 2 2 2" xfId="9594" xr:uid="{00000000-0005-0000-0000-0000CD130000}"/>
    <cellStyle name="Comma 2 2 9 2 3" xfId="8255" xr:uid="{00000000-0005-0000-0000-0000CE130000}"/>
    <cellStyle name="Comma 2 2 9 3" xfId="4757" xr:uid="{00000000-0005-0000-0000-0000CF130000}"/>
    <cellStyle name="Comma 2 2 9 4" xfId="6463" xr:uid="{00000000-0005-0000-0000-0000D0130000}"/>
    <cellStyle name="Comma 2 2 9 4 2" xfId="9180" xr:uid="{00000000-0005-0000-0000-0000D1130000}"/>
    <cellStyle name="Comma 2 2 9 5" xfId="7841" xr:uid="{00000000-0005-0000-0000-0000D2130000}"/>
    <cellStyle name="Comma 2 20" xfId="4758" xr:uid="{00000000-0005-0000-0000-0000D3130000}"/>
    <cellStyle name="Comma 2 21" xfId="4759" xr:uid="{00000000-0005-0000-0000-0000D4130000}"/>
    <cellStyle name="Comma 2 22" xfId="4760" xr:uid="{00000000-0005-0000-0000-0000D5130000}"/>
    <cellStyle name="Comma 2 23" xfId="4761" xr:uid="{00000000-0005-0000-0000-0000D6130000}"/>
    <cellStyle name="Comma 2 24" xfId="4762" xr:uid="{00000000-0005-0000-0000-0000D7130000}"/>
    <cellStyle name="Comma 2 25" xfId="4763" xr:uid="{00000000-0005-0000-0000-0000D8130000}"/>
    <cellStyle name="Comma 2 26" xfId="4764" xr:uid="{00000000-0005-0000-0000-0000D9130000}"/>
    <cellStyle name="Comma 2 26 2" xfId="7429" xr:uid="{00000000-0005-0000-0000-0000DA130000}"/>
    <cellStyle name="Comma 2 26 2 2" xfId="10128" xr:uid="{00000000-0005-0000-0000-0000DB130000}"/>
    <cellStyle name="Comma 2 26 3" xfId="8788" xr:uid="{00000000-0005-0000-0000-0000DC130000}"/>
    <cellStyle name="Comma 2 27" xfId="6217" xr:uid="{00000000-0005-0000-0000-0000DD130000}"/>
    <cellStyle name="Comma 2 27 2" xfId="7696" xr:uid="{00000000-0005-0000-0000-0000DE130000}"/>
    <cellStyle name="Comma 2 27 2 2" xfId="10377" xr:uid="{00000000-0005-0000-0000-0000DF130000}"/>
    <cellStyle name="Comma 2 27 3" xfId="9037" xr:uid="{00000000-0005-0000-0000-0000E0130000}"/>
    <cellStyle name="Comma 2 28" xfId="138" xr:uid="{00000000-0005-0000-0000-0000E1130000}"/>
    <cellStyle name="Comma 2 29" xfId="10455" xr:uid="{00000000-0005-0000-0000-0000E2130000}"/>
    <cellStyle name="Comma 2 3" xfId="95" xr:uid="{00000000-0005-0000-0000-0000E3130000}"/>
    <cellStyle name="Comma 2 3 10" xfId="480" xr:uid="{00000000-0005-0000-0000-0000E4130000}"/>
    <cellStyle name="Comma 2 3 10 2" xfId="901" xr:uid="{00000000-0005-0000-0000-0000E5130000}"/>
    <cellStyle name="Comma 2 3 10 2 2" xfId="1177" xr:uid="{00000000-0005-0000-0000-0000E6130000}"/>
    <cellStyle name="Comma 2 3 10 2 2 2" xfId="6895" xr:uid="{00000000-0005-0000-0000-0000E7130000}"/>
    <cellStyle name="Comma 2 3 10 2 2 2 2" xfId="9602" xr:uid="{00000000-0005-0000-0000-0000E8130000}"/>
    <cellStyle name="Comma 2 3 10 2 2 3" xfId="8263" xr:uid="{00000000-0005-0000-0000-0000E9130000}"/>
    <cellStyle name="Comma 2 3 10 2 3" xfId="6634" xr:uid="{00000000-0005-0000-0000-0000EA130000}"/>
    <cellStyle name="Comma 2 3 10 2 3 2" xfId="9341" xr:uid="{00000000-0005-0000-0000-0000EB130000}"/>
    <cellStyle name="Comma 2 3 10 2 4" xfId="8002" xr:uid="{00000000-0005-0000-0000-0000EC130000}"/>
    <cellStyle name="Comma 2 3 10 3" xfId="1073" xr:uid="{00000000-0005-0000-0000-0000ED130000}"/>
    <cellStyle name="Comma 2 3 10 3 2" xfId="6804" xr:uid="{00000000-0005-0000-0000-0000EE130000}"/>
    <cellStyle name="Comma 2 3 10 3 2 2" xfId="9511" xr:uid="{00000000-0005-0000-0000-0000EF130000}"/>
    <cellStyle name="Comma 2 3 10 3 3" xfId="8172" xr:uid="{00000000-0005-0000-0000-0000F0130000}"/>
    <cellStyle name="Comma 2 3 10 4" xfId="1469" xr:uid="{00000000-0005-0000-0000-0000F1130000}"/>
    <cellStyle name="Comma 2 3 10 4 2" xfId="7162" xr:uid="{00000000-0005-0000-0000-0000F2130000}"/>
    <cellStyle name="Comma 2 3 10 4 2 2" xfId="9865" xr:uid="{00000000-0005-0000-0000-0000F3130000}"/>
    <cellStyle name="Comma 2 3 10 4 3" xfId="8525" xr:uid="{00000000-0005-0000-0000-0000F4130000}"/>
    <cellStyle name="Comma 2 3 10 5" xfId="6471" xr:uid="{00000000-0005-0000-0000-0000F5130000}"/>
    <cellStyle name="Comma 2 3 10 5 2" xfId="9188" xr:uid="{00000000-0005-0000-0000-0000F6130000}"/>
    <cellStyle name="Comma 2 3 10 6" xfId="7849" xr:uid="{00000000-0005-0000-0000-0000F7130000}"/>
    <cellStyle name="Comma 2 3 11" xfId="7717" xr:uid="{00000000-0005-0000-0000-0000F8130000}"/>
    <cellStyle name="Comma 2 3 12" xfId="134" xr:uid="{00000000-0005-0000-0000-0000F9130000}"/>
    <cellStyle name="Comma 2 3 2" xfId="141" xr:uid="{00000000-0005-0000-0000-0000FA130000}"/>
    <cellStyle name="Comma 2 3 2 10" xfId="7722" xr:uid="{00000000-0005-0000-0000-0000FB130000}"/>
    <cellStyle name="Comma 2 3 2 2" xfId="482" xr:uid="{00000000-0005-0000-0000-0000FC130000}"/>
    <cellStyle name="Comma 2 3 2 2 2" xfId="903" xr:uid="{00000000-0005-0000-0000-0000FD130000}"/>
    <cellStyle name="Comma 2 3 2 2 2 2" xfId="1245" xr:uid="{00000000-0005-0000-0000-0000FE130000}"/>
    <cellStyle name="Comma 2 3 2 2 2 2 2" xfId="6963" xr:uid="{00000000-0005-0000-0000-0000FF130000}"/>
    <cellStyle name="Comma 2 3 2 2 2 2 2 2" xfId="9670" xr:uid="{00000000-0005-0000-0000-000000140000}"/>
    <cellStyle name="Comma 2 3 2 2 2 2 3" xfId="8331" xr:uid="{00000000-0005-0000-0000-000001140000}"/>
    <cellStyle name="Comma 2 3 2 2 2 3" xfId="1074" xr:uid="{00000000-0005-0000-0000-000002140000}"/>
    <cellStyle name="Comma 2 3 2 2 2 3 2" xfId="6805" xr:uid="{00000000-0005-0000-0000-000003140000}"/>
    <cellStyle name="Comma 2 3 2 2 2 3 2 2" xfId="9512" xr:uid="{00000000-0005-0000-0000-000004140000}"/>
    <cellStyle name="Comma 2 3 2 2 2 3 3" xfId="8173" xr:uid="{00000000-0005-0000-0000-000005140000}"/>
    <cellStyle name="Comma 2 3 2 2 2 4" xfId="4765" xr:uid="{00000000-0005-0000-0000-000006140000}"/>
    <cellStyle name="Comma 2 3 2 2 2 4 2" xfId="7430" xr:uid="{00000000-0005-0000-0000-000007140000}"/>
    <cellStyle name="Comma 2 3 2 2 2 4 2 2" xfId="10129" xr:uid="{00000000-0005-0000-0000-000008140000}"/>
    <cellStyle name="Comma 2 3 2 2 2 4 3" xfId="8789" xr:uid="{00000000-0005-0000-0000-000009140000}"/>
    <cellStyle name="Comma 2 3 2 2 2 5" xfId="6636" xr:uid="{00000000-0005-0000-0000-00000A140000}"/>
    <cellStyle name="Comma 2 3 2 2 2 5 2" xfId="9343" xr:uid="{00000000-0005-0000-0000-00000B140000}"/>
    <cellStyle name="Comma 2 3 2 2 2 6" xfId="8004" xr:uid="{00000000-0005-0000-0000-00000C140000}"/>
    <cellStyle name="Comma 2 3 2 2 3" xfId="972" xr:uid="{00000000-0005-0000-0000-00000D140000}"/>
    <cellStyle name="Comma 2 3 2 2 3 2" xfId="1179" xr:uid="{00000000-0005-0000-0000-00000E140000}"/>
    <cellStyle name="Comma 2 3 2 2 3 2 2" xfId="6897" xr:uid="{00000000-0005-0000-0000-00000F140000}"/>
    <cellStyle name="Comma 2 3 2 2 3 2 2 2" xfId="9604" xr:uid="{00000000-0005-0000-0000-000010140000}"/>
    <cellStyle name="Comma 2 3 2 2 3 2 3" xfId="8265" xr:uid="{00000000-0005-0000-0000-000011140000}"/>
    <cellStyle name="Comma 2 3 2 2 3 3" xfId="4766" xr:uid="{00000000-0005-0000-0000-000012140000}"/>
    <cellStyle name="Comma 2 3 2 2 3 3 2" xfId="7431" xr:uid="{00000000-0005-0000-0000-000013140000}"/>
    <cellStyle name="Comma 2 3 2 2 3 3 2 2" xfId="10130" xr:uid="{00000000-0005-0000-0000-000014140000}"/>
    <cellStyle name="Comma 2 3 2 2 3 3 3" xfId="8790" xr:uid="{00000000-0005-0000-0000-000015140000}"/>
    <cellStyle name="Comma 2 3 2 2 3 4" xfId="6704" xr:uid="{00000000-0005-0000-0000-000016140000}"/>
    <cellStyle name="Comma 2 3 2 2 3 4 2" xfId="9411" xr:uid="{00000000-0005-0000-0000-000017140000}"/>
    <cellStyle name="Comma 2 3 2 2 3 5" xfId="8072" xr:uid="{00000000-0005-0000-0000-000018140000}"/>
    <cellStyle name="Comma 2 3 2 2 4" xfId="1291" xr:uid="{00000000-0005-0000-0000-000019140000}"/>
    <cellStyle name="Comma 2 3 2 2 4 2" xfId="4767" xr:uid="{00000000-0005-0000-0000-00001A140000}"/>
    <cellStyle name="Comma 2 3 2 2 4 2 2" xfId="7432" xr:uid="{00000000-0005-0000-0000-00001B140000}"/>
    <cellStyle name="Comma 2 3 2 2 4 2 2 2" xfId="10131" xr:uid="{00000000-0005-0000-0000-00001C140000}"/>
    <cellStyle name="Comma 2 3 2 2 4 2 3" xfId="8791" xr:uid="{00000000-0005-0000-0000-00001D140000}"/>
    <cellStyle name="Comma 2 3 2 2 4 3" xfId="7001" xr:uid="{00000000-0005-0000-0000-00001E140000}"/>
    <cellStyle name="Comma 2 3 2 2 4 3 2" xfId="9708" xr:uid="{00000000-0005-0000-0000-00001F140000}"/>
    <cellStyle name="Comma 2 3 2 2 4 4" xfId="8369" xr:uid="{00000000-0005-0000-0000-000020140000}"/>
    <cellStyle name="Comma 2 3 2 2 5" xfId="1049" xr:uid="{00000000-0005-0000-0000-000021140000}"/>
    <cellStyle name="Comma 2 3 2 2 5 2" xfId="6780" xr:uid="{00000000-0005-0000-0000-000022140000}"/>
    <cellStyle name="Comma 2 3 2 2 5 2 2" xfId="9487" xr:uid="{00000000-0005-0000-0000-000023140000}"/>
    <cellStyle name="Comma 2 3 2 2 5 3" xfId="8148" xr:uid="{00000000-0005-0000-0000-000024140000}"/>
    <cellStyle name="Comma 2 3 2 2 6" xfId="6473" xr:uid="{00000000-0005-0000-0000-000025140000}"/>
    <cellStyle name="Comma 2 3 2 2 6 2" xfId="9190" xr:uid="{00000000-0005-0000-0000-000026140000}"/>
    <cellStyle name="Comma 2 3 2 2 7" xfId="7851" xr:uid="{00000000-0005-0000-0000-000027140000}"/>
    <cellStyle name="Comma 2 3 2 3" xfId="483" xr:uid="{00000000-0005-0000-0000-000028140000}"/>
    <cellStyle name="Comma 2 3 2 3 2" xfId="904" xr:uid="{00000000-0005-0000-0000-000029140000}"/>
    <cellStyle name="Comma 2 3 2 3 2 2" xfId="1180" xr:uid="{00000000-0005-0000-0000-00002A140000}"/>
    <cellStyle name="Comma 2 3 2 3 2 2 2" xfId="6898" xr:uid="{00000000-0005-0000-0000-00002B140000}"/>
    <cellStyle name="Comma 2 3 2 3 2 2 2 2" xfId="9605" xr:uid="{00000000-0005-0000-0000-00002C140000}"/>
    <cellStyle name="Comma 2 3 2 3 2 2 3" xfId="8266" xr:uid="{00000000-0005-0000-0000-00002D140000}"/>
    <cellStyle name="Comma 2 3 2 3 2 3" xfId="4769" xr:uid="{00000000-0005-0000-0000-00002E140000}"/>
    <cellStyle name="Comma 2 3 2 3 2 3 2" xfId="7433" xr:uid="{00000000-0005-0000-0000-00002F140000}"/>
    <cellStyle name="Comma 2 3 2 3 2 3 2 2" xfId="10132" xr:uid="{00000000-0005-0000-0000-000030140000}"/>
    <cellStyle name="Comma 2 3 2 3 2 3 3" xfId="8792" xr:uid="{00000000-0005-0000-0000-000031140000}"/>
    <cellStyle name="Comma 2 3 2 3 2 4" xfId="6637" xr:uid="{00000000-0005-0000-0000-000032140000}"/>
    <cellStyle name="Comma 2 3 2 3 2 4 2" xfId="9344" xr:uid="{00000000-0005-0000-0000-000033140000}"/>
    <cellStyle name="Comma 2 3 2 3 2 5" xfId="8005" xr:uid="{00000000-0005-0000-0000-000034140000}"/>
    <cellStyle name="Comma 2 3 2 3 3" xfId="1075" xr:uid="{00000000-0005-0000-0000-000035140000}"/>
    <cellStyle name="Comma 2 3 2 3 3 2" xfId="6806" xr:uid="{00000000-0005-0000-0000-000036140000}"/>
    <cellStyle name="Comma 2 3 2 3 3 2 2" xfId="9513" xr:uid="{00000000-0005-0000-0000-000037140000}"/>
    <cellStyle name="Comma 2 3 2 3 3 3" xfId="8174" xr:uid="{00000000-0005-0000-0000-000038140000}"/>
    <cellStyle name="Comma 2 3 2 3 4" xfId="4768" xr:uid="{00000000-0005-0000-0000-000039140000}"/>
    <cellStyle name="Comma 2 3 2 3 5" xfId="6474" xr:uid="{00000000-0005-0000-0000-00003A140000}"/>
    <cellStyle name="Comma 2 3 2 3 5 2" xfId="9191" xr:uid="{00000000-0005-0000-0000-00003B140000}"/>
    <cellStyle name="Comma 2 3 2 3 6" xfId="7852" xr:uid="{00000000-0005-0000-0000-00003C140000}"/>
    <cellStyle name="Comma 2 3 2 4" xfId="481" xr:uid="{00000000-0005-0000-0000-00003D140000}"/>
    <cellStyle name="Comma 2 3 2 4 2" xfId="1178" xr:uid="{00000000-0005-0000-0000-00003E140000}"/>
    <cellStyle name="Comma 2 3 2 4 2 2" xfId="6896" xr:uid="{00000000-0005-0000-0000-00003F140000}"/>
    <cellStyle name="Comma 2 3 2 4 2 2 2" xfId="9603" xr:uid="{00000000-0005-0000-0000-000040140000}"/>
    <cellStyle name="Comma 2 3 2 4 2 3" xfId="8264" xr:uid="{00000000-0005-0000-0000-000041140000}"/>
    <cellStyle name="Comma 2 3 2 4 3" xfId="4770" xr:uid="{00000000-0005-0000-0000-000042140000}"/>
    <cellStyle name="Comma 2 3 2 4 4" xfId="6472" xr:uid="{00000000-0005-0000-0000-000043140000}"/>
    <cellStyle name="Comma 2 3 2 4 4 2" xfId="9189" xr:uid="{00000000-0005-0000-0000-000044140000}"/>
    <cellStyle name="Comma 2 3 2 4 5" xfId="7850" xr:uid="{00000000-0005-0000-0000-000045140000}"/>
    <cellStyle name="Comma 2 3 2 5" xfId="902" xr:uid="{00000000-0005-0000-0000-000046140000}"/>
    <cellStyle name="Comma 2 3 2 5 2" xfId="4771" xr:uid="{00000000-0005-0000-0000-000047140000}"/>
    <cellStyle name="Comma 2 3 2 5 3" xfId="6635" xr:uid="{00000000-0005-0000-0000-000048140000}"/>
    <cellStyle name="Comma 2 3 2 5 3 2" xfId="9342" xr:uid="{00000000-0005-0000-0000-000049140000}"/>
    <cellStyle name="Comma 2 3 2 5 4" xfId="8003" xr:uid="{00000000-0005-0000-0000-00004A140000}"/>
    <cellStyle name="Comma 2 3 2 6" xfId="1021" xr:uid="{00000000-0005-0000-0000-00004B140000}"/>
    <cellStyle name="Comma 2 3 2 6 2" xfId="6752" xr:uid="{00000000-0005-0000-0000-00004C140000}"/>
    <cellStyle name="Comma 2 3 2 6 2 2" xfId="9459" xr:uid="{00000000-0005-0000-0000-00004D140000}"/>
    <cellStyle name="Comma 2 3 2 6 3" xfId="8120" xr:uid="{00000000-0005-0000-0000-00004E140000}"/>
    <cellStyle name="Comma 2 3 2 7" xfId="275" xr:uid="{00000000-0005-0000-0000-00004F140000}"/>
    <cellStyle name="Comma 2 3 2 7 2" xfId="6426" xr:uid="{00000000-0005-0000-0000-000050140000}"/>
    <cellStyle name="Comma 2 3 2 7 2 2" xfId="9145" xr:uid="{00000000-0005-0000-0000-000051140000}"/>
    <cellStyle name="Comma 2 3 2 7 3" xfId="7806" xr:uid="{00000000-0005-0000-0000-000052140000}"/>
    <cellStyle name="Comma 2 3 2 7 4 2" xfId="10486" xr:uid="{00000000-0005-0000-0000-000053140000}"/>
    <cellStyle name="Comma 2 3 2 8" xfId="1361" xr:uid="{00000000-0005-0000-0000-000054140000}"/>
    <cellStyle name="Comma 2 3 2 8 2" xfId="7066" xr:uid="{00000000-0005-0000-0000-000055140000}"/>
    <cellStyle name="Comma 2 3 2 8 2 2" xfId="9772" xr:uid="{00000000-0005-0000-0000-000056140000}"/>
    <cellStyle name="Comma 2 3 2 8 3" xfId="8433" xr:uid="{00000000-0005-0000-0000-000057140000}"/>
    <cellStyle name="Comma 2 3 2 9" xfId="6342" xr:uid="{00000000-0005-0000-0000-000058140000}"/>
    <cellStyle name="Comma 2 3 2 9 2" xfId="9061" xr:uid="{00000000-0005-0000-0000-000059140000}"/>
    <cellStyle name="Comma 2 3 3" xfId="484" xr:uid="{00000000-0005-0000-0000-00005A140000}"/>
    <cellStyle name="Comma 2 3 3 2" xfId="485" xr:uid="{00000000-0005-0000-0000-00005B140000}"/>
    <cellStyle name="Comma 2 3 3 2 2" xfId="906" xr:uid="{00000000-0005-0000-0000-00005C140000}"/>
    <cellStyle name="Comma 2 3 3 2 2 2" xfId="1182" xr:uid="{00000000-0005-0000-0000-00005D140000}"/>
    <cellStyle name="Comma 2 3 3 2 2 2 2" xfId="6900" xr:uid="{00000000-0005-0000-0000-00005E140000}"/>
    <cellStyle name="Comma 2 3 3 2 2 2 2 2" xfId="9607" xr:uid="{00000000-0005-0000-0000-00005F140000}"/>
    <cellStyle name="Comma 2 3 3 2 2 2 3" xfId="8268" xr:uid="{00000000-0005-0000-0000-000060140000}"/>
    <cellStyle name="Comma 2 3 3 2 2 3" xfId="6639" xr:uid="{00000000-0005-0000-0000-000061140000}"/>
    <cellStyle name="Comma 2 3 3 2 2 3 2" xfId="9346" xr:uid="{00000000-0005-0000-0000-000062140000}"/>
    <cellStyle name="Comma 2 3 3 2 2 4" xfId="8007" xr:uid="{00000000-0005-0000-0000-000063140000}"/>
    <cellStyle name="Comma 2 3 3 2 3" xfId="1077" xr:uid="{00000000-0005-0000-0000-000064140000}"/>
    <cellStyle name="Comma 2 3 3 2 3 2" xfId="6808" xr:uid="{00000000-0005-0000-0000-000065140000}"/>
    <cellStyle name="Comma 2 3 3 2 3 2 2" xfId="9515" xr:uid="{00000000-0005-0000-0000-000066140000}"/>
    <cellStyle name="Comma 2 3 3 2 3 3" xfId="8176" xr:uid="{00000000-0005-0000-0000-000067140000}"/>
    <cellStyle name="Comma 2 3 3 2 4" xfId="4772" xr:uid="{00000000-0005-0000-0000-000068140000}"/>
    <cellStyle name="Comma 2 3 3 2 4 2" xfId="7434" xr:uid="{00000000-0005-0000-0000-000069140000}"/>
    <cellStyle name="Comma 2 3 3 2 4 2 2" xfId="10133" xr:uid="{00000000-0005-0000-0000-00006A140000}"/>
    <cellStyle name="Comma 2 3 3 2 4 3" xfId="8793" xr:uid="{00000000-0005-0000-0000-00006B140000}"/>
    <cellStyle name="Comma 2 3 3 2 5" xfId="6476" xr:uid="{00000000-0005-0000-0000-00006C140000}"/>
    <cellStyle name="Comma 2 3 3 2 5 2" xfId="9193" xr:uid="{00000000-0005-0000-0000-00006D140000}"/>
    <cellStyle name="Comma 2 3 3 2 6" xfId="7854" xr:uid="{00000000-0005-0000-0000-00006E140000}"/>
    <cellStyle name="Comma 2 3 3 3" xfId="905" xr:uid="{00000000-0005-0000-0000-00006F140000}"/>
    <cellStyle name="Comma 2 3 3 3 2" xfId="1244" xr:uid="{00000000-0005-0000-0000-000070140000}"/>
    <cellStyle name="Comma 2 3 3 3 2 2" xfId="6962" xr:uid="{00000000-0005-0000-0000-000071140000}"/>
    <cellStyle name="Comma 2 3 3 3 2 2 2" xfId="9669" xr:uid="{00000000-0005-0000-0000-000072140000}"/>
    <cellStyle name="Comma 2 3 3 3 2 3" xfId="8330" xr:uid="{00000000-0005-0000-0000-000073140000}"/>
    <cellStyle name="Comma 2 3 3 3 3" xfId="1076" xr:uid="{00000000-0005-0000-0000-000074140000}"/>
    <cellStyle name="Comma 2 3 3 3 3 2" xfId="6807" xr:uid="{00000000-0005-0000-0000-000075140000}"/>
    <cellStyle name="Comma 2 3 3 3 3 2 2" xfId="9514" xr:uid="{00000000-0005-0000-0000-000076140000}"/>
    <cellStyle name="Comma 2 3 3 3 3 3" xfId="8175" xr:uid="{00000000-0005-0000-0000-000077140000}"/>
    <cellStyle name="Comma 2 3 3 3 4" xfId="4773" xr:uid="{00000000-0005-0000-0000-000078140000}"/>
    <cellStyle name="Comma 2 3 3 3 4 2" xfId="7435" xr:uid="{00000000-0005-0000-0000-000079140000}"/>
    <cellStyle name="Comma 2 3 3 3 4 2 2" xfId="10134" xr:uid="{00000000-0005-0000-0000-00007A140000}"/>
    <cellStyle name="Comma 2 3 3 3 4 3" xfId="8794" xr:uid="{00000000-0005-0000-0000-00007B140000}"/>
    <cellStyle name="Comma 2 3 3 3 5" xfId="6638" xr:uid="{00000000-0005-0000-0000-00007C140000}"/>
    <cellStyle name="Comma 2 3 3 3 5 2" xfId="9345" xr:uid="{00000000-0005-0000-0000-00007D140000}"/>
    <cellStyle name="Comma 2 3 3 3 6" xfId="8006" xr:uid="{00000000-0005-0000-0000-00007E140000}"/>
    <cellStyle name="Comma 2 3 3 4" xfId="987" xr:uid="{00000000-0005-0000-0000-00007F140000}"/>
    <cellStyle name="Comma 2 3 3 4 2" xfId="1181" xr:uid="{00000000-0005-0000-0000-000080140000}"/>
    <cellStyle name="Comma 2 3 3 4 2 2" xfId="6899" xr:uid="{00000000-0005-0000-0000-000081140000}"/>
    <cellStyle name="Comma 2 3 3 4 2 2 2" xfId="9606" xr:uid="{00000000-0005-0000-0000-000082140000}"/>
    <cellStyle name="Comma 2 3 3 4 2 3" xfId="8267" xr:uid="{00000000-0005-0000-0000-000083140000}"/>
    <cellStyle name="Comma 2 3 3 4 3" xfId="4774" xr:uid="{00000000-0005-0000-0000-000084140000}"/>
    <cellStyle name="Comma 2 3 3 4 3 2" xfId="7436" xr:uid="{00000000-0005-0000-0000-000085140000}"/>
    <cellStyle name="Comma 2 3 3 4 3 2 2" xfId="10135" xr:uid="{00000000-0005-0000-0000-000086140000}"/>
    <cellStyle name="Comma 2 3 3 4 3 3" xfId="8795" xr:uid="{00000000-0005-0000-0000-000087140000}"/>
    <cellStyle name="Comma 2 3 3 4 4" xfId="6719" xr:uid="{00000000-0005-0000-0000-000088140000}"/>
    <cellStyle name="Comma 2 3 3 4 4 2" xfId="9426" xr:uid="{00000000-0005-0000-0000-000089140000}"/>
    <cellStyle name="Comma 2 3 3 4 5" xfId="8087" xr:uid="{00000000-0005-0000-0000-00008A140000}"/>
    <cellStyle name="Comma 2 3 3 5" xfId="1306" xr:uid="{00000000-0005-0000-0000-00008B140000}"/>
    <cellStyle name="Comma 2 3 3 5 2" xfId="7016" xr:uid="{00000000-0005-0000-0000-00008C140000}"/>
    <cellStyle name="Comma 2 3 3 5 2 2" xfId="9723" xr:uid="{00000000-0005-0000-0000-00008D140000}"/>
    <cellStyle name="Comma 2 3 3 5 3" xfId="8384" xr:uid="{00000000-0005-0000-0000-00008E140000}"/>
    <cellStyle name="Comma 2 3 3 6" xfId="1034" xr:uid="{00000000-0005-0000-0000-00008F140000}"/>
    <cellStyle name="Comma 2 3 3 6 2" xfId="6765" xr:uid="{00000000-0005-0000-0000-000090140000}"/>
    <cellStyle name="Comma 2 3 3 6 2 2" xfId="9472" xr:uid="{00000000-0005-0000-0000-000091140000}"/>
    <cellStyle name="Comma 2 3 3 6 3" xfId="8133" xr:uid="{00000000-0005-0000-0000-000092140000}"/>
    <cellStyle name="Comma 2 3 3 7" xfId="1470" xr:uid="{00000000-0005-0000-0000-000093140000}"/>
    <cellStyle name="Comma 2 3 3 7 2" xfId="7163" xr:uid="{00000000-0005-0000-0000-000094140000}"/>
    <cellStyle name="Comma 2 3 3 7 2 2" xfId="9866" xr:uid="{00000000-0005-0000-0000-000095140000}"/>
    <cellStyle name="Comma 2 3 3 7 3" xfId="8526" xr:uid="{00000000-0005-0000-0000-000096140000}"/>
    <cellStyle name="Comma 2 3 3 8" xfId="6475" xr:uid="{00000000-0005-0000-0000-000097140000}"/>
    <cellStyle name="Comma 2 3 3 8 2" xfId="9192" xr:uid="{00000000-0005-0000-0000-000098140000}"/>
    <cellStyle name="Comma 2 3 3 9" xfId="7853" xr:uid="{00000000-0005-0000-0000-000099140000}"/>
    <cellStyle name="Comma 2 3 4" xfId="479" xr:uid="{00000000-0005-0000-0000-00009A140000}"/>
    <cellStyle name="Comma 2 3 4 2" xfId="1176" xr:uid="{00000000-0005-0000-0000-00009B140000}"/>
    <cellStyle name="Comma 2 3 4 2 2" xfId="4776" xr:uid="{00000000-0005-0000-0000-00009C140000}"/>
    <cellStyle name="Comma 2 3 4 2 2 2" xfId="7438" xr:uid="{00000000-0005-0000-0000-00009D140000}"/>
    <cellStyle name="Comma 2 3 4 2 2 2 2" xfId="10137" xr:uid="{00000000-0005-0000-0000-00009E140000}"/>
    <cellStyle name="Comma 2 3 4 2 2 3" xfId="8797" xr:uid="{00000000-0005-0000-0000-00009F140000}"/>
    <cellStyle name="Comma 2 3 4 2 3" xfId="6894" xr:uid="{00000000-0005-0000-0000-0000A0140000}"/>
    <cellStyle name="Comma 2 3 4 2 3 2" xfId="9601" xr:uid="{00000000-0005-0000-0000-0000A1140000}"/>
    <cellStyle name="Comma 2 3 4 2 4" xfId="8262" xr:uid="{00000000-0005-0000-0000-0000A2140000}"/>
    <cellStyle name="Comma 2 3 4 3" xfId="4775" xr:uid="{00000000-0005-0000-0000-0000A3140000}"/>
    <cellStyle name="Comma 2 3 4 3 2" xfId="7437" xr:uid="{00000000-0005-0000-0000-0000A4140000}"/>
    <cellStyle name="Comma 2 3 4 3 2 2" xfId="10136" xr:uid="{00000000-0005-0000-0000-0000A5140000}"/>
    <cellStyle name="Comma 2 3 4 3 3" xfId="8796" xr:uid="{00000000-0005-0000-0000-0000A6140000}"/>
    <cellStyle name="Comma 2 3 4 4" xfId="6470" xr:uid="{00000000-0005-0000-0000-0000A7140000}"/>
    <cellStyle name="Comma 2 3 4 4 2" xfId="9187" xr:uid="{00000000-0005-0000-0000-0000A8140000}"/>
    <cellStyle name="Comma 2 3 4 5" xfId="7848" xr:uid="{00000000-0005-0000-0000-0000A9140000}"/>
    <cellStyle name="Comma 2 3 5" xfId="900" xr:uid="{00000000-0005-0000-0000-0000AA140000}"/>
    <cellStyle name="Comma 2 3 5 2" xfId="4777" xr:uid="{00000000-0005-0000-0000-0000AB140000}"/>
    <cellStyle name="Comma 2 3 5 2 2" xfId="7439" xr:uid="{00000000-0005-0000-0000-0000AC140000}"/>
    <cellStyle name="Comma 2 3 5 2 2 2" xfId="10138" xr:uid="{00000000-0005-0000-0000-0000AD140000}"/>
    <cellStyle name="Comma 2 3 5 2 3" xfId="8798" xr:uid="{00000000-0005-0000-0000-0000AE140000}"/>
    <cellStyle name="Comma 2 3 5 3" xfId="6633" xr:uid="{00000000-0005-0000-0000-0000AF140000}"/>
    <cellStyle name="Comma 2 3 5 3 2" xfId="9340" xr:uid="{00000000-0005-0000-0000-0000B0140000}"/>
    <cellStyle name="Comma 2 3 5 4" xfId="8001" xr:uid="{00000000-0005-0000-0000-0000B1140000}"/>
    <cellStyle name="Comma 2 3 6" xfId="1006" xr:uid="{00000000-0005-0000-0000-0000B2140000}"/>
    <cellStyle name="Comma 2 3 6 2" xfId="4778" xr:uid="{00000000-0005-0000-0000-0000B3140000}"/>
    <cellStyle name="Comma 2 3 6 3" xfId="6737" xr:uid="{00000000-0005-0000-0000-0000B4140000}"/>
    <cellStyle name="Comma 2 3 6 3 2" xfId="9444" xr:uid="{00000000-0005-0000-0000-0000B5140000}"/>
    <cellStyle name="Comma 2 3 6 4" xfId="8105" xr:uid="{00000000-0005-0000-0000-0000B6140000}"/>
    <cellStyle name="Comma 2 3 7" xfId="260" xr:uid="{00000000-0005-0000-0000-0000B7140000}"/>
    <cellStyle name="Comma 2 3 7 2" xfId="4779" xr:uid="{00000000-0005-0000-0000-0000B8140000}"/>
    <cellStyle name="Comma 2 3 7 2 2" xfId="7440" xr:uid="{00000000-0005-0000-0000-0000B9140000}"/>
    <cellStyle name="Comma 2 3 7 2 2 2" xfId="10139" xr:uid="{00000000-0005-0000-0000-0000BA140000}"/>
    <cellStyle name="Comma 2 3 7 2 3" xfId="8799" xr:uid="{00000000-0005-0000-0000-0000BB140000}"/>
    <cellStyle name="Comma 2 3 7 3" xfId="6411" xr:uid="{00000000-0005-0000-0000-0000BC140000}"/>
    <cellStyle name="Comma 2 3 7 3 2" xfId="9130" xr:uid="{00000000-0005-0000-0000-0000BD140000}"/>
    <cellStyle name="Comma 2 3 7 4" xfId="7791" xr:uid="{00000000-0005-0000-0000-0000BE140000}"/>
    <cellStyle name="Comma 2 3 8" xfId="1356" xr:uid="{00000000-0005-0000-0000-0000BF140000}"/>
    <cellStyle name="Comma 2 3 8 2" xfId="4780" xr:uid="{00000000-0005-0000-0000-0000C0140000}"/>
    <cellStyle name="Comma 2 3 8 2 2" xfId="7441" xr:uid="{00000000-0005-0000-0000-0000C1140000}"/>
    <cellStyle name="Comma 2 3 8 2 2 2" xfId="10140" xr:uid="{00000000-0005-0000-0000-0000C2140000}"/>
    <cellStyle name="Comma 2 3 8 2 3" xfId="8800" xr:uid="{00000000-0005-0000-0000-0000C3140000}"/>
    <cellStyle name="Comma 2 3 8 3" xfId="7061" xr:uid="{00000000-0005-0000-0000-0000C4140000}"/>
    <cellStyle name="Comma 2 3 8 3 2" xfId="9767" xr:uid="{00000000-0005-0000-0000-0000C5140000}"/>
    <cellStyle name="Comma 2 3 8 4" xfId="8428" xr:uid="{00000000-0005-0000-0000-0000C6140000}"/>
    <cellStyle name="Comma 2 3 9" xfId="6337" xr:uid="{00000000-0005-0000-0000-0000C7140000}"/>
    <cellStyle name="Comma 2 3 9 2" xfId="9056" xr:uid="{00000000-0005-0000-0000-0000C8140000}"/>
    <cellStyle name="Comma 2 30" xfId="65" xr:uid="{00000000-0005-0000-0000-0000C9140000}"/>
    <cellStyle name="Comma 2 31" xfId="10477" xr:uid="{00000000-0005-0000-0000-0000CA140000}"/>
    <cellStyle name="Comma 2 4" xfId="17" xr:uid="{00000000-0005-0000-0000-0000CB140000}"/>
    <cellStyle name="Comma 2 4 2" xfId="97" xr:uid="{00000000-0005-0000-0000-0000CC140000}"/>
    <cellStyle name="Comma 2 4 2 2" xfId="488" xr:uid="{00000000-0005-0000-0000-0000CD140000}"/>
    <cellStyle name="Comma 2 4 2 2 2" xfId="4782" xr:uid="{00000000-0005-0000-0000-0000CE140000}"/>
    <cellStyle name="Comma 2 4 2 2 2 2" xfId="7443" xr:uid="{00000000-0005-0000-0000-0000CF140000}"/>
    <cellStyle name="Comma 2 4 2 2 2 2 2" xfId="10142" xr:uid="{00000000-0005-0000-0000-0000D0140000}"/>
    <cellStyle name="Comma 2 4 2 2 2 3" xfId="8802" xr:uid="{00000000-0005-0000-0000-0000D1140000}"/>
    <cellStyle name="Comma 2 4 2 2 3" xfId="4783" xr:uid="{00000000-0005-0000-0000-0000D2140000}"/>
    <cellStyle name="Comma 2 4 2 2 3 2" xfId="7444" xr:uid="{00000000-0005-0000-0000-0000D3140000}"/>
    <cellStyle name="Comma 2 4 2 2 3 2 2" xfId="10143" xr:uid="{00000000-0005-0000-0000-0000D4140000}"/>
    <cellStyle name="Comma 2 4 2 2 3 3" xfId="8803" xr:uid="{00000000-0005-0000-0000-0000D5140000}"/>
    <cellStyle name="Comma 2 4 2 2 4" xfId="4781" xr:uid="{00000000-0005-0000-0000-0000D6140000}"/>
    <cellStyle name="Comma 2 4 2 2 4 2" xfId="7442" xr:uid="{00000000-0005-0000-0000-0000D7140000}"/>
    <cellStyle name="Comma 2 4 2 2 4 2 2" xfId="10141" xr:uid="{00000000-0005-0000-0000-0000D8140000}"/>
    <cellStyle name="Comma 2 4 2 2 4 3" xfId="8801" xr:uid="{00000000-0005-0000-0000-0000D9140000}"/>
    <cellStyle name="Comma 2 4 2 3" xfId="908" xr:uid="{00000000-0005-0000-0000-0000DA140000}"/>
    <cellStyle name="Comma 2 4 2 3 2" xfId="1243" xr:uid="{00000000-0005-0000-0000-0000DB140000}"/>
    <cellStyle name="Comma 2 4 2 3 2 2" xfId="6961" xr:uid="{00000000-0005-0000-0000-0000DC140000}"/>
    <cellStyle name="Comma 2 4 2 3 2 2 2" xfId="9668" xr:uid="{00000000-0005-0000-0000-0000DD140000}"/>
    <cellStyle name="Comma 2 4 2 3 2 3" xfId="8329" xr:uid="{00000000-0005-0000-0000-0000DE140000}"/>
    <cellStyle name="Comma 2 4 2 3 3" xfId="1078" xr:uid="{00000000-0005-0000-0000-0000DF140000}"/>
    <cellStyle name="Comma 2 4 2 3 3 2" xfId="6809" xr:uid="{00000000-0005-0000-0000-0000E0140000}"/>
    <cellStyle name="Comma 2 4 2 3 3 2 2" xfId="9516" xr:uid="{00000000-0005-0000-0000-0000E1140000}"/>
    <cellStyle name="Comma 2 4 2 3 3 3" xfId="8177" xr:uid="{00000000-0005-0000-0000-0000E2140000}"/>
    <cellStyle name="Comma 2 4 2 3 4" xfId="6641" xr:uid="{00000000-0005-0000-0000-0000E3140000}"/>
    <cellStyle name="Comma 2 4 2 3 4 2" xfId="9348" xr:uid="{00000000-0005-0000-0000-0000E4140000}"/>
    <cellStyle name="Comma 2 4 2 3 5" xfId="8009" xr:uid="{00000000-0005-0000-0000-0000E5140000}"/>
    <cellStyle name="Comma 2 4 2 4" xfId="978" xr:uid="{00000000-0005-0000-0000-0000E6140000}"/>
    <cellStyle name="Comma 2 4 2 4 2" xfId="1184" xr:uid="{00000000-0005-0000-0000-0000E7140000}"/>
    <cellStyle name="Comma 2 4 2 4 2 2" xfId="6902" xr:uid="{00000000-0005-0000-0000-0000E8140000}"/>
    <cellStyle name="Comma 2 4 2 4 2 2 2" xfId="9609" xr:uid="{00000000-0005-0000-0000-0000E9140000}"/>
    <cellStyle name="Comma 2 4 2 4 2 3" xfId="8270" xr:uid="{00000000-0005-0000-0000-0000EA140000}"/>
    <cellStyle name="Comma 2 4 2 4 3" xfId="6710" xr:uid="{00000000-0005-0000-0000-0000EB140000}"/>
    <cellStyle name="Comma 2 4 2 4 3 2" xfId="9417" xr:uid="{00000000-0005-0000-0000-0000EC140000}"/>
    <cellStyle name="Comma 2 4 2 4 4" xfId="8078" xr:uid="{00000000-0005-0000-0000-0000ED140000}"/>
    <cellStyle name="Comma 2 4 2 5" xfId="1297" xr:uid="{00000000-0005-0000-0000-0000EE140000}"/>
    <cellStyle name="Comma 2 4 2 5 2" xfId="7007" xr:uid="{00000000-0005-0000-0000-0000EF140000}"/>
    <cellStyle name="Comma 2 4 2 5 2 2" xfId="9714" xr:uid="{00000000-0005-0000-0000-0000F0140000}"/>
    <cellStyle name="Comma 2 4 2 5 3" xfId="8375" xr:uid="{00000000-0005-0000-0000-0000F1140000}"/>
    <cellStyle name="Comma 2 4 2 6" xfId="1043" xr:uid="{00000000-0005-0000-0000-0000F2140000}"/>
    <cellStyle name="Comma 2 4 2 6 2" xfId="6774" xr:uid="{00000000-0005-0000-0000-0000F3140000}"/>
    <cellStyle name="Comma 2 4 2 6 2 2" xfId="9481" xr:uid="{00000000-0005-0000-0000-0000F4140000}"/>
    <cellStyle name="Comma 2 4 2 6 3" xfId="8142" xr:uid="{00000000-0005-0000-0000-0000F5140000}"/>
    <cellStyle name="Comma 2 4 2 7" xfId="6478" xr:uid="{00000000-0005-0000-0000-0000F6140000}"/>
    <cellStyle name="Comma 2 4 2 7 2" xfId="9195" xr:uid="{00000000-0005-0000-0000-0000F7140000}"/>
    <cellStyle name="Comma 2 4 2 8" xfId="7856" xr:uid="{00000000-0005-0000-0000-0000F8140000}"/>
    <cellStyle name="Comma 2 4 2 9" xfId="487" xr:uid="{00000000-0005-0000-0000-0000F9140000}"/>
    <cellStyle name="Comma 2 4 3" xfId="489" xr:uid="{00000000-0005-0000-0000-0000FA140000}"/>
    <cellStyle name="Comma 2 4 3 2" xfId="4785" xr:uid="{00000000-0005-0000-0000-0000FB140000}"/>
    <cellStyle name="Comma 2 4 3 2 2" xfId="7446" xr:uid="{00000000-0005-0000-0000-0000FC140000}"/>
    <cellStyle name="Comma 2 4 3 2 2 2" xfId="10145" xr:uid="{00000000-0005-0000-0000-0000FD140000}"/>
    <cellStyle name="Comma 2 4 3 2 3" xfId="8805" xr:uid="{00000000-0005-0000-0000-0000FE140000}"/>
    <cellStyle name="Comma 2 4 3 3" xfId="4786" xr:uid="{00000000-0005-0000-0000-0000FF140000}"/>
    <cellStyle name="Comma 2 4 3 3 2" xfId="7447" xr:uid="{00000000-0005-0000-0000-000000150000}"/>
    <cellStyle name="Comma 2 4 3 3 2 2" xfId="10146" xr:uid="{00000000-0005-0000-0000-000001150000}"/>
    <cellStyle name="Comma 2 4 3 3 3" xfId="8806" xr:uid="{00000000-0005-0000-0000-000002150000}"/>
    <cellStyle name="Comma 2 4 3 4" xfId="4784" xr:uid="{00000000-0005-0000-0000-000003150000}"/>
    <cellStyle name="Comma 2 4 3 4 2" xfId="7445" xr:uid="{00000000-0005-0000-0000-000004150000}"/>
    <cellStyle name="Comma 2 4 3 4 2 2" xfId="10144" xr:uid="{00000000-0005-0000-0000-000005150000}"/>
    <cellStyle name="Comma 2 4 3 4 3" xfId="8804" xr:uid="{00000000-0005-0000-0000-000006150000}"/>
    <cellStyle name="Comma 2 4 4" xfId="486" xr:uid="{00000000-0005-0000-0000-000007150000}"/>
    <cellStyle name="Comma 2 4 4 2" xfId="1183" xr:uid="{00000000-0005-0000-0000-000008150000}"/>
    <cellStyle name="Comma 2 4 4 2 2" xfId="4788" xr:uid="{00000000-0005-0000-0000-000009150000}"/>
    <cellStyle name="Comma 2 4 4 2 3" xfId="6901" xr:uid="{00000000-0005-0000-0000-00000A150000}"/>
    <cellStyle name="Comma 2 4 4 2 3 2" xfId="9608" xr:uid="{00000000-0005-0000-0000-00000B150000}"/>
    <cellStyle name="Comma 2 4 4 2 4" xfId="8269" xr:uid="{00000000-0005-0000-0000-00000C150000}"/>
    <cellStyle name="Comma 2 4 4 3" xfId="4787" xr:uid="{00000000-0005-0000-0000-00000D150000}"/>
    <cellStyle name="Comma 2 4 4 3 2" xfId="7448" xr:uid="{00000000-0005-0000-0000-00000E150000}"/>
    <cellStyle name="Comma 2 4 4 3 2 2" xfId="10147" xr:uid="{00000000-0005-0000-0000-00000F150000}"/>
    <cellStyle name="Comma 2 4 4 3 3" xfId="8807" xr:uid="{00000000-0005-0000-0000-000010150000}"/>
    <cellStyle name="Comma 2 4 4 4" xfId="6477" xr:uid="{00000000-0005-0000-0000-000011150000}"/>
    <cellStyle name="Comma 2 4 4 4 2" xfId="9194" xr:uid="{00000000-0005-0000-0000-000012150000}"/>
    <cellStyle name="Comma 2 4 4 5" xfId="7855" xr:uid="{00000000-0005-0000-0000-000013150000}"/>
    <cellStyle name="Comma 2 4 5" xfId="907" xr:uid="{00000000-0005-0000-0000-000014150000}"/>
    <cellStyle name="Comma 2 4 5 2" xfId="1308" xr:uid="{00000000-0005-0000-0000-000015150000}"/>
    <cellStyle name="Comma 2 4 5 3" xfId="6640" xr:uid="{00000000-0005-0000-0000-000016150000}"/>
    <cellStyle name="Comma 2 4 5 3 2" xfId="9347" xr:uid="{00000000-0005-0000-0000-000017150000}"/>
    <cellStyle name="Comma 2 4 5 4" xfId="8008" xr:uid="{00000000-0005-0000-0000-000018150000}"/>
    <cellStyle name="Comma 2 4 6" xfId="1015" xr:uid="{00000000-0005-0000-0000-000019150000}"/>
    <cellStyle name="Comma 2 4 6 2" xfId="4789" xr:uid="{00000000-0005-0000-0000-00001A150000}"/>
    <cellStyle name="Comma 2 4 6 2 2" xfId="7449" xr:uid="{00000000-0005-0000-0000-00001B150000}"/>
    <cellStyle name="Comma 2 4 6 2 2 2" xfId="10148" xr:uid="{00000000-0005-0000-0000-00001C150000}"/>
    <cellStyle name="Comma 2 4 6 2 3" xfId="8808" xr:uid="{00000000-0005-0000-0000-00001D150000}"/>
    <cellStyle name="Comma 2 4 6 3" xfId="6746" xr:uid="{00000000-0005-0000-0000-00001E150000}"/>
    <cellStyle name="Comma 2 4 6 3 2" xfId="9453" xr:uid="{00000000-0005-0000-0000-00001F150000}"/>
    <cellStyle name="Comma 2 4 6 4" xfId="8114" xr:uid="{00000000-0005-0000-0000-000020150000}"/>
    <cellStyle name="Comma 2 4 7" xfId="269" xr:uid="{00000000-0005-0000-0000-000021150000}"/>
    <cellStyle name="Comma 2 4 7 2" xfId="6420" xr:uid="{00000000-0005-0000-0000-000022150000}"/>
    <cellStyle name="Comma 2 4 7 2 2" xfId="9139" xr:uid="{00000000-0005-0000-0000-000023150000}"/>
    <cellStyle name="Comma 2 4 7 3" xfId="7800" xr:uid="{00000000-0005-0000-0000-000024150000}"/>
    <cellStyle name="Comma 2 4 8" xfId="130" xr:uid="{00000000-0005-0000-0000-000025150000}"/>
    <cellStyle name="Comma 2 4 9" xfId="70" xr:uid="{00000000-0005-0000-0000-000026150000}"/>
    <cellStyle name="Comma 2 5" xfId="490" xr:uid="{00000000-0005-0000-0000-000027150000}"/>
    <cellStyle name="Comma 2 5 2" xfId="909" xr:uid="{00000000-0005-0000-0000-000028150000}"/>
    <cellStyle name="Comma 2 5 2 2" xfId="1185" xr:uid="{00000000-0005-0000-0000-000029150000}"/>
    <cellStyle name="Comma 2 5 2 2 2" xfId="4791" xr:uid="{00000000-0005-0000-0000-00002A150000}"/>
    <cellStyle name="Comma 2 5 2 2 2 2" xfId="7451" xr:uid="{00000000-0005-0000-0000-00002B150000}"/>
    <cellStyle name="Comma 2 5 2 2 2 2 2" xfId="10150" xr:uid="{00000000-0005-0000-0000-00002C150000}"/>
    <cellStyle name="Comma 2 5 2 2 2 3" xfId="8810" xr:uid="{00000000-0005-0000-0000-00002D150000}"/>
    <cellStyle name="Comma 2 5 2 2 3" xfId="4792" xr:uid="{00000000-0005-0000-0000-00002E150000}"/>
    <cellStyle name="Comma 2 5 2 2 3 2" xfId="7452" xr:uid="{00000000-0005-0000-0000-00002F150000}"/>
    <cellStyle name="Comma 2 5 2 2 3 2 2" xfId="10151" xr:uid="{00000000-0005-0000-0000-000030150000}"/>
    <cellStyle name="Comma 2 5 2 2 3 3" xfId="8811" xr:uid="{00000000-0005-0000-0000-000031150000}"/>
    <cellStyle name="Comma 2 5 2 2 4" xfId="4790" xr:uid="{00000000-0005-0000-0000-000032150000}"/>
    <cellStyle name="Comma 2 5 2 2 4 2" xfId="7450" xr:uid="{00000000-0005-0000-0000-000033150000}"/>
    <cellStyle name="Comma 2 5 2 2 4 2 2" xfId="10149" xr:uid="{00000000-0005-0000-0000-000034150000}"/>
    <cellStyle name="Comma 2 5 2 2 4 3" xfId="8809" xr:uid="{00000000-0005-0000-0000-000035150000}"/>
    <cellStyle name="Comma 2 5 2 2 5" xfId="6903" xr:uid="{00000000-0005-0000-0000-000036150000}"/>
    <cellStyle name="Comma 2 5 2 2 5 2" xfId="9610" xr:uid="{00000000-0005-0000-0000-000037150000}"/>
    <cellStyle name="Comma 2 5 2 2 6" xfId="8271" xr:uid="{00000000-0005-0000-0000-000038150000}"/>
    <cellStyle name="Comma 2 5 2 3" xfId="6642" xr:uid="{00000000-0005-0000-0000-000039150000}"/>
    <cellStyle name="Comma 2 5 2 3 2" xfId="9349" xr:uid="{00000000-0005-0000-0000-00003A150000}"/>
    <cellStyle name="Comma 2 5 2 4" xfId="8010" xr:uid="{00000000-0005-0000-0000-00003B150000}"/>
    <cellStyle name="Comma 2 5 3" xfId="1079" xr:uid="{00000000-0005-0000-0000-00003C150000}"/>
    <cellStyle name="Comma 2 5 3 2" xfId="4794" xr:uid="{00000000-0005-0000-0000-00003D150000}"/>
    <cellStyle name="Comma 2 5 3 2 2" xfId="7454" xr:uid="{00000000-0005-0000-0000-00003E150000}"/>
    <cellStyle name="Comma 2 5 3 2 2 2" xfId="10153" xr:uid="{00000000-0005-0000-0000-00003F150000}"/>
    <cellStyle name="Comma 2 5 3 2 3" xfId="8813" xr:uid="{00000000-0005-0000-0000-000040150000}"/>
    <cellStyle name="Comma 2 5 3 3" xfId="4795" xr:uid="{00000000-0005-0000-0000-000041150000}"/>
    <cellStyle name="Comma 2 5 3 3 2" xfId="7455" xr:uid="{00000000-0005-0000-0000-000042150000}"/>
    <cellStyle name="Comma 2 5 3 3 2 2" xfId="10154" xr:uid="{00000000-0005-0000-0000-000043150000}"/>
    <cellStyle name="Comma 2 5 3 3 3" xfId="8814" xr:uid="{00000000-0005-0000-0000-000044150000}"/>
    <cellStyle name="Comma 2 5 3 4" xfId="4793" xr:uid="{00000000-0005-0000-0000-000045150000}"/>
    <cellStyle name="Comma 2 5 3 4 2" xfId="7453" xr:uid="{00000000-0005-0000-0000-000046150000}"/>
    <cellStyle name="Comma 2 5 3 4 2 2" xfId="10152" xr:uid="{00000000-0005-0000-0000-000047150000}"/>
    <cellStyle name="Comma 2 5 3 4 3" xfId="8812" xr:uid="{00000000-0005-0000-0000-000048150000}"/>
    <cellStyle name="Comma 2 5 3 5" xfId="6810" xr:uid="{00000000-0005-0000-0000-000049150000}"/>
    <cellStyle name="Comma 2 5 3 5 2" xfId="9517" xr:uid="{00000000-0005-0000-0000-00004A150000}"/>
    <cellStyle name="Comma 2 5 3 6" xfId="8178" xr:uid="{00000000-0005-0000-0000-00004B150000}"/>
    <cellStyle name="Comma 2 5 4" xfId="4796" xr:uid="{00000000-0005-0000-0000-00004C150000}"/>
    <cellStyle name="Comma 2 5 4 2" xfId="7456" xr:uid="{00000000-0005-0000-0000-00004D150000}"/>
    <cellStyle name="Comma 2 5 4 2 2" xfId="10155" xr:uid="{00000000-0005-0000-0000-00004E150000}"/>
    <cellStyle name="Comma 2 5 4 3" xfId="8815" xr:uid="{00000000-0005-0000-0000-00004F150000}"/>
    <cellStyle name="Comma 2 5 5" xfId="6479" xr:uid="{00000000-0005-0000-0000-000050150000}"/>
    <cellStyle name="Comma 2 5 5 2" xfId="9196" xr:uid="{00000000-0005-0000-0000-000051150000}"/>
    <cellStyle name="Comma 2 5 6" xfId="7857" xr:uid="{00000000-0005-0000-0000-000052150000}"/>
    <cellStyle name="Comma 2 5 6 2" xfId="10443" xr:uid="{00000000-0005-0000-0000-000053150000}"/>
    <cellStyle name="Comma 2 5 7" xfId="10438" xr:uid="{00000000-0005-0000-0000-000054150000}"/>
    <cellStyle name="Comma 2 6" xfId="491" xr:uid="{00000000-0005-0000-0000-000055150000}"/>
    <cellStyle name="Comma 2 6 18" xfId="10488" xr:uid="{00000000-0005-0000-0000-000056150000}"/>
    <cellStyle name="Comma 2 6 2" xfId="492" xr:uid="{00000000-0005-0000-0000-000057150000}"/>
    <cellStyle name="Comma 2 6 2 2" xfId="911" xr:uid="{00000000-0005-0000-0000-000058150000}"/>
    <cellStyle name="Comma 2 6 2 2 2" xfId="1187" xr:uid="{00000000-0005-0000-0000-000059150000}"/>
    <cellStyle name="Comma 2 6 2 2 2 2" xfId="4798" xr:uid="{00000000-0005-0000-0000-00005A150000}"/>
    <cellStyle name="Comma 2 6 2 2 2 2 2" xfId="7458" xr:uid="{00000000-0005-0000-0000-00005B150000}"/>
    <cellStyle name="Comma 2 6 2 2 2 2 2 2" xfId="10157" xr:uid="{00000000-0005-0000-0000-00005C150000}"/>
    <cellStyle name="Comma 2 6 2 2 2 2 3" xfId="8817" xr:uid="{00000000-0005-0000-0000-00005D150000}"/>
    <cellStyle name="Comma 2 6 2 2 2 3" xfId="6905" xr:uid="{00000000-0005-0000-0000-00005E150000}"/>
    <cellStyle name="Comma 2 6 2 2 2 3 2" xfId="9612" xr:uid="{00000000-0005-0000-0000-00005F150000}"/>
    <cellStyle name="Comma 2 6 2 2 2 4" xfId="8273" xr:uid="{00000000-0005-0000-0000-000060150000}"/>
    <cellStyle name="Comma 2 6 2 2 3" xfId="4799" xr:uid="{00000000-0005-0000-0000-000061150000}"/>
    <cellStyle name="Comma 2 6 2 2 3 2" xfId="7459" xr:uid="{00000000-0005-0000-0000-000062150000}"/>
    <cellStyle name="Comma 2 6 2 2 3 2 2" xfId="10158" xr:uid="{00000000-0005-0000-0000-000063150000}"/>
    <cellStyle name="Comma 2 6 2 2 3 3" xfId="8818" xr:uid="{00000000-0005-0000-0000-000064150000}"/>
    <cellStyle name="Comma 2 6 2 2 4" xfId="4797" xr:uid="{00000000-0005-0000-0000-000065150000}"/>
    <cellStyle name="Comma 2 6 2 2 4 2" xfId="7457" xr:uid="{00000000-0005-0000-0000-000066150000}"/>
    <cellStyle name="Comma 2 6 2 2 4 2 2" xfId="10156" xr:uid="{00000000-0005-0000-0000-000067150000}"/>
    <cellStyle name="Comma 2 6 2 2 4 3" xfId="8816" xr:uid="{00000000-0005-0000-0000-000068150000}"/>
    <cellStyle name="Comma 2 6 2 2 5" xfId="6644" xr:uid="{00000000-0005-0000-0000-000069150000}"/>
    <cellStyle name="Comma 2 6 2 2 5 2" xfId="9351" xr:uid="{00000000-0005-0000-0000-00006A150000}"/>
    <cellStyle name="Comma 2 6 2 2 6" xfId="8012" xr:uid="{00000000-0005-0000-0000-00006B150000}"/>
    <cellStyle name="Comma 2 6 2 3" xfId="1081" xr:uid="{00000000-0005-0000-0000-00006C150000}"/>
    <cellStyle name="Comma 2 6 2 3 2" xfId="6812" xr:uid="{00000000-0005-0000-0000-00006D150000}"/>
    <cellStyle name="Comma 2 6 2 3 2 2" xfId="9519" xr:uid="{00000000-0005-0000-0000-00006E150000}"/>
    <cellStyle name="Comma 2 6 2 3 3" xfId="8180" xr:uid="{00000000-0005-0000-0000-00006F150000}"/>
    <cellStyle name="Comma 2 6 2 4" xfId="6481" xr:uid="{00000000-0005-0000-0000-000070150000}"/>
    <cellStyle name="Comma 2 6 2 4 2" xfId="9198" xr:uid="{00000000-0005-0000-0000-000071150000}"/>
    <cellStyle name="Comma 2 6 2 5" xfId="7859" xr:uid="{00000000-0005-0000-0000-000072150000}"/>
    <cellStyle name="Comma 2 6 3" xfId="910" xr:uid="{00000000-0005-0000-0000-000073150000}"/>
    <cellStyle name="Comma 2 6 3 2" xfId="1186" xr:uid="{00000000-0005-0000-0000-000074150000}"/>
    <cellStyle name="Comma 2 6 3 2 2" xfId="4801" xr:uid="{00000000-0005-0000-0000-000075150000}"/>
    <cellStyle name="Comma 2 6 3 2 2 2" xfId="7461" xr:uid="{00000000-0005-0000-0000-000076150000}"/>
    <cellStyle name="Comma 2 6 3 2 2 2 2" xfId="10160" xr:uid="{00000000-0005-0000-0000-000077150000}"/>
    <cellStyle name="Comma 2 6 3 2 2 3" xfId="8820" xr:uid="{00000000-0005-0000-0000-000078150000}"/>
    <cellStyle name="Comma 2 6 3 2 3" xfId="6904" xr:uid="{00000000-0005-0000-0000-000079150000}"/>
    <cellStyle name="Comma 2 6 3 2 3 2" xfId="9611" xr:uid="{00000000-0005-0000-0000-00007A150000}"/>
    <cellStyle name="Comma 2 6 3 2 4" xfId="8272" xr:uid="{00000000-0005-0000-0000-00007B150000}"/>
    <cellStyle name="Comma 2 6 3 3" xfId="4802" xr:uid="{00000000-0005-0000-0000-00007C150000}"/>
    <cellStyle name="Comma 2 6 3 3 2" xfId="7462" xr:uid="{00000000-0005-0000-0000-00007D150000}"/>
    <cellStyle name="Comma 2 6 3 3 2 2" xfId="10161" xr:uid="{00000000-0005-0000-0000-00007E150000}"/>
    <cellStyle name="Comma 2 6 3 3 3" xfId="8821" xr:uid="{00000000-0005-0000-0000-00007F150000}"/>
    <cellStyle name="Comma 2 6 3 4" xfId="4800" xr:uid="{00000000-0005-0000-0000-000080150000}"/>
    <cellStyle name="Comma 2 6 3 4 2" xfId="7460" xr:uid="{00000000-0005-0000-0000-000081150000}"/>
    <cellStyle name="Comma 2 6 3 4 2 2" xfId="10159" xr:uid="{00000000-0005-0000-0000-000082150000}"/>
    <cellStyle name="Comma 2 6 3 4 3" xfId="8819" xr:uid="{00000000-0005-0000-0000-000083150000}"/>
    <cellStyle name="Comma 2 6 3 5" xfId="6643" xr:uid="{00000000-0005-0000-0000-000084150000}"/>
    <cellStyle name="Comma 2 6 3 5 2" xfId="9350" xr:uid="{00000000-0005-0000-0000-000085150000}"/>
    <cellStyle name="Comma 2 6 3 6" xfId="8011" xr:uid="{00000000-0005-0000-0000-000086150000}"/>
    <cellStyle name="Comma 2 6 4" xfId="1080" xr:uid="{00000000-0005-0000-0000-000087150000}"/>
    <cellStyle name="Comma 2 6 4 2" xfId="4803" xr:uid="{00000000-0005-0000-0000-000088150000}"/>
    <cellStyle name="Comma 2 6 4 2 2" xfId="7463" xr:uid="{00000000-0005-0000-0000-000089150000}"/>
    <cellStyle name="Comma 2 6 4 2 2 2" xfId="10162" xr:uid="{00000000-0005-0000-0000-00008A150000}"/>
    <cellStyle name="Comma 2 6 4 2 3" xfId="8822" xr:uid="{00000000-0005-0000-0000-00008B150000}"/>
    <cellStyle name="Comma 2 6 4 3" xfId="6811" xr:uid="{00000000-0005-0000-0000-00008C150000}"/>
    <cellStyle name="Comma 2 6 4 3 2" xfId="9518" xr:uid="{00000000-0005-0000-0000-00008D150000}"/>
    <cellStyle name="Comma 2 6 4 4" xfId="8179" xr:uid="{00000000-0005-0000-0000-00008E150000}"/>
    <cellStyle name="Comma 2 6 5" xfId="6480" xr:uid="{00000000-0005-0000-0000-00008F150000}"/>
    <cellStyle name="Comma 2 6 5 2" xfId="9197" xr:uid="{00000000-0005-0000-0000-000090150000}"/>
    <cellStyle name="Comma 2 6 6" xfId="7858" xr:uid="{00000000-0005-0000-0000-000091150000}"/>
    <cellStyle name="Comma 2 6 7" xfId="51" xr:uid="{00000000-0005-0000-0000-000092150000}"/>
    <cellStyle name="Comma 2 6 7 7" xfId="10603" xr:uid="{00000000-0005-0000-0000-000093150000}"/>
    <cellStyle name="Comma 2 66 2 2 2" xfId="10522" xr:uid="{00000000-0005-0000-0000-000094150000}"/>
    <cellStyle name="Comma 2 66 2 2 2 2" xfId="10549" xr:uid="{00000000-0005-0000-0000-000095150000}"/>
    <cellStyle name="Comma 2 7" xfId="493" xr:uid="{00000000-0005-0000-0000-000096150000}"/>
    <cellStyle name="Comma 2 7 2" xfId="4804" xr:uid="{00000000-0005-0000-0000-000097150000}"/>
    <cellStyle name="Comma 2 7 2 2" xfId="4805" xr:uid="{00000000-0005-0000-0000-000098150000}"/>
    <cellStyle name="Comma 2 7 2 2 2" xfId="4806" xr:uid="{00000000-0005-0000-0000-000099150000}"/>
    <cellStyle name="Comma 2 7 2 2 2 2" xfId="7466" xr:uid="{00000000-0005-0000-0000-00009A150000}"/>
    <cellStyle name="Comma 2 7 2 2 2 2 2" xfId="10165" xr:uid="{00000000-0005-0000-0000-00009B150000}"/>
    <cellStyle name="Comma 2 7 2 2 2 3" xfId="8825" xr:uid="{00000000-0005-0000-0000-00009C150000}"/>
    <cellStyle name="Comma 2 7 2 2 3" xfId="4807" xr:uid="{00000000-0005-0000-0000-00009D150000}"/>
    <cellStyle name="Comma 2 7 2 2 3 2" xfId="7467" xr:uid="{00000000-0005-0000-0000-00009E150000}"/>
    <cellStyle name="Comma 2 7 2 2 3 2 2" xfId="10166" xr:uid="{00000000-0005-0000-0000-00009F150000}"/>
    <cellStyle name="Comma 2 7 2 2 3 3" xfId="8826" xr:uid="{00000000-0005-0000-0000-0000A0150000}"/>
    <cellStyle name="Comma 2 7 2 2 4" xfId="7465" xr:uid="{00000000-0005-0000-0000-0000A1150000}"/>
    <cellStyle name="Comma 2 7 2 2 4 2" xfId="10164" xr:uid="{00000000-0005-0000-0000-0000A2150000}"/>
    <cellStyle name="Comma 2 7 2 2 5" xfId="8824" xr:uid="{00000000-0005-0000-0000-0000A3150000}"/>
    <cellStyle name="Comma 2 7 2 3" xfId="7464" xr:uid="{00000000-0005-0000-0000-0000A4150000}"/>
    <cellStyle name="Comma 2 7 2 3 2" xfId="10163" xr:uid="{00000000-0005-0000-0000-0000A5150000}"/>
    <cellStyle name="Comma 2 7 2 4" xfId="8823" xr:uid="{00000000-0005-0000-0000-0000A6150000}"/>
    <cellStyle name="Comma 2 7 3" xfId="4808" xr:uid="{00000000-0005-0000-0000-0000A7150000}"/>
    <cellStyle name="Comma 2 7 3 2" xfId="4809" xr:uid="{00000000-0005-0000-0000-0000A8150000}"/>
    <cellStyle name="Comma 2 7 3 2 2" xfId="7469" xr:uid="{00000000-0005-0000-0000-0000A9150000}"/>
    <cellStyle name="Comma 2 7 3 2 2 2" xfId="10168" xr:uid="{00000000-0005-0000-0000-0000AA150000}"/>
    <cellStyle name="Comma 2 7 3 2 3" xfId="8828" xr:uid="{00000000-0005-0000-0000-0000AB150000}"/>
    <cellStyle name="Comma 2 7 3 3" xfId="4810" xr:uid="{00000000-0005-0000-0000-0000AC150000}"/>
    <cellStyle name="Comma 2 7 3 3 2" xfId="7470" xr:uid="{00000000-0005-0000-0000-0000AD150000}"/>
    <cellStyle name="Comma 2 7 3 3 2 2" xfId="10169" xr:uid="{00000000-0005-0000-0000-0000AE150000}"/>
    <cellStyle name="Comma 2 7 3 3 3" xfId="8829" xr:uid="{00000000-0005-0000-0000-0000AF150000}"/>
    <cellStyle name="Comma 2 7 3 4" xfId="7468" xr:uid="{00000000-0005-0000-0000-0000B0150000}"/>
    <cellStyle name="Comma 2 7 3 4 2" xfId="10167" xr:uid="{00000000-0005-0000-0000-0000B1150000}"/>
    <cellStyle name="Comma 2 7 3 5" xfId="8827" xr:uid="{00000000-0005-0000-0000-0000B2150000}"/>
    <cellStyle name="Comma 2 7 4" xfId="4811" xr:uid="{00000000-0005-0000-0000-0000B3150000}"/>
    <cellStyle name="Comma 2 7 4 2" xfId="7471" xr:uid="{00000000-0005-0000-0000-0000B4150000}"/>
    <cellStyle name="Comma 2 7 4 2 2" xfId="10170" xr:uid="{00000000-0005-0000-0000-0000B5150000}"/>
    <cellStyle name="Comma 2 7 4 3" xfId="8830" xr:uid="{00000000-0005-0000-0000-0000B6150000}"/>
    <cellStyle name="Comma 2 8" xfId="494" xr:uid="{00000000-0005-0000-0000-0000B7150000}"/>
    <cellStyle name="Comma 2 8 2" xfId="4812" xr:uid="{00000000-0005-0000-0000-0000B8150000}"/>
    <cellStyle name="Comma 2 8 2 2" xfId="4813" xr:uid="{00000000-0005-0000-0000-0000B9150000}"/>
    <cellStyle name="Comma 2 8 2 2 2" xfId="4814" xr:uid="{00000000-0005-0000-0000-0000BA150000}"/>
    <cellStyle name="Comma 2 8 2 2 2 2" xfId="7474" xr:uid="{00000000-0005-0000-0000-0000BB150000}"/>
    <cellStyle name="Comma 2 8 2 2 2 2 2" xfId="10173" xr:uid="{00000000-0005-0000-0000-0000BC150000}"/>
    <cellStyle name="Comma 2 8 2 2 2 3" xfId="8833" xr:uid="{00000000-0005-0000-0000-0000BD150000}"/>
    <cellStyle name="Comma 2 8 2 2 3" xfId="4815" xr:uid="{00000000-0005-0000-0000-0000BE150000}"/>
    <cellStyle name="Comma 2 8 2 2 3 2" xfId="7475" xr:uid="{00000000-0005-0000-0000-0000BF150000}"/>
    <cellStyle name="Comma 2 8 2 2 3 2 2" xfId="10174" xr:uid="{00000000-0005-0000-0000-0000C0150000}"/>
    <cellStyle name="Comma 2 8 2 2 3 3" xfId="8834" xr:uid="{00000000-0005-0000-0000-0000C1150000}"/>
    <cellStyle name="Comma 2 8 2 2 4" xfId="7473" xr:uid="{00000000-0005-0000-0000-0000C2150000}"/>
    <cellStyle name="Comma 2 8 2 2 4 2" xfId="10172" xr:uid="{00000000-0005-0000-0000-0000C3150000}"/>
    <cellStyle name="Comma 2 8 2 2 5" xfId="8832" xr:uid="{00000000-0005-0000-0000-0000C4150000}"/>
    <cellStyle name="Comma 2 8 2 3" xfId="7472" xr:uid="{00000000-0005-0000-0000-0000C5150000}"/>
    <cellStyle name="Comma 2 8 2 3 2" xfId="10171" xr:uid="{00000000-0005-0000-0000-0000C6150000}"/>
    <cellStyle name="Comma 2 8 2 4" xfId="8831" xr:uid="{00000000-0005-0000-0000-0000C7150000}"/>
    <cellStyle name="Comma 2 8 3" xfId="4816" xr:uid="{00000000-0005-0000-0000-0000C8150000}"/>
    <cellStyle name="Comma 2 8 3 2" xfId="4817" xr:uid="{00000000-0005-0000-0000-0000C9150000}"/>
    <cellStyle name="Comma 2 8 3 2 2" xfId="7477" xr:uid="{00000000-0005-0000-0000-0000CA150000}"/>
    <cellStyle name="Comma 2 8 3 2 2 2" xfId="10176" xr:uid="{00000000-0005-0000-0000-0000CB150000}"/>
    <cellStyle name="Comma 2 8 3 2 3" xfId="8836" xr:uid="{00000000-0005-0000-0000-0000CC150000}"/>
    <cellStyle name="Comma 2 8 3 3" xfId="4818" xr:uid="{00000000-0005-0000-0000-0000CD150000}"/>
    <cellStyle name="Comma 2 8 3 3 2" xfId="7478" xr:uid="{00000000-0005-0000-0000-0000CE150000}"/>
    <cellStyle name="Comma 2 8 3 3 2 2" xfId="10177" xr:uid="{00000000-0005-0000-0000-0000CF150000}"/>
    <cellStyle name="Comma 2 8 3 3 3" xfId="8837" xr:uid="{00000000-0005-0000-0000-0000D0150000}"/>
    <cellStyle name="Comma 2 8 3 4" xfId="7476" xr:uid="{00000000-0005-0000-0000-0000D1150000}"/>
    <cellStyle name="Comma 2 8 3 4 2" xfId="10175" xr:uid="{00000000-0005-0000-0000-0000D2150000}"/>
    <cellStyle name="Comma 2 8 3 5" xfId="8835" xr:uid="{00000000-0005-0000-0000-0000D3150000}"/>
    <cellStyle name="Comma 2 8 4" xfId="4819" xr:uid="{00000000-0005-0000-0000-0000D4150000}"/>
    <cellStyle name="Comma 2 8 4 2" xfId="7479" xr:uid="{00000000-0005-0000-0000-0000D5150000}"/>
    <cellStyle name="Comma 2 8 4 2 2" xfId="10178" xr:uid="{00000000-0005-0000-0000-0000D6150000}"/>
    <cellStyle name="Comma 2 8 4 3" xfId="8838" xr:uid="{00000000-0005-0000-0000-0000D7150000}"/>
    <cellStyle name="Comma 2 9" xfId="495" xr:uid="{00000000-0005-0000-0000-0000D8150000}"/>
    <cellStyle name="Comma 2 9 2" xfId="4820" xr:uid="{00000000-0005-0000-0000-0000D9150000}"/>
    <cellStyle name="Comma 2 9 2 2" xfId="4821" xr:uid="{00000000-0005-0000-0000-0000DA150000}"/>
    <cellStyle name="Comma 2 9 2 2 2" xfId="4822" xr:uid="{00000000-0005-0000-0000-0000DB150000}"/>
    <cellStyle name="Comma 2 9 2 2 2 2" xfId="7482" xr:uid="{00000000-0005-0000-0000-0000DC150000}"/>
    <cellStyle name="Comma 2 9 2 2 2 2 2" xfId="10181" xr:uid="{00000000-0005-0000-0000-0000DD150000}"/>
    <cellStyle name="Comma 2 9 2 2 2 3" xfId="8841" xr:uid="{00000000-0005-0000-0000-0000DE150000}"/>
    <cellStyle name="Comma 2 9 2 2 3" xfId="4823" xr:uid="{00000000-0005-0000-0000-0000DF150000}"/>
    <cellStyle name="Comma 2 9 2 2 3 2" xfId="7483" xr:uid="{00000000-0005-0000-0000-0000E0150000}"/>
    <cellStyle name="Comma 2 9 2 2 3 2 2" xfId="10182" xr:uid="{00000000-0005-0000-0000-0000E1150000}"/>
    <cellStyle name="Comma 2 9 2 2 3 3" xfId="8842" xr:uid="{00000000-0005-0000-0000-0000E2150000}"/>
    <cellStyle name="Comma 2 9 2 2 4" xfId="7481" xr:uid="{00000000-0005-0000-0000-0000E3150000}"/>
    <cellStyle name="Comma 2 9 2 2 4 2" xfId="10180" xr:uid="{00000000-0005-0000-0000-0000E4150000}"/>
    <cellStyle name="Comma 2 9 2 2 5" xfId="8840" xr:uid="{00000000-0005-0000-0000-0000E5150000}"/>
    <cellStyle name="Comma 2 9 2 3" xfId="4824" xr:uid="{00000000-0005-0000-0000-0000E6150000}"/>
    <cellStyle name="Comma 2 9 2 3 2" xfId="7484" xr:uid="{00000000-0005-0000-0000-0000E7150000}"/>
    <cellStyle name="Comma 2 9 2 3 2 2" xfId="10183" xr:uid="{00000000-0005-0000-0000-0000E8150000}"/>
    <cellStyle name="Comma 2 9 2 3 3" xfId="8843" xr:uid="{00000000-0005-0000-0000-0000E9150000}"/>
    <cellStyle name="Comma 2 9 2 4" xfId="7480" xr:uid="{00000000-0005-0000-0000-0000EA150000}"/>
    <cellStyle name="Comma 2 9 2 4 2" xfId="10179" xr:uid="{00000000-0005-0000-0000-0000EB150000}"/>
    <cellStyle name="Comma 2 9 2 5" xfId="8839" xr:uid="{00000000-0005-0000-0000-0000EC150000}"/>
    <cellStyle name="Comma 2 9 3" xfId="4825" xr:uid="{00000000-0005-0000-0000-0000ED150000}"/>
    <cellStyle name="Comma 2 9 3 2" xfId="4826" xr:uid="{00000000-0005-0000-0000-0000EE150000}"/>
    <cellStyle name="Comma 2 9 3 2 2" xfId="4827" xr:uid="{00000000-0005-0000-0000-0000EF150000}"/>
    <cellStyle name="Comma 2 9 3 2 2 2" xfId="7487" xr:uid="{00000000-0005-0000-0000-0000F0150000}"/>
    <cellStyle name="Comma 2 9 3 2 2 2 2" xfId="10186" xr:uid="{00000000-0005-0000-0000-0000F1150000}"/>
    <cellStyle name="Comma 2 9 3 2 2 3" xfId="8846" xr:uid="{00000000-0005-0000-0000-0000F2150000}"/>
    <cellStyle name="Comma 2 9 3 2 3" xfId="4828" xr:uid="{00000000-0005-0000-0000-0000F3150000}"/>
    <cellStyle name="Comma 2 9 3 2 3 2" xfId="7488" xr:uid="{00000000-0005-0000-0000-0000F4150000}"/>
    <cellStyle name="Comma 2 9 3 2 3 2 2" xfId="10187" xr:uid="{00000000-0005-0000-0000-0000F5150000}"/>
    <cellStyle name="Comma 2 9 3 2 3 3" xfId="8847" xr:uid="{00000000-0005-0000-0000-0000F6150000}"/>
    <cellStyle name="Comma 2 9 3 2 4" xfId="7486" xr:uid="{00000000-0005-0000-0000-0000F7150000}"/>
    <cellStyle name="Comma 2 9 3 2 4 2" xfId="10185" xr:uid="{00000000-0005-0000-0000-0000F8150000}"/>
    <cellStyle name="Comma 2 9 3 2 5" xfId="8845" xr:uid="{00000000-0005-0000-0000-0000F9150000}"/>
    <cellStyle name="Comma 2 9 3 3" xfId="7485" xr:uid="{00000000-0005-0000-0000-0000FA150000}"/>
    <cellStyle name="Comma 2 9 3 3 2" xfId="10184" xr:uid="{00000000-0005-0000-0000-0000FB150000}"/>
    <cellStyle name="Comma 2 9 3 4" xfId="8844" xr:uid="{00000000-0005-0000-0000-0000FC150000}"/>
    <cellStyle name="Comma 2 9 4" xfId="4829" xr:uid="{00000000-0005-0000-0000-0000FD150000}"/>
    <cellStyle name="Comma 2 9 4 2" xfId="4830" xr:uid="{00000000-0005-0000-0000-0000FE150000}"/>
    <cellStyle name="Comma 2 9 4 2 2" xfId="7490" xr:uid="{00000000-0005-0000-0000-0000FF150000}"/>
    <cellStyle name="Comma 2 9 4 2 2 2" xfId="10189" xr:uid="{00000000-0005-0000-0000-000000160000}"/>
    <cellStyle name="Comma 2 9 4 2 3" xfId="8849" xr:uid="{00000000-0005-0000-0000-000001160000}"/>
    <cellStyle name="Comma 2 9 4 3" xfId="4831" xr:uid="{00000000-0005-0000-0000-000002160000}"/>
    <cellStyle name="Comma 2 9 4 3 2" xfId="7491" xr:uid="{00000000-0005-0000-0000-000003160000}"/>
    <cellStyle name="Comma 2 9 4 3 2 2" xfId="10190" xr:uid="{00000000-0005-0000-0000-000004160000}"/>
    <cellStyle name="Comma 2 9 4 3 3" xfId="8850" xr:uid="{00000000-0005-0000-0000-000005160000}"/>
    <cellStyle name="Comma 2 9 4 4" xfId="7489" xr:uid="{00000000-0005-0000-0000-000006160000}"/>
    <cellStyle name="Comma 2 9 4 4 2" xfId="10188" xr:uid="{00000000-0005-0000-0000-000007160000}"/>
    <cellStyle name="Comma 2 9 4 5" xfId="8848" xr:uid="{00000000-0005-0000-0000-000008160000}"/>
    <cellStyle name="Comma 2 9 5" xfId="4832" xr:uid="{00000000-0005-0000-0000-000009160000}"/>
    <cellStyle name="Comma 2 9 5 2" xfId="7492" xr:uid="{00000000-0005-0000-0000-00000A160000}"/>
    <cellStyle name="Comma 2 9 5 2 2" xfId="10191" xr:uid="{00000000-0005-0000-0000-00000B160000}"/>
    <cellStyle name="Comma 2 9 5 3" xfId="8851" xr:uid="{00000000-0005-0000-0000-00000C160000}"/>
    <cellStyle name="Comma 2_Ball Room-RP-14.04.09" xfId="4833" xr:uid="{00000000-0005-0000-0000-00000D160000}"/>
    <cellStyle name="Comma 20" xfId="496" xr:uid="{00000000-0005-0000-0000-00000E160000}"/>
    <cellStyle name="Comma 20 2" xfId="4834" xr:uid="{00000000-0005-0000-0000-00000F160000}"/>
    <cellStyle name="Comma 20 2 2" xfId="7493" xr:uid="{00000000-0005-0000-0000-000010160000}"/>
    <cellStyle name="Comma 20 2 2 2" xfId="10192" xr:uid="{00000000-0005-0000-0000-000011160000}"/>
    <cellStyle name="Comma 20 2 3" xfId="8852" xr:uid="{00000000-0005-0000-0000-000012160000}"/>
    <cellStyle name="Comma 20 3" xfId="4835" xr:uid="{00000000-0005-0000-0000-000013160000}"/>
    <cellStyle name="Comma 20 3 2" xfId="7494" xr:uid="{00000000-0005-0000-0000-000014160000}"/>
    <cellStyle name="Comma 20 3 2 2" xfId="10193" xr:uid="{00000000-0005-0000-0000-000015160000}"/>
    <cellStyle name="Comma 20 3 3" xfId="8853" xr:uid="{00000000-0005-0000-0000-000016160000}"/>
    <cellStyle name="Comma 21" xfId="85" xr:uid="{00000000-0005-0000-0000-000017160000}"/>
    <cellStyle name="Comma 21 2" xfId="105" xr:uid="{00000000-0005-0000-0000-000018160000}"/>
    <cellStyle name="Comma 21 2 2" xfId="912" xr:uid="{00000000-0005-0000-0000-000019160000}"/>
    <cellStyle name="Comma 21 2 2 2" xfId="1188" xr:uid="{00000000-0005-0000-0000-00001A160000}"/>
    <cellStyle name="Comma 21 2 2 2 2" xfId="6906" xr:uid="{00000000-0005-0000-0000-00001B160000}"/>
    <cellStyle name="Comma 21 2 2 2 2 2" xfId="9613" xr:uid="{00000000-0005-0000-0000-00001C160000}"/>
    <cellStyle name="Comma 21 2 2 2 3" xfId="8274" xr:uid="{00000000-0005-0000-0000-00001D160000}"/>
    <cellStyle name="Comma 21 2 2 3" xfId="6645" xr:uid="{00000000-0005-0000-0000-00001E160000}"/>
    <cellStyle name="Comma 21 2 2 3 2" xfId="9352" xr:uid="{00000000-0005-0000-0000-00001F160000}"/>
    <cellStyle name="Comma 21 2 2 4" xfId="8013" xr:uid="{00000000-0005-0000-0000-000020160000}"/>
    <cellStyle name="Comma 21 2 3" xfId="1082" xr:uid="{00000000-0005-0000-0000-000021160000}"/>
    <cellStyle name="Comma 21 2 3 2" xfId="6813" xr:uid="{00000000-0005-0000-0000-000022160000}"/>
    <cellStyle name="Comma 21 2 3 2 2" xfId="9520" xr:uid="{00000000-0005-0000-0000-000023160000}"/>
    <cellStyle name="Comma 21 2 3 3" xfId="8181" xr:uid="{00000000-0005-0000-0000-000024160000}"/>
    <cellStyle name="Comma 21 2 4" xfId="6482" xr:uid="{00000000-0005-0000-0000-000025160000}"/>
    <cellStyle name="Comma 21 2 4 2" xfId="9199" xr:uid="{00000000-0005-0000-0000-000026160000}"/>
    <cellStyle name="Comma 21 2 5" xfId="7860" xr:uid="{00000000-0005-0000-0000-000027160000}"/>
    <cellStyle name="Comma 21 2 6" xfId="498" xr:uid="{00000000-0005-0000-0000-000028160000}"/>
    <cellStyle name="Comma 21 2 7" xfId="10446" xr:uid="{00000000-0005-0000-0000-000029160000}"/>
    <cellStyle name="Comma 21 3" xfId="497" xr:uid="{00000000-0005-0000-0000-00002A160000}"/>
    <cellStyle name="Comma 22" xfId="499" xr:uid="{00000000-0005-0000-0000-00002B160000}"/>
    <cellStyle name="Comma 22 2" xfId="20" xr:uid="{00000000-0005-0000-0000-00002C160000}"/>
    <cellStyle name="Comma 22 2 2" xfId="99" xr:uid="{00000000-0005-0000-0000-00002D160000}"/>
    <cellStyle name="Comma 22 2 3" xfId="25" xr:uid="{00000000-0005-0000-0000-00002E160000}"/>
    <cellStyle name="Comma 22 2 3 2" xfId="10462" xr:uid="{00000000-0005-0000-0000-00002F160000}"/>
    <cellStyle name="Comma 22 2 4" xfId="72" xr:uid="{00000000-0005-0000-0000-000030160000}"/>
    <cellStyle name="Comma 22 7" xfId="10495" xr:uid="{00000000-0005-0000-0000-000031160000}"/>
    <cellStyle name="Comma 22 7 2" xfId="10609" xr:uid="{00000000-0005-0000-0000-000032160000}"/>
    <cellStyle name="Comma 23" xfId="500" xr:uid="{00000000-0005-0000-0000-000033160000}"/>
    <cellStyle name="Comma 23 2" xfId="913" xr:uid="{00000000-0005-0000-0000-000034160000}"/>
    <cellStyle name="Comma 23 2 2" xfId="1189" xr:uid="{00000000-0005-0000-0000-000035160000}"/>
    <cellStyle name="Comma 23 2 2 2" xfId="6907" xr:uid="{00000000-0005-0000-0000-000036160000}"/>
    <cellStyle name="Comma 23 2 2 2 2" xfId="9614" xr:uid="{00000000-0005-0000-0000-000037160000}"/>
    <cellStyle name="Comma 23 2 2 3" xfId="8275" xr:uid="{00000000-0005-0000-0000-000038160000}"/>
    <cellStyle name="Comma 23 2 3" xfId="6646" xr:uid="{00000000-0005-0000-0000-000039160000}"/>
    <cellStyle name="Comma 23 2 3 2" xfId="9353" xr:uid="{00000000-0005-0000-0000-00003A160000}"/>
    <cellStyle name="Comma 23 2 4" xfId="8014" xr:uid="{00000000-0005-0000-0000-00003B160000}"/>
    <cellStyle name="Comma 23 3" xfId="1083" xr:uid="{00000000-0005-0000-0000-00003C160000}"/>
    <cellStyle name="Comma 23 3 2" xfId="6814" xr:uid="{00000000-0005-0000-0000-00003D160000}"/>
    <cellStyle name="Comma 23 3 2 2" xfId="9521" xr:uid="{00000000-0005-0000-0000-00003E160000}"/>
    <cellStyle name="Comma 23 3 3" xfId="8182" xr:uid="{00000000-0005-0000-0000-00003F160000}"/>
    <cellStyle name="Comma 23 4" xfId="6483" xr:uid="{00000000-0005-0000-0000-000040160000}"/>
    <cellStyle name="Comma 23 4 2" xfId="9200" xr:uid="{00000000-0005-0000-0000-000041160000}"/>
    <cellStyle name="Comma 23 5" xfId="7861" xr:uid="{00000000-0005-0000-0000-000042160000}"/>
    <cellStyle name="Comma 24" xfId="501" xr:uid="{00000000-0005-0000-0000-000043160000}"/>
    <cellStyle name="Comma 24 2" xfId="1084" xr:uid="{00000000-0005-0000-0000-000044160000}"/>
    <cellStyle name="Comma 25" xfId="502" xr:uid="{00000000-0005-0000-0000-000045160000}"/>
    <cellStyle name="Comma 25 2" xfId="503" xr:uid="{00000000-0005-0000-0000-000046160000}"/>
    <cellStyle name="Comma 25 2 2" xfId="915" xr:uid="{00000000-0005-0000-0000-000047160000}"/>
    <cellStyle name="Comma 25 2 2 2" xfId="1191" xr:uid="{00000000-0005-0000-0000-000048160000}"/>
    <cellStyle name="Comma 25 2 2 2 2" xfId="6909" xr:uid="{00000000-0005-0000-0000-000049160000}"/>
    <cellStyle name="Comma 25 2 2 2 2 2" xfId="9616" xr:uid="{00000000-0005-0000-0000-00004A160000}"/>
    <cellStyle name="Comma 25 2 2 2 3" xfId="8277" xr:uid="{00000000-0005-0000-0000-00004B160000}"/>
    <cellStyle name="Comma 25 2 2 3" xfId="6648" xr:uid="{00000000-0005-0000-0000-00004C160000}"/>
    <cellStyle name="Comma 25 2 2 3 2" xfId="9355" xr:uid="{00000000-0005-0000-0000-00004D160000}"/>
    <cellStyle name="Comma 25 2 2 4" xfId="8016" xr:uid="{00000000-0005-0000-0000-00004E160000}"/>
    <cellStyle name="Comma 25 2 3" xfId="1086" xr:uid="{00000000-0005-0000-0000-00004F160000}"/>
    <cellStyle name="Comma 25 2 3 2" xfId="6816" xr:uid="{00000000-0005-0000-0000-000050160000}"/>
    <cellStyle name="Comma 25 2 3 2 2" xfId="9523" xr:uid="{00000000-0005-0000-0000-000051160000}"/>
    <cellStyle name="Comma 25 2 3 3" xfId="8184" xr:uid="{00000000-0005-0000-0000-000052160000}"/>
    <cellStyle name="Comma 25 2 4" xfId="1475" xr:uid="{00000000-0005-0000-0000-000053160000}"/>
    <cellStyle name="Comma 25 2 4 2" xfId="7167" xr:uid="{00000000-0005-0000-0000-000054160000}"/>
    <cellStyle name="Comma 25 2 4 2 2" xfId="9870" xr:uid="{00000000-0005-0000-0000-000055160000}"/>
    <cellStyle name="Comma 25 2 4 3" xfId="8530" xr:uid="{00000000-0005-0000-0000-000056160000}"/>
    <cellStyle name="Comma 25 2 5" xfId="6485" xr:uid="{00000000-0005-0000-0000-000057160000}"/>
    <cellStyle name="Comma 25 2 5 2" xfId="9202" xr:uid="{00000000-0005-0000-0000-000058160000}"/>
    <cellStyle name="Comma 25 2 6" xfId="7863" xr:uid="{00000000-0005-0000-0000-000059160000}"/>
    <cellStyle name="Comma 25 3" xfId="914" xr:uid="{00000000-0005-0000-0000-00005A160000}"/>
    <cellStyle name="Comma 25 3 2" xfId="1190" xr:uid="{00000000-0005-0000-0000-00005B160000}"/>
    <cellStyle name="Comma 25 3 2 2" xfId="6908" xr:uid="{00000000-0005-0000-0000-00005C160000}"/>
    <cellStyle name="Comma 25 3 2 2 2" xfId="9615" xr:uid="{00000000-0005-0000-0000-00005D160000}"/>
    <cellStyle name="Comma 25 3 2 3" xfId="8276" xr:uid="{00000000-0005-0000-0000-00005E160000}"/>
    <cellStyle name="Comma 25 3 3" xfId="6647" xr:uid="{00000000-0005-0000-0000-00005F160000}"/>
    <cellStyle name="Comma 25 3 3 2" xfId="9354" xr:uid="{00000000-0005-0000-0000-000060160000}"/>
    <cellStyle name="Comma 25 3 4" xfId="8015" xr:uid="{00000000-0005-0000-0000-000061160000}"/>
    <cellStyle name="Comma 25 4" xfId="1085" xr:uid="{00000000-0005-0000-0000-000062160000}"/>
    <cellStyle name="Comma 25 4 2" xfId="6815" xr:uid="{00000000-0005-0000-0000-000063160000}"/>
    <cellStyle name="Comma 25 4 2 2" xfId="9522" xr:uid="{00000000-0005-0000-0000-000064160000}"/>
    <cellStyle name="Comma 25 4 3" xfId="8183" xr:uid="{00000000-0005-0000-0000-000065160000}"/>
    <cellStyle name="Comma 25 5" xfId="1473" xr:uid="{00000000-0005-0000-0000-000066160000}"/>
    <cellStyle name="Comma 25 5 2" xfId="7165" xr:uid="{00000000-0005-0000-0000-000067160000}"/>
    <cellStyle name="Comma 25 5 2 2" xfId="9868" xr:uid="{00000000-0005-0000-0000-000068160000}"/>
    <cellStyle name="Comma 25 5 3" xfId="8528" xr:uid="{00000000-0005-0000-0000-000069160000}"/>
    <cellStyle name="Comma 25 6" xfId="6484" xr:uid="{00000000-0005-0000-0000-00006A160000}"/>
    <cellStyle name="Comma 25 6 2" xfId="9201" xr:uid="{00000000-0005-0000-0000-00006B160000}"/>
    <cellStyle name="Comma 25 7" xfId="7862" xr:uid="{00000000-0005-0000-0000-00006C160000}"/>
    <cellStyle name="Comma 26" xfId="504" xr:uid="{00000000-0005-0000-0000-00006D160000}"/>
    <cellStyle name="Comma 26 2" xfId="505" xr:uid="{00000000-0005-0000-0000-00006E160000}"/>
    <cellStyle name="Comma 26 2 2" xfId="917" xr:uid="{00000000-0005-0000-0000-00006F160000}"/>
    <cellStyle name="Comma 26 2 2 2" xfId="1193" xr:uid="{00000000-0005-0000-0000-000070160000}"/>
    <cellStyle name="Comma 26 2 2 2 2" xfId="6911" xr:uid="{00000000-0005-0000-0000-000071160000}"/>
    <cellStyle name="Comma 26 2 2 2 2 2" xfId="9618" xr:uid="{00000000-0005-0000-0000-000072160000}"/>
    <cellStyle name="Comma 26 2 2 2 3" xfId="8279" xr:uid="{00000000-0005-0000-0000-000073160000}"/>
    <cellStyle name="Comma 26 2 2 3" xfId="6650" xr:uid="{00000000-0005-0000-0000-000074160000}"/>
    <cellStyle name="Comma 26 2 2 3 2" xfId="9357" xr:uid="{00000000-0005-0000-0000-000075160000}"/>
    <cellStyle name="Comma 26 2 2 4" xfId="8018" xr:uid="{00000000-0005-0000-0000-000076160000}"/>
    <cellStyle name="Comma 26 2 3" xfId="1088" xr:uid="{00000000-0005-0000-0000-000077160000}"/>
    <cellStyle name="Comma 26 2 3 2" xfId="6818" xr:uid="{00000000-0005-0000-0000-000078160000}"/>
    <cellStyle name="Comma 26 2 3 2 2" xfId="9525" xr:uid="{00000000-0005-0000-0000-000079160000}"/>
    <cellStyle name="Comma 26 2 3 3" xfId="8186" xr:uid="{00000000-0005-0000-0000-00007A160000}"/>
    <cellStyle name="Comma 26 2 4" xfId="1433" xr:uid="{00000000-0005-0000-0000-00007B160000}"/>
    <cellStyle name="Comma 26 2 4 2" xfId="7130" xr:uid="{00000000-0005-0000-0000-00007C160000}"/>
    <cellStyle name="Comma 26 2 4 2 2" xfId="9833" xr:uid="{00000000-0005-0000-0000-00007D160000}"/>
    <cellStyle name="Comma 26 2 4 3" xfId="8493" xr:uid="{00000000-0005-0000-0000-00007E160000}"/>
    <cellStyle name="Comma 26 2 5" xfId="6487" xr:uid="{00000000-0005-0000-0000-00007F160000}"/>
    <cellStyle name="Comma 26 2 5 2" xfId="9204" xr:uid="{00000000-0005-0000-0000-000080160000}"/>
    <cellStyle name="Comma 26 2 6" xfId="7865" xr:uid="{00000000-0005-0000-0000-000081160000}"/>
    <cellStyle name="Comma 26 3" xfId="916" xr:uid="{00000000-0005-0000-0000-000082160000}"/>
    <cellStyle name="Comma 26 3 2" xfId="1192" xr:uid="{00000000-0005-0000-0000-000083160000}"/>
    <cellStyle name="Comma 26 3 2 2" xfId="6910" xr:uid="{00000000-0005-0000-0000-000084160000}"/>
    <cellStyle name="Comma 26 3 2 2 2" xfId="9617" xr:uid="{00000000-0005-0000-0000-000085160000}"/>
    <cellStyle name="Comma 26 3 2 3" xfId="8278" xr:uid="{00000000-0005-0000-0000-000086160000}"/>
    <cellStyle name="Comma 26 3 3" xfId="6649" xr:uid="{00000000-0005-0000-0000-000087160000}"/>
    <cellStyle name="Comma 26 3 3 2" xfId="9356" xr:uid="{00000000-0005-0000-0000-000088160000}"/>
    <cellStyle name="Comma 26 3 4" xfId="8017" xr:uid="{00000000-0005-0000-0000-000089160000}"/>
    <cellStyle name="Comma 26 4" xfId="1087" xr:uid="{00000000-0005-0000-0000-00008A160000}"/>
    <cellStyle name="Comma 26 4 2" xfId="6817" xr:uid="{00000000-0005-0000-0000-00008B160000}"/>
    <cellStyle name="Comma 26 4 2 2" xfId="9524" xr:uid="{00000000-0005-0000-0000-00008C160000}"/>
    <cellStyle name="Comma 26 4 3" xfId="8185" xr:uid="{00000000-0005-0000-0000-00008D160000}"/>
    <cellStyle name="Comma 26 5" xfId="1439" xr:uid="{00000000-0005-0000-0000-00008E160000}"/>
    <cellStyle name="Comma 26 5 2" xfId="7135" xr:uid="{00000000-0005-0000-0000-00008F160000}"/>
    <cellStyle name="Comma 26 5 2 2" xfId="9838" xr:uid="{00000000-0005-0000-0000-000090160000}"/>
    <cellStyle name="Comma 26 5 3" xfId="8498" xr:uid="{00000000-0005-0000-0000-000091160000}"/>
    <cellStyle name="Comma 26 6" xfId="6486" xr:uid="{00000000-0005-0000-0000-000092160000}"/>
    <cellStyle name="Comma 26 6 2" xfId="9203" xr:uid="{00000000-0005-0000-0000-000093160000}"/>
    <cellStyle name="Comma 26 7" xfId="7864" xr:uid="{00000000-0005-0000-0000-000094160000}"/>
    <cellStyle name="Comma 27" xfId="506" xr:uid="{00000000-0005-0000-0000-000095160000}"/>
    <cellStyle name="Comma 27 2" xfId="507" xr:uid="{00000000-0005-0000-0000-000096160000}"/>
    <cellStyle name="Comma 27 2 2" xfId="919" xr:uid="{00000000-0005-0000-0000-000097160000}"/>
    <cellStyle name="Comma 27 2 2 2" xfId="1195" xr:uid="{00000000-0005-0000-0000-000098160000}"/>
    <cellStyle name="Comma 27 2 2 2 2" xfId="6913" xr:uid="{00000000-0005-0000-0000-000099160000}"/>
    <cellStyle name="Comma 27 2 2 2 2 2" xfId="9620" xr:uid="{00000000-0005-0000-0000-00009A160000}"/>
    <cellStyle name="Comma 27 2 2 2 3" xfId="8281" xr:uid="{00000000-0005-0000-0000-00009B160000}"/>
    <cellStyle name="Comma 27 2 2 3" xfId="6652" xr:uid="{00000000-0005-0000-0000-00009C160000}"/>
    <cellStyle name="Comma 27 2 2 3 2" xfId="9359" xr:uid="{00000000-0005-0000-0000-00009D160000}"/>
    <cellStyle name="Comma 27 2 2 4" xfId="8020" xr:uid="{00000000-0005-0000-0000-00009E160000}"/>
    <cellStyle name="Comma 27 2 3" xfId="1090" xr:uid="{00000000-0005-0000-0000-00009F160000}"/>
    <cellStyle name="Comma 27 2 3 2" xfId="6820" xr:uid="{00000000-0005-0000-0000-0000A0160000}"/>
    <cellStyle name="Comma 27 2 3 2 2" xfId="9527" xr:uid="{00000000-0005-0000-0000-0000A1160000}"/>
    <cellStyle name="Comma 27 2 3 3" xfId="8188" xr:uid="{00000000-0005-0000-0000-0000A2160000}"/>
    <cellStyle name="Comma 27 2 4" xfId="1478" xr:uid="{00000000-0005-0000-0000-0000A3160000}"/>
    <cellStyle name="Comma 27 2 4 2" xfId="7170" xr:uid="{00000000-0005-0000-0000-0000A4160000}"/>
    <cellStyle name="Comma 27 2 4 2 2" xfId="9873" xr:uid="{00000000-0005-0000-0000-0000A5160000}"/>
    <cellStyle name="Comma 27 2 4 3" xfId="8533" xr:uid="{00000000-0005-0000-0000-0000A6160000}"/>
    <cellStyle name="Comma 27 2 5" xfId="6489" xr:uid="{00000000-0005-0000-0000-0000A7160000}"/>
    <cellStyle name="Comma 27 2 5 2" xfId="9206" xr:uid="{00000000-0005-0000-0000-0000A8160000}"/>
    <cellStyle name="Comma 27 2 6" xfId="7867" xr:uid="{00000000-0005-0000-0000-0000A9160000}"/>
    <cellStyle name="Comma 27 3" xfId="918" xr:uid="{00000000-0005-0000-0000-0000AA160000}"/>
    <cellStyle name="Comma 27 3 2" xfId="1194" xr:uid="{00000000-0005-0000-0000-0000AB160000}"/>
    <cellStyle name="Comma 27 3 2 2" xfId="6912" xr:uid="{00000000-0005-0000-0000-0000AC160000}"/>
    <cellStyle name="Comma 27 3 2 2 2" xfId="9619" xr:uid="{00000000-0005-0000-0000-0000AD160000}"/>
    <cellStyle name="Comma 27 3 2 3" xfId="8280" xr:uid="{00000000-0005-0000-0000-0000AE160000}"/>
    <cellStyle name="Comma 27 3 3" xfId="6651" xr:uid="{00000000-0005-0000-0000-0000AF160000}"/>
    <cellStyle name="Comma 27 3 3 2" xfId="9358" xr:uid="{00000000-0005-0000-0000-0000B0160000}"/>
    <cellStyle name="Comma 27 3 4" xfId="8019" xr:uid="{00000000-0005-0000-0000-0000B1160000}"/>
    <cellStyle name="Comma 27 4" xfId="1089" xr:uid="{00000000-0005-0000-0000-0000B2160000}"/>
    <cellStyle name="Comma 27 4 2" xfId="6819" xr:uid="{00000000-0005-0000-0000-0000B3160000}"/>
    <cellStyle name="Comma 27 4 2 2" xfId="9526" xr:uid="{00000000-0005-0000-0000-0000B4160000}"/>
    <cellStyle name="Comma 27 4 3" xfId="8187" xr:uid="{00000000-0005-0000-0000-0000B5160000}"/>
    <cellStyle name="Comma 27 5" xfId="1476" xr:uid="{00000000-0005-0000-0000-0000B6160000}"/>
    <cellStyle name="Comma 27 5 2" xfId="7168" xr:uid="{00000000-0005-0000-0000-0000B7160000}"/>
    <cellStyle name="Comma 27 5 2 2" xfId="9871" xr:uid="{00000000-0005-0000-0000-0000B8160000}"/>
    <cellStyle name="Comma 27 5 3" xfId="8531" xr:uid="{00000000-0005-0000-0000-0000B9160000}"/>
    <cellStyle name="Comma 27 6" xfId="6488" xr:uid="{00000000-0005-0000-0000-0000BA160000}"/>
    <cellStyle name="Comma 27 6 2" xfId="9205" xr:uid="{00000000-0005-0000-0000-0000BB160000}"/>
    <cellStyle name="Comma 27 7" xfId="7866" xr:uid="{00000000-0005-0000-0000-0000BC160000}"/>
    <cellStyle name="Comma 28" xfId="508" xr:uid="{00000000-0005-0000-0000-0000BD160000}"/>
    <cellStyle name="Comma 28 2" xfId="920" xr:uid="{00000000-0005-0000-0000-0000BE160000}"/>
    <cellStyle name="Comma 28 2 2" xfId="1196" xr:uid="{00000000-0005-0000-0000-0000BF160000}"/>
    <cellStyle name="Comma 28 2 2 2" xfId="6914" xr:uid="{00000000-0005-0000-0000-0000C0160000}"/>
    <cellStyle name="Comma 28 2 2 2 2" xfId="9621" xr:uid="{00000000-0005-0000-0000-0000C1160000}"/>
    <cellStyle name="Comma 28 2 2 3" xfId="8282" xr:uid="{00000000-0005-0000-0000-0000C2160000}"/>
    <cellStyle name="Comma 28 2 3" xfId="6653" xr:uid="{00000000-0005-0000-0000-0000C3160000}"/>
    <cellStyle name="Comma 28 2 3 2" xfId="9360" xr:uid="{00000000-0005-0000-0000-0000C4160000}"/>
    <cellStyle name="Comma 28 2 4" xfId="8021" xr:uid="{00000000-0005-0000-0000-0000C5160000}"/>
    <cellStyle name="Comma 28 3" xfId="1091" xr:uid="{00000000-0005-0000-0000-0000C6160000}"/>
    <cellStyle name="Comma 28 3 2" xfId="6821" xr:uid="{00000000-0005-0000-0000-0000C7160000}"/>
    <cellStyle name="Comma 28 3 2 2" xfId="9528" xr:uid="{00000000-0005-0000-0000-0000C8160000}"/>
    <cellStyle name="Comma 28 3 3" xfId="8189" xr:uid="{00000000-0005-0000-0000-0000C9160000}"/>
    <cellStyle name="Comma 28 4" xfId="6490" xr:uid="{00000000-0005-0000-0000-0000CA160000}"/>
    <cellStyle name="Comma 28 4 2" xfId="9207" xr:uid="{00000000-0005-0000-0000-0000CB160000}"/>
    <cellStyle name="Comma 28 5" xfId="7868" xr:uid="{00000000-0005-0000-0000-0000CC160000}"/>
    <cellStyle name="Comma 29" xfId="509" xr:uid="{00000000-0005-0000-0000-0000CD160000}"/>
    <cellStyle name="Comma 29 2" xfId="921" xr:uid="{00000000-0005-0000-0000-0000CE160000}"/>
    <cellStyle name="Comma 29 2 2" xfId="1197" xr:uid="{00000000-0005-0000-0000-0000CF160000}"/>
    <cellStyle name="Comma 29 2 2 2" xfId="6915" xr:uid="{00000000-0005-0000-0000-0000D0160000}"/>
    <cellStyle name="Comma 29 2 2 2 2" xfId="9622" xr:uid="{00000000-0005-0000-0000-0000D1160000}"/>
    <cellStyle name="Comma 29 2 2 3" xfId="8283" xr:uid="{00000000-0005-0000-0000-0000D2160000}"/>
    <cellStyle name="Comma 29 2 3" xfId="6654" xr:uid="{00000000-0005-0000-0000-0000D3160000}"/>
    <cellStyle name="Comma 29 2 3 2" xfId="9361" xr:uid="{00000000-0005-0000-0000-0000D4160000}"/>
    <cellStyle name="Comma 29 2 4" xfId="8022" xr:uid="{00000000-0005-0000-0000-0000D5160000}"/>
    <cellStyle name="Comma 29 3" xfId="1092" xr:uid="{00000000-0005-0000-0000-0000D6160000}"/>
    <cellStyle name="Comma 29 3 2" xfId="6822" xr:uid="{00000000-0005-0000-0000-0000D7160000}"/>
    <cellStyle name="Comma 29 3 2 2" xfId="9529" xr:uid="{00000000-0005-0000-0000-0000D8160000}"/>
    <cellStyle name="Comma 29 3 3" xfId="8190" xr:uid="{00000000-0005-0000-0000-0000D9160000}"/>
    <cellStyle name="Comma 29 4" xfId="6491" xr:uid="{00000000-0005-0000-0000-0000DA160000}"/>
    <cellStyle name="Comma 29 4 2" xfId="9208" xr:uid="{00000000-0005-0000-0000-0000DB160000}"/>
    <cellStyle name="Comma 29 5" xfId="7869" xr:uid="{00000000-0005-0000-0000-0000DC160000}"/>
    <cellStyle name="Comma 3" xfId="8" xr:uid="{00000000-0005-0000-0000-0000DD160000}"/>
    <cellStyle name="Comma 3 10" xfId="4836" xr:uid="{00000000-0005-0000-0000-0000DE160000}"/>
    <cellStyle name="Comma 3 11" xfId="4837" xr:uid="{00000000-0005-0000-0000-0000DF160000}"/>
    <cellStyle name="Comma 3 12" xfId="4838" xr:uid="{00000000-0005-0000-0000-0000E0160000}"/>
    <cellStyle name="Comma 3 13" xfId="4839" xr:uid="{00000000-0005-0000-0000-0000E1160000}"/>
    <cellStyle name="Comma 3 14" xfId="4840" xr:uid="{00000000-0005-0000-0000-0000E2160000}"/>
    <cellStyle name="Comma 3 15" xfId="4841" xr:uid="{00000000-0005-0000-0000-0000E3160000}"/>
    <cellStyle name="Comma 3 16" xfId="4842" xr:uid="{00000000-0005-0000-0000-0000E4160000}"/>
    <cellStyle name="Comma 3 17" xfId="4843" xr:uid="{00000000-0005-0000-0000-0000E5160000}"/>
    <cellStyle name="Comma 3 18" xfId="4844" xr:uid="{00000000-0005-0000-0000-0000E6160000}"/>
    <cellStyle name="Comma 3 18 2" xfId="1" xr:uid="{00000000-0005-0000-0000-0000E7160000}"/>
    <cellStyle name="Comma 3 19" xfId="4845" xr:uid="{00000000-0005-0000-0000-0000E8160000}"/>
    <cellStyle name="Comma 3 19 2" xfId="7495" xr:uid="{00000000-0005-0000-0000-0000E9160000}"/>
    <cellStyle name="Comma 3 19 2 2" xfId="10194" xr:uid="{00000000-0005-0000-0000-0000EA160000}"/>
    <cellStyle name="Comma 3 19 3" xfId="8854" xr:uid="{00000000-0005-0000-0000-0000EB160000}"/>
    <cellStyle name="Comma 3 2" xfId="111" xr:uid="{00000000-0005-0000-0000-0000EC160000}"/>
    <cellStyle name="Comma 3 2 10" xfId="266" xr:uid="{00000000-0005-0000-0000-0000ED160000}"/>
    <cellStyle name="Comma 3 2 10 2" xfId="4846" xr:uid="{00000000-0005-0000-0000-0000EE160000}"/>
    <cellStyle name="Comma 3 2 10 3" xfId="6417" xr:uid="{00000000-0005-0000-0000-0000EF160000}"/>
    <cellStyle name="Comma 3 2 10 3 2" xfId="9136" xr:uid="{00000000-0005-0000-0000-0000F0160000}"/>
    <cellStyle name="Comma 3 2 10 4" xfId="7797" xr:uid="{00000000-0005-0000-0000-0000F1160000}"/>
    <cellStyle name="Comma 3 2 11" xfId="1363" xr:uid="{00000000-0005-0000-0000-0000F2160000}"/>
    <cellStyle name="Comma 3 2 11 2" xfId="4847" xr:uid="{00000000-0005-0000-0000-0000F3160000}"/>
    <cellStyle name="Comma 3 2 11 3" xfId="7068" xr:uid="{00000000-0005-0000-0000-0000F4160000}"/>
    <cellStyle name="Comma 3 2 11 3 2" xfId="9774" xr:uid="{00000000-0005-0000-0000-0000F5160000}"/>
    <cellStyle name="Comma 3 2 11 4" xfId="8435" xr:uid="{00000000-0005-0000-0000-0000F6160000}"/>
    <cellStyle name="Comma 3 2 12" xfId="1421" xr:uid="{00000000-0005-0000-0000-0000F7160000}"/>
    <cellStyle name="Comma 3 2 12 2" xfId="4848" xr:uid="{00000000-0005-0000-0000-0000F8160000}"/>
    <cellStyle name="Comma 3 2 12 3" xfId="7123" xr:uid="{00000000-0005-0000-0000-0000F9160000}"/>
    <cellStyle name="Comma 3 2 12 3 2" xfId="9826" xr:uid="{00000000-0005-0000-0000-0000FA160000}"/>
    <cellStyle name="Comma 3 2 12 4" xfId="8486" xr:uid="{00000000-0005-0000-0000-0000FB160000}"/>
    <cellStyle name="Comma 3 2 13" xfId="4849" xr:uid="{00000000-0005-0000-0000-0000FC160000}"/>
    <cellStyle name="Comma 3 2 14" xfId="4850" xr:uid="{00000000-0005-0000-0000-0000FD160000}"/>
    <cellStyle name="Comma 3 2 15" xfId="4851" xr:uid="{00000000-0005-0000-0000-0000FE160000}"/>
    <cellStyle name="Comma 3 2 15 2" xfId="7496" xr:uid="{00000000-0005-0000-0000-0000FF160000}"/>
    <cellStyle name="Comma 3 2 15 2 2" xfId="10195" xr:uid="{00000000-0005-0000-0000-000000170000}"/>
    <cellStyle name="Comma 3 2 15 3" xfId="8855" xr:uid="{00000000-0005-0000-0000-000001170000}"/>
    <cellStyle name="Comma 3 2 16" xfId="1481" xr:uid="{00000000-0005-0000-0000-000002170000}"/>
    <cellStyle name="Comma 3 2 16 2" xfId="7173" xr:uid="{00000000-0005-0000-0000-000003170000}"/>
    <cellStyle name="Comma 3 2 16 2 2" xfId="9876" xr:uid="{00000000-0005-0000-0000-000004170000}"/>
    <cellStyle name="Comma 3 2 16 3" xfId="8536" xr:uid="{00000000-0005-0000-0000-000005170000}"/>
    <cellStyle name="Comma 3 2 17" xfId="6344" xr:uid="{00000000-0005-0000-0000-000006170000}"/>
    <cellStyle name="Comma 3 2 17 2" xfId="9063" xr:uid="{00000000-0005-0000-0000-000007170000}"/>
    <cellStyle name="Comma 3 2 18" xfId="7724" xr:uid="{00000000-0005-0000-0000-000008170000}"/>
    <cellStyle name="Comma 3 2 19" xfId="143" xr:uid="{00000000-0005-0000-0000-000009170000}"/>
    <cellStyle name="Comma 3 2 2" xfId="144" xr:uid="{00000000-0005-0000-0000-00000A170000}"/>
    <cellStyle name="Comma 3 2 2 2" xfId="145" xr:uid="{00000000-0005-0000-0000-00000B170000}"/>
    <cellStyle name="Comma 3 2 2 2 2" xfId="1242" xr:uid="{00000000-0005-0000-0000-00000C170000}"/>
    <cellStyle name="Comma 3 2 2 2 2 2" xfId="4852" xr:uid="{00000000-0005-0000-0000-00000D170000}"/>
    <cellStyle name="Comma 3 2 2 2 2 3" xfId="6960" xr:uid="{00000000-0005-0000-0000-00000E170000}"/>
    <cellStyle name="Comma 3 2 2 2 2 3 2" xfId="9667" xr:uid="{00000000-0005-0000-0000-00000F170000}"/>
    <cellStyle name="Comma 3 2 2 2 2 4" xfId="8328" xr:uid="{00000000-0005-0000-0000-000010170000}"/>
    <cellStyle name="Comma 3 2 2 2 3" xfId="1093" xr:uid="{00000000-0005-0000-0000-000011170000}"/>
    <cellStyle name="Comma 3 2 2 2 3 2" xfId="4853" xr:uid="{00000000-0005-0000-0000-000012170000}"/>
    <cellStyle name="Comma 3 2 2 2 3 3" xfId="6823" xr:uid="{00000000-0005-0000-0000-000013170000}"/>
    <cellStyle name="Comma 3 2 2 2 3 3 2" xfId="9530" xr:uid="{00000000-0005-0000-0000-000014170000}"/>
    <cellStyle name="Comma 3 2 2 2 3 4" xfId="8191" xr:uid="{00000000-0005-0000-0000-000015170000}"/>
    <cellStyle name="Comma 3 2 2 2 4" xfId="924" xr:uid="{00000000-0005-0000-0000-000016170000}"/>
    <cellStyle name="Comma 3 2 2 2 4 2" xfId="4854" xr:uid="{00000000-0005-0000-0000-000017170000}"/>
    <cellStyle name="Comma 3 2 2 2 4 3" xfId="6657" xr:uid="{00000000-0005-0000-0000-000018170000}"/>
    <cellStyle name="Comma 3 2 2 2 4 3 2" xfId="9364" xr:uid="{00000000-0005-0000-0000-000019170000}"/>
    <cellStyle name="Comma 3 2 2 2 4 4" xfId="8025" xr:uid="{00000000-0005-0000-0000-00001A170000}"/>
    <cellStyle name="Comma 3 2 2 2 5" xfId="1364" xr:uid="{00000000-0005-0000-0000-00001B170000}"/>
    <cellStyle name="Comma 3 2 2 2 5 2" xfId="4855" xr:uid="{00000000-0005-0000-0000-00001C170000}"/>
    <cellStyle name="Comma 3 2 2 2 5 3" xfId="7069" xr:uid="{00000000-0005-0000-0000-00001D170000}"/>
    <cellStyle name="Comma 3 2 2 2 5 3 2" xfId="9775" xr:uid="{00000000-0005-0000-0000-00001E170000}"/>
    <cellStyle name="Comma 3 2 2 2 5 4" xfId="8436" xr:uid="{00000000-0005-0000-0000-00001F170000}"/>
    <cellStyle name="Comma 3 2 2 2 6" xfId="4856" xr:uid="{00000000-0005-0000-0000-000020170000}"/>
    <cellStyle name="Comma 3 2 2 2 6 2" xfId="7497" xr:uid="{00000000-0005-0000-0000-000021170000}"/>
    <cellStyle name="Comma 3 2 2 2 6 2 2" xfId="10196" xr:uid="{00000000-0005-0000-0000-000022170000}"/>
    <cellStyle name="Comma 3 2 2 2 6 3" xfId="8856" xr:uid="{00000000-0005-0000-0000-000023170000}"/>
    <cellStyle name="Comma 3 2 2 2 7" xfId="6345" xr:uid="{00000000-0005-0000-0000-000024170000}"/>
    <cellStyle name="Comma 3 2 2 2 7 2" xfId="9064" xr:uid="{00000000-0005-0000-0000-000025170000}"/>
    <cellStyle name="Comma 3 2 2 2 8" xfId="7725" xr:uid="{00000000-0005-0000-0000-000026170000}"/>
    <cellStyle name="Comma 3 2 2 3" xfId="981" xr:uid="{00000000-0005-0000-0000-000027170000}"/>
    <cellStyle name="Comma 3 2 2 3 2" xfId="1200" xr:uid="{00000000-0005-0000-0000-000028170000}"/>
    <cellStyle name="Comma 3 2 2 3 2 2" xfId="4857" xr:uid="{00000000-0005-0000-0000-000029170000}"/>
    <cellStyle name="Comma 3 2 2 3 2 2 2" xfId="7498" xr:uid="{00000000-0005-0000-0000-00002A170000}"/>
    <cellStyle name="Comma 3 2 2 3 2 2 2 2" xfId="10197" xr:uid="{00000000-0005-0000-0000-00002B170000}"/>
    <cellStyle name="Comma 3 2 2 3 2 2 3" xfId="8857" xr:uid="{00000000-0005-0000-0000-00002C170000}"/>
    <cellStyle name="Comma 3 2 2 3 2 3" xfId="6918" xr:uid="{00000000-0005-0000-0000-00002D170000}"/>
    <cellStyle name="Comma 3 2 2 3 2 3 2" xfId="9625" xr:uid="{00000000-0005-0000-0000-00002E170000}"/>
    <cellStyle name="Comma 3 2 2 3 2 4" xfId="8286" xr:uid="{00000000-0005-0000-0000-00002F170000}"/>
    <cellStyle name="Comma 3 2 2 3 3" xfId="6713" xr:uid="{00000000-0005-0000-0000-000030170000}"/>
    <cellStyle name="Comma 3 2 2 3 3 2" xfId="9420" xr:uid="{00000000-0005-0000-0000-000031170000}"/>
    <cellStyle name="Comma 3 2 2 3 4" xfId="8081" xr:uid="{00000000-0005-0000-0000-000032170000}"/>
    <cellStyle name="Comma 3 2 2 4" xfId="1300" xr:uid="{00000000-0005-0000-0000-000033170000}"/>
    <cellStyle name="Comma 3 2 2 4 2" xfId="4858" xr:uid="{00000000-0005-0000-0000-000034170000}"/>
    <cellStyle name="Comma 3 2 2 4 2 2" xfId="7499" xr:uid="{00000000-0005-0000-0000-000035170000}"/>
    <cellStyle name="Comma 3 2 2 4 2 2 2" xfId="10198" xr:uid="{00000000-0005-0000-0000-000036170000}"/>
    <cellStyle name="Comma 3 2 2 4 2 3" xfId="8858" xr:uid="{00000000-0005-0000-0000-000037170000}"/>
    <cellStyle name="Comma 3 2 2 4 3" xfId="7010" xr:uid="{00000000-0005-0000-0000-000038170000}"/>
    <cellStyle name="Comma 3 2 2 4 3 2" xfId="9717" xr:uid="{00000000-0005-0000-0000-000039170000}"/>
    <cellStyle name="Comma 3 2 2 4 4" xfId="8378" xr:uid="{00000000-0005-0000-0000-00003A170000}"/>
    <cellStyle name="Comma 3 2 2 5" xfId="1040" xr:uid="{00000000-0005-0000-0000-00003B170000}"/>
    <cellStyle name="Comma 3 2 2 5 2" xfId="4859" xr:uid="{00000000-0005-0000-0000-00003C170000}"/>
    <cellStyle name="Comma 3 2 2 5 2 2" xfId="7500" xr:uid="{00000000-0005-0000-0000-00003D170000}"/>
    <cellStyle name="Comma 3 2 2 5 2 2 2" xfId="10199" xr:uid="{00000000-0005-0000-0000-00003E170000}"/>
    <cellStyle name="Comma 3 2 2 5 2 3" xfId="8859" xr:uid="{00000000-0005-0000-0000-00003F170000}"/>
    <cellStyle name="Comma 3 2 2 5 3" xfId="6771" xr:uid="{00000000-0005-0000-0000-000040170000}"/>
    <cellStyle name="Comma 3 2 2 5 3 2" xfId="9478" xr:uid="{00000000-0005-0000-0000-000041170000}"/>
    <cellStyle name="Comma 3 2 2 5 4" xfId="8139" xr:uid="{00000000-0005-0000-0000-000042170000}"/>
    <cellStyle name="Comma 3 2 2 6" xfId="512" xr:uid="{00000000-0005-0000-0000-000043170000}"/>
    <cellStyle name="Comma 3 2 2 6 2" xfId="4860" xr:uid="{00000000-0005-0000-0000-000044170000}"/>
    <cellStyle name="Comma 3 2 2 6 2 2" xfId="7501" xr:uid="{00000000-0005-0000-0000-000045170000}"/>
    <cellStyle name="Comma 3 2 2 6 2 2 2" xfId="10200" xr:uid="{00000000-0005-0000-0000-000046170000}"/>
    <cellStyle name="Comma 3 2 2 6 2 3" xfId="8860" xr:uid="{00000000-0005-0000-0000-000047170000}"/>
    <cellStyle name="Comma 3 2 2 6 3" xfId="6494" xr:uid="{00000000-0005-0000-0000-000048170000}"/>
    <cellStyle name="Comma 3 2 2 6 3 2" xfId="9211" xr:uid="{00000000-0005-0000-0000-000049170000}"/>
    <cellStyle name="Comma 3 2 2 6 4" xfId="7872" xr:uid="{00000000-0005-0000-0000-00004A170000}"/>
    <cellStyle name="Comma 3 2 2 6 5" xfId="10402" xr:uid="{00000000-0005-0000-0000-00004B170000}"/>
    <cellStyle name="Comma 3 2 3" xfId="146" xr:uid="{00000000-0005-0000-0000-00004C170000}"/>
    <cellStyle name="Comma 3 2 3 2" xfId="1311" xr:uid="{00000000-0005-0000-0000-00004D170000}"/>
    <cellStyle name="Comma 3 2 3 2 2" xfId="7018" xr:uid="{00000000-0005-0000-0000-00004E170000}"/>
    <cellStyle name="Comma 3 2 3 2 2 2" xfId="9725" xr:uid="{00000000-0005-0000-0000-00004F170000}"/>
    <cellStyle name="Comma 3 2 3 2 3" xfId="8386" xr:uid="{00000000-0005-0000-0000-000050170000}"/>
    <cellStyle name="Comma 3 2 3 3" xfId="513" xr:uid="{00000000-0005-0000-0000-000051170000}"/>
    <cellStyle name="Comma 3 2 3 4" xfId="1365" xr:uid="{00000000-0005-0000-0000-000052170000}"/>
    <cellStyle name="Comma 3 2 3 4 2" xfId="7070" xr:uid="{00000000-0005-0000-0000-000053170000}"/>
    <cellStyle name="Comma 3 2 3 4 2 2" xfId="9776" xr:uid="{00000000-0005-0000-0000-000054170000}"/>
    <cellStyle name="Comma 3 2 3 4 3" xfId="8437" xr:uid="{00000000-0005-0000-0000-000055170000}"/>
    <cellStyle name="Comma 3 2 3 5" xfId="6346" xr:uid="{00000000-0005-0000-0000-000056170000}"/>
    <cellStyle name="Comma 3 2 3 5 2" xfId="9065" xr:uid="{00000000-0005-0000-0000-000057170000}"/>
    <cellStyle name="Comma 3 2 3 6" xfId="7726" xr:uid="{00000000-0005-0000-0000-000058170000}"/>
    <cellStyle name="Comma 3 2 4" xfId="514" xr:uid="{00000000-0005-0000-0000-000059170000}"/>
    <cellStyle name="Comma 3 2 4 2" xfId="925" xr:uid="{00000000-0005-0000-0000-00005A170000}"/>
    <cellStyle name="Comma 3 2 4 2 2" xfId="1201" xr:uid="{00000000-0005-0000-0000-00005B170000}"/>
    <cellStyle name="Comma 3 2 4 2 2 2" xfId="6919" xr:uid="{00000000-0005-0000-0000-00005C170000}"/>
    <cellStyle name="Comma 3 2 4 2 2 2 2" xfId="9626" xr:uid="{00000000-0005-0000-0000-00005D170000}"/>
    <cellStyle name="Comma 3 2 4 2 2 3" xfId="8287" xr:uid="{00000000-0005-0000-0000-00005E170000}"/>
    <cellStyle name="Comma 3 2 4 2 3" xfId="6658" xr:uid="{00000000-0005-0000-0000-00005F170000}"/>
    <cellStyle name="Comma 3 2 4 2 3 2" xfId="9365" xr:uid="{00000000-0005-0000-0000-000060170000}"/>
    <cellStyle name="Comma 3 2 4 2 4" xfId="8026" xr:uid="{00000000-0005-0000-0000-000061170000}"/>
    <cellStyle name="Comma 3 2 4 3" xfId="1094" xr:uid="{00000000-0005-0000-0000-000062170000}"/>
    <cellStyle name="Comma 3 2 4 3 2" xfId="6824" xr:uid="{00000000-0005-0000-0000-000063170000}"/>
    <cellStyle name="Comma 3 2 4 3 2 2" xfId="9531" xr:uid="{00000000-0005-0000-0000-000064170000}"/>
    <cellStyle name="Comma 3 2 4 3 3" xfId="8192" xr:uid="{00000000-0005-0000-0000-000065170000}"/>
    <cellStyle name="Comma 3 2 4 4" xfId="1467" xr:uid="{00000000-0005-0000-0000-000066170000}"/>
    <cellStyle name="Comma 3 2 4 4 2" xfId="7160" xr:uid="{00000000-0005-0000-0000-000067170000}"/>
    <cellStyle name="Comma 3 2 4 4 2 2" xfId="9863" xr:uid="{00000000-0005-0000-0000-000068170000}"/>
    <cellStyle name="Comma 3 2 4 4 3" xfId="8523" xr:uid="{00000000-0005-0000-0000-000069170000}"/>
    <cellStyle name="Comma 3 2 4 5" xfId="6495" xr:uid="{00000000-0005-0000-0000-00006A170000}"/>
    <cellStyle name="Comma 3 2 4 5 2" xfId="9212" xr:uid="{00000000-0005-0000-0000-00006B170000}"/>
    <cellStyle name="Comma 3 2 4 6" xfId="7873" xr:uid="{00000000-0005-0000-0000-00006C170000}"/>
    <cellStyle name="Comma 3 2 5" xfId="515" xr:uid="{00000000-0005-0000-0000-00006D170000}"/>
    <cellStyle name="Comma 3 2 5 2" xfId="926" xr:uid="{00000000-0005-0000-0000-00006E170000}"/>
    <cellStyle name="Comma 3 2 5 2 2" xfId="1202" xr:uid="{00000000-0005-0000-0000-00006F170000}"/>
    <cellStyle name="Comma 3 2 5 2 2 2" xfId="6920" xr:uid="{00000000-0005-0000-0000-000070170000}"/>
    <cellStyle name="Comma 3 2 5 2 2 2 2" xfId="9627" xr:uid="{00000000-0005-0000-0000-000071170000}"/>
    <cellStyle name="Comma 3 2 5 2 2 3" xfId="8288" xr:uid="{00000000-0005-0000-0000-000072170000}"/>
    <cellStyle name="Comma 3 2 5 2 3" xfId="6659" xr:uid="{00000000-0005-0000-0000-000073170000}"/>
    <cellStyle name="Comma 3 2 5 2 3 2" xfId="9366" xr:uid="{00000000-0005-0000-0000-000074170000}"/>
    <cellStyle name="Comma 3 2 5 2 4" xfId="8027" xr:uid="{00000000-0005-0000-0000-000075170000}"/>
    <cellStyle name="Comma 3 2 5 3" xfId="1095" xr:uid="{00000000-0005-0000-0000-000076170000}"/>
    <cellStyle name="Comma 3 2 5 3 2" xfId="6825" xr:uid="{00000000-0005-0000-0000-000077170000}"/>
    <cellStyle name="Comma 3 2 5 3 2 2" xfId="9532" xr:uid="{00000000-0005-0000-0000-000078170000}"/>
    <cellStyle name="Comma 3 2 5 3 3" xfId="8193" xr:uid="{00000000-0005-0000-0000-000079170000}"/>
    <cellStyle name="Comma 3 2 5 4" xfId="6496" xr:uid="{00000000-0005-0000-0000-00007A170000}"/>
    <cellStyle name="Comma 3 2 5 4 2" xfId="9213" xr:uid="{00000000-0005-0000-0000-00007B170000}"/>
    <cellStyle name="Comma 3 2 5 5" xfId="7874" xr:uid="{00000000-0005-0000-0000-00007C170000}"/>
    <cellStyle name="Comma 3 2 6" xfId="516" xr:uid="{00000000-0005-0000-0000-00007D170000}"/>
    <cellStyle name="Comma 3 2 6 2" xfId="4861" xr:uid="{00000000-0005-0000-0000-00007E170000}"/>
    <cellStyle name="Comma 3 2 6 3" xfId="6497" xr:uid="{00000000-0005-0000-0000-00007F170000}"/>
    <cellStyle name="Comma 3 2 6 3 2" xfId="9214" xr:uid="{00000000-0005-0000-0000-000080170000}"/>
    <cellStyle name="Comma 3 2 6 4" xfId="7875" xr:uid="{00000000-0005-0000-0000-000081170000}"/>
    <cellStyle name="Comma 3 2 7" xfId="511" xr:uid="{00000000-0005-0000-0000-000082170000}"/>
    <cellStyle name="Comma 3 2 7 2" xfId="1199" xr:uid="{00000000-0005-0000-0000-000083170000}"/>
    <cellStyle name="Comma 3 2 7 2 2" xfId="4863" xr:uid="{00000000-0005-0000-0000-000084170000}"/>
    <cellStyle name="Comma 3 2 7 2 3" xfId="6917" xr:uid="{00000000-0005-0000-0000-000085170000}"/>
    <cellStyle name="Comma 3 2 7 2 3 2" xfId="9624" xr:uid="{00000000-0005-0000-0000-000086170000}"/>
    <cellStyle name="Comma 3 2 7 2 4" xfId="8285" xr:uid="{00000000-0005-0000-0000-000087170000}"/>
    <cellStyle name="Comma 3 2 7 3" xfId="4864" xr:uid="{00000000-0005-0000-0000-000088170000}"/>
    <cellStyle name="Comma 3 2 7 3 2" xfId="7502" xr:uid="{00000000-0005-0000-0000-000089170000}"/>
    <cellStyle name="Comma 3 2 7 3 2 2" xfId="10201" xr:uid="{00000000-0005-0000-0000-00008A170000}"/>
    <cellStyle name="Comma 3 2 7 3 3" xfId="8861" xr:uid="{00000000-0005-0000-0000-00008B170000}"/>
    <cellStyle name="Comma 3 2 7 4" xfId="4862" xr:uid="{00000000-0005-0000-0000-00008C170000}"/>
    <cellStyle name="Comma 3 2 7 5" xfId="6493" xr:uid="{00000000-0005-0000-0000-00008D170000}"/>
    <cellStyle name="Comma 3 2 7 5 2" xfId="9210" xr:uid="{00000000-0005-0000-0000-00008E170000}"/>
    <cellStyle name="Comma 3 2 7 6" xfId="7871" xr:uid="{00000000-0005-0000-0000-00008F170000}"/>
    <cellStyle name="Comma 3 2 8" xfId="923" xr:uid="{00000000-0005-0000-0000-000090170000}"/>
    <cellStyle name="Comma 3 2 8 2" xfId="4865" xr:uid="{00000000-0005-0000-0000-000091170000}"/>
    <cellStyle name="Comma 3 2 8 3" xfId="6656" xr:uid="{00000000-0005-0000-0000-000092170000}"/>
    <cellStyle name="Comma 3 2 8 3 2" xfId="9363" xr:uid="{00000000-0005-0000-0000-000093170000}"/>
    <cellStyle name="Comma 3 2 8 4" xfId="8024" xr:uid="{00000000-0005-0000-0000-000094170000}"/>
    <cellStyle name="Comma 3 2 9" xfId="1012" xr:uid="{00000000-0005-0000-0000-000095170000}"/>
    <cellStyle name="Comma 3 2 9 2" xfId="4866" xr:uid="{00000000-0005-0000-0000-000096170000}"/>
    <cellStyle name="Comma 3 2 9 3" xfId="6743" xr:uid="{00000000-0005-0000-0000-000097170000}"/>
    <cellStyle name="Comma 3 2 9 3 2" xfId="9450" xr:uid="{00000000-0005-0000-0000-000098170000}"/>
    <cellStyle name="Comma 3 2 9 4" xfId="8111" xr:uid="{00000000-0005-0000-0000-000099170000}"/>
    <cellStyle name="Comma 3 20" xfId="4867" xr:uid="{00000000-0005-0000-0000-00009A170000}"/>
    <cellStyle name="Comma 3 20 2" xfId="7503" xr:uid="{00000000-0005-0000-0000-00009B170000}"/>
    <cellStyle name="Comma 3 20 2 2" xfId="10202" xr:uid="{00000000-0005-0000-0000-00009C170000}"/>
    <cellStyle name="Comma 3 20 3" xfId="8862" xr:uid="{00000000-0005-0000-0000-00009D170000}"/>
    <cellStyle name="Comma 3 21" xfId="4868" xr:uid="{00000000-0005-0000-0000-00009E170000}"/>
    <cellStyle name="Comma 3 22" xfId="1480" xr:uid="{00000000-0005-0000-0000-00009F170000}"/>
    <cellStyle name="Comma 3 22 2" xfId="7172" xr:uid="{00000000-0005-0000-0000-0000A0170000}"/>
    <cellStyle name="Comma 3 22 2 2" xfId="9875" xr:uid="{00000000-0005-0000-0000-0000A1170000}"/>
    <cellStyle name="Comma 3 22 3" xfId="8535" xr:uid="{00000000-0005-0000-0000-0000A2170000}"/>
    <cellStyle name="Comma 3 23" xfId="6343" xr:uid="{00000000-0005-0000-0000-0000A3170000}"/>
    <cellStyle name="Comma 3 23 2" xfId="9062" xr:uid="{00000000-0005-0000-0000-0000A4170000}"/>
    <cellStyle name="Comma 3 24" xfId="7723" xr:uid="{00000000-0005-0000-0000-0000A5170000}"/>
    <cellStyle name="Comma 3 25" xfId="10392" xr:uid="{00000000-0005-0000-0000-0000A6170000}"/>
    <cellStyle name="Comma 3 26" xfId="142" xr:uid="{00000000-0005-0000-0000-0000A7170000}"/>
    <cellStyle name="Comma 3 27" xfId="10454" xr:uid="{00000000-0005-0000-0000-0000A8170000}"/>
    <cellStyle name="Comma 3 28" xfId="91" xr:uid="{00000000-0005-0000-0000-0000A9170000}"/>
    <cellStyle name="Comma 3 3" xfId="147" xr:uid="{00000000-0005-0000-0000-0000AA170000}"/>
    <cellStyle name="Comma 3 3 2" xfId="518" xr:uid="{00000000-0005-0000-0000-0000AB170000}"/>
    <cellStyle name="Comma 3 3 2 17 2" xfId="10518" xr:uid="{00000000-0005-0000-0000-0000AC170000}"/>
    <cellStyle name="Comma 3 3 2 2" xfId="4870" xr:uid="{00000000-0005-0000-0000-0000AD170000}"/>
    <cellStyle name="Comma 3 3 2 2 2" xfId="7505" xr:uid="{00000000-0005-0000-0000-0000AE170000}"/>
    <cellStyle name="Comma 3 3 2 2 2 2" xfId="10204" xr:uid="{00000000-0005-0000-0000-0000AF170000}"/>
    <cellStyle name="Comma 3 3 2 2 2 5" xfId="244" xr:uid="{00000000-0005-0000-0000-0000B0170000}"/>
    <cellStyle name="Comma 3 3 2 2 2 5 2" xfId="272" xr:uid="{00000000-0005-0000-0000-0000B1170000}"/>
    <cellStyle name="Comma 3 3 2 2 2 5 2 2" xfId="519" xr:uid="{00000000-0005-0000-0000-0000B2170000}"/>
    <cellStyle name="Comma 3 3 2 2 2 5 2 2 2" xfId="975" xr:uid="{00000000-0005-0000-0000-0000B3170000}"/>
    <cellStyle name="Comma 3 3 2 2 2 5 2 2 2 2" xfId="1294" xr:uid="{00000000-0005-0000-0000-0000B4170000}"/>
    <cellStyle name="Comma 3 3 2 2 2 5 2 2 2 2 2" xfId="7004" xr:uid="{00000000-0005-0000-0000-0000B5170000}"/>
    <cellStyle name="Comma 3 3 2 2 2 5 2 2 2 2 2 2" xfId="9711" xr:uid="{00000000-0005-0000-0000-0000B6170000}"/>
    <cellStyle name="Comma 3 3 2 2 2 5 2 2 2 2 3" xfId="8372" xr:uid="{00000000-0005-0000-0000-0000B7170000}"/>
    <cellStyle name="Comma 3 3 2 2 2 5 2 2 2 3" xfId="6707" xr:uid="{00000000-0005-0000-0000-0000B8170000}"/>
    <cellStyle name="Comma 3 3 2 2 2 5 2 2 2 3 2" xfId="9414" xr:uid="{00000000-0005-0000-0000-0000B9170000}"/>
    <cellStyle name="Comma 3 3 2 2 2 5 2 2 2 4" xfId="8075" xr:uid="{00000000-0005-0000-0000-0000BA170000}"/>
    <cellStyle name="Comma 3 3 2 2 2 5 2 2 3" xfId="1046" xr:uid="{00000000-0005-0000-0000-0000BB170000}"/>
    <cellStyle name="Comma 3 3 2 2 2 5 2 2 3 2" xfId="6777" xr:uid="{00000000-0005-0000-0000-0000BC170000}"/>
    <cellStyle name="Comma 3 3 2 2 2 5 2 2 3 2 2" xfId="9484" xr:uid="{00000000-0005-0000-0000-0000BD170000}"/>
    <cellStyle name="Comma 3 3 2 2 2 5 2 2 3 3" xfId="8145" xr:uid="{00000000-0005-0000-0000-0000BE170000}"/>
    <cellStyle name="Comma 3 3 2 2 2 5 2 2 4" xfId="6499" xr:uid="{00000000-0005-0000-0000-0000BF170000}"/>
    <cellStyle name="Comma 3 3 2 2 2 5 2 2 4 2" xfId="9216" xr:uid="{00000000-0005-0000-0000-0000C0170000}"/>
    <cellStyle name="Comma 3 3 2 2 2 5 2 2 5" xfId="7877" xr:uid="{00000000-0005-0000-0000-0000C1170000}"/>
    <cellStyle name="Comma 3 3 2 2 2 5 2 3" xfId="928" xr:uid="{00000000-0005-0000-0000-0000C2170000}"/>
    <cellStyle name="Comma 3 3 2 2 2 5 2 3 2" xfId="1204" xr:uid="{00000000-0005-0000-0000-0000C3170000}"/>
    <cellStyle name="Comma 3 3 2 2 2 5 2 3 2 2" xfId="6922" xr:uid="{00000000-0005-0000-0000-0000C4170000}"/>
    <cellStyle name="Comma 3 3 2 2 2 5 2 3 2 2 2" xfId="9629" xr:uid="{00000000-0005-0000-0000-0000C5170000}"/>
    <cellStyle name="Comma 3 3 2 2 2 5 2 3 2 3" xfId="8290" xr:uid="{00000000-0005-0000-0000-0000C6170000}"/>
    <cellStyle name="Comma 3 3 2 2 2 5 2 3 3" xfId="6661" xr:uid="{00000000-0005-0000-0000-0000C7170000}"/>
    <cellStyle name="Comma 3 3 2 2 2 5 2 3 3 2" xfId="9368" xr:uid="{00000000-0005-0000-0000-0000C8170000}"/>
    <cellStyle name="Comma 3 3 2 2 2 5 2 3 4" xfId="8029" xr:uid="{00000000-0005-0000-0000-0000C9170000}"/>
    <cellStyle name="Comma 3 3 2 2 2 5 2 4" xfId="1018" xr:uid="{00000000-0005-0000-0000-0000CA170000}"/>
    <cellStyle name="Comma 3 3 2 2 2 5 2 4 2" xfId="6749" xr:uid="{00000000-0005-0000-0000-0000CB170000}"/>
    <cellStyle name="Comma 3 3 2 2 2 5 2 4 2 2" xfId="9456" xr:uid="{00000000-0005-0000-0000-0000CC170000}"/>
    <cellStyle name="Comma 3 3 2 2 2 5 2 4 3" xfId="8117" xr:uid="{00000000-0005-0000-0000-0000CD170000}"/>
    <cellStyle name="Comma 3 3 2 2 2 5 2 5" xfId="6423" xr:uid="{00000000-0005-0000-0000-0000CE170000}"/>
    <cellStyle name="Comma 3 3 2 2 2 5 2 5 2" xfId="9142" xr:uid="{00000000-0005-0000-0000-0000CF170000}"/>
    <cellStyle name="Comma 3 3 2 2 2 5 2 6" xfId="7803" xr:uid="{00000000-0005-0000-0000-0000D0170000}"/>
    <cellStyle name="Comma 3 3 2 2 2 5 3" xfId="6405" xr:uid="{00000000-0005-0000-0000-0000D1170000}"/>
    <cellStyle name="Comma 3 3 2 2 2 5 3 2" xfId="9124" xr:uid="{00000000-0005-0000-0000-0000D2170000}"/>
    <cellStyle name="Comma 3 3 2 2 2 5 4" xfId="7785" xr:uid="{00000000-0005-0000-0000-0000D3170000}"/>
    <cellStyle name="Comma 3 3 2 2 3" xfId="8864" xr:uid="{00000000-0005-0000-0000-0000D4170000}"/>
    <cellStyle name="Comma 3 3 2 3" xfId="4871" xr:uid="{00000000-0005-0000-0000-0000D5170000}"/>
    <cellStyle name="Comma 3 3 2 3 2" xfId="7506" xr:uid="{00000000-0005-0000-0000-0000D6170000}"/>
    <cellStyle name="Comma 3 3 2 3 2 2" xfId="10205" xr:uid="{00000000-0005-0000-0000-0000D7170000}"/>
    <cellStyle name="Comma 3 3 2 3 3" xfId="8865" xr:uid="{00000000-0005-0000-0000-0000D8170000}"/>
    <cellStyle name="Comma 3 3 2 4" xfId="4869" xr:uid="{00000000-0005-0000-0000-0000D9170000}"/>
    <cellStyle name="Comma 3 3 2 4 2" xfId="7504" xr:uid="{00000000-0005-0000-0000-0000DA170000}"/>
    <cellStyle name="Comma 3 3 2 4 2 2" xfId="10203" xr:uid="{00000000-0005-0000-0000-0000DB170000}"/>
    <cellStyle name="Comma 3 3 2 4 3" xfId="8863" xr:uid="{00000000-0005-0000-0000-0000DC170000}"/>
    <cellStyle name="Comma 3 3 3" xfId="927" xr:uid="{00000000-0005-0000-0000-0000DD170000}"/>
    <cellStyle name="Comma 3 3 3 2" xfId="1203" xr:uid="{00000000-0005-0000-0000-0000DE170000}"/>
    <cellStyle name="Comma 3 3 3 2 2" xfId="6921" xr:uid="{00000000-0005-0000-0000-0000DF170000}"/>
    <cellStyle name="Comma 3 3 3 2 2 2" xfId="9628" xr:uid="{00000000-0005-0000-0000-0000E0170000}"/>
    <cellStyle name="Comma 3 3 3 2 3" xfId="8289" xr:uid="{00000000-0005-0000-0000-0000E1170000}"/>
    <cellStyle name="Comma 3 3 3 3" xfId="6660" xr:uid="{00000000-0005-0000-0000-0000E2170000}"/>
    <cellStyle name="Comma 3 3 3 3 2" xfId="9367" xr:uid="{00000000-0005-0000-0000-0000E3170000}"/>
    <cellStyle name="Comma 3 3 3 4" xfId="8028" xr:uid="{00000000-0005-0000-0000-0000E4170000}"/>
    <cellStyle name="Comma 3 3 4" xfId="1312" xr:uid="{00000000-0005-0000-0000-0000E5170000}"/>
    <cellStyle name="Comma 3 3 5" xfId="1027" xr:uid="{00000000-0005-0000-0000-0000E6170000}"/>
    <cellStyle name="Comma 3 3 5 2" xfId="6758" xr:uid="{00000000-0005-0000-0000-0000E7170000}"/>
    <cellStyle name="Comma 3 3 5 2 2" xfId="9465" xr:uid="{00000000-0005-0000-0000-0000E8170000}"/>
    <cellStyle name="Comma 3 3 5 3" xfId="8126" xr:uid="{00000000-0005-0000-0000-0000E9170000}"/>
    <cellStyle name="Comma 3 3 6" xfId="517" xr:uid="{00000000-0005-0000-0000-0000EA170000}"/>
    <cellStyle name="Comma 3 3 6 2" xfId="6498" xr:uid="{00000000-0005-0000-0000-0000EB170000}"/>
    <cellStyle name="Comma 3 3 6 2 2" xfId="9215" xr:uid="{00000000-0005-0000-0000-0000EC170000}"/>
    <cellStyle name="Comma 3 3 6 3" xfId="7876" xr:uid="{00000000-0005-0000-0000-0000ED170000}"/>
    <cellStyle name="Comma 3 3 7" xfId="1366" xr:uid="{00000000-0005-0000-0000-0000EE170000}"/>
    <cellStyle name="Comma 3 3 7 2" xfId="7071" xr:uid="{00000000-0005-0000-0000-0000EF170000}"/>
    <cellStyle name="Comma 3 4" xfId="148" xr:uid="{00000000-0005-0000-0000-0000F0170000}"/>
    <cellStyle name="Comma 3 4 2" xfId="245" xr:uid="{00000000-0005-0000-0000-0000F1170000}"/>
    <cellStyle name="Comma 3 4 2 2" xfId="262" xr:uid="{00000000-0005-0000-0000-0000F2170000}"/>
    <cellStyle name="Comma 3 4 2 2 2" xfId="277" xr:uid="{00000000-0005-0000-0000-0000F3170000}"/>
    <cellStyle name="Comma 3 4 2 2 2 2" xfId="522" xr:uid="{00000000-0005-0000-0000-0000F4170000}"/>
    <cellStyle name="Comma 3 4 2 2 2 2 2" xfId="970" xr:uid="{00000000-0005-0000-0000-0000F5170000}"/>
    <cellStyle name="Comma 3 4 2 2 2 2 2 2" xfId="1289" xr:uid="{00000000-0005-0000-0000-0000F6170000}"/>
    <cellStyle name="Comma 3 4 2 2 2 2 2 2 2" xfId="6999" xr:uid="{00000000-0005-0000-0000-0000F7170000}"/>
    <cellStyle name="Comma 3 4 2 2 2 2 2 2 2 2" xfId="9706" xr:uid="{00000000-0005-0000-0000-0000F8170000}"/>
    <cellStyle name="Comma 3 4 2 2 2 2 2 2 3" xfId="8367" xr:uid="{00000000-0005-0000-0000-0000F9170000}"/>
    <cellStyle name="Comma 3 4 2 2 2 2 2 3" xfId="6702" xr:uid="{00000000-0005-0000-0000-0000FA170000}"/>
    <cellStyle name="Comma 3 4 2 2 2 2 2 3 2" xfId="9409" xr:uid="{00000000-0005-0000-0000-0000FB170000}"/>
    <cellStyle name="Comma 3 4 2 2 2 2 2 4" xfId="8070" xr:uid="{00000000-0005-0000-0000-0000FC170000}"/>
    <cellStyle name="Comma 3 4 2 2 2 2 3" xfId="1051" xr:uid="{00000000-0005-0000-0000-0000FD170000}"/>
    <cellStyle name="Comma 3 4 2 2 2 2 3 2" xfId="6782" xr:uid="{00000000-0005-0000-0000-0000FE170000}"/>
    <cellStyle name="Comma 3 4 2 2 2 2 3 2 2" xfId="9489" xr:uid="{00000000-0005-0000-0000-0000FF170000}"/>
    <cellStyle name="Comma 3 4 2 2 2 2 3 3" xfId="8150" xr:uid="{00000000-0005-0000-0000-000000180000}"/>
    <cellStyle name="Comma 3 4 2 2 2 2 4" xfId="6501" xr:uid="{00000000-0005-0000-0000-000001180000}"/>
    <cellStyle name="Comma 3 4 2 2 2 2 4 2" xfId="9218" xr:uid="{00000000-0005-0000-0000-000002180000}"/>
    <cellStyle name="Comma 3 4 2 2 2 2 5" xfId="7879" xr:uid="{00000000-0005-0000-0000-000003180000}"/>
    <cellStyle name="Comma 3 4 2 2 2 3" xfId="930" xr:uid="{00000000-0005-0000-0000-000004180000}"/>
    <cellStyle name="Comma 3 4 2 2 2 3 2" xfId="1206" xr:uid="{00000000-0005-0000-0000-000005180000}"/>
    <cellStyle name="Comma 3 4 2 2 2 3 2 2" xfId="6924" xr:uid="{00000000-0005-0000-0000-000006180000}"/>
    <cellStyle name="Comma 3 4 2 2 2 3 2 2 2" xfId="9631" xr:uid="{00000000-0005-0000-0000-000007180000}"/>
    <cellStyle name="Comma 3 4 2 2 2 3 2 3" xfId="8292" xr:uid="{00000000-0005-0000-0000-000008180000}"/>
    <cellStyle name="Comma 3 4 2 2 2 3 3" xfId="6663" xr:uid="{00000000-0005-0000-0000-000009180000}"/>
    <cellStyle name="Comma 3 4 2 2 2 3 3 2" xfId="9370" xr:uid="{00000000-0005-0000-0000-00000A180000}"/>
    <cellStyle name="Comma 3 4 2 2 2 3 4" xfId="8031" xr:uid="{00000000-0005-0000-0000-00000B180000}"/>
    <cellStyle name="Comma 3 4 2 2 2 4" xfId="1023" xr:uid="{00000000-0005-0000-0000-00000C180000}"/>
    <cellStyle name="Comma 3 4 2 2 2 4 2" xfId="6754" xr:uid="{00000000-0005-0000-0000-00000D180000}"/>
    <cellStyle name="Comma 3 4 2 2 2 4 2 2" xfId="9461" xr:uid="{00000000-0005-0000-0000-00000E180000}"/>
    <cellStyle name="Comma 3 4 2 2 2 4 3" xfId="8122" xr:uid="{00000000-0005-0000-0000-00000F180000}"/>
    <cellStyle name="Comma 3 4 2 2 2 5" xfId="6428" xr:uid="{00000000-0005-0000-0000-000010180000}"/>
    <cellStyle name="Comma 3 4 2 2 2 5 2" xfId="9147" xr:uid="{00000000-0005-0000-0000-000011180000}"/>
    <cellStyle name="Comma 3 4 2 2 2 6" xfId="7808" xr:uid="{00000000-0005-0000-0000-000012180000}"/>
    <cellStyle name="Comma 3 4 2 2 3" xfId="521" xr:uid="{00000000-0005-0000-0000-000013180000}"/>
    <cellStyle name="Comma 3 4 2 2 3 2" xfId="985" xr:uid="{00000000-0005-0000-0000-000014180000}"/>
    <cellStyle name="Comma 3 4 2 2 3 2 2" xfId="1304" xr:uid="{00000000-0005-0000-0000-000015180000}"/>
    <cellStyle name="Comma 3 4 2 2 3 2 2 2" xfId="7014" xr:uid="{00000000-0005-0000-0000-000016180000}"/>
    <cellStyle name="Comma 3 4 2 2 3 2 2 2 2" xfId="9721" xr:uid="{00000000-0005-0000-0000-000017180000}"/>
    <cellStyle name="Comma 3 4 2 2 3 2 2 3" xfId="8382" xr:uid="{00000000-0005-0000-0000-000018180000}"/>
    <cellStyle name="Comma 3 4 2 2 3 2 3" xfId="6717" xr:uid="{00000000-0005-0000-0000-000019180000}"/>
    <cellStyle name="Comma 3 4 2 2 3 2 3 2" xfId="9424" xr:uid="{00000000-0005-0000-0000-00001A180000}"/>
    <cellStyle name="Comma 3 4 2 2 3 2 4" xfId="8085" xr:uid="{00000000-0005-0000-0000-00001B180000}"/>
    <cellStyle name="Comma 3 4 2 2 3 3" xfId="1036" xr:uid="{00000000-0005-0000-0000-00001C180000}"/>
    <cellStyle name="Comma 3 4 2 2 3 3 2" xfId="6767" xr:uid="{00000000-0005-0000-0000-00001D180000}"/>
    <cellStyle name="Comma 3 4 2 2 3 3 2 2" xfId="9474" xr:uid="{00000000-0005-0000-0000-00001E180000}"/>
    <cellStyle name="Comma 3 4 2 2 3 3 3" xfId="8135" xr:uid="{00000000-0005-0000-0000-00001F180000}"/>
    <cellStyle name="Comma 3 4 2 2 3 4" xfId="6500" xr:uid="{00000000-0005-0000-0000-000020180000}"/>
    <cellStyle name="Comma 3 4 2 2 3 4 2" xfId="9217" xr:uid="{00000000-0005-0000-0000-000021180000}"/>
    <cellStyle name="Comma 3 4 2 2 3 5" xfId="7878" xr:uid="{00000000-0005-0000-0000-000022180000}"/>
    <cellStyle name="Comma 3 4 2 2 4" xfId="929" xr:uid="{00000000-0005-0000-0000-000023180000}"/>
    <cellStyle name="Comma 3 4 2 2 4 2" xfId="1205" xr:uid="{00000000-0005-0000-0000-000024180000}"/>
    <cellStyle name="Comma 3 4 2 2 4 2 2" xfId="6923" xr:uid="{00000000-0005-0000-0000-000025180000}"/>
    <cellStyle name="Comma 3 4 2 2 4 2 2 2" xfId="9630" xr:uid="{00000000-0005-0000-0000-000026180000}"/>
    <cellStyle name="Comma 3 4 2 2 4 2 3" xfId="8291" xr:uid="{00000000-0005-0000-0000-000027180000}"/>
    <cellStyle name="Comma 3 4 2 2 4 3" xfId="6662" xr:uid="{00000000-0005-0000-0000-000028180000}"/>
    <cellStyle name="Comma 3 4 2 2 4 3 2" xfId="9369" xr:uid="{00000000-0005-0000-0000-000029180000}"/>
    <cellStyle name="Comma 3 4 2 2 4 4" xfId="8030" xr:uid="{00000000-0005-0000-0000-00002A180000}"/>
    <cellStyle name="Comma 3 4 2 2 5" xfId="1008" xr:uid="{00000000-0005-0000-0000-00002B180000}"/>
    <cellStyle name="Comma 3 4 2 2 5 2" xfId="6739" xr:uid="{00000000-0005-0000-0000-00002C180000}"/>
    <cellStyle name="Comma 3 4 2 2 5 2 2" xfId="9446" xr:uid="{00000000-0005-0000-0000-00002D180000}"/>
    <cellStyle name="Comma 3 4 2 2 5 3" xfId="8107" xr:uid="{00000000-0005-0000-0000-00002E180000}"/>
    <cellStyle name="Comma 3 4 2 2 6" xfId="6413" xr:uid="{00000000-0005-0000-0000-00002F180000}"/>
    <cellStyle name="Comma 3 4 2 2 6 2" xfId="9132" xr:uid="{00000000-0005-0000-0000-000030180000}"/>
    <cellStyle name="Comma 3 4 2 2 7" xfId="7793" xr:uid="{00000000-0005-0000-0000-000031180000}"/>
    <cellStyle name="Comma 3 4 2 3" xfId="4872" xr:uid="{00000000-0005-0000-0000-000032180000}"/>
    <cellStyle name="Comma 3 4 2 3 2" xfId="7507" xr:uid="{00000000-0005-0000-0000-000033180000}"/>
    <cellStyle name="Comma 3 4 2 3 2 2" xfId="10206" xr:uid="{00000000-0005-0000-0000-000034180000}"/>
    <cellStyle name="Comma 3 4 2 3 3" xfId="8866" xr:uid="{00000000-0005-0000-0000-000035180000}"/>
    <cellStyle name="Comma 3 4 2 4" xfId="6406" xr:uid="{00000000-0005-0000-0000-000036180000}"/>
    <cellStyle name="Comma 3 4 2 4 2" xfId="9125" xr:uid="{00000000-0005-0000-0000-000037180000}"/>
    <cellStyle name="Comma 3 4 2 5" xfId="7786" xr:uid="{00000000-0005-0000-0000-000038180000}"/>
    <cellStyle name="Comma 3 4 3" xfId="1313" xr:uid="{00000000-0005-0000-0000-000039180000}"/>
    <cellStyle name="Comma 3 4 3 2" xfId="4873" xr:uid="{00000000-0005-0000-0000-00003A180000}"/>
    <cellStyle name="Comma 3 4 3 2 2" xfId="7508" xr:uid="{00000000-0005-0000-0000-00003B180000}"/>
    <cellStyle name="Comma 3 4 3 2 2 2" xfId="10207" xr:uid="{00000000-0005-0000-0000-00003C180000}"/>
    <cellStyle name="Comma 3 4 3 2 3" xfId="8867" xr:uid="{00000000-0005-0000-0000-00003D180000}"/>
    <cellStyle name="Comma 3 4 3 3" xfId="7019" xr:uid="{00000000-0005-0000-0000-00003E180000}"/>
    <cellStyle name="Comma 3 4 3 3 2" xfId="9726" xr:uid="{00000000-0005-0000-0000-00003F180000}"/>
    <cellStyle name="Comma 3 4 3 4" xfId="8387" xr:uid="{00000000-0005-0000-0000-000040180000}"/>
    <cellStyle name="Comma 3 4 4" xfId="520" xr:uid="{00000000-0005-0000-0000-000041180000}"/>
    <cellStyle name="Comma 3 4 4 2" xfId="4874" xr:uid="{00000000-0005-0000-0000-000042180000}"/>
    <cellStyle name="Comma 3 4 4 2 2" xfId="7509" xr:uid="{00000000-0005-0000-0000-000043180000}"/>
    <cellStyle name="Comma 3 4 4 2 2 2" xfId="10208" xr:uid="{00000000-0005-0000-0000-000044180000}"/>
    <cellStyle name="Comma 3 4 4 2 3" xfId="8868" xr:uid="{00000000-0005-0000-0000-000045180000}"/>
    <cellStyle name="Comma 3 4 5" xfId="1367" xr:uid="{00000000-0005-0000-0000-000046180000}"/>
    <cellStyle name="Comma 3 4 5 2" xfId="7072" xr:uid="{00000000-0005-0000-0000-000047180000}"/>
    <cellStyle name="Comma 3 4 5 2 2" xfId="9777" xr:uid="{00000000-0005-0000-0000-000048180000}"/>
    <cellStyle name="Comma 3 4 5 3" xfId="8438" xr:uid="{00000000-0005-0000-0000-000049180000}"/>
    <cellStyle name="Comma 3 4 6" xfId="6347" xr:uid="{00000000-0005-0000-0000-00004A180000}"/>
    <cellStyle name="Comma 3 4 6 2" xfId="9066" xr:uid="{00000000-0005-0000-0000-00004B180000}"/>
    <cellStyle name="Comma 3 4 7" xfId="7727" xr:uid="{00000000-0005-0000-0000-00004C180000}"/>
    <cellStyle name="Comma 3 5" xfId="510" xr:uid="{00000000-0005-0000-0000-00004D180000}"/>
    <cellStyle name="Comma 3 5 2" xfId="1198" xr:uid="{00000000-0005-0000-0000-00004E180000}"/>
    <cellStyle name="Comma 3 5 2 2" xfId="6916" xr:uid="{00000000-0005-0000-0000-00004F180000}"/>
    <cellStyle name="Comma 3 5 2 2 2" xfId="9623" xr:uid="{00000000-0005-0000-0000-000050180000}"/>
    <cellStyle name="Comma 3 5 2 3" xfId="8284" xr:uid="{00000000-0005-0000-0000-000051180000}"/>
    <cellStyle name="Comma 3 5 3" xfId="4875" xr:uid="{00000000-0005-0000-0000-000052180000}"/>
    <cellStyle name="Comma 3 5 3 2" xfId="7510" xr:uid="{00000000-0005-0000-0000-000053180000}"/>
    <cellStyle name="Comma 3 5 3 2 2" xfId="10209" xr:uid="{00000000-0005-0000-0000-000054180000}"/>
    <cellStyle name="Comma 3 5 3 3" xfId="8869" xr:uid="{00000000-0005-0000-0000-000055180000}"/>
    <cellStyle name="Comma 3 5 4" xfId="6492" xr:uid="{00000000-0005-0000-0000-000056180000}"/>
    <cellStyle name="Comma 3 5 4 2" xfId="9209" xr:uid="{00000000-0005-0000-0000-000057180000}"/>
    <cellStyle name="Comma 3 5 5" xfId="7870" xr:uid="{00000000-0005-0000-0000-000058180000}"/>
    <cellStyle name="Comma 3 6" xfId="922" xr:uid="{00000000-0005-0000-0000-000059180000}"/>
    <cellStyle name="Comma 3 6 2" xfId="4876" xr:uid="{00000000-0005-0000-0000-00005A180000}"/>
    <cellStyle name="Comma 3 6 3" xfId="6655" xr:uid="{00000000-0005-0000-0000-00005B180000}"/>
    <cellStyle name="Comma 3 6 3 2" xfId="9362" xr:uid="{00000000-0005-0000-0000-00005C180000}"/>
    <cellStyle name="Comma 3 6 4" xfId="8023" xr:uid="{00000000-0005-0000-0000-00005D180000}"/>
    <cellStyle name="Comma 3 7" xfId="1001" xr:uid="{00000000-0005-0000-0000-00005E180000}"/>
    <cellStyle name="Comma 3 7 2" xfId="4877" xr:uid="{00000000-0005-0000-0000-00005F180000}"/>
    <cellStyle name="Comma 3 7 3" xfId="6732" xr:uid="{00000000-0005-0000-0000-000060180000}"/>
    <cellStyle name="Comma 3 7 3 2" xfId="9439" xr:uid="{00000000-0005-0000-0000-000061180000}"/>
    <cellStyle name="Comma 3 7 4" xfId="8100" xr:uid="{00000000-0005-0000-0000-000062180000}"/>
    <cellStyle name="Comma 3 8" xfId="238" xr:uid="{00000000-0005-0000-0000-000063180000}"/>
    <cellStyle name="Comma 3 8 2" xfId="4878" xr:uid="{00000000-0005-0000-0000-000064180000}"/>
    <cellStyle name="Comma 3 8 3" xfId="6399" xr:uid="{00000000-0005-0000-0000-000065180000}"/>
    <cellStyle name="Comma 3 8 3 2" xfId="9118" xr:uid="{00000000-0005-0000-0000-000066180000}"/>
    <cellStyle name="Comma 3 8 4" xfId="7779" xr:uid="{00000000-0005-0000-0000-000067180000}"/>
    <cellStyle name="Comma 3 9" xfId="1362" xr:uid="{00000000-0005-0000-0000-000068180000}"/>
    <cellStyle name="Comma 3 9 2" xfId="4879" xr:uid="{00000000-0005-0000-0000-000069180000}"/>
    <cellStyle name="Comma 3 9 3" xfId="7067" xr:uid="{00000000-0005-0000-0000-00006A180000}"/>
    <cellStyle name="Comma 3 9 3 2" xfId="9773" xr:uid="{00000000-0005-0000-0000-00006B180000}"/>
    <cellStyle name="Comma 3 9 4" xfId="8434" xr:uid="{00000000-0005-0000-0000-00006C180000}"/>
    <cellStyle name="Comma 30" xfId="523" xr:uid="{00000000-0005-0000-0000-00006D180000}"/>
    <cellStyle name="Comma 31" xfId="524" xr:uid="{00000000-0005-0000-0000-00006E180000}"/>
    <cellStyle name="Comma 31 2" xfId="931" xr:uid="{00000000-0005-0000-0000-00006F180000}"/>
    <cellStyle name="Comma 31 2 2" xfId="1207" xr:uid="{00000000-0005-0000-0000-000070180000}"/>
    <cellStyle name="Comma 31 2 2 2" xfId="6925" xr:uid="{00000000-0005-0000-0000-000071180000}"/>
    <cellStyle name="Comma 31 2 2 2 2" xfId="9632" xr:uid="{00000000-0005-0000-0000-000072180000}"/>
    <cellStyle name="Comma 31 2 2 3" xfId="8293" xr:uid="{00000000-0005-0000-0000-000073180000}"/>
    <cellStyle name="Comma 31 2 3" xfId="6664" xr:uid="{00000000-0005-0000-0000-000074180000}"/>
    <cellStyle name="Comma 31 2 3 2" xfId="9371" xr:uid="{00000000-0005-0000-0000-000075180000}"/>
    <cellStyle name="Comma 31 2 4" xfId="8032" xr:uid="{00000000-0005-0000-0000-000076180000}"/>
    <cellStyle name="Comma 31 3" xfId="1096" xr:uid="{00000000-0005-0000-0000-000077180000}"/>
    <cellStyle name="Comma 31 3 2" xfId="6826" xr:uid="{00000000-0005-0000-0000-000078180000}"/>
    <cellStyle name="Comma 31 3 2 2" xfId="9533" xr:uid="{00000000-0005-0000-0000-000079180000}"/>
    <cellStyle name="Comma 31 3 3" xfId="8194" xr:uid="{00000000-0005-0000-0000-00007A180000}"/>
    <cellStyle name="Comma 31 4" xfId="6502" xr:uid="{00000000-0005-0000-0000-00007B180000}"/>
    <cellStyle name="Comma 31 4 2" xfId="9219" xr:uid="{00000000-0005-0000-0000-00007C180000}"/>
    <cellStyle name="Comma 31 5" xfId="7880" xr:uid="{00000000-0005-0000-0000-00007D180000}"/>
    <cellStyle name="Comma 32" xfId="525" xr:uid="{00000000-0005-0000-0000-00007E180000}"/>
    <cellStyle name="Comma 32 2" xfId="932" xr:uid="{00000000-0005-0000-0000-00007F180000}"/>
    <cellStyle name="Comma 32 2 2" xfId="1208" xr:uid="{00000000-0005-0000-0000-000080180000}"/>
    <cellStyle name="Comma 32 2 2 2" xfId="6926" xr:uid="{00000000-0005-0000-0000-000081180000}"/>
    <cellStyle name="Comma 32 2 2 2 2" xfId="9633" xr:uid="{00000000-0005-0000-0000-000082180000}"/>
    <cellStyle name="Comma 32 2 2 3" xfId="8294" xr:uid="{00000000-0005-0000-0000-000083180000}"/>
    <cellStyle name="Comma 32 2 3" xfId="6665" xr:uid="{00000000-0005-0000-0000-000084180000}"/>
    <cellStyle name="Comma 32 2 3 2" xfId="9372" xr:uid="{00000000-0005-0000-0000-000085180000}"/>
    <cellStyle name="Comma 32 2 4" xfId="8033" xr:uid="{00000000-0005-0000-0000-000086180000}"/>
    <cellStyle name="Comma 32 3" xfId="1097" xr:uid="{00000000-0005-0000-0000-000087180000}"/>
    <cellStyle name="Comma 32 3 2" xfId="6827" xr:uid="{00000000-0005-0000-0000-000088180000}"/>
    <cellStyle name="Comma 32 3 2 2" xfId="9534" xr:uid="{00000000-0005-0000-0000-000089180000}"/>
    <cellStyle name="Comma 32 3 3" xfId="8195" xr:uid="{00000000-0005-0000-0000-00008A180000}"/>
    <cellStyle name="Comma 32 4" xfId="6503" xr:uid="{00000000-0005-0000-0000-00008B180000}"/>
    <cellStyle name="Comma 32 4 2" xfId="9220" xr:uid="{00000000-0005-0000-0000-00008C180000}"/>
    <cellStyle name="Comma 32 5" xfId="7881" xr:uid="{00000000-0005-0000-0000-00008D180000}"/>
    <cellStyle name="Comma 33" xfId="149" xr:uid="{00000000-0005-0000-0000-00008E180000}"/>
    <cellStyle name="Comma 33 2" xfId="150" xr:uid="{00000000-0005-0000-0000-00008F180000}"/>
    <cellStyle name="Comma 33 2 2" xfId="934" xr:uid="{00000000-0005-0000-0000-000090180000}"/>
    <cellStyle name="Comma 33 2 2 2" xfId="1210" xr:uid="{00000000-0005-0000-0000-000091180000}"/>
    <cellStyle name="Comma 33 2 2 2 2" xfId="6928" xr:uid="{00000000-0005-0000-0000-000092180000}"/>
    <cellStyle name="Comma 33 2 2 2 2 2" xfId="9635" xr:uid="{00000000-0005-0000-0000-000093180000}"/>
    <cellStyle name="Comma 33 2 2 2 3" xfId="8296" xr:uid="{00000000-0005-0000-0000-000094180000}"/>
    <cellStyle name="Comma 33 2 2 3" xfId="6667" xr:uid="{00000000-0005-0000-0000-000095180000}"/>
    <cellStyle name="Comma 33 2 2 3 2" xfId="9374" xr:uid="{00000000-0005-0000-0000-000096180000}"/>
    <cellStyle name="Comma 33 2 2 4" xfId="8035" xr:uid="{00000000-0005-0000-0000-000097180000}"/>
    <cellStyle name="Comma 33 2 3" xfId="1099" xr:uid="{00000000-0005-0000-0000-000098180000}"/>
    <cellStyle name="Comma 33 2 3 2" xfId="6829" xr:uid="{00000000-0005-0000-0000-000099180000}"/>
    <cellStyle name="Comma 33 2 3 2 2" xfId="9536" xr:uid="{00000000-0005-0000-0000-00009A180000}"/>
    <cellStyle name="Comma 33 2 3 3" xfId="8197" xr:uid="{00000000-0005-0000-0000-00009B180000}"/>
    <cellStyle name="Comma 33 2 4" xfId="527" xr:uid="{00000000-0005-0000-0000-00009C180000}"/>
    <cellStyle name="Comma 33 2 4 2" xfId="6505" xr:uid="{00000000-0005-0000-0000-00009D180000}"/>
    <cellStyle name="Comma 33 2 4 2 2" xfId="9222" xr:uid="{00000000-0005-0000-0000-00009E180000}"/>
    <cellStyle name="Comma 33 2 4 3" xfId="7883" xr:uid="{00000000-0005-0000-0000-00009F180000}"/>
    <cellStyle name="Comma 33 2 5" xfId="1368" xr:uid="{00000000-0005-0000-0000-0000A0180000}"/>
    <cellStyle name="Comma 33 2 5 2" xfId="7073" xr:uid="{00000000-0005-0000-0000-0000A1180000}"/>
    <cellStyle name="Comma 33 2 5 2 2" xfId="9778" xr:uid="{00000000-0005-0000-0000-0000A2180000}"/>
    <cellStyle name="Comma 33 2 5 3" xfId="8439" xr:uid="{00000000-0005-0000-0000-0000A3180000}"/>
    <cellStyle name="Comma 33 2 6" xfId="6348" xr:uid="{00000000-0005-0000-0000-0000A4180000}"/>
    <cellStyle name="Comma 33 2 6 2" xfId="9067" xr:uid="{00000000-0005-0000-0000-0000A5180000}"/>
    <cellStyle name="Comma 33 2 7" xfId="7728" xr:uid="{00000000-0005-0000-0000-0000A6180000}"/>
    <cellStyle name="Comma 33 3" xfId="528" xr:uid="{00000000-0005-0000-0000-0000A7180000}"/>
    <cellStyle name="Comma 33 3 2" xfId="935" xr:uid="{00000000-0005-0000-0000-0000A8180000}"/>
    <cellStyle name="Comma 33 3 2 2" xfId="1211" xr:uid="{00000000-0005-0000-0000-0000A9180000}"/>
    <cellStyle name="Comma 33 3 2 2 2" xfId="6929" xr:uid="{00000000-0005-0000-0000-0000AA180000}"/>
    <cellStyle name="Comma 33 3 2 2 2 2" xfId="9636" xr:uid="{00000000-0005-0000-0000-0000AB180000}"/>
    <cellStyle name="Comma 33 3 2 2 3" xfId="8297" xr:uid="{00000000-0005-0000-0000-0000AC180000}"/>
    <cellStyle name="Comma 33 3 2 3" xfId="6668" xr:uid="{00000000-0005-0000-0000-0000AD180000}"/>
    <cellStyle name="Comma 33 3 2 3 2" xfId="9375" xr:uid="{00000000-0005-0000-0000-0000AE180000}"/>
    <cellStyle name="Comma 33 3 2 4" xfId="8036" xr:uid="{00000000-0005-0000-0000-0000AF180000}"/>
    <cellStyle name="Comma 33 3 3" xfId="1100" xr:uid="{00000000-0005-0000-0000-0000B0180000}"/>
    <cellStyle name="Comma 33 3 3 2" xfId="6830" xr:uid="{00000000-0005-0000-0000-0000B1180000}"/>
    <cellStyle name="Comma 33 3 3 2 2" xfId="9537" xr:uid="{00000000-0005-0000-0000-0000B2180000}"/>
    <cellStyle name="Comma 33 3 3 3" xfId="8198" xr:uid="{00000000-0005-0000-0000-0000B3180000}"/>
    <cellStyle name="Comma 33 3 4" xfId="1448" xr:uid="{00000000-0005-0000-0000-0000B4180000}"/>
    <cellStyle name="Comma 33 3 4 2" xfId="7143" xr:uid="{00000000-0005-0000-0000-0000B5180000}"/>
    <cellStyle name="Comma 33 3 4 2 2" xfId="9846" xr:uid="{00000000-0005-0000-0000-0000B6180000}"/>
    <cellStyle name="Comma 33 3 4 3" xfId="8506" xr:uid="{00000000-0005-0000-0000-0000B7180000}"/>
    <cellStyle name="Comma 33 3 5" xfId="6506" xr:uid="{00000000-0005-0000-0000-0000B8180000}"/>
    <cellStyle name="Comma 33 3 5 2" xfId="9223" xr:uid="{00000000-0005-0000-0000-0000B9180000}"/>
    <cellStyle name="Comma 33 3 6" xfId="7884" xr:uid="{00000000-0005-0000-0000-0000BA180000}"/>
    <cellStyle name="Comma 33 4" xfId="933" xr:uid="{00000000-0005-0000-0000-0000BB180000}"/>
    <cellStyle name="Comma 33 4 2" xfId="1209" xr:uid="{00000000-0005-0000-0000-0000BC180000}"/>
    <cellStyle name="Comma 33 4 2 2" xfId="6927" xr:uid="{00000000-0005-0000-0000-0000BD180000}"/>
    <cellStyle name="Comma 33 4 2 2 2" xfId="9634" xr:uid="{00000000-0005-0000-0000-0000BE180000}"/>
    <cellStyle name="Comma 33 4 2 3" xfId="8295" xr:uid="{00000000-0005-0000-0000-0000BF180000}"/>
    <cellStyle name="Comma 33 4 3" xfId="6666" xr:uid="{00000000-0005-0000-0000-0000C0180000}"/>
    <cellStyle name="Comma 33 4 3 2" xfId="9373" xr:uid="{00000000-0005-0000-0000-0000C1180000}"/>
    <cellStyle name="Comma 33 4 4" xfId="8034" xr:uid="{00000000-0005-0000-0000-0000C2180000}"/>
    <cellStyle name="Comma 33 5" xfId="1098" xr:uid="{00000000-0005-0000-0000-0000C3180000}"/>
    <cellStyle name="Comma 33 5 2" xfId="6828" xr:uid="{00000000-0005-0000-0000-0000C4180000}"/>
    <cellStyle name="Comma 33 5 2 2" xfId="9535" xr:uid="{00000000-0005-0000-0000-0000C5180000}"/>
    <cellStyle name="Comma 33 5 3" xfId="8196" xr:uid="{00000000-0005-0000-0000-0000C6180000}"/>
    <cellStyle name="Comma 33 6" xfId="526" xr:uid="{00000000-0005-0000-0000-0000C7180000}"/>
    <cellStyle name="Comma 33 6 2" xfId="6504" xr:uid="{00000000-0005-0000-0000-0000C8180000}"/>
    <cellStyle name="Comma 33 6 2 2" xfId="9221" xr:uid="{00000000-0005-0000-0000-0000C9180000}"/>
    <cellStyle name="Comma 33 6 3" xfId="7882" xr:uid="{00000000-0005-0000-0000-0000CA180000}"/>
    <cellStyle name="Comma 34" xfId="529" xr:uid="{00000000-0005-0000-0000-0000CB180000}"/>
    <cellStyle name="Comma 34 2" xfId="936" xr:uid="{00000000-0005-0000-0000-0000CC180000}"/>
    <cellStyle name="Comma 34 2 2" xfId="1212" xr:uid="{00000000-0005-0000-0000-0000CD180000}"/>
    <cellStyle name="Comma 34 2 2 2" xfId="6930" xr:uid="{00000000-0005-0000-0000-0000CE180000}"/>
    <cellStyle name="Comma 34 2 2 2 2" xfId="9637" xr:uid="{00000000-0005-0000-0000-0000CF180000}"/>
    <cellStyle name="Comma 34 2 2 3" xfId="8298" xr:uid="{00000000-0005-0000-0000-0000D0180000}"/>
    <cellStyle name="Comma 34 2 3" xfId="6669" xr:uid="{00000000-0005-0000-0000-0000D1180000}"/>
    <cellStyle name="Comma 34 2 3 2" xfId="9376" xr:uid="{00000000-0005-0000-0000-0000D2180000}"/>
    <cellStyle name="Comma 34 2 4" xfId="8037" xr:uid="{00000000-0005-0000-0000-0000D3180000}"/>
    <cellStyle name="Comma 34 3" xfId="1101" xr:uid="{00000000-0005-0000-0000-0000D4180000}"/>
    <cellStyle name="Comma 34 3 2" xfId="6831" xr:uid="{00000000-0005-0000-0000-0000D5180000}"/>
    <cellStyle name="Comma 34 3 2 2" xfId="9538" xr:uid="{00000000-0005-0000-0000-0000D6180000}"/>
    <cellStyle name="Comma 34 3 3" xfId="8199" xr:uid="{00000000-0005-0000-0000-0000D7180000}"/>
    <cellStyle name="Comma 34 4" xfId="6507" xr:uid="{00000000-0005-0000-0000-0000D8180000}"/>
    <cellStyle name="Comma 34 4 2" xfId="9224" xr:uid="{00000000-0005-0000-0000-0000D9180000}"/>
    <cellStyle name="Comma 34 5" xfId="7885" xr:uid="{00000000-0005-0000-0000-0000DA180000}"/>
    <cellStyle name="Comma 35" xfId="530" xr:uid="{00000000-0005-0000-0000-0000DB180000}"/>
    <cellStyle name="Comma 35 2" xfId="937" xr:uid="{00000000-0005-0000-0000-0000DC180000}"/>
    <cellStyle name="Comma 35 2 2" xfId="1213" xr:uid="{00000000-0005-0000-0000-0000DD180000}"/>
    <cellStyle name="Comma 35 2 2 2" xfId="6931" xr:uid="{00000000-0005-0000-0000-0000DE180000}"/>
    <cellStyle name="Comma 35 2 2 2 2" xfId="9638" xr:uid="{00000000-0005-0000-0000-0000DF180000}"/>
    <cellStyle name="Comma 35 2 2 3" xfId="8299" xr:uid="{00000000-0005-0000-0000-0000E0180000}"/>
    <cellStyle name="Comma 35 2 3" xfId="6670" xr:uid="{00000000-0005-0000-0000-0000E1180000}"/>
    <cellStyle name="Comma 35 2 3 2" xfId="9377" xr:uid="{00000000-0005-0000-0000-0000E2180000}"/>
    <cellStyle name="Comma 35 2 4" xfId="8038" xr:uid="{00000000-0005-0000-0000-0000E3180000}"/>
    <cellStyle name="Comma 35 3" xfId="1102" xr:uid="{00000000-0005-0000-0000-0000E4180000}"/>
    <cellStyle name="Comma 35 3 2" xfId="6832" xr:uid="{00000000-0005-0000-0000-0000E5180000}"/>
    <cellStyle name="Comma 35 3 2 2" xfId="9539" xr:uid="{00000000-0005-0000-0000-0000E6180000}"/>
    <cellStyle name="Comma 35 3 3" xfId="8200" xr:uid="{00000000-0005-0000-0000-0000E7180000}"/>
    <cellStyle name="Comma 35 4" xfId="6508" xr:uid="{00000000-0005-0000-0000-0000E8180000}"/>
    <cellStyle name="Comma 35 4 2" xfId="9225" xr:uid="{00000000-0005-0000-0000-0000E9180000}"/>
    <cellStyle name="Comma 35 5" xfId="7886" xr:uid="{00000000-0005-0000-0000-0000EA180000}"/>
    <cellStyle name="Comma 36" xfId="531" xr:uid="{00000000-0005-0000-0000-0000EB180000}"/>
    <cellStyle name="Comma 36 2" xfId="938" xr:uid="{00000000-0005-0000-0000-0000EC180000}"/>
    <cellStyle name="Comma 36 2 2" xfId="1214" xr:uid="{00000000-0005-0000-0000-0000ED180000}"/>
    <cellStyle name="Comma 36 2 2 2" xfId="6932" xr:uid="{00000000-0005-0000-0000-0000EE180000}"/>
    <cellStyle name="Comma 36 2 2 2 2" xfId="9639" xr:uid="{00000000-0005-0000-0000-0000EF180000}"/>
    <cellStyle name="Comma 36 2 2 3" xfId="8300" xr:uid="{00000000-0005-0000-0000-0000F0180000}"/>
    <cellStyle name="Comma 36 2 3" xfId="6671" xr:uid="{00000000-0005-0000-0000-0000F1180000}"/>
    <cellStyle name="Comma 36 2 3 2" xfId="9378" xr:uid="{00000000-0005-0000-0000-0000F2180000}"/>
    <cellStyle name="Comma 36 2 4" xfId="8039" xr:uid="{00000000-0005-0000-0000-0000F3180000}"/>
    <cellStyle name="Comma 36 3" xfId="1103" xr:uid="{00000000-0005-0000-0000-0000F4180000}"/>
    <cellStyle name="Comma 36 3 2" xfId="6833" xr:uid="{00000000-0005-0000-0000-0000F5180000}"/>
    <cellStyle name="Comma 36 3 2 2" xfId="9540" xr:uid="{00000000-0005-0000-0000-0000F6180000}"/>
    <cellStyle name="Comma 36 3 3" xfId="8201" xr:uid="{00000000-0005-0000-0000-0000F7180000}"/>
    <cellStyle name="Comma 36 4" xfId="6509" xr:uid="{00000000-0005-0000-0000-0000F8180000}"/>
    <cellStyle name="Comma 36 4 2" xfId="9226" xr:uid="{00000000-0005-0000-0000-0000F9180000}"/>
    <cellStyle name="Comma 36 5" xfId="7887" xr:uid="{00000000-0005-0000-0000-0000FA180000}"/>
    <cellStyle name="Comma 37" xfId="532" xr:uid="{00000000-0005-0000-0000-0000FB180000}"/>
    <cellStyle name="Comma 37 3" xfId="533" xr:uid="{00000000-0005-0000-0000-0000FC180000}"/>
    <cellStyle name="Comma 37 3 2" xfId="939" xr:uid="{00000000-0005-0000-0000-0000FD180000}"/>
    <cellStyle name="Comma 37 3 2 2" xfId="1216" xr:uid="{00000000-0005-0000-0000-0000FE180000}"/>
    <cellStyle name="Comma 37 3 2 2 2" xfId="6934" xr:uid="{00000000-0005-0000-0000-0000FF180000}"/>
    <cellStyle name="Comma 37 3 2 2 2 2" xfId="9641" xr:uid="{00000000-0005-0000-0000-000000190000}"/>
    <cellStyle name="Comma 37 3 2 2 3" xfId="8302" xr:uid="{00000000-0005-0000-0000-000001190000}"/>
    <cellStyle name="Comma 37 3 2 3" xfId="6672" xr:uid="{00000000-0005-0000-0000-000002190000}"/>
    <cellStyle name="Comma 37 3 2 3 2" xfId="9379" xr:uid="{00000000-0005-0000-0000-000003190000}"/>
    <cellStyle name="Comma 37 3 2 4" xfId="8040" xr:uid="{00000000-0005-0000-0000-000004190000}"/>
    <cellStyle name="Comma 37 3 3" xfId="1104" xr:uid="{00000000-0005-0000-0000-000005190000}"/>
    <cellStyle name="Comma 37 3 3 2" xfId="6834" xr:uid="{00000000-0005-0000-0000-000006190000}"/>
    <cellStyle name="Comma 37 3 3 2 2" xfId="9541" xr:uid="{00000000-0005-0000-0000-000007190000}"/>
    <cellStyle name="Comma 37 3 3 3" xfId="8202" xr:uid="{00000000-0005-0000-0000-000008190000}"/>
    <cellStyle name="Comma 37 3 4" xfId="1484" xr:uid="{00000000-0005-0000-0000-000009190000}"/>
    <cellStyle name="Comma 37 3 4 2" xfId="7175" xr:uid="{00000000-0005-0000-0000-00000A190000}"/>
    <cellStyle name="Comma 37 3 4 2 2" xfId="9878" xr:uid="{00000000-0005-0000-0000-00000B190000}"/>
    <cellStyle name="Comma 37 3 4 3" xfId="8538" xr:uid="{00000000-0005-0000-0000-00000C190000}"/>
    <cellStyle name="Comma 37 3 5" xfId="6510" xr:uid="{00000000-0005-0000-0000-00000D190000}"/>
    <cellStyle name="Comma 37 3 5 2" xfId="9227" xr:uid="{00000000-0005-0000-0000-00000E190000}"/>
    <cellStyle name="Comma 37 3 6" xfId="7888" xr:uid="{00000000-0005-0000-0000-00000F190000}"/>
    <cellStyle name="Comma 38" xfId="534" xr:uid="{00000000-0005-0000-0000-000010190000}"/>
    <cellStyle name="Comma 38 2" xfId="940" xr:uid="{00000000-0005-0000-0000-000011190000}"/>
    <cellStyle name="Comma 38 2 2" xfId="1217" xr:uid="{00000000-0005-0000-0000-000012190000}"/>
    <cellStyle name="Comma 38 2 2 2" xfId="6935" xr:uid="{00000000-0005-0000-0000-000013190000}"/>
    <cellStyle name="Comma 38 2 2 2 2" xfId="9642" xr:uid="{00000000-0005-0000-0000-000014190000}"/>
    <cellStyle name="Comma 38 2 2 3" xfId="8303" xr:uid="{00000000-0005-0000-0000-000015190000}"/>
    <cellStyle name="Comma 38 2 3" xfId="6673" xr:uid="{00000000-0005-0000-0000-000016190000}"/>
    <cellStyle name="Comma 38 2 3 2" xfId="9380" xr:uid="{00000000-0005-0000-0000-000017190000}"/>
    <cellStyle name="Comma 38 2 4" xfId="8041" xr:uid="{00000000-0005-0000-0000-000018190000}"/>
    <cellStyle name="Comma 38 3" xfId="1105" xr:uid="{00000000-0005-0000-0000-000019190000}"/>
    <cellStyle name="Comma 38 3 2" xfId="6835" xr:uid="{00000000-0005-0000-0000-00001A190000}"/>
    <cellStyle name="Comma 38 3 2 2" xfId="9542" xr:uid="{00000000-0005-0000-0000-00001B190000}"/>
    <cellStyle name="Comma 38 3 3" xfId="8203" xr:uid="{00000000-0005-0000-0000-00001C190000}"/>
    <cellStyle name="Comma 38 4" xfId="1485" xr:uid="{00000000-0005-0000-0000-00001D190000}"/>
    <cellStyle name="Comma 38 4 2" xfId="7176" xr:uid="{00000000-0005-0000-0000-00001E190000}"/>
    <cellStyle name="Comma 38 4 2 2" xfId="9879" xr:uid="{00000000-0005-0000-0000-00001F190000}"/>
    <cellStyle name="Comma 38 4 3" xfId="8539" xr:uid="{00000000-0005-0000-0000-000020190000}"/>
    <cellStyle name="Comma 38 5" xfId="6511" xr:uid="{00000000-0005-0000-0000-000021190000}"/>
    <cellStyle name="Comma 38 5 2" xfId="9228" xr:uid="{00000000-0005-0000-0000-000022190000}"/>
    <cellStyle name="Comma 38 6" xfId="7889" xr:uid="{00000000-0005-0000-0000-000023190000}"/>
    <cellStyle name="Comma 39" xfId="535" xr:uid="{00000000-0005-0000-0000-000024190000}"/>
    <cellStyle name="Comma 4" xfId="13" xr:uid="{00000000-0005-0000-0000-000025190000}"/>
    <cellStyle name="Comma 4 2" xfId="152" xr:uid="{00000000-0005-0000-0000-000026190000}"/>
    <cellStyle name="Comma 4 2 2" xfId="280" xr:uid="{00000000-0005-0000-0000-000027190000}"/>
    <cellStyle name="Comma 4 2 2 2" xfId="538" xr:uid="{00000000-0005-0000-0000-000028190000}"/>
    <cellStyle name="Comma 4 2 2 2 2" xfId="943" xr:uid="{00000000-0005-0000-0000-000029190000}"/>
    <cellStyle name="Comma 4 2 2 2 2 2" xfId="1220" xr:uid="{00000000-0005-0000-0000-00002A190000}"/>
    <cellStyle name="Comma 4 2 2 2 2 2 2" xfId="6938" xr:uid="{00000000-0005-0000-0000-00002B190000}"/>
    <cellStyle name="Comma 4 2 2 2 2 2 2 2" xfId="9645" xr:uid="{00000000-0005-0000-0000-00002C190000}"/>
    <cellStyle name="Comma 4 2 2 2 2 2 3" xfId="8306" xr:uid="{00000000-0005-0000-0000-00002D190000}"/>
    <cellStyle name="Comma 4 2 2 2 2 3" xfId="4881" xr:uid="{00000000-0005-0000-0000-00002E190000}"/>
    <cellStyle name="Comma 4 2 2 2 2 3 2" xfId="7512" xr:uid="{00000000-0005-0000-0000-00002F190000}"/>
    <cellStyle name="Comma 4 2 2 2 2 3 2 2" xfId="10211" xr:uid="{00000000-0005-0000-0000-000030190000}"/>
    <cellStyle name="Comma 4 2 2 2 2 3 3" xfId="8871" xr:uid="{00000000-0005-0000-0000-000031190000}"/>
    <cellStyle name="Comma 4 2 2 2 2 4" xfId="6676" xr:uid="{00000000-0005-0000-0000-000032190000}"/>
    <cellStyle name="Comma 4 2 2 2 2 4 2" xfId="9383" xr:uid="{00000000-0005-0000-0000-000033190000}"/>
    <cellStyle name="Comma 4 2 2 2 2 5" xfId="8044" xr:uid="{00000000-0005-0000-0000-000034190000}"/>
    <cellStyle name="Comma 4 2 2 2 3" xfId="1054" xr:uid="{00000000-0005-0000-0000-000035190000}"/>
    <cellStyle name="Comma 4 2 2 2 3 2" xfId="4882" xr:uid="{00000000-0005-0000-0000-000036190000}"/>
    <cellStyle name="Comma 4 2 2 2 3 2 2" xfId="7513" xr:uid="{00000000-0005-0000-0000-000037190000}"/>
    <cellStyle name="Comma 4 2 2 2 3 2 2 2" xfId="10212" xr:uid="{00000000-0005-0000-0000-000038190000}"/>
    <cellStyle name="Comma 4 2 2 2 3 2 3" xfId="8872" xr:uid="{00000000-0005-0000-0000-000039190000}"/>
    <cellStyle name="Comma 4 2 2 2 3 3" xfId="6785" xr:uid="{00000000-0005-0000-0000-00003A190000}"/>
    <cellStyle name="Comma 4 2 2 2 3 3 2" xfId="9492" xr:uid="{00000000-0005-0000-0000-00003B190000}"/>
    <cellStyle name="Comma 4 2 2 2 3 4" xfId="8153" xr:uid="{00000000-0005-0000-0000-00003C190000}"/>
    <cellStyle name="Comma 4 2 2 2 4" xfId="4880" xr:uid="{00000000-0005-0000-0000-00003D190000}"/>
    <cellStyle name="Comma 4 2 2 2 4 2" xfId="7511" xr:uid="{00000000-0005-0000-0000-00003E190000}"/>
    <cellStyle name="Comma 4 2 2 2 4 2 2" xfId="10210" xr:uid="{00000000-0005-0000-0000-00003F190000}"/>
    <cellStyle name="Comma 4 2 2 2 4 3" xfId="8870" xr:uid="{00000000-0005-0000-0000-000040190000}"/>
    <cellStyle name="Comma 4 2 2 2 5" xfId="6514" xr:uid="{00000000-0005-0000-0000-000041190000}"/>
    <cellStyle name="Comma 4 2 2 2 5 2" xfId="9231" xr:uid="{00000000-0005-0000-0000-000042190000}"/>
    <cellStyle name="Comma 4 2 2 2 6" xfId="7892" xr:uid="{00000000-0005-0000-0000-000043190000}"/>
    <cellStyle name="Comma 4 2 2 3" xfId="537" xr:uid="{00000000-0005-0000-0000-000044190000}"/>
    <cellStyle name="Comma 4 2 2 3 2" xfId="1219" xr:uid="{00000000-0005-0000-0000-000045190000}"/>
    <cellStyle name="Comma 4 2 2 3 2 2" xfId="6937" xr:uid="{00000000-0005-0000-0000-000046190000}"/>
    <cellStyle name="Comma 4 2 2 3 2 2 2" xfId="9644" xr:uid="{00000000-0005-0000-0000-000047190000}"/>
    <cellStyle name="Comma 4 2 2 3 2 3" xfId="8305" xr:uid="{00000000-0005-0000-0000-000048190000}"/>
    <cellStyle name="Comma 4 2 2 3 3" xfId="6513" xr:uid="{00000000-0005-0000-0000-000049190000}"/>
    <cellStyle name="Comma 4 2 2 3 3 2" xfId="9230" xr:uid="{00000000-0005-0000-0000-00004A190000}"/>
    <cellStyle name="Comma 4 2 2 3 4" xfId="7891" xr:uid="{00000000-0005-0000-0000-00004B190000}"/>
    <cellStyle name="Comma 4 2 2 4" xfId="942" xr:uid="{00000000-0005-0000-0000-00004C190000}"/>
    <cellStyle name="Comma 4 2 2 4 2" xfId="6675" xr:uid="{00000000-0005-0000-0000-00004D190000}"/>
    <cellStyle name="Comma 4 2 2 4 2 2" xfId="9382" xr:uid="{00000000-0005-0000-0000-00004E190000}"/>
    <cellStyle name="Comma 4 2 2 4 3" xfId="8043" xr:uid="{00000000-0005-0000-0000-00004F190000}"/>
    <cellStyle name="Comma 4 2 2 5" xfId="1026" xr:uid="{00000000-0005-0000-0000-000050190000}"/>
    <cellStyle name="Comma 4 2 2 5 2" xfId="6757" xr:uid="{00000000-0005-0000-0000-000051190000}"/>
    <cellStyle name="Comma 4 2 2 5 2 2" xfId="9464" xr:uid="{00000000-0005-0000-0000-000052190000}"/>
    <cellStyle name="Comma 4 2 2 5 3" xfId="8125" xr:uid="{00000000-0005-0000-0000-000053190000}"/>
    <cellStyle name="Comma 4 2 2 6" xfId="1438" xr:uid="{00000000-0005-0000-0000-000054190000}"/>
    <cellStyle name="Comma 4 2 2 6 2" xfId="7134" xr:uid="{00000000-0005-0000-0000-000055190000}"/>
    <cellStyle name="Comma 4 2 2 6 2 2" xfId="9837" xr:uid="{00000000-0005-0000-0000-000056190000}"/>
    <cellStyle name="Comma 4 2 2 6 3" xfId="8497" xr:uid="{00000000-0005-0000-0000-000057190000}"/>
    <cellStyle name="Comma 4 2 2 7" xfId="6431" xr:uid="{00000000-0005-0000-0000-000058190000}"/>
    <cellStyle name="Comma 4 2 2 7 2" xfId="9150" xr:uid="{00000000-0005-0000-0000-000059190000}"/>
    <cellStyle name="Comma 4 2 2 8" xfId="7811" xr:uid="{00000000-0005-0000-0000-00005A190000}"/>
    <cellStyle name="Comma 4 2 3" xfId="536" xr:uid="{00000000-0005-0000-0000-00005B190000}"/>
    <cellStyle name="Comma 4 2 3 2" xfId="982" xr:uid="{00000000-0005-0000-0000-00005C190000}"/>
    <cellStyle name="Comma 4 2 3 2 2" xfId="1301" xr:uid="{00000000-0005-0000-0000-00005D190000}"/>
    <cellStyle name="Comma 4 2 3 2 2 2" xfId="4884" xr:uid="{00000000-0005-0000-0000-00005E190000}"/>
    <cellStyle name="Comma 4 2 3 2 2 2 2" xfId="7515" xr:uid="{00000000-0005-0000-0000-00005F190000}"/>
    <cellStyle name="Comma 4 2 3 2 2 2 2 2" xfId="10214" xr:uid="{00000000-0005-0000-0000-000060190000}"/>
    <cellStyle name="Comma 4 2 3 2 2 2 3" xfId="8874" xr:uid="{00000000-0005-0000-0000-000061190000}"/>
    <cellStyle name="Comma 4 2 3 2 2 3" xfId="7011" xr:uid="{00000000-0005-0000-0000-000062190000}"/>
    <cellStyle name="Comma 4 2 3 2 2 3 2" xfId="9718" xr:uid="{00000000-0005-0000-0000-000063190000}"/>
    <cellStyle name="Comma 4 2 3 2 2 4" xfId="8379" xr:uid="{00000000-0005-0000-0000-000064190000}"/>
    <cellStyle name="Comma 4 2 3 2 3" xfId="4885" xr:uid="{00000000-0005-0000-0000-000065190000}"/>
    <cellStyle name="Comma 4 2 3 2 3 2" xfId="7516" xr:uid="{00000000-0005-0000-0000-000066190000}"/>
    <cellStyle name="Comma 4 2 3 2 3 2 2" xfId="10215" xr:uid="{00000000-0005-0000-0000-000067190000}"/>
    <cellStyle name="Comma 4 2 3 2 3 3" xfId="8875" xr:uid="{00000000-0005-0000-0000-000068190000}"/>
    <cellStyle name="Comma 4 2 3 2 4" xfId="4883" xr:uid="{00000000-0005-0000-0000-000069190000}"/>
    <cellStyle name="Comma 4 2 3 2 4 2" xfId="7514" xr:uid="{00000000-0005-0000-0000-00006A190000}"/>
    <cellStyle name="Comma 4 2 3 2 4 2 2" xfId="10213" xr:uid="{00000000-0005-0000-0000-00006B190000}"/>
    <cellStyle name="Comma 4 2 3 2 4 3" xfId="8873" xr:uid="{00000000-0005-0000-0000-00006C190000}"/>
    <cellStyle name="Comma 4 2 3 2 5" xfId="6714" xr:uid="{00000000-0005-0000-0000-00006D190000}"/>
    <cellStyle name="Comma 4 2 3 2 5 2" xfId="9421" xr:uid="{00000000-0005-0000-0000-00006E190000}"/>
    <cellStyle name="Comma 4 2 3 2 6" xfId="8082" xr:uid="{00000000-0005-0000-0000-00006F190000}"/>
    <cellStyle name="Comma 4 2 3 3" xfId="1039" xr:uid="{00000000-0005-0000-0000-000070190000}"/>
    <cellStyle name="Comma 4 2 3 3 2" xfId="6770" xr:uid="{00000000-0005-0000-0000-000071190000}"/>
    <cellStyle name="Comma 4 2 3 3 2 2" xfId="9477" xr:uid="{00000000-0005-0000-0000-000072190000}"/>
    <cellStyle name="Comma 4 2 3 3 3" xfId="8138" xr:uid="{00000000-0005-0000-0000-000073190000}"/>
    <cellStyle name="Comma 4 2 3 4" xfId="6512" xr:uid="{00000000-0005-0000-0000-000074190000}"/>
    <cellStyle name="Comma 4 2 3 4 2" xfId="9229" xr:uid="{00000000-0005-0000-0000-000075190000}"/>
    <cellStyle name="Comma 4 2 3 5" xfId="7890" xr:uid="{00000000-0005-0000-0000-000076190000}"/>
    <cellStyle name="Comma 4 2 4" xfId="941" xr:uid="{00000000-0005-0000-0000-000077190000}"/>
    <cellStyle name="Comma 4 2 4 2" xfId="1218" xr:uid="{00000000-0005-0000-0000-000078190000}"/>
    <cellStyle name="Comma 4 2 4 2 2" xfId="4887" xr:uid="{00000000-0005-0000-0000-000079190000}"/>
    <cellStyle name="Comma 4 2 4 2 2 2" xfId="7518" xr:uid="{00000000-0005-0000-0000-00007A190000}"/>
    <cellStyle name="Comma 4 2 4 2 2 2 2" xfId="10217" xr:uid="{00000000-0005-0000-0000-00007B190000}"/>
    <cellStyle name="Comma 4 2 4 2 2 3" xfId="8877" xr:uid="{00000000-0005-0000-0000-00007C190000}"/>
    <cellStyle name="Comma 4 2 4 2 3" xfId="6936" xr:uid="{00000000-0005-0000-0000-00007D190000}"/>
    <cellStyle name="Comma 4 2 4 2 3 2" xfId="9643" xr:uid="{00000000-0005-0000-0000-00007E190000}"/>
    <cellStyle name="Comma 4 2 4 2 4" xfId="8304" xr:uid="{00000000-0005-0000-0000-00007F190000}"/>
    <cellStyle name="Comma 4 2 4 3" xfId="4888" xr:uid="{00000000-0005-0000-0000-000080190000}"/>
    <cellStyle name="Comma 4 2 4 3 2" xfId="7519" xr:uid="{00000000-0005-0000-0000-000081190000}"/>
    <cellStyle name="Comma 4 2 4 3 2 2" xfId="10218" xr:uid="{00000000-0005-0000-0000-000082190000}"/>
    <cellStyle name="Comma 4 2 4 3 3" xfId="8878" xr:uid="{00000000-0005-0000-0000-000083190000}"/>
    <cellStyle name="Comma 4 2 4 4" xfId="4886" xr:uid="{00000000-0005-0000-0000-000084190000}"/>
    <cellStyle name="Comma 4 2 4 4 2" xfId="7517" xr:uid="{00000000-0005-0000-0000-000085190000}"/>
    <cellStyle name="Comma 4 2 4 4 2 2" xfId="10216" xr:uid="{00000000-0005-0000-0000-000086190000}"/>
    <cellStyle name="Comma 4 2 4 4 3" xfId="8876" xr:uid="{00000000-0005-0000-0000-000087190000}"/>
    <cellStyle name="Comma 4 2 4 5" xfId="6674" xr:uid="{00000000-0005-0000-0000-000088190000}"/>
    <cellStyle name="Comma 4 2 4 5 2" xfId="9381" xr:uid="{00000000-0005-0000-0000-000089190000}"/>
    <cellStyle name="Comma 4 2 4 6" xfId="8042" xr:uid="{00000000-0005-0000-0000-00008A190000}"/>
    <cellStyle name="Comma 4 2 5" xfId="1011" xr:uid="{00000000-0005-0000-0000-00008B190000}"/>
    <cellStyle name="Comma 4 2 5 2" xfId="6742" xr:uid="{00000000-0005-0000-0000-00008C190000}"/>
    <cellStyle name="Comma 4 2 5 2 2" xfId="9449" xr:uid="{00000000-0005-0000-0000-00008D190000}"/>
    <cellStyle name="Comma 4 2 5 3" xfId="8110" xr:uid="{00000000-0005-0000-0000-00008E190000}"/>
    <cellStyle name="Comma 4 2 6" xfId="265" xr:uid="{00000000-0005-0000-0000-00008F190000}"/>
    <cellStyle name="Comma 4 2 6 2" xfId="6416" xr:uid="{00000000-0005-0000-0000-000090190000}"/>
    <cellStyle name="Comma 4 2 6 2 2" xfId="9135" xr:uid="{00000000-0005-0000-0000-000091190000}"/>
    <cellStyle name="Comma 4 2 6 3" xfId="7796" xr:uid="{00000000-0005-0000-0000-000092190000}"/>
    <cellStyle name="Comma 4 2 7" xfId="1369" xr:uid="{00000000-0005-0000-0000-000093190000}"/>
    <cellStyle name="Comma 4 2 7 2" xfId="7074" xr:uid="{00000000-0005-0000-0000-000094190000}"/>
    <cellStyle name="Comma 4 2 7 2 2" xfId="9779" xr:uid="{00000000-0005-0000-0000-000095190000}"/>
    <cellStyle name="Comma 4 2 7 3" xfId="8440" xr:uid="{00000000-0005-0000-0000-000096190000}"/>
    <cellStyle name="Comma 4 2 8" xfId="6349" xr:uid="{00000000-0005-0000-0000-000097190000}"/>
    <cellStyle name="Comma 4 2 8 2" xfId="9068" xr:uid="{00000000-0005-0000-0000-000098190000}"/>
    <cellStyle name="Comma 4 2 9" xfId="7729" xr:uid="{00000000-0005-0000-0000-000099190000}"/>
    <cellStyle name="Comma 4 3" xfId="539" xr:uid="{00000000-0005-0000-0000-00009A190000}"/>
    <cellStyle name="Comma 4 3 2" xfId="540" xr:uid="{00000000-0005-0000-0000-00009B190000}"/>
    <cellStyle name="Comma 4 3 2 2" xfId="944" xr:uid="{00000000-0005-0000-0000-00009C190000}"/>
    <cellStyle name="Comma 4 3 2 2 2" xfId="1221" xr:uid="{00000000-0005-0000-0000-00009D190000}"/>
    <cellStyle name="Comma 4 3 2 2 2 2" xfId="4890" xr:uid="{00000000-0005-0000-0000-00009E190000}"/>
    <cellStyle name="Comma 4 3 2 2 2 2 2" xfId="7521" xr:uid="{00000000-0005-0000-0000-00009F190000}"/>
    <cellStyle name="Comma 4 3 2 2 2 2 2 2" xfId="10220" xr:uid="{00000000-0005-0000-0000-0000A0190000}"/>
    <cellStyle name="Comma 4 3 2 2 2 2 3" xfId="8880" xr:uid="{00000000-0005-0000-0000-0000A1190000}"/>
    <cellStyle name="Comma 4 3 2 2 2 3" xfId="6939" xr:uid="{00000000-0005-0000-0000-0000A2190000}"/>
    <cellStyle name="Comma 4 3 2 2 2 3 2" xfId="9646" xr:uid="{00000000-0005-0000-0000-0000A3190000}"/>
    <cellStyle name="Comma 4 3 2 2 2 4" xfId="8307" xr:uid="{00000000-0005-0000-0000-0000A4190000}"/>
    <cellStyle name="Comma 4 3 2 2 3" xfId="4891" xr:uid="{00000000-0005-0000-0000-0000A5190000}"/>
    <cellStyle name="Comma 4 3 2 2 3 2" xfId="7522" xr:uid="{00000000-0005-0000-0000-0000A6190000}"/>
    <cellStyle name="Comma 4 3 2 2 3 2 2" xfId="10221" xr:uid="{00000000-0005-0000-0000-0000A7190000}"/>
    <cellStyle name="Comma 4 3 2 2 3 3" xfId="8881" xr:uid="{00000000-0005-0000-0000-0000A8190000}"/>
    <cellStyle name="Comma 4 3 2 2 4" xfId="4889" xr:uid="{00000000-0005-0000-0000-0000A9190000}"/>
    <cellStyle name="Comma 4 3 2 2 4 2" xfId="7520" xr:uid="{00000000-0005-0000-0000-0000AA190000}"/>
    <cellStyle name="Comma 4 3 2 2 4 2 2" xfId="10219" xr:uid="{00000000-0005-0000-0000-0000AB190000}"/>
    <cellStyle name="Comma 4 3 2 2 4 3" xfId="8879" xr:uid="{00000000-0005-0000-0000-0000AC190000}"/>
    <cellStyle name="Comma 4 3 2 2 5" xfId="6677" xr:uid="{00000000-0005-0000-0000-0000AD190000}"/>
    <cellStyle name="Comma 4 3 2 2 5 2" xfId="9384" xr:uid="{00000000-0005-0000-0000-0000AE190000}"/>
    <cellStyle name="Comma 4 3 2 2 6" xfId="8045" xr:uid="{00000000-0005-0000-0000-0000AF190000}"/>
    <cellStyle name="Comma 4 3 2 3" xfId="1106" xr:uid="{00000000-0005-0000-0000-0000B0190000}"/>
    <cellStyle name="Comma 4 3 2 3 2" xfId="6836" xr:uid="{00000000-0005-0000-0000-0000B1190000}"/>
    <cellStyle name="Comma 4 3 2 3 2 2" xfId="9543" xr:uid="{00000000-0005-0000-0000-0000B2190000}"/>
    <cellStyle name="Comma 4 3 2 3 3" xfId="8204" xr:uid="{00000000-0005-0000-0000-0000B3190000}"/>
    <cellStyle name="Comma 4 3 2 4" xfId="1487" xr:uid="{00000000-0005-0000-0000-0000B4190000}"/>
    <cellStyle name="Comma 4 3 2 4 2" xfId="7178" xr:uid="{00000000-0005-0000-0000-0000B5190000}"/>
    <cellStyle name="Comma 4 3 2 4 2 2" xfId="9881" xr:uid="{00000000-0005-0000-0000-0000B6190000}"/>
    <cellStyle name="Comma 4 3 2 4 3" xfId="8541" xr:uid="{00000000-0005-0000-0000-0000B7190000}"/>
    <cellStyle name="Comma 4 3 2 5" xfId="6515" xr:uid="{00000000-0005-0000-0000-0000B8190000}"/>
    <cellStyle name="Comma 4 3 2 5 2" xfId="9232" xr:uid="{00000000-0005-0000-0000-0000B9190000}"/>
    <cellStyle name="Comma 4 3 2 6" xfId="7893" xr:uid="{00000000-0005-0000-0000-0000BA190000}"/>
    <cellStyle name="Comma 4 3 3" xfId="4892" xr:uid="{00000000-0005-0000-0000-0000BB190000}"/>
    <cellStyle name="Comma 4 3 3 2" xfId="4893" xr:uid="{00000000-0005-0000-0000-0000BC190000}"/>
    <cellStyle name="Comma 4 3 3 2 2" xfId="7524" xr:uid="{00000000-0005-0000-0000-0000BD190000}"/>
    <cellStyle name="Comma 4 3 3 2 2 2" xfId="10223" xr:uid="{00000000-0005-0000-0000-0000BE190000}"/>
    <cellStyle name="Comma 4 3 3 2 3" xfId="8883" xr:uid="{00000000-0005-0000-0000-0000BF190000}"/>
    <cellStyle name="Comma 4 3 3 3" xfId="4894" xr:uid="{00000000-0005-0000-0000-0000C0190000}"/>
    <cellStyle name="Comma 4 3 3 3 2" xfId="7525" xr:uid="{00000000-0005-0000-0000-0000C1190000}"/>
    <cellStyle name="Comma 4 3 3 3 2 2" xfId="10224" xr:uid="{00000000-0005-0000-0000-0000C2190000}"/>
    <cellStyle name="Comma 4 3 3 3 3" xfId="8884" xr:uid="{00000000-0005-0000-0000-0000C3190000}"/>
    <cellStyle name="Comma 4 3 3 4" xfId="7523" xr:uid="{00000000-0005-0000-0000-0000C4190000}"/>
    <cellStyle name="Comma 4 3 3 4 2" xfId="10222" xr:uid="{00000000-0005-0000-0000-0000C5190000}"/>
    <cellStyle name="Comma 4 3 3 5" xfId="8882" xr:uid="{00000000-0005-0000-0000-0000C6190000}"/>
    <cellStyle name="Comma 4 4" xfId="541" xr:uid="{00000000-0005-0000-0000-0000C7190000}"/>
    <cellStyle name="Comma 4 4 2 5" xfId="4895" xr:uid="{00000000-0005-0000-0000-0000C8190000}"/>
    <cellStyle name="Comma 4 4 2 5 2" xfId="4896" xr:uid="{00000000-0005-0000-0000-0000C9190000}"/>
    <cellStyle name="Comma 4 4 2 5 2 2" xfId="7527" xr:uid="{00000000-0005-0000-0000-0000CA190000}"/>
    <cellStyle name="Comma 4 4 2 5 2 2 2" xfId="10226" xr:uid="{00000000-0005-0000-0000-0000CB190000}"/>
    <cellStyle name="Comma 4 4 2 5 2 3" xfId="8886" xr:uid="{00000000-0005-0000-0000-0000CC190000}"/>
    <cellStyle name="Comma 4 4 2 5 3" xfId="7526" xr:uid="{00000000-0005-0000-0000-0000CD190000}"/>
    <cellStyle name="Comma 4 4 2 5 3 2" xfId="10225" xr:uid="{00000000-0005-0000-0000-0000CE190000}"/>
    <cellStyle name="Comma 4 4 2 5 4" xfId="8885" xr:uid="{00000000-0005-0000-0000-0000CF190000}"/>
    <cellStyle name="Comma 4 5" xfId="542" xr:uid="{00000000-0005-0000-0000-0000D0190000}"/>
    <cellStyle name="Comma 4 5 2" xfId="4897" xr:uid="{00000000-0005-0000-0000-0000D1190000}"/>
    <cellStyle name="Comma 4 5 2 2" xfId="7528" xr:uid="{00000000-0005-0000-0000-0000D2190000}"/>
    <cellStyle name="Comma 4 5 2 2 2" xfId="10227" xr:uid="{00000000-0005-0000-0000-0000D3190000}"/>
    <cellStyle name="Comma 4 5 2 3" xfId="8887" xr:uid="{00000000-0005-0000-0000-0000D4190000}"/>
    <cellStyle name="Comma 4 5 3" xfId="4898" xr:uid="{00000000-0005-0000-0000-0000D5190000}"/>
    <cellStyle name="Comma 4 5 3 2" xfId="7529" xr:uid="{00000000-0005-0000-0000-0000D6190000}"/>
    <cellStyle name="Comma 4 5 3 2 2" xfId="10228" xr:uid="{00000000-0005-0000-0000-0000D7190000}"/>
    <cellStyle name="Comma 4 5 3 3" xfId="8888" xr:uid="{00000000-0005-0000-0000-0000D8190000}"/>
    <cellStyle name="Comma 4 6" xfId="4899" xr:uid="{00000000-0005-0000-0000-0000D9190000}"/>
    <cellStyle name="Comma 4 6 2" xfId="7530" xr:uid="{00000000-0005-0000-0000-0000DA190000}"/>
    <cellStyle name="Comma 4 6 2 2" xfId="10229" xr:uid="{00000000-0005-0000-0000-0000DB190000}"/>
    <cellStyle name="Comma 4 6 3" xfId="8889" xr:uid="{00000000-0005-0000-0000-0000DC190000}"/>
    <cellStyle name="Comma 4 7" xfId="151" xr:uid="{00000000-0005-0000-0000-0000DD190000}"/>
    <cellStyle name="Comma 4 8" xfId="119" xr:uid="{00000000-0005-0000-0000-0000DE190000}"/>
    <cellStyle name="Comma 4_MEP BOQ" xfId="543" xr:uid="{00000000-0005-0000-0000-0000DF190000}"/>
    <cellStyle name="Comma 40" xfId="544" xr:uid="{00000000-0005-0000-0000-0000E0190000}"/>
    <cellStyle name="Comma 41" xfId="545" xr:uid="{00000000-0005-0000-0000-0000E1190000}"/>
    <cellStyle name="Comma 42" xfId="546" xr:uid="{00000000-0005-0000-0000-0000E2190000}"/>
    <cellStyle name="Comma 42 2" xfId="945" xr:uid="{00000000-0005-0000-0000-0000E3190000}"/>
    <cellStyle name="Comma 42 2 2" xfId="1223" xr:uid="{00000000-0005-0000-0000-0000E4190000}"/>
    <cellStyle name="Comma 42 2 2 2" xfId="6941" xr:uid="{00000000-0005-0000-0000-0000E5190000}"/>
    <cellStyle name="Comma 42 2 2 2 2" xfId="9648" xr:uid="{00000000-0005-0000-0000-0000E6190000}"/>
    <cellStyle name="Comma 42 2 2 3" xfId="8309" xr:uid="{00000000-0005-0000-0000-0000E7190000}"/>
    <cellStyle name="Comma 42 2 3" xfId="6678" xr:uid="{00000000-0005-0000-0000-0000E8190000}"/>
    <cellStyle name="Comma 42 2 3 2" xfId="9385" xr:uid="{00000000-0005-0000-0000-0000E9190000}"/>
    <cellStyle name="Comma 42 2 4" xfId="8046" xr:uid="{00000000-0005-0000-0000-0000EA190000}"/>
    <cellStyle name="Comma 42 3" xfId="1107" xr:uid="{00000000-0005-0000-0000-0000EB190000}"/>
    <cellStyle name="Comma 42 3 2" xfId="6837" xr:uid="{00000000-0005-0000-0000-0000EC190000}"/>
    <cellStyle name="Comma 42 3 2 2" xfId="9544" xr:uid="{00000000-0005-0000-0000-0000ED190000}"/>
    <cellStyle name="Comma 42 3 3" xfId="8205" xr:uid="{00000000-0005-0000-0000-0000EE190000}"/>
    <cellStyle name="Comma 42 4" xfId="6516" xr:uid="{00000000-0005-0000-0000-0000EF190000}"/>
    <cellStyle name="Comma 42 4 2" xfId="9233" xr:uid="{00000000-0005-0000-0000-0000F0190000}"/>
    <cellStyle name="Comma 42 5" xfId="7894" xr:uid="{00000000-0005-0000-0000-0000F1190000}"/>
    <cellStyle name="Comma 43" xfId="421" xr:uid="{00000000-0005-0000-0000-0000F2190000}"/>
    <cellStyle name="Comma 43 2" xfId="999" xr:uid="{00000000-0005-0000-0000-0000F3190000}"/>
    <cellStyle name="Comma 43 2 2" xfId="1325" xr:uid="{00000000-0005-0000-0000-0000F4190000}"/>
    <cellStyle name="Comma 43 2 2 2" xfId="7031" xr:uid="{00000000-0005-0000-0000-0000F5190000}"/>
    <cellStyle name="Comma 43 2 2 2 2" xfId="9738" xr:uid="{00000000-0005-0000-0000-0000F6190000}"/>
    <cellStyle name="Comma 43 2 2 3" xfId="8399" xr:uid="{00000000-0005-0000-0000-0000F7190000}"/>
    <cellStyle name="Comma 43 2 3" xfId="6730" xr:uid="{00000000-0005-0000-0000-0000F8190000}"/>
    <cellStyle name="Comma 43 2 3 2" xfId="9437" xr:uid="{00000000-0005-0000-0000-0000F9190000}"/>
    <cellStyle name="Comma 43 2 4" xfId="8098" xr:uid="{00000000-0005-0000-0000-0000FA190000}"/>
    <cellStyle name="Comma 43 3" xfId="1137" xr:uid="{00000000-0005-0000-0000-0000FB190000}"/>
    <cellStyle name="Comma 43 3 2" xfId="6855" xr:uid="{00000000-0005-0000-0000-0000FC190000}"/>
    <cellStyle name="Comma 43 3 2 2" xfId="9562" xr:uid="{00000000-0005-0000-0000-0000FD190000}"/>
    <cellStyle name="Comma 43 3 3" xfId="8223" xr:uid="{00000000-0005-0000-0000-0000FE190000}"/>
    <cellStyle name="Comma 43 4" xfId="1522" xr:uid="{00000000-0005-0000-0000-0000FF190000}"/>
    <cellStyle name="Comma 43 5" xfId="6439" xr:uid="{00000000-0005-0000-0000-0000001A0000}"/>
    <cellStyle name="Comma 43 5 2" xfId="9156" xr:uid="{00000000-0005-0000-0000-0000011A0000}"/>
    <cellStyle name="Comma 43 6" xfId="7817" xr:uid="{00000000-0005-0000-0000-0000021A0000}"/>
    <cellStyle name="Comma 44" xfId="864" xr:uid="{00000000-0005-0000-0000-0000031A0000}"/>
    <cellStyle name="Comma 44 2" xfId="1000" xr:uid="{00000000-0005-0000-0000-0000041A0000}"/>
    <cellStyle name="Comma 44 2 2" xfId="1327" xr:uid="{00000000-0005-0000-0000-0000051A0000}"/>
    <cellStyle name="Comma 44 2 2 2" xfId="7033" xr:uid="{00000000-0005-0000-0000-0000061A0000}"/>
    <cellStyle name="Comma 44 2 2 2 2" xfId="9740" xr:uid="{00000000-0005-0000-0000-0000071A0000}"/>
    <cellStyle name="Comma 44 2 2 3" xfId="8401" xr:uid="{00000000-0005-0000-0000-0000081A0000}"/>
    <cellStyle name="Comma 44 2 3" xfId="6731" xr:uid="{00000000-0005-0000-0000-0000091A0000}"/>
    <cellStyle name="Comma 44 2 3 2" xfId="9438" xr:uid="{00000000-0005-0000-0000-00000A1A0000}"/>
    <cellStyle name="Comma 44 2 4" xfId="8099" xr:uid="{00000000-0005-0000-0000-00000B1A0000}"/>
    <cellStyle name="Comma 44 3" xfId="1139" xr:uid="{00000000-0005-0000-0000-00000C1A0000}"/>
    <cellStyle name="Comma 44 3 2" xfId="6857" xr:uid="{00000000-0005-0000-0000-00000D1A0000}"/>
    <cellStyle name="Comma 44 3 2 2" xfId="9564" xr:uid="{00000000-0005-0000-0000-00000E1A0000}"/>
    <cellStyle name="Comma 44 3 3" xfId="8225" xr:uid="{00000000-0005-0000-0000-00000F1A0000}"/>
    <cellStyle name="Comma 44 4" xfId="1523" xr:uid="{00000000-0005-0000-0000-0000101A0000}"/>
    <cellStyle name="Comma 44 5" xfId="6597" xr:uid="{00000000-0005-0000-0000-0000111A0000}"/>
    <cellStyle name="Comma 44 5 2" xfId="9304" xr:uid="{00000000-0005-0000-0000-0000121A0000}"/>
    <cellStyle name="Comma 44 6" xfId="7965" xr:uid="{00000000-0005-0000-0000-0000131A0000}"/>
    <cellStyle name="Comma 45" xfId="871" xr:uid="{00000000-0005-0000-0000-0000141A0000}"/>
    <cellStyle name="Comma 45 2" xfId="1326" xr:uid="{00000000-0005-0000-0000-0000151A0000}"/>
    <cellStyle name="Comma 45 2 2" xfId="7032" xr:uid="{00000000-0005-0000-0000-0000161A0000}"/>
    <cellStyle name="Comma 45 2 2 2" xfId="9739" xr:uid="{00000000-0005-0000-0000-0000171A0000}"/>
    <cellStyle name="Comma 45 2 3" xfId="8400" xr:uid="{00000000-0005-0000-0000-0000181A0000}"/>
    <cellStyle name="Comma 45 3" xfId="1138" xr:uid="{00000000-0005-0000-0000-0000191A0000}"/>
    <cellStyle name="Comma 45 3 2" xfId="6856" xr:uid="{00000000-0005-0000-0000-00001A1A0000}"/>
    <cellStyle name="Comma 45 3 2 2" xfId="9563" xr:uid="{00000000-0005-0000-0000-00001B1A0000}"/>
    <cellStyle name="Comma 45 3 3" xfId="8224" xr:uid="{00000000-0005-0000-0000-00001C1A0000}"/>
    <cellStyle name="Comma 45 4" xfId="1524" xr:uid="{00000000-0005-0000-0000-00001D1A0000}"/>
    <cellStyle name="Comma 45 5" xfId="6604" xr:uid="{00000000-0005-0000-0000-00001E1A0000}"/>
    <cellStyle name="Comma 45 5 2" xfId="9311" xr:uid="{00000000-0005-0000-0000-00001F1A0000}"/>
    <cellStyle name="Comma 45 6" xfId="7972" xr:uid="{00000000-0005-0000-0000-0000201A0000}"/>
    <cellStyle name="Comma 46" xfId="968" xr:uid="{00000000-0005-0000-0000-0000211A0000}"/>
    <cellStyle name="Comma 46 2" xfId="1328" xr:uid="{00000000-0005-0000-0000-0000221A0000}"/>
    <cellStyle name="Comma 46 2 2" xfId="7034" xr:uid="{00000000-0005-0000-0000-0000231A0000}"/>
    <cellStyle name="Comma 46 2 2 2" xfId="9741" xr:uid="{00000000-0005-0000-0000-0000241A0000}"/>
    <cellStyle name="Comma 46 2 3" xfId="8402" xr:uid="{00000000-0005-0000-0000-0000251A0000}"/>
    <cellStyle name="Comma 46 3" xfId="1140" xr:uid="{00000000-0005-0000-0000-0000261A0000}"/>
    <cellStyle name="Comma 46 3 2" xfId="6858" xr:uid="{00000000-0005-0000-0000-0000271A0000}"/>
    <cellStyle name="Comma 46 3 2 2" xfId="9565" xr:uid="{00000000-0005-0000-0000-0000281A0000}"/>
    <cellStyle name="Comma 46 3 3" xfId="8226" xr:uid="{00000000-0005-0000-0000-0000291A0000}"/>
    <cellStyle name="Comma 46 4" xfId="1525" xr:uid="{00000000-0005-0000-0000-00002A1A0000}"/>
    <cellStyle name="Comma 46 5" xfId="6700" xr:uid="{00000000-0005-0000-0000-00002B1A0000}"/>
    <cellStyle name="Comma 46 5 2" xfId="9407" xr:uid="{00000000-0005-0000-0000-00002C1A0000}"/>
    <cellStyle name="Comma 46 6" xfId="8068" xr:uid="{00000000-0005-0000-0000-00002D1A0000}"/>
    <cellStyle name="Comma 47" xfId="868" xr:uid="{00000000-0005-0000-0000-00002E1A0000}"/>
    <cellStyle name="Comma 47 2" xfId="1329" xr:uid="{00000000-0005-0000-0000-00002F1A0000}"/>
    <cellStyle name="Comma 47 2 2" xfId="7035" xr:uid="{00000000-0005-0000-0000-0000301A0000}"/>
    <cellStyle name="Comma 47 2 2 2" xfId="9742" xr:uid="{00000000-0005-0000-0000-0000311A0000}"/>
    <cellStyle name="Comma 47 2 3" xfId="8403" xr:uid="{00000000-0005-0000-0000-0000321A0000}"/>
    <cellStyle name="Comma 47 3" xfId="1141" xr:uid="{00000000-0005-0000-0000-0000331A0000}"/>
    <cellStyle name="Comma 47 3 2" xfId="6859" xr:uid="{00000000-0005-0000-0000-0000341A0000}"/>
    <cellStyle name="Comma 47 3 2 2" xfId="9566" xr:uid="{00000000-0005-0000-0000-0000351A0000}"/>
    <cellStyle name="Comma 47 3 3" xfId="8227" xr:uid="{00000000-0005-0000-0000-0000361A0000}"/>
    <cellStyle name="Comma 47 4" xfId="1528" xr:uid="{00000000-0005-0000-0000-0000371A0000}"/>
    <cellStyle name="Comma 47 4 2" xfId="7207" xr:uid="{00000000-0005-0000-0000-0000381A0000}"/>
    <cellStyle name="Comma 47 4 2 2" xfId="9910" xr:uid="{00000000-0005-0000-0000-0000391A0000}"/>
    <cellStyle name="Comma 47 4 3" xfId="8570" xr:uid="{00000000-0005-0000-0000-00003A1A0000}"/>
    <cellStyle name="Comma 47 5" xfId="6601" xr:uid="{00000000-0005-0000-0000-00003B1A0000}"/>
    <cellStyle name="Comma 47 5 2" xfId="9308" xr:uid="{00000000-0005-0000-0000-00003C1A0000}"/>
    <cellStyle name="Comma 47 6" xfId="7969" xr:uid="{00000000-0005-0000-0000-00003D1A0000}"/>
    <cellStyle name="Comma 48" xfId="967" xr:uid="{00000000-0005-0000-0000-00003E1A0000}"/>
    <cellStyle name="Comma 48 2" xfId="1147" xr:uid="{00000000-0005-0000-0000-00003F1A0000}"/>
    <cellStyle name="Comma 48 2 2" xfId="6865" xr:uid="{00000000-0005-0000-0000-0000401A0000}"/>
    <cellStyle name="Comma 48 2 2 2" xfId="9572" xr:uid="{00000000-0005-0000-0000-0000411A0000}"/>
    <cellStyle name="Comma 48 2 3" xfId="8233" xr:uid="{00000000-0005-0000-0000-0000421A0000}"/>
    <cellStyle name="Comma 48 3" xfId="6699" xr:uid="{00000000-0005-0000-0000-0000431A0000}"/>
    <cellStyle name="Comma 48 3 2" xfId="9406" xr:uid="{00000000-0005-0000-0000-0000441A0000}"/>
    <cellStyle name="Comma 48 4" xfId="8067" xr:uid="{00000000-0005-0000-0000-0000451A0000}"/>
    <cellStyle name="Comma 49" xfId="869" xr:uid="{00000000-0005-0000-0000-0000461A0000}"/>
    <cellStyle name="Comma 49 2" xfId="1270" xr:uid="{00000000-0005-0000-0000-0000471A0000}"/>
    <cellStyle name="Comma 49 2 2" xfId="6980" xr:uid="{00000000-0005-0000-0000-0000481A0000}"/>
    <cellStyle name="Comma 49 2 2 2" xfId="9687" xr:uid="{00000000-0005-0000-0000-0000491A0000}"/>
    <cellStyle name="Comma 49 2 3" xfId="8348" xr:uid="{00000000-0005-0000-0000-00004A1A0000}"/>
    <cellStyle name="Comma 49 3" xfId="6602" xr:uid="{00000000-0005-0000-0000-00004B1A0000}"/>
    <cellStyle name="Comma 49 3 2" xfId="9309" xr:uid="{00000000-0005-0000-0000-00004C1A0000}"/>
    <cellStyle name="Comma 49 4" xfId="7970" xr:uid="{00000000-0005-0000-0000-00004D1A0000}"/>
    <cellStyle name="Comma 5" xfId="88" xr:uid="{00000000-0005-0000-0000-00004E1A0000}"/>
    <cellStyle name="Comma 5 10" xfId="153" xr:uid="{00000000-0005-0000-0000-00004F1A0000}"/>
    <cellStyle name="Comma 5 11" xfId="10502" xr:uid="{00000000-0005-0000-0000-0000501A0000}"/>
    <cellStyle name="Comma 5 12" xfId="10536" xr:uid="{00000000-0005-0000-0000-0000511A0000}"/>
    <cellStyle name="Comma 5 12 2" xfId="10568" xr:uid="{00000000-0005-0000-0000-0000521A0000}"/>
    <cellStyle name="Comma 5 13 2" xfId="10585" xr:uid="{00000000-0005-0000-0000-0000531A0000}"/>
    <cellStyle name="Comma 5 2" xfId="107" xr:uid="{00000000-0005-0000-0000-0000541A0000}"/>
    <cellStyle name="Comma 5 2 10" xfId="154" xr:uid="{00000000-0005-0000-0000-0000551A0000}"/>
    <cellStyle name="Comma 5 2 2" xfId="279" xr:uid="{00000000-0005-0000-0000-0000561A0000}"/>
    <cellStyle name="Comma 5 2 2 2" xfId="549" xr:uid="{00000000-0005-0000-0000-0000571A0000}"/>
    <cellStyle name="Comma 5 2 2 2 2" xfId="948" xr:uid="{00000000-0005-0000-0000-0000581A0000}"/>
    <cellStyle name="Comma 5 2 2 2 2 2" xfId="1226" xr:uid="{00000000-0005-0000-0000-0000591A0000}"/>
    <cellStyle name="Comma 5 2 2 2 2 2 2" xfId="6944" xr:uid="{00000000-0005-0000-0000-00005A1A0000}"/>
    <cellStyle name="Comma 5 2 2 2 2 2 2 2" xfId="9651" xr:uid="{00000000-0005-0000-0000-00005B1A0000}"/>
    <cellStyle name="Comma 5 2 2 2 2 2 3" xfId="8312" xr:uid="{00000000-0005-0000-0000-00005C1A0000}"/>
    <cellStyle name="Comma 5 2 2 2 2 3" xfId="4901" xr:uid="{00000000-0005-0000-0000-00005D1A0000}"/>
    <cellStyle name="Comma 5 2 2 2 2 3 2" xfId="7532" xr:uid="{00000000-0005-0000-0000-00005E1A0000}"/>
    <cellStyle name="Comma 5 2 2 2 2 3 2 2" xfId="10231" xr:uid="{00000000-0005-0000-0000-00005F1A0000}"/>
    <cellStyle name="Comma 5 2 2 2 2 3 3" xfId="8891" xr:uid="{00000000-0005-0000-0000-0000601A0000}"/>
    <cellStyle name="Comma 5 2 2 2 2 4" xfId="6681" xr:uid="{00000000-0005-0000-0000-0000611A0000}"/>
    <cellStyle name="Comma 5 2 2 2 2 4 2" xfId="9388" xr:uid="{00000000-0005-0000-0000-0000621A0000}"/>
    <cellStyle name="Comma 5 2 2 2 2 5" xfId="8049" xr:uid="{00000000-0005-0000-0000-0000631A0000}"/>
    <cellStyle name="Comma 5 2 2 2 3" xfId="1053" xr:uid="{00000000-0005-0000-0000-0000641A0000}"/>
    <cellStyle name="Comma 5 2 2 2 3 2" xfId="4902" xr:uid="{00000000-0005-0000-0000-0000651A0000}"/>
    <cellStyle name="Comma 5 2 2 2 3 2 2" xfId="7533" xr:uid="{00000000-0005-0000-0000-0000661A0000}"/>
    <cellStyle name="Comma 5 2 2 2 3 2 2 2" xfId="10232" xr:uid="{00000000-0005-0000-0000-0000671A0000}"/>
    <cellStyle name="Comma 5 2 2 2 3 2 3" xfId="8892" xr:uid="{00000000-0005-0000-0000-0000681A0000}"/>
    <cellStyle name="Comma 5 2 2 2 3 3" xfId="6784" xr:uid="{00000000-0005-0000-0000-0000691A0000}"/>
    <cellStyle name="Comma 5 2 2 2 3 3 2" xfId="9491" xr:uid="{00000000-0005-0000-0000-00006A1A0000}"/>
    <cellStyle name="Comma 5 2 2 2 3 4" xfId="8152" xr:uid="{00000000-0005-0000-0000-00006B1A0000}"/>
    <cellStyle name="Comma 5 2 2 2 4" xfId="4900" xr:uid="{00000000-0005-0000-0000-00006C1A0000}"/>
    <cellStyle name="Comma 5 2 2 2 4 2" xfId="7531" xr:uid="{00000000-0005-0000-0000-00006D1A0000}"/>
    <cellStyle name="Comma 5 2 2 2 4 2 2" xfId="10230" xr:uid="{00000000-0005-0000-0000-00006E1A0000}"/>
    <cellStyle name="Comma 5 2 2 2 4 3" xfId="8890" xr:uid="{00000000-0005-0000-0000-00006F1A0000}"/>
    <cellStyle name="Comma 5 2 2 2 5" xfId="6519" xr:uid="{00000000-0005-0000-0000-0000701A0000}"/>
    <cellStyle name="Comma 5 2 2 2 5 2" xfId="9236" xr:uid="{00000000-0005-0000-0000-0000711A0000}"/>
    <cellStyle name="Comma 5 2 2 2 6" xfId="7897" xr:uid="{00000000-0005-0000-0000-0000721A0000}"/>
    <cellStyle name="Comma 5 2 2 3" xfId="548" xr:uid="{00000000-0005-0000-0000-0000731A0000}"/>
    <cellStyle name="Comma 5 2 2 3 2" xfId="1225" xr:uid="{00000000-0005-0000-0000-0000741A0000}"/>
    <cellStyle name="Comma 5 2 2 3 2 2" xfId="6943" xr:uid="{00000000-0005-0000-0000-0000751A0000}"/>
    <cellStyle name="Comma 5 2 2 3 2 2 2" xfId="9650" xr:uid="{00000000-0005-0000-0000-0000761A0000}"/>
    <cellStyle name="Comma 5 2 2 3 2 3" xfId="8311" xr:uid="{00000000-0005-0000-0000-0000771A0000}"/>
    <cellStyle name="Comma 5 2 2 3 3" xfId="4903" xr:uid="{00000000-0005-0000-0000-0000781A0000}"/>
    <cellStyle name="Comma 5 2 2 3 3 2" xfId="7534" xr:uid="{00000000-0005-0000-0000-0000791A0000}"/>
    <cellStyle name="Comma 5 2 2 3 3 2 2" xfId="10233" xr:uid="{00000000-0005-0000-0000-00007A1A0000}"/>
    <cellStyle name="Comma 5 2 2 3 3 3" xfId="8893" xr:uid="{00000000-0005-0000-0000-00007B1A0000}"/>
    <cellStyle name="Comma 5 2 2 3 4" xfId="6518" xr:uid="{00000000-0005-0000-0000-00007C1A0000}"/>
    <cellStyle name="Comma 5 2 2 3 4 2" xfId="9235" xr:uid="{00000000-0005-0000-0000-00007D1A0000}"/>
    <cellStyle name="Comma 5 2 2 3 5" xfId="7896" xr:uid="{00000000-0005-0000-0000-00007E1A0000}"/>
    <cellStyle name="Comma 5 2 2 4" xfId="947" xr:uid="{00000000-0005-0000-0000-00007F1A0000}"/>
    <cellStyle name="Comma 5 2 2 4 2" xfId="6680" xr:uid="{00000000-0005-0000-0000-0000801A0000}"/>
    <cellStyle name="Comma 5 2 2 4 2 2" xfId="9387" xr:uid="{00000000-0005-0000-0000-0000811A0000}"/>
    <cellStyle name="Comma 5 2 2 4 3" xfId="8048" xr:uid="{00000000-0005-0000-0000-0000821A0000}"/>
    <cellStyle name="Comma 5 2 2 5" xfId="1025" xr:uid="{00000000-0005-0000-0000-0000831A0000}"/>
    <cellStyle name="Comma 5 2 2 5 2" xfId="6756" xr:uid="{00000000-0005-0000-0000-0000841A0000}"/>
    <cellStyle name="Comma 5 2 2 5 2 2" xfId="9463" xr:uid="{00000000-0005-0000-0000-0000851A0000}"/>
    <cellStyle name="Comma 5 2 2 5 3" xfId="8124" xr:uid="{00000000-0005-0000-0000-0000861A0000}"/>
    <cellStyle name="Comma 5 2 2 6" xfId="1428" xr:uid="{00000000-0005-0000-0000-0000871A0000}"/>
    <cellStyle name="Comma 5 2 2 6 2" xfId="7126" xr:uid="{00000000-0005-0000-0000-0000881A0000}"/>
    <cellStyle name="Comma 5 2 2 6 2 2" xfId="9829" xr:uid="{00000000-0005-0000-0000-0000891A0000}"/>
    <cellStyle name="Comma 5 2 2 6 3" xfId="8489" xr:uid="{00000000-0005-0000-0000-00008A1A0000}"/>
    <cellStyle name="Comma 5 2 2 7" xfId="6430" xr:uid="{00000000-0005-0000-0000-00008B1A0000}"/>
    <cellStyle name="Comma 5 2 2 7 2" xfId="9149" xr:uid="{00000000-0005-0000-0000-00008C1A0000}"/>
    <cellStyle name="Comma 5 2 2 8" xfId="7810" xr:uid="{00000000-0005-0000-0000-00008D1A0000}"/>
    <cellStyle name="Comma 5 2 3" xfId="547" xr:uid="{00000000-0005-0000-0000-00008E1A0000}"/>
    <cellStyle name="Comma 5 2 3 2" xfId="983" xr:uid="{00000000-0005-0000-0000-00008F1A0000}"/>
    <cellStyle name="Comma 5 2 3 2 2" xfId="1302" xr:uid="{00000000-0005-0000-0000-0000901A0000}"/>
    <cellStyle name="Comma 5 2 3 2 2 2" xfId="7012" xr:uid="{00000000-0005-0000-0000-0000911A0000}"/>
    <cellStyle name="Comma 5 2 3 2 2 2 2" xfId="9719" xr:uid="{00000000-0005-0000-0000-0000921A0000}"/>
    <cellStyle name="Comma 5 2 3 2 2 3" xfId="8380" xr:uid="{00000000-0005-0000-0000-0000931A0000}"/>
    <cellStyle name="Comma 5 2 3 2 3" xfId="4905" xr:uid="{00000000-0005-0000-0000-0000941A0000}"/>
    <cellStyle name="Comma 5 2 3 2 3 2" xfId="7536" xr:uid="{00000000-0005-0000-0000-0000951A0000}"/>
    <cellStyle name="Comma 5 2 3 2 3 2 2" xfId="10235" xr:uid="{00000000-0005-0000-0000-0000961A0000}"/>
    <cellStyle name="Comma 5 2 3 2 3 3" xfId="8895" xr:uid="{00000000-0005-0000-0000-0000971A0000}"/>
    <cellStyle name="Comma 5 2 3 2 4" xfId="6715" xr:uid="{00000000-0005-0000-0000-0000981A0000}"/>
    <cellStyle name="Comma 5 2 3 2 4 2" xfId="9422" xr:uid="{00000000-0005-0000-0000-0000991A0000}"/>
    <cellStyle name="Comma 5 2 3 2 5" xfId="8083" xr:uid="{00000000-0005-0000-0000-00009A1A0000}"/>
    <cellStyle name="Comma 5 2 3 3" xfId="1038" xr:uid="{00000000-0005-0000-0000-00009B1A0000}"/>
    <cellStyle name="Comma 5 2 3 3 2" xfId="4906" xr:uid="{00000000-0005-0000-0000-00009C1A0000}"/>
    <cellStyle name="Comma 5 2 3 3 2 2" xfId="7537" xr:uid="{00000000-0005-0000-0000-00009D1A0000}"/>
    <cellStyle name="Comma 5 2 3 3 2 2 2" xfId="10236" xr:uid="{00000000-0005-0000-0000-00009E1A0000}"/>
    <cellStyle name="Comma 5 2 3 3 2 3" xfId="8896" xr:uid="{00000000-0005-0000-0000-00009F1A0000}"/>
    <cellStyle name="Comma 5 2 3 3 3" xfId="6769" xr:uid="{00000000-0005-0000-0000-0000A01A0000}"/>
    <cellStyle name="Comma 5 2 3 3 3 2" xfId="9476" xr:uid="{00000000-0005-0000-0000-0000A11A0000}"/>
    <cellStyle name="Comma 5 2 3 3 4" xfId="8137" xr:uid="{00000000-0005-0000-0000-0000A21A0000}"/>
    <cellStyle name="Comma 5 2 3 4" xfId="4904" xr:uid="{00000000-0005-0000-0000-0000A31A0000}"/>
    <cellStyle name="Comma 5 2 3 4 2" xfId="7535" xr:uid="{00000000-0005-0000-0000-0000A41A0000}"/>
    <cellStyle name="Comma 5 2 3 4 2 2" xfId="10234" xr:uid="{00000000-0005-0000-0000-0000A51A0000}"/>
    <cellStyle name="Comma 5 2 3 4 3" xfId="8894" xr:uid="{00000000-0005-0000-0000-0000A61A0000}"/>
    <cellStyle name="Comma 5 2 3 5" xfId="6517" xr:uid="{00000000-0005-0000-0000-0000A71A0000}"/>
    <cellStyle name="Comma 5 2 3 5 2" xfId="9234" xr:uid="{00000000-0005-0000-0000-0000A81A0000}"/>
    <cellStyle name="Comma 5 2 3 6" xfId="7895" xr:uid="{00000000-0005-0000-0000-0000A91A0000}"/>
    <cellStyle name="Comma 5 2 4" xfId="946" xr:uid="{00000000-0005-0000-0000-0000AA1A0000}"/>
    <cellStyle name="Comma 5 2 4 2" xfId="1224" xr:uid="{00000000-0005-0000-0000-0000AB1A0000}"/>
    <cellStyle name="Comma 5 2 4 2 2" xfId="6942" xr:uid="{00000000-0005-0000-0000-0000AC1A0000}"/>
    <cellStyle name="Comma 5 2 4 2 2 2" xfId="9649" xr:uid="{00000000-0005-0000-0000-0000AD1A0000}"/>
    <cellStyle name="Comma 5 2 4 2 3" xfId="8310" xr:uid="{00000000-0005-0000-0000-0000AE1A0000}"/>
    <cellStyle name="Comma 5 2 4 3" xfId="4907" xr:uid="{00000000-0005-0000-0000-0000AF1A0000}"/>
    <cellStyle name="Comma 5 2 4 3 2" xfId="7538" xr:uid="{00000000-0005-0000-0000-0000B01A0000}"/>
    <cellStyle name="Comma 5 2 4 3 2 2" xfId="10237" xr:uid="{00000000-0005-0000-0000-0000B11A0000}"/>
    <cellStyle name="Comma 5 2 4 3 3" xfId="8897" xr:uid="{00000000-0005-0000-0000-0000B21A0000}"/>
    <cellStyle name="Comma 5 2 4 4" xfId="6679" xr:uid="{00000000-0005-0000-0000-0000B31A0000}"/>
    <cellStyle name="Comma 5 2 4 4 2" xfId="9386" xr:uid="{00000000-0005-0000-0000-0000B41A0000}"/>
    <cellStyle name="Comma 5 2 4 5" xfId="8047" xr:uid="{00000000-0005-0000-0000-0000B51A0000}"/>
    <cellStyle name="Comma 5 2 5" xfId="1010" xr:uid="{00000000-0005-0000-0000-0000B61A0000}"/>
    <cellStyle name="Comma 5 2 5 2" xfId="6741" xr:uid="{00000000-0005-0000-0000-0000B71A0000}"/>
    <cellStyle name="Comma 5 2 5 2 2" xfId="9448" xr:uid="{00000000-0005-0000-0000-0000B81A0000}"/>
    <cellStyle name="Comma 5 2 5 3" xfId="8109" xr:uid="{00000000-0005-0000-0000-0000B91A0000}"/>
    <cellStyle name="Comma 5 2 6" xfId="264" xr:uid="{00000000-0005-0000-0000-0000BA1A0000}"/>
    <cellStyle name="Comma 5 2 6 2" xfId="6415" xr:uid="{00000000-0005-0000-0000-0000BB1A0000}"/>
    <cellStyle name="Comma 5 2 6 2 2" xfId="9134" xr:uid="{00000000-0005-0000-0000-0000BC1A0000}"/>
    <cellStyle name="Comma 5 2 6 3" xfId="7795" xr:uid="{00000000-0005-0000-0000-0000BD1A0000}"/>
    <cellStyle name="Comma 5 2 7" xfId="1371" xr:uid="{00000000-0005-0000-0000-0000BE1A0000}"/>
    <cellStyle name="Comma 5 2 7 2" xfId="7076" xr:uid="{00000000-0005-0000-0000-0000BF1A0000}"/>
    <cellStyle name="Comma 5 2 7 2 2" xfId="9781" xr:uid="{00000000-0005-0000-0000-0000C01A0000}"/>
    <cellStyle name="Comma 5 2 7 3" xfId="8442" xr:uid="{00000000-0005-0000-0000-0000C11A0000}"/>
    <cellStyle name="Comma 5 2 8" xfId="6351" xr:uid="{00000000-0005-0000-0000-0000C21A0000}"/>
    <cellStyle name="Comma 5 2 8 2" xfId="9070" xr:uid="{00000000-0005-0000-0000-0000C31A0000}"/>
    <cellStyle name="Comma 5 2 9" xfId="7731" xr:uid="{00000000-0005-0000-0000-0000C41A0000}"/>
    <cellStyle name="Comma 5 3" xfId="155" xr:uid="{00000000-0005-0000-0000-0000C51A0000}"/>
    <cellStyle name="Comma 5 3 2" xfId="4908" xr:uid="{00000000-0005-0000-0000-0000C61A0000}"/>
    <cellStyle name="Comma 5 3 2 2" xfId="4909" xr:uid="{00000000-0005-0000-0000-0000C71A0000}"/>
    <cellStyle name="Comma 5 3 2 2 2" xfId="7540" xr:uid="{00000000-0005-0000-0000-0000C81A0000}"/>
    <cellStyle name="Comma 5 3 2 2 2 2" xfId="10239" xr:uid="{00000000-0005-0000-0000-0000C91A0000}"/>
    <cellStyle name="Comma 5 3 2 2 3" xfId="8899" xr:uid="{00000000-0005-0000-0000-0000CA1A0000}"/>
    <cellStyle name="Comma 5 3 2 3" xfId="4910" xr:uid="{00000000-0005-0000-0000-0000CB1A0000}"/>
    <cellStyle name="Comma 5 3 2 3 2" xfId="7541" xr:uid="{00000000-0005-0000-0000-0000CC1A0000}"/>
    <cellStyle name="Comma 5 3 2 3 2 2" xfId="10240" xr:uid="{00000000-0005-0000-0000-0000CD1A0000}"/>
    <cellStyle name="Comma 5 3 2 3 3" xfId="8900" xr:uid="{00000000-0005-0000-0000-0000CE1A0000}"/>
    <cellStyle name="Comma 5 3 2 4" xfId="7539" xr:uid="{00000000-0005-0000-0000-0000CF1A0000}"/>
    <cellStyle name="Comma 5 3 2 4 2" xfId="10238" xr:uid="{00000000-0005-0000-0000-0000D01A0000}"/>
    <cellStyle name="Comma 5 3 2 5" xfId="8898" xr:uid="{00000000-0005-0000-0000-0000D11A0000}"/>
    <cellStyle name="Comma 5 4" xfId="550" xr:uid="{00000000-0005-0000-0000-0000D21A0000}"/>
    <cellStyle name="Comma 5 4 2" xfId="949" xr:uid="{00000000-0005-0000-0000-0000D31A0000}"/>
    <cellStyle name="Comma 5 4 2 2" xfId="1227" xr:uid="{00000000-0005-0000-0000-0000D41A0000}"/>
    <cellStyle name="Comma 5 4 2 2 2" xfId="4912" xr:uid="{00000000-0005-0000-0000-0000D51A0000}"/>
    <cellStyle name="Comma 5 4 2 2 2 2" xfId="7543" xr:uid="{00000000-0005-0000-0000-0000D61A0000}"/>
    <cellStyle name="Comma 5 4 2 2 2 2 2" xfId="10242" xr:uid="{00000000-0005-0000-0000-0000D71A0000}"/>
    <cellStyle name="Comma 5 4 2 2 2 3" xfId="8902" xr:uid="{00000000-0005-0000-0000-0000D81A0000}"/>
    <cellStyle name="Comma 5 4 2 2 3" xfId="6945" xr:uid="{00000000-0005-0000-0000-0000D91A0000}"/>
    <cellStyle name="Comma 5 4 2 2 3 2" xfId="9652" xr:uid="{00000000-0005-0000-0000-0000DA1A0000}"/>
    <cellStyle name="Comma 5 4 2 2 4" xfId="8313" xr:uid="{00000000-0005-0000-0000-0000DB1A0000}"/>
    <cellStyle name="Comma 5 4 2 3" xfId="4913" xr:uid="{00000000-0005-0000-0000-0000DC1A0000}"/>
    <cellStyle name="Comma 5 4 2 3 2" xfId="7544" xr:uid="{00000000-0005-0000-0000-0000DD1A0000}"/>
    <cellStyle name="Comma 5 4 2 3 2 2" xfId="10243" xr:uid="{00000000-0005-0000-0000-0000DE1A0000}"/>
    <cellStyle name="Comma 5 4 2 3 3" xfId="8903" xr:uid="{00000000-0005-0000-0000-0000DF1A0000}"/>
    <cellStyle name="Comma 5 4 2 4" xfId="4911" xr:uid="{00000000-0005-0000-0000-0000E01A0000}"/>
    <cellStyle name="Comma 5 4 2 4 2" xfId="7542" xr:uid="{00000000-0005-0000-0000-0000E11A0000}"/>
    <cellStyle name="Comma 5 4 2 4 2 2" xfId="10241" xr:uid="{00000000-0005-0000-0000-0000E21A0000}"/>
    <cellStyle name="Comma 5 4 2 4 3" xfId="8901" xr:uid="{00000000-0005-0000-0000-0000E31A0000}"/>
    <cellStyle name="Comma 5 4 2 5" xfId="6682" xr:uid="{00000000-0005-0000-0000-0000E41A0000}"/>
    <cellStyle name="Comma 5 4 2 5 2" xfId="9389" xr:uid="{00000000-0005-0000-0000-0000E51A0000}"/>
    <cellStyle name="Comma 5 4 2 6" xfId="8050" xr:uid="{00000000-0005-0000-0000-0000E61A0000}"/>
    <cellStyle name="Comma 5 4 3" xfId="1108" xr:uid="{00000000-0005-0000-0000-0000E71A0000}"/>
    <cellStyle name="Comma 5 4 3 2" xfId="6838" xr:uid="{00000000-0005-0000-0000-0000E81A0000}"/>
    <cellStyle name="Comma 5 4 3 2 2" xfId="9545" xr:uid="{00000000-0005-0000-0000-0000E91A0000}"/>
    <cellStyle name="Comma 5 4 3 3" xfId="8206" xr:uid="{00000000-0005-0000-0000-0000EA1A0000}"/>
    <cellStyle name="Comma 5 4 4" xfId="1488" xr:uid="{00000000-0005-0000-0000-0000EB1A0000}"/>
    <cellStyle name="Comma 5 4 4 2" xfId="7179" xr:uid="{00000000-0005-0000-0000-0000EC1A0000}"/>
    <cellStyle name="Comma 5 4 4 2 2" xfId="9882" xr:uid="{00000000-0005-0000-0000-0000ED1A0000}"/>
    <cellStyle name="Comma 5 4 4 3" xfId="8542" xr:uid="{00000000-0005-0000-0000-0000EE1A0000}"/>
    <cellStyle name="Comma 5 4 5" xfId="6520" xr:uid="{00000000-0005-0000-0000-0000EF1A0000}"/>
    <cellStyle name="Comma 5 4 5 2" xfId="9237" xr:uid="{00000000-0005-0000-0000-0000F01A0000}"/>
    <cellStyle name="Comma 5 4 6" xfId="7898" xr:uid="{00000000-0005-0000-0000-0000F11A0000}"/>
    <cellStyle name="Comma 5 4 7" xfId="10505" xr:uid="{00000000-0005-0000-0000-0000F21A0000}"/>
    <cellStyle name="Comma 5 4 8" xfId="10539" xr:uid="{00000000-0005-0000-0000-0000F31A0000}"/>
    <cellStyle name="Comma 5 5" xfId="551" xr:uid="{00000000-0005-0000-0000-0000F41A0000}"/>
    <cellStyle name="Comma 5 5 2" xfId="4914" xr:uid="{00000000-0005-0000-0000-0000F51A0000}"/>
    <cellStyle name="Comma 5 5 2 2" xfId="4915" xr:uid="{00000000-0005-0000-0000-0000F61A0000}"/>
    <cellStyle name="Comma 5 5 2 2 2" xfId="4916" xr:uid="{00000000-0005-0000-0000-0000F71A0000}"/>
    <cellStyle name="Comma 5 5 2 2 2 2" xfId="7547" xr:uid="{00000000-0005-0000-0000-0000F81A0000}"/>
    <cellStyle name="Comma 5 5 2 2 2 2 2" xfId="10246" xr:uid="{00000000-0005-0000-0000-0000F91A0000}"/>
    <cellStyle name="Comma 5 5 2 2 2 3" xfId="8906" xr:uid="{00000000-0005-0000-0000-0000FA1A0000}"/>
    <cellStyle name="Comma 5 5 2 2 3" xfId="4917" xr:uid="{00000000-0005-0000-0000-0000FB1A0000}"/>
    <cellStyle name="Comma 5 5 2 2 3 2" xfId="7548" xr:uid="{00000000-0005-0000-0000-0000FC1A0000}"/>
    <cellStyle name="Comma 5 5 2 2 3 2 2" xfId="10247" xr:uid="{00000000-0005-0000-0000-0000FD1A0000}"/>
    <cellStyle name="Comma 5 5 2 2 3 3" xfId="8907" xr:uid="{00000000-0005-0000-0000-0000FE1A0000}"/>
    <cellStyle name="Comma 5 5 2 2 4" xfId="7546" xr:uid="{00000000-0005-0000-0000-0000FF1A0000}"/>
    <cellStyle name="Comma 5 5 2 2 4 2" xfId="10245" xr:uid="{00000000-0005-0000-0000-0000001B0000}"/>
    <cellStyle name="Comma 5 5 2 2 5" xfId="8905" xr:uid="{00000000-0005-0000-0000-0000011B0000}"/>
    <cellStyle name="Comma 5 5 2 3" xfId="4918" xr:uid="{00000000-0005-0000-0000-0000021B0000}"/>
    <cellStyle name="Comma 5 5 2 3 2" xfId="7549" xr:uid="{00000000-0005-0000-0000-0000031B0000}"/>
    <cellStyle name="Comma 5 5 2 3 2 2" xfId="10248" xr:uid="{00000000-0005-0000-0000-0000041B0000}"/>
    <cellStyle name="Comma 5 5 2 3 3" xfId="8908" xr:uid="{00000000-0005-0000-0000-0000051B0000}"/>
    <cellStyle name="Comma 5 5 2 4" xfId="7545" xr:uid="{00000000-0005-0000-0000-0000061B0000}"/>
    <cellStyle name="Comma 5 5 2 4 2" xfId="10244" xr:uid="{00000000-0005-0000-0000-0000071B0000}"/>
    <cellStyle name="Comma 5 5 2 5" xfId="8904" xr:uid="{00000000-0005-0000-0000-0000081B0000}"/>
    <cellStyle name="Comma 5 5 3" xfId="4919" xr:uid="{00000000-0005-0000-0000-0000091B0000}"/>
    <cellStyle name="Comma 5 5 3 2" xfId="4920" xr:uid="{00000000-0005-0000-0000-00000A1B0000}"/>
    <cellStyle name="Comma 5 5 3 2 2" xfId="4921" xr:uid="{00000000-0005-0000-0000-00000B1B0000}"/>
    <cellStyle name="Comma 5 5 3 2 2 2" xfId="7552" xr:uid="{00000000-0005-0000-0000-00000C1B0000}"/>
    <cellStyle name="Comma 5 5 3 2 2 2 2" xfId="10251" xr:uid="{00000000-0005-0000-0000-00000D1B0000}"/>
    <cellStyle name="Comma 5 5 3 2 2 3" xfId="8911" xr:uid="{00000000-0005-0000-0000-00000E1B0000}"/>
    <cellStyle name="Comma 5 5 3 2 3" xfId="4922" xr:uid="{00000000-0005-0000-0000-00000F1B0000}"/>
    <cellStyle name="Comma 5 5 3 2 3 2" xfId="7553" xr:uid="{00000000-0005-0000-0000-0000101B0000}"/>
    <cellStyle name="Comma 5 5 3 2 3 2 2" xfId="10252" xr:uid="{00000000-0005-0000-0000-0000111B0000}"/>
    <cellStyle name="Comma 5 5 3 2 3 3" xfId="8912" xr:uid="{00000000-0005-0000-0000-0000121B0000}"/>
    <cellStyle name="Comma 5 5 3 2 4" xfId="7551" xr:uid="{00000000-0005-0000-0000-0000131B0000}"/>
    <cellStyle name="Comma 5 5 3 2 4 2" xfId="10250" xr:uid="{00000000-0005-0000-0000-0000141B0000}"/>
    <cellStyle name="Comma 5 5 3 2 5" xfId="8910" xr:uid="{00000000-0005-0000-0000-0000151B0000}"/>
    <cellStyle name="Comma 5 5 3 3" xfId="4923" xr:uid="{00000000-0005-0000-0000-0000161B0000}"/>
    <cellStyle name="Comma 5 5 3 3 2" xfId="7554" xr:uid="{00000000-0005-0000-0000-0000171B0000}"/>
    <cellStyle name="Comma 5 5 3 3 2 2" xfId="10253" xr:uid="{00000000-0005-0000-0000-0000181B0000}"/>
    <cellStyle name="Comma 5 5 3 3 3" xfId="8913" xr:uid="{00000000-0005-0000-0000-0000191B0000}"/>
    <cellStyle name="Comma 5 5 3 4" xfId="7550" xr:uid="{00000000-0005-0000-0000-00001A1B0000}"/>
    <cellStyle name="Comma 5 5 3 4 2" xfId="10249" xr:uid="{00000000-0005-0000-0000-00001B1B0000}"/>
    <cellStyle name="Comma 5 5 3 5" xfId="8909" xr:uid="{00000000-0005-0000-0000-00001C1B0000}"/>
    <cellStyle name="Comma 5 5 4" xfId="4924" xr:uid="{00000000-0005-0000-0000-00001D1B0000}"/>
    <cellStyle name="Comma 5 5 4 2" xfId="4925" xr:uid="{00000000-0005-0000-0000-00001E1B0000}"/>
    <cellStyle name="Comma 5 5 4 2 2" xfId="7556" xr:uid="{00000000-0005-0000-0000-00001F1B0000}"/>
    <cellStyle name="Comma 5 5 4 2 2 2" xfId="10255" xr:uid="{00000000-0005-0000-0000-0000201B0000}"/>
    <cellStyle name="Comma 5 5 4 2 3" xfId="8915" xr:uid="{00000000-0005-0000-0000-0000211B0000}"/>
    <cellStyle name="Comma 5 5 4 3" xfId="4926" xr:uid="{00000000-0005-0000-0000-0000221B0000}"/>
    <cellStyle name="Comma 5 5 4 3 2" xfId="7557" xr:uid="{00000000-0005-0000-0000-0000231B0000}"/>
    <cellStyle name="Comma 5 5 4 3 2 2" xfId="10256" xr:uid="{00000000-0005-0000-0000-0000241B0000}"/>
    <cellStyle name="Comma 5 5 4 3 3" xfId="8916" xr:uid="{00000000-0005-0000-0000-0000251B0000}"/>
    <cellStyle name="Comma 5 5 4 4" xfId="7555" xr:uid="{00000000-0005-0000-0000-0000261B0000}"/>
    <cellStyle name="Comma 5 5 4 4 2" xfId="10254" xr:uid="{00000000-0005-0000-0000-0000271B0000}"/>
    <cellStyle name="Comma 5 5 4 5" xfId="8914" xr:uid="{00000000-0005-0000-0000-0000281B0000}"/>
    <cellStyle name="Comma 5 5 5" xfId="4927" xr:uid="{00000000-0005-0000-0000-0000291B0000}"/>
    <cellStyle name="Comma 5 5 5 2" xfId="7558" xr:uid="{00000000-0005-0000-0000-00002A1B0000}"/>
    <cellStyle name="Comma 5 5 5 2 2" xfId="10257" xr:uid="{00000000-0005-0000-0000-00002B1B0000}"/>
    <cellStyle name="Comma 5 5 5 3" xfId="8917" xr:uid="{00000000-0005-0000-0000-00002C1B0000}"/>
    <cellStyle name="Comma 5 6" xfId="1370" xr:uid="{00000000-0005-0000-0000-00002D1B0000}"/>
    <cellStyle name="Comma 5 6 2" xfId="4929" xr:uid="{00000000-0005-0000-0000-00002E1B0000}"/>
    <cellStyle name="Comma 5 6 2 2" xfId="7560" xr:uid="{00000000-0005-0000-0000-00002F1B0000}"/>
    <cellStyle name="Comma 5 6 2 2 2" xfId="10259" xr:uid="{00000000-0005-0000-0000-0000301B0000}"/>
    <cellStyle name="Comma 5 6 2 3" xfId="8919" xr:uid="{00000000-0005-0000-0000-0000311B0000}"/>
    <cellStyle name="Comma 5 6 3" xfId="4930" xr:uid="{00000000-0005-0000-0000-0000321B0000}"/>
    <cellStyle name="Comma 5 6 3 2" xfId="7561" xr:uid="{00000000-0005-0000-0000-0000331B0000}"/>
    <cellStyle name="Comma 5 6 3 2 2" xfId="10260" xr:uid="{00000000-0005-0000-0000-0000341B0000}"/>
    <cellStyle name="Comma 5 6 3 3" xfId="8920" xr:uid="{00000000-0005-0000-0000-0000351B0000}"/>
    <cellStyle name="Comma 5 6 4" xfId="4928" xr:uid="{00000000-0005-0000-0000-0000361B0000}"/>
    <cellStyle name="Comma 5 6 4 2" xfId="7559" xr:uid="{00000000-0005-0000-0000-0000371B0000}"/>
    <cellStyle name="Comma 5 6 4 2 2" xfId="10258" xr:uid="{00000000-0005-0000-0000-0000381B0000}"/>
    <cellStyle name="Comma 5 6 4 3" xfId="8918" xr:uid="{00000000-0005-0000-0000-0000391B0000}"/>
    <cellStyle name="Comma 5 6 5" xfId="7075" xr:uid="{00000000-0005-0000-0000-00003A1B0000}"/>
    <cellStyle name="Comma 5 6 5 2" xfId="9780" xr:uid="{00000000-0005-0000-0000-00003B1B0000}"/>
    <cellStyle name="Comma 5 6 6" xfId="8441" xr:uid="{00000000-0005-0000-0000-00003C1B0000}"/>
    <cellStyle name="Comma 5 7" xfId="4931" xr:uid="{00000000-0005-0000-0000-00003D1B0000}"/>
    <cellStyle name="Comma 5 7 2" xfId="7562" xr:uid="{00000000-0005-0000-0000-00003E1B0000}"/>
    <cellStyle name="Comma 5 7 2 2" xfId="10261" xr:uid="{00000000-0005-0000-0000-00003F1B0000}"/>
    <cellStyle name="Comma 5 7 3" xfId="8921" xr:uid="{00000000-0005-0000-0000-0000401B0000}"/>
    <cellStyle name="Comma 5 7 4" xfId="10525" xr:uid="{00000000-0005-0000-0000-0000411B0000}"/>
    <cellStyle name="Comma 5 7 4 2" xfId="10554" xr:uid="{00000000-0005-0000-0000-0000421B0000}"/>
    <cellStyle name="Comma 5 8" xfId="6350" xr:uid="{00000000-0005-0000-0000-0000431B0000}"/>
    <cellStyle name="Comma 5 8 2" xfId="9069" xr:uid="{00000000-0005-0000-0000-0000441B0000}"/>
    <cellStyle name="Comma 5 9" xfId="7730" xr:uid="{00000000-0005-0000-0000-0000451B0000}"/>
    <cellStyle name="Comma 5_BRIGADE BLOCK A &amp; B  IBMS DDC BUDGETARY ESTIMATES 10 03 14 R0" xfId="552" xr:uid="{00000000-0005-0000-0000-0000461B0000}"/>
    <cellStyle name="Comma 50" xfId="966" xr:uid="{00000000-0005-0000-0000-0000471B0000}"/>
    <cellStyle name="Comma 50 2" xfId="1146" xr:uid="{00000000-0005-0000-0000-0000481B0000}"/>
    <cellStyle name="Comma 50 2 2" xfId="6864" xr:uid="{00000000-0005-0000-0000-0000491B0000}"/>
    <cellStyle name="Comma 50 2 2 2" xfId="9571" xr:uid="{00000000-0005-0000-0000-00004A1B0000}"/>
    <cellStyle name="Comma 50 2 3" xfId="8232" xr:uid="{00000000-0005-0000-0000-00004B1B0000}"/>
    <cellStyle name="Comma 50 3" xfId="6698" xr:uid="{00000000-0005-0000-0000-00004C1B0000}"/>
    <cellStyle name="Comma 50 3 2" xfId="9405" xr:uid="{00000000-0005-0000-0000-00004D1B0000}"/>
    <cellStyle name="Comma 50 4" xfId="8066" xr:uid="{00000000-0005-0000-0000-00004E1B0000}"/>
    <cellStyle name="Comma 51" xfId="870" xr:uid="{00000000-0005-0000-0000-00004F1B0000}"/>
    <cellStyle name="Comma 51 2" xfId="1271" xr:uid="{00000000-0005-0000-0000-0000501B0000}"/>
    <cellStyle name="Comma 51 2 2" xfId="6981" xr:uid="{00000000-0005-0000-0000-0000511B0000}"/>
    <cellStyle name="Comma 51 2 2 2" xfId="9688" xr:uid="{00000000-0005-0000-0000-0000521B0000}"/>
    <cellStyle name="Comma 51 2 3" xfId="8349" xr:uid="{00000000-0005-0000-0000-0000531B0000}"/>
    <cellStyle name="Comma 51 3" xfId="6603" xr:uid="{00000000-0005-0000-0000-0000541B0000}"/>
    <cellStyle name="Comma 51 3 2" xfId="9310" xr:uid="{00000000-0005-0000-0000-0000551B0000}"/>
    <cellStyle name="Comma 51 4" xfId="7971" xr:uid="{00000000-0005-0000-0000-0000561B0000}"/>
    <cellStyle name="Comma 52" xfId="993" xr:uid="{00000000-0005-0000-0000-0000571B0000}"/>
    <cellStyle name="Comma 52 2" xfId="1145" xr:uid="{00000000-0005-0000-0000-0000581B0000}"/>
    <cellStyle name="Comma 52 2 2" xfId="6863" xr:uid="{00000000-0005-0000-0000-0000591B0000}"/>
    <cellStyle name="Comma 52 2 2 2" xfId="9570" xr:uid="{00000000-0005-0000-0000-00005A1B0000}"/>
    <cellStyle name="Comma 52 2 3" xfId="8231" xr:uid="{00000000-0005-0000-0000-00005B1B0000}"/>
    <cellStyle name="Comma 52 3" xfId="6725" xr:uid="{00000000-0005-0000-0000-00005C1B0000}"/>
    <cellStyle name="Comma 52 3 2" xfId="9432" xr:uid="{00000000-0005-0000-0000-00005D1B0000}"/>
    <cellStyle name="Comma 52 4" xfId="8093" xr:uid="{00000000-0005-0000-0000-00005E1B0000}"/>
    <cellStyle name="Comma 53" xfId="997" xr:uid="{00000000-0005-0000-0000-00005F1B0000}"/>
    <cellStyle name="Comma 53 2" xfId="1319" xr:uid="{00000000-0005-0000-0000-0000601B0000}"/>
    <cellStyle name="Comma 53 2 2" xfId="7025" xr:uid="{00000000-0005-0000-0000-0000611B0000}"/>
    <cellStyle name="Comma 53 2 2 2" xfId="9732" xr:uid="{00000000-0005-0000-0000-0000621B0000}"/>
    <cellStyle name="Comma 53 2 3" xfId="8393" xr:uid="{00000000-0005-0000-0000-0000631B0000}"/>
    <cellStyle name="Comma 53 2 4" xfId="10439" xr:uid="{00000000-0005-0000-0000-0000641B0000}"/>
    <cellStyle name="Comma 53 3" xfId="6728" xr:uid="{00000000-0005-0000-0000-0000651B0000}"/>
    <cellStyle name="Comma 53 3 2" xfId="9435" xr:uid="{00000000-0005-0000-0000-0000661B0000}"/>
    <cellStyle name="Comma 53 4" xfId="8096" xr:uid="{00000000-0005-0000-0000-0000671B0000}"/>
    <cellStyle name="Comma 54" xfId="1323" xr:uid="{00000000-0005-0000-0000-0000681B0000}"/>
    <cellStyle name="Comma 54 2" xfId="7029" xr:uid="{00000000-0005-0000-0000-0000691B0000}"/>
    <cellStyle name="Comma 54 2 2" xfId="9736" xr:uid="{00000000-0005-0000-0000-00006A1B0000}"/>
    <cellStyle name="Comma 54 2 3" xfId="10440" xr:uid="{00000000-0005-0000-0000-00006B1B0000}"/>
    <cellStyle name="Comma 54 3" xfId="8397" xr:uid="{00000000-0005-0000-0000-00006C1B0000}"/>
    <cellStyle name="Comma 55" xfId="1248" xr:uid="{00000000-0005-0000-0000-00006D1B0000}"/>
    <cellStyle name="Comma 55 2" xfId="6966" xr:uid="{00000000-0005-0000-0000-00006E1B0000}"/>
    <cellStyle name="Comma 55 2 2" xfId="9673" xr:uid="{00000000-0005-0000-0000-00006F1B0000}"/>
    <cellStyle name="Comma 55 2 3" xfId="10441" xr:uid="{00000000-0005-0000-0000-0000701B0000}"/>
    <cellStyle name="Comma 55 3" xfId="8334" xr:uid="{00000000-0005-0000-0000-0000711B0000}"/>
    <cellStyle name="Comma 56" xfId="1322" xr:uid="{00000000-0005-0000-0000-0000721B0000}"/>
    <cellStyle name="Comma 56 2" xfId="7028" xr:uid="{00000000-0005-0000-0000-0000731B0000}"/>
    <cellStyle name="Comma 56 2 2" xfId="9735" xr:uid="{00000000-0005-0000-0000-0000741B0000}"/>
    <cellStyle name="Comma 56 3" xfId="8396" xr:uid="{00000000-0005-0000-0000-0000751B0000}"/>
    <cellStyle name="Comma 57" xfId="1331" xr:uid="{00000000-0005-0000-0000-0000761B0000}"/>
    <cellStyle name="Comma 57 2" xfId="7037" xr:uid="{00000000-0005-0000-0000-0000771B0000}"/>
    <cellStyle name="Comma 57 2 2" xfId="9744" xr:uid="{00000000-0005-0000-0000-0000781B0000}"/>
    <cellStyle name="Comma 57 3" xfId="8405" xr:uid="{00000000-0005-0000-0000-0000791B0000}"/>
    <cellStyle name="Comma 58" xfId="1333" xr:uid="{00000000-0005-0000-0000-00007A1B0000}"/>
    <cellStyle name="Comma 58 2" xfId="7038" xr:uid="{00000000-0005-0000-0000-00007B1B0000}"/>
    <cellStyle name="Comma 58 2 2" xfId="9745" xr:uid="{00000000-0005-0000-0000-00007C1B0000}"/>
    <cellStyle name="Comma 58 3" xfId="8406" xr:uid="{00000000-0005-0000-0000-00007D1B0000}"/>
    <cellStyle name="Comma 59" xfId="1334" xr:uid="{00000000-0005-0000-0000-00007E1B0000}"/>
    <cellStyle name="Comma 59 2" xfId="7039" xr:uid="{00000000-0005-0000-0000-00007F1B0000}"/>
    <cellStyle name="Comma 59 2 2" xfId="9746" xr:uid="{00000000-0005-0000-0000-0000801B0000}"/>
    <cellStyle name="Comma 59 3" xfId="8407" xr:uid="{00000000-0005-0000-0000-0000811B0000}"/>
    <cellStyle name="Comma 6" xfId="114" xr:uid="{00000000-0005-0000-0000-0000821B0000}"/>
    <cellStyle name="Comma 6 10" xfId="6352" xr:uid="{00000000-0005-0000-0000-0000831B0000}"/>
    <cellStyle name="Comma 6 10 2" xfId="9071" xr:uid="{00000000-0005-0000-0000-0000841B0000}"/>
    <cellStyle name="Comma 6 11" xfId="7732" xr:uid="{00000000-0005-0000-0000-0000851B0000}"/>
    <cellStyle name="Comma 6 12" xfId="156" xr:uid="{00000000-0005-0000-0000-0000861B0000}"/>
    <cellStyle name="Comma 6 2" xfId="126" xr:uid="{00000000-0005-0000-0000-0000871B0000}"/>
    <cellStyle name="Comma 6 2 10" xfId="1351" xr:uid="{00000000-0005-0000-0000-0000881B0000}"/>
    <cellStyle name="Comma 6 2 10 2" xfId="7056" xr:uid="{00000000-0005-0000-0000-0000891B0000}"/>
    <cellStyle name="Comma 6 2 10 2 2" xfId="9763" xr:uid="{00000000-0005-0000-0000-00008A1B0000}"/>
    <cellStyle name="Comma 6 2 10 3" xfId="8424" xr:uid="{00000000-0005-0000-0000-00008B1B0000}"/>
    <cellStyle name="Comma 6 2 11" xfId="6333" xr:uid="{00000000-0005-0000-0000-00008C1B0000}"/>
    <cellStyle name="Comma 6 2 11 2" xfId="9052" xr:uid="{00000000-0005-0000-0000-00008D1B0000}"/>
    <cellStyle name="Comma 6 2 12" xfId="7713" xr:uid="{00000000-0005-0000-0000-00008E1B0000}"/>
    <cellStyle name="Comma 6 2 2" xfId="555" xr:uid="{00000000-0005-0000-0000-00008F1B0000}"/>
    <cellStyle name="Comma 6 2 2 2" xfId="556" xr:uid="{00000000-0005-0000-0000-0000901B0000}"/>
    <cellStyle name="Comma 6 2 2 3" xfId="952" xr:uid="{00000000-0005-0000-0000-0000911B0000}"/>
    <cellStyle name="Comma 6 2 2 3 2" xfId="1230" xr:uid="{00000000-0005-0000-0000-0000921B0000}"/>
    <cellStyle name="Comma 6 2 2 3 2 2" xfId="6948" xr:uid="{00000000-0005-0000-0000-0000931B0000}"/>
    <cellStyle name="Comma 6 2 2 3 2 2 2" xfId="9655" xr:uid="{00000000-0005-0000-0000-0000941B0000}"/>
    <cellStyle name="Comma 6 2 2 3 2 3" xfId="8316" xr:uid="{00000000-0005-0000-0000-0000951B0000}"/>
    <cellStyle name="Comma 6 2 2 3 3" xfId="4932" xr:uid="{00000000-0005-0000-0000-0000961B0000}"/>
    <cellStyle name="Comma 6 2 2 3 3 2" xfId="7563" xr:uid="{00000000-0005-0000-0000-0000971B0000}"/>
    <cellStyle name="Comma 6 2 2 3 3 2 2" xfId="10262" xr:uid="{00000000-0005-0000-0000-0000981B0000}"/>
    <cellStyle name="Comma 6 2 2 3 3 3" xfId="8922" xr:uid="{00000000-0005-0000-0000-0000991B0000}"/>
    <cellStyle name="Comma 6 2 2 3 4" xfId="6685" xr:uid="{00000000-0005-0000-0000-00009A1B0000}"/>
    <cellStyle name="Comma 6 2 2 3 4 2" xfId="9392" xr:uid="{00000000-0005-0000-0000-00009B1B0000}"/>
    <cellStyle name="Comma 6 2 2 3 5" xfId="8053" xr:uid="{00000000-0005-0000-0000-00009C1B0000}"/>
    <cellStyle name="Comma 6 2 2 4" xfId="1110" xr:uid="{00000000-0005-0000-0000-00009D1B0000}"/>
    <cellStyle name="Comma 6 2 2 4 2" xfId="6840" xr:uid="{00000000-0005-0000-0000-00009E1B0000}"/>
    <cellStyle name="Comma 6 2 2 4 2 2" xfId="9547" xr:uid="{00000000-0005-0000-0000-00009F1B0000}"/>
    <cellStyle name="Comma 6 2 2 4 3" xfId="8208" xr:uid="{00000000-0005-0000-0000-0000A01B0000}"/>
    <cellStyle name="Comma 6 2 2 5" xfId="6523" xr:uid="{00000000-0005-0000-0000-0000A11B0000}"/>
    <cellStyle name="Comma 6 2 2 5 2" xfId="9240" xr:uid="{00000000-0005-0000-0000-0000A21B0000}"/>
    <cellStyle name="Comma 6 2 2 6" xfId="7901" xr:uid="{00000000-0005-0000-0000-0000A31B0000}"/>
    <cellStyle name="Comma 6 2 3" xfId="557" xr:uid="{00000000-0005-0000-0000-0000A41B0000}"/>
    <cellStyle name="Comma 6 2 4" xfId="558" xr:uid="{00000000-0005-0000-0000-0000A51B0000}"/>
    <cellStyle name="Comma 6 2 5" xfId="951" xr:uid="{00000000-0005-0000-0000-0000A61B0000}"/>
    <cellStyle name="Comma 6 2 5 2" xfId="1222" xr:uid="{00000000-0005-0000-0000-0000A71B0000}"/>
    <cellStyle name="Comma 6 2 5 2 2" xfId="6940" xr:uid="{00000000-0005-0000-0000-0000A81B0000}"/>
    <cellStyle name="Comma 6 2 5 2 2 2" xfId="9647" xr:uid="{00000000-0005-0000-0000-0000A91B0000}"/>
    <cellStyle name="Comma 6 2 5 2 3" xfId="8308" xr:uid="{00000000-0005-0000-0000-0000AA1B0000}"/>
    <cellStyle name="Comma 6 2 5 3" xfId="1109" xr:uid="{00000000-0005-0000-0000-0000AB1B0000}"/>
    <cellStyle name="Comma 6 2 5 3 2" xfId="6839" xr:uid="{00000000-0005-0000-0000-0000AC1B0000}"/>
    <cellStyle name="Comma 6 2 5 3 2 2" xfId="9546" xr:uid="{00000000-0005-0000-0000-0000AD1B0000}"/>
    <cellStyle name="Comma 6 2 5 3 3" xfId="8207" xr:uid="{00000000-0005-0000-0000-0000AE1B0000}"/>
    <cellStyle name="Comma 6 2 5 4" xfId="6684" xr:uid="{00000000-0005-0000-0000-0000AF1B0000}"/>
    <cellStyle name="Comma 6 2 5 4 2" xfId="9391" xr:uid="{00000000-0005-0000-0000-0000B01B0000}"/>
    <cellStyle name="Comma 6 2 5 5" xfId="8052" xr:uid="{00000000-0005-0000-0000-0000B11B0000}"/>
    <cellStyle name="Comma 6 2 6" xfId="973" xr:uid="{00000000-0005-0000-0000-0000B21B0000}"/>
    <cellStyle name="Comma 6 2 6 2" xfId="1229" xr:uid="{00000000-0005-0000-0000-0000B31B0000}"/>
    <cellStyle name="Comma 6 2 6 2 2" xfId="6947" xr:uid="{00000000-0005-0000-0000-0000B41B0000}"/>
    <cellStyle name="Comma 6 2 6 2 2 2" xfId="9654" xr:uid="{00000000-0005-0000-0000-0000B51B0000}"/>
    <cellStyle name="Comma 6 2 6 2 3" xfId="8315" xr:uid="{00000000-0005-0000-0000-0000B61B0000}"/>
    <cellStyle name="Comma 6 2 6 3" xfId="6705" xr:uid="{00000000-0005-0000-0000-0000B71B0000}"/>
    <cellStyle name="Comma 6 2 6 3 2" xfId="9412" xr:uid="{00000000-0005-0000-0000-0000B81B0000}"/>
    <cellStyle name="Comma 6 2 6 4" xfId="8073" xr:uid="{00000000-0005-0000-0000-0000B91B0000}"/>
    <cellStyle name="Comma 6 2 7" xfId="1292" xr:uid="{00000000-0005-0000-0000-0000BA1B0000}"/>
    <cellStyle name="Comma 6 2 7 2" xfId="7002" xr:uid="{00000000-0005-0000-0000-0000BB1B0000}"/>
    <cellStyle name="Comma 6 2 7 2 2" xfId="9709" xr:uid="{00000000-0005-0000-0000-0000BC1B0000}"/>
    <cellStyle name="Comma 6 2 7 3" xfId="8370" xr:uid="{00000000-0005-0000-0000-0000BD1B0000}"/>
    <cellStyle name="Comma 6 2 8" xfId="1048" xr:uid="{00000000-0005-0000-0000-0000BE1B0000}"/>
    <cellStyle name="Comma 6 2 8 2" xfId="6779" xr:uid="{00000000-0005-0000-0000-0000BF1B0000}"/>
    <cellStyle name="Comma 6 2 8 2 2" xfId="9486" xr:uid="{00000000-0005-0000-0000-0000C01B0000}"/>
    <cellStyle name="Comma 6 2 8 3" xfId="8147" xr:uid="{00000000-0005-0000-0000-0000C11B0000}"/>
    <cellStyle name="Comma 6 2 9" xfId="554" xr:uid="{00000000-0005-0000-0000-0000C21B0000}"/>
    <cellStyle name="Comma 6 2 9 2" xfId="6522" xr:uid="{00000000-0005-0000-0000-0000C31B0000}"/>
    <cellStyle name="Comma 6 2 9 2 2" xfId="9239" xr:uid="{00000000-0005-0000-0000-0000C41B0000}"/>
    <cellStyle name="Comma 6 2 9 3" xfId="7900" xr:uid="{00000000-0005-0000-0000-0000C51B0000}"/>
    <cellStyle name="Comma 6 3" xfId="559" xr:uid="{00000000-0005-0000-0000-0000C61B0000}"/>
    <cellStyle name="Comma 6 3 2" xfId="4933" xr:uid="{00000000-0005-0000-0000-0000C71B0000}"/>
    <cellStyle name="Comma 6 3 2 2" xfId="4934" xr:uid="{00000000-0005-0000-0000-0000C81B0000}"/>
    <cellStyle name="Comma 6 3 2 2 2" xfId="7565" xr:uid="{00000000-0005-0000-0000-0000C91B0000}"/>
    <cellStyle name="Comma 6 3 2 2 2 2" xfId="10264" xr:uid="{00000000-0005-0000-0000-0000CA1B0000}"/>
    <cellStyle name="Comma 6 3 2 2 3" xfId="8924" xr:uid="{00000000-0005-0000-0000-0000CB1B0000}"/>
    <cellStyle name="Comma 6 3 2 3" xfId="4935" xr:uid="{00000000-0005-0000-0000-0000CC1B0000}"/>
    <cellStyle name="Comma 6 3 2 3 2" xfId="7566" xr:uid="{00000000-0005-0000-0000-0000CD1B0000}"/>
    <cellStyle name="Comma 6 3 2 3 2 2" xfId="10265" xr:uid="{00000000-0005-0000-0000-0000CE1B0000}"/>
    <cellStyle name="Comma 6 3 2 3 3" xfId="8925" xr:uid="{00000000-0005-0000-0000-0000CF1B0000}"/>
    <cellStyle name="Comma 6 3 2 4" xfId="7564" xr:uid="{00000000-0005-0000-0000-0000D01B0000}"/>
    <cellStyle name="Comma 6 3 2 4 2" xfId="10263" xr:uid="{00000000-0005-0000-0000-0000D11B0000}"/>
    <cellStyle name="Comma 6 3 2 5" xfId="8923" xr:uid="{00000000-0005-0000-0000-0000D21B0000}"/>
    <cellStyle name="Comma 6 4" xfId="553" xr:uid="{00000000-0005-0000-0000-0000D31B0000}"/>
    <cellStyle name="Comma 6 4 2" xfId="1228" xr:uid="{00000000-0005-0000-0000-0000D41B0000}"/>
    <cellStyle name="Comma 6 4 2 2" xfId="4938" xr:uid="{00000000-0005-0000-0000-0000D51B0000}"/>
    <cellStyle name="Comma 6 4 2 2 2" xfId="7569" xr:uid="{00000000-0005-0000-0000-0000D61B0000}"/>
    <cellStyle name="Comma 6 4 2 2 2 2" xfId="10268" xr:uid="{00000000-0005-0000-0000-0000D71B0000}"/>
    <cellStyle name="Comma 6 4 2 2 3" xfId="8928" xr:uid="{00000000-0005-0000-0000-0000D81B0000}"/>
    <cellStyle name="Comma 6 4 2 3" xfId="4939" xr:uid="{00000000-0005-0000-0000-0000D91B0000}"/>
    <cellStyle name="Comma 6 4 2 3 2" xfId="7570" xr:uid="{00000000-0005-0000-0000-0000DA1B0000}"/>
    <cellStyle name="Comma 6 4 2 3 2 2" xfId="10269" xr:uid="{00000000-0005-0000-0000-0000DB1B0000}"/>
    <cellStyle name="Comma 6 4 2 3 3" xfId="8929" xr:uid="{00000000-0005-0000-0000-0000DC1B0000}"/>
    <cellStyle name="Comma 6 4 2 4" xfId="4937" xr:uid="{00000000-0005-0000-0000-0000DD1B0000}"/>
    <cellStyle name="Comma 6 4 2 4 2" xfId="7568" xr:uid="{00000000-0005-0000-0000-0000DE1B0000}"/>
    <cellStyle name="Comma 6 4 2 4 2 2" xfId="10267" xr:uid="{00000000-0005-0000-0000-0000DF1B0000}"/>
    <cellStyle name="Comma 6 4 2 4 3" xfId="8927" xr:uid="{00000000-0005-0000-0000-0000E01B0000}"/>
    <cellStyle name="Comma 6 4 2 5" xfId="6946" xr:uid="{00000000-0005-0000-0000-0000E11B0000}"/>
    <cellStyle name="Comma 6 4 2 5 2" xfId="9653" xr:uid="{00000000-0005-0000-0000-0000E21B0000}"/>
    <cellStyle name="Comma 6 4 2 6" xfId="8314" xr:uid="{00000000-0005-0000-0000-0000E31B0000}"/>
    <cellStyle name="Comma 6 4 3" xfId="4936" xr:uid="{00000000-0005-0000-0000-0000E41B0000}"/>
    <cellStyle name="Comma 6 4 3 2" xfId="7567" xr:uid="{00000000-0005-0000-0000-0000E51B0000}"/>
    <cellStyle name="Comma 6 4 3 2 2" xfId="10266" xr:uid="{00000000-0005-0000-0000-0000E61B0000}"/>
    <cellStyle name="Comma 6 4 3 3" xfId="8926" xr:uid="{00000000-0005-0000-0000-0000E71B0000}"/>
    <cellStyle name="Comma 6 4 3 4" xfId="10621" xr:uid="{00000000-0005-0000-0000-0000E81B0000}"/>
    <cellStyle name="Comma 6 4 4" xfId="6521" xr:uid="{00000000-0005-0000-0000-0000E91B0000}"/>
    <cellStyle name="Comma 6 4 4 2" xfId="9238" xr:uid="{00000000-0005-0000-0000-0000EA1B0000}"/>
    <cellStyle name="Comma 6 4 5" xfId="7899" xr:uid="{00000000-0005-0000-0000-0000EB1B0000}"/>
    <cellStyle name="Comma 6 5" xfId="950" xr:uid="{00000000-0005-0000-0000-0000EC1B0000}"/>
    <cellStyle name="Comma 6 5 2" xfId="4941" xr:uid="{00000000-0005-0000-0000-0000ED1B0000}"/>
    <cellStyle name="Comma 6 5 2 2" xfId="7572" xr:uid="{00000000-0005-0000-0000-0000EE1B0000}"/>
    <cellStyle name="Comma 6 5 2 2 2" xfId="10271" xr:uid="{00000000-0005-0000-0000-0000EF1B0000}"/>
    <cellStyle name="Comma 6 5 2 3" xfId="8931" xr:uid="{00000000-0005-0000-0000-0000F01B0000}"/>
    <cellStyle name="Comma 6 5 3" xfId="4942" xr:uid="{00000000-0005-0000-0000-0000F11B0000}"/>
    <cellStyle name="Comma 6 5 3 2" xfId="7573" xr:uid="{00000000-0005-0000-0000-0000F21B0000}"/>
    <cellStyle name="Comma 6 5 3 2 2" xfId="10272" xr:uid="{00000000-0005-0000-0000-0000F31B0000}"/>
    <cellStyle name="Comma 6 5 3 3" xfId="8932" xr:uid="{00000000-0005-0000-0000-0000F41B0000}"/>
    <cellStyle name="Comma 6 5 4" xfId="4940" xr:uid="{00000000-0005-0000-0000-0000F51B0000}"/>
    <cellStyle name="Comma 6 5 4 2" xfId="7571" xr:uid="{00000000-0005-0000-0000-0000F61B0000}"/>
    <cellStyle name="Comma 6 5 4 2 2" xfId="10270" xr:uid="{00000000-0005-0000-0000-0000F71B0000}"/>
    <cellStyle name="Comma 6 5 4 3" xfId="8930" xr:uid="{00000000-0005-0000-0000-0000F81B0000}"/>
    <cellStyle name="Comma 6 5 5" xfId="6683" xr:uid="{00000000-0005-0000-0000-0000F91B0000}"/>
    <cellStyle name="Comma 6 5 5 2" xfId="9390" xr:uid="{00000000-0005-0000-0000-0000FA1B0000}"/>
    <cellStyle name="Comma 6 5 6" xfId="8051" xr:uid="{00000000-0005-0000-0000-0000FB1B0000}"/>
    <cellStyle name="Comma 6 6" xfId="1020" xr:uid="{00000000-0005-0000-0000-0000FC1B0000}"/>
    <cellStyle name="Comma 6 6 2" xfId="4943" xr:uid="{00000000-0005-0000-0000-0000FD1B0000}"/>
    <cellStyle name="Comma 6 6 2 2" xfId="7574" xr:uid="{00000000-0005-0000-0000-0000FE1B0000}"/>
    <cellStyle name="Comma 6 6 2 2 2" xfId="10273" xr:uid="{00000000-0005-0000-0000-0000FF1B0000}"/>
    <cellStyle name="Comma 6 6 2 3" xfId="8933" xr:uid="{00000000-0005-0000-0000-0000001C0000}"/>
    <cellStyle name="Comma 6 6 3" xfId="6751" xr:uid="{00000000-0005-0000-0000-0000011C0000}"/>
    <cellStyle name="Comma 6 6 3 2" xfId="9458" xr:uid="{00000000-0005-0000-0000-0000021C0000}"/>
    <cellStyle name="Comma 6 6 4" xfId="8119" xr:uid="{00000000-0005-0000-0000-0000031C0000}"/>
    <cellStyle name="Comma 6 7" xfId="274" xr:uid="{00000000-0005-0000-0000-0000041C0000}"/>
    <cellStyle name="Comma 6 7 2" xfId="6425" xr:uid="{00000000-0005-0000-0000-0000051C0000}"/>
    <cellStyle name="Comma 6 7 2 2" xfId="9144" xr:uid="{00000000-0005-0000-0000-0000061C0000}"/>
    <cellStyle name="Comma 6 7 3" xfId="7805" xr:uid="{00000000-0005-0000-0000-0000071C0000}"/>
    <cellStyle name="Comma 6 8" xfId="1372" xr:uid="{00000000-0005-0000-0000-0000081C0000}"/>
    <cellStyle name="Comma 6 8 2" xfId="7077" xr:uid="{00000000-0005-0000-0000-0000091C0000}"/>
    <cellStyle name="Comma 6 8 2 2" xfId="9782" xr:uid="{00000000-0005-0000-0000-00000A1C0000}"/>
    <cellStyle name="Comma 6 8 3" xfId="8443" xr:uid="{00000000-0005-0000-0000-00000B1C0000}"/>
    <cellStyle name="Comma 6 9" xfId="1489" xr:uid="{00000000-0005-0000-0000-00000C1C0000}"/>
    <cellStyle name="Comma 6 9 2" xfId="7180" xr:uid="{00000000-0005-0000-0000-00000D1C0000}"/>
    <cellStyle name="Comma 6 9 2 2" xfId="9883" xr:uid="{00000000-0005-0000-0000-00000E1C0000}"/>
    <cellStyle name="Comma 6 9 3" xfId="8543" xr:uid="{00000000-0005-0000-0000-00000F1C0000}"/>
    <cellStyle name="Comma 60" xfId="1005" xr:uid="{00000000-0005-0000-0000-0000101C0000}"/>
    <cellStyle name="Comma 60 2" xfId="6736" xr:uid="{00000000-0005-0000-0000-0000111C0000}"/>
    <cellStyle name="Comma 60 2 2" xfId="9443" xr:uid="{00000000-0005-0000-0000-0000121C0000}"/>
    <cellStyle name="Comma 60 3" xfId="8104" xr:uid="{00000000-0005-0000-0000-0000131C0000}"/>
    <cellStyle name="Comma 61" xfId="1337" xr:uid="{00000000-0005-0000-0000-0000141C0000}"/>
    <cellStyle name="Comma 61 2" xfId="7042" xr:uid="{00000000-0005-0000-0000-0000151C0000}"/>
    <cellStyle name="Comma 61 2 2" xfId="9749" xr:uid="{00000000-0005-0000-0000-0000161C0000}"/>
    <cellStyle name="Comma 61 3" xfId="8410" xr:uid="{00000000-0005-0000-0000-0000171C0000}"/>
    <cellStyle name="Comma 62" xfId="259" xr:uid="{00000000-0005-0000-0000-0000181C0000}"/>
    <cellStyle name="Comma 62 2" xfId="6410" xr:uid="{00000000-0005-0000-0000-0000191C0000}"/>
    <cellStyle name="Comma 62 2 2" xfId="9129" xr:uid="{00000000-0005-0000-0000-00001A1C0000}"/>
    <cellStyle name="Comma 62 3" xfId="7790" xr:uid="{00000000-0005-0000-0000-00001B1C0000}"/>
    <cellStyle name="Comma 63" xfId="246" xr:uid="{00000000-0005-0000-0000-00001C1C0000}"/>
    <cellStyle name="Comma 63 2" xfId="6407" xr:uid="{00000000-0005-0000-0000-00001D1C0000}"/>
    <cellStyle name="Comma 63 2 2" xfId="9126" xr:uid="{00000000-0005-0000-0000-00001E1C0000}"/>
    <cellStyle name="Comma 63 3" xfId="7787" xr:uid="{00000000-0005-0000-0000-00001F1C0000}"/>
    <cellStyle name="Comma 64" xfId="1343" xr:uid="{00000000-0005-0000-0000-0000201C0000}"/>
    <cellStyle name="Comma 64 2" xfId="7048" xr:uid="{00000000-0005-0000-0000-0000211C0000}"/>
    <cellStyle name="Comma 64 2 2" xfId="9755" xr:uid="{00000000-0005-0000-0000-0000221C0000}"/>
    <cellStyle name="Comma 64 3" xfId="8416" xr:uid="{00000000-0005-0000-0000-0000231C0000}"/>
    <cellStyle name="Comma 65" xfId="1344" xr:uid="{00000000-0005-0000-0000-0000241C0000}"/>
    <cellStyle name="Comma 65 2" xfId="7049" xr:uid="{00000000-0005-0000-0000-0000251C0000}"/>
    <cellStyle name="Comma 65 2 2" xfId="9756" xr:uid="{00000000-0005-0000-0000-0000261C0000}"/>
    <cellStyle name="Comma 65 3" xfId="8417" xr:uid="{00000000-0005-0000-0000-0000271C0000}"/>
    <cellStyle name="Comma 65 6" xfId="4944" xr:uid="{00000000-0005-0000-0000-0000281C0000}"/>
    <cellStyle name="Comma 65 6 2" xfId="4945" xr:uid="{00000000-0005-0000-0000-0000291C0000}"/>
    <cellStyle name="Comma 65 6 2 2" xfId="4946" xr:uid="{00000000-0005-0000-0000-00002A1C0000}"/>
    <cellStyle name="Comma 65 6 2 2 2" xfId="7577" xr:uid="{00000000-0005-0000-0000-00002B1C0000}"/>
    <cellStyle name="Comma 65 6 2 2 2 2" xfId="10276" xr:uid="{00000000-0005-0000-0000-00002C1C0000}"/>
    <cellStyle name="Comma 65 6 2 2 3" xfId="8936" xr:uid="{00000000-0005-0000-0000-00002D1C0000}"/>
    <cellStyle name="Comma 65 6 2 3" xfId="7576" xr:uid="{00000000-0005-0000-0000-00002E1C0000}"/>
    <cellStyle name="Comma 65 6 2 3 2" xfId="10275" xr:uid="{00000000-0005-0000-0000-00002F1C0000}"/>
    <cellStyle name="Comma 65 6 2 4" xfId="8935" xr:uid="{00000000-0005-0000-0000-0000301C0000}"/>
    <cellStyle name="Comma 65 6 3" xfId="4947" xr:uid="{00000000-0005-0000-0000-0000311C0000}"/>
    <cellStyle name="Comma 65 6 3 2" xfId="7578" xr:uid="{00000000-0005-0000-0000-0000321C0000}"/>
    <cellStyle name="Comma 65 6 3 2 2" xfId="10277" xr:uid="{00000000-0005-0000-0000-0000331C0000}"/>
    <cellStyle name="Comma 65 6 3 3" xfId="8937" xr:uid="{00000000-0005-0000-0000-0000341C0000}"/>
    <cellStyle name="Comma 65 6 4" xfId="7575" xr:uid="{00000000-0005-0000-0000-0000351C0000}"/>
    <cellStyle name="Comma 65 6 4 2" xfId="10274" xr:uid="{00000000-0005-0000-0000-0000361C0000}"/>
    <cellStyle name="Comma 65 6 5" xfId="8934" xr:uid="{00000000-0005-0000-0000-0000371C0000}"/>
    <cellStyle name="Comma 66" xfId="1347" xr:uid="{00000000-0005-0000-0000-0000381C0000}"/>
    <cellStyle name="Comma 66 2" xfId="7052" xr:uid="{00000000-0005-0000-0000-0000391C0000}"/>
    <cellStyle name="Comma 66 2 2" xfId="9759" xr:uid="{00000000-0005-0000-0000-00003A1C0000}"/>
    <cellStyle name="Comma 66 3" xfId="8420" xr:uid="{00000000-0005-0000-0000-00003B1C0000}"/>
    <cellStyle name="Comma 67" xfId="1335" xr:uid="{00000000-0005-0000-0000-00003C1C0000}"/>
    <cellStyle name="Comma 67 2" xfId="7040" xr:uid="{00000000-0005-0000-0000-00003D1C0000}"/>
    <cellStyle name="Comma 67 2 2" xfId="9747" xr:uid="{00000000-0005-0000-0000-00003E1C0000}"/>
    <cellStyle name="Comma 67 3" xfId="8408" xr:uid="{00000000-0005-0000-0000-00003F1C0000}"/>
    <cellStyle name="Comma 68" xfId="1336" xr:uid="{00000000-0005-0000-0000-0000401C0000}"/>
    <cellStyle name="Comma 68 2" xfId="7041" xr:uid="{00000000-0005-0000-0000-0000411C0000}"/>
    <cellStyle name="Comma 68 2 2" xfId="9748" xr:uid="{00000000-0005-0000-0000-0000421C0000}"/>
    <cellStyle name="Comma 68 3" xfId="8409" xr:uid="{00000000-0005-0000-0000-0000431C0000}"/>
    <cellStyle name="Comma 69" xfId="1348" xr:uid="{00000000-0005-0000-0000-0000441C0000}"/>
    <cellStyle name="Comma 69 2" xfId="7053" xr:uid="{00000000-0005-0000-0000-0000451C0000}"/>
    <cellStyle name="Comma 69 2 2" xfId="9760" xr:uid="{00000000-0005-0000-0000-0000461C0000}"/>
    <cellStyle name="Comma 69 3" xfId="8421" xr:uid="{00000000-0005-0000-0000-0000471C0000}"/>
    <cellStyle name="Comma 7" xfId="74" xr:uid="{00000000-0005-0000-0000-0000481C0000}"/>
    <cellStyle name="Comma 7 10" xfId="6353" xr:uid="{00000000-0005-0000-0000-0000491C0000}"/>
    <cellStyle name="Comma 7 10 2" xfId="9072" xr:uid="{00000000-0005-0000-0000-00004A1C0000}"/>
    <cellStyle name="Comma 7 11" xfId="7733" xr:uid="{00000000-0005-0000-0000-00004B1C0000}"/>
    <cellStyle name="Comma 7 12" xfId="157" xr:uid="{00000000-0005-0000-0000-00004C1C0000}"/>
    <cellStyle name="Comma 7 2" xfId="100" xr:uid="{00000000-0005-0000-0000-00004D1C0000}"/>
    <cellStyle name="Comma 7 2 10" xfId="158" xr:uid="{00000000-0005-0000-0000-00004E1C0000}"/>
    <cellStyle name="Comma 7 2 2" xfId="562" xr:uid="{00000000-0005-0000-0000-00004F1C0000}"/>
    <cellStyle name="Comma 7 2 2 2" xfId="955" xr:uid="{00000000-0005-0000-0000-0000501C0000}"/>
    <cellStyle name="Comma 7 2 2 2 2" xfId="1233" xr:uid="{00000000-0005-0000-0000-0000511C0000}"/>
    <cellStyle name="Comma 7 2 2 2 2 2" xfId="6951" xr:uid="{00000000-0005-0000-0000-0000521C0000}"/>
    <cellStyle name="Comma 7 2 2 2 2 2 2" xfId="9658" xr:uid="{00000000-0005-0000-0000-0000531C0000}"/>
    <cellStyle name="Comma 7 2 2 2 2 3" xfId="8319" xr:uid="{00000000-0005-0000-0000-0000541C0000}"/>
    <cellStyle name="Comma 7 2 2 2 3" xfId="4948" xr:uid="{00000000-0005-0000-0000-0000551C0000}"/>
    <cellStyle name="Comma 7 2 2 2 3 2" xfId="7579" xr:uid="{00000000-0005-0000-0000-0000561C0000}"/>
    <cellStyle name="Comma 7 2 2 2 3 2 2" xfId="10278" xr:uid="{00000000-0005-0000-0000-0000571C0000}"/>
    <cellStyle name="Comma 7 2 2 2 3 3" xfId="8938" xr:uid="{00000000-0005-0000-0000-0000581C0000}"/>
    <cellStyle name="Comma 7 2 2 2 4" xfId="6688" xr:uid="{00000000-0005-0000-0000-0000591C0000}"/>
    <cellStyle name="Comma 7 2 2 2 4 2" xfId="9395" xr:uid="{00000000-0005-0000-0000-00005A1C0000}"/>
    <cellStyle name="Comma 7 2 2 2 5" xfId="8056" xr:uid="{00000000-0005-0000-0000-00005B1C0000}"/>
    <cellStyle name="Comma 7 2 2 3" xfId="1113" xr:uid="{00000000-0005-0000-0000-00005C1C0000}"/>
    <cellStyle name="Comma 7 2 2 3 2" xfId="4949" xr:uid="{00000000-0005-0000-0000-00005D1C0000}"/>
    <cellStyle name="Comma 7 2 2 3 2 2" xfId="7580" xr:uid="{00000000-0005-0000-0000-00005E1C0000}"/>
    <cellStyle name="Comma 7 2 2 3 2 2 2" xfId="10279" xr:uid="{00000000-0005-0000-0000-00005F1C0000}"/>
    <cellStyle name="Comma 7 2 2 3 2 3" xfId="8939" xr:uid="{00000000-0005-0000-0000-0000601C0000}"/>
    <cellStyle name="Comma 7 2 2 3 3" xfId="6843" xr:uid="{00000000-0005-0000-0000-0000611C0000}"/>
    <cellStyle name="Comma 7 2 2 3 3 2" xfId="9550" xr:uid="{00000000-0005-0000-0000-0000621C0000}"/>
    <cellStyle name="Comma 7 2 2 3 4" xfId="8211" xr:uid="{00000000-0005-0000-0000-0000631C0000}"/>
    <cellStyle name="Comma 7 2 2 4" xfId="6526" xr:uid="{00000000-0005-0000-0000-0000641C0000}"/>
    <cellStyle name="Comma 7 2 2 4 2" xfId="9243" xr:uid="{00000000-0005-0000-0000-0000651C0000}"/>
    <cellStyle name="Comma 7 2 2 5" xfId="7904" xr:uid="{00000000-0005-0000-0000-0000661C0000}"/>
    <cellStyle name="Comma 7 2 3" xfId="954" xr:uid="{00000000-0005-0000-0000-0000671C0000}"/>
    <cellStyle name="Comma 7 2 3 2" xfId="1232" xr:uid="{00000000-0005-0000-0000-0000681C0000}"/>
    <cellStyle name="Comma 7 2 3 2 2" xfId="6950" xr:uid="{00000000-0005-0000-0000-0000691C0000}"/>
    <cellStyle name="Comma 7 2 3 2 2 2" xfId="9657" xr:uid="{00000000-0005-0000-0000-00006A1C0000}"/>
    <cellStyle name="Comma 7 2 3 2 3" xfId="8318" xr:uid="{00000000-0005-0000-0000-00006B1C0000}"/>
    <cellStyle name="Comma 7 2 3 3" xfId="6687" xr:uid="{00000000-0005-0000-0000-00006C1C0000}"/>
    <cellStyle name="Comma 7 2 3 3 2" xfId="9394" xr:uid="{00000000-0005-0000-0000-00006D1C0000}"/>
    <cellStyle name="Comma 7 2 3 4" xfId="8055" xr:uid="{00000000-0005-0000-0000-00006E1C0000}"/>
    <cellStyle name="Comma 7 2 4" xfId="1112" xr:uid="{00000000-0005-0000-0000-00006F1C0000}"/>
    <cellStyle name="Comma 7 2 4 2" xfId="6842" xr:uid="{00000000-0005-0000-0000-0000701C0000}"/>
    <cellStyle name="Comma 7 2 4 2 2" xfId="9549" xr:uid="{00000000-0005-0000-0000-0000711C0000}"/>
    <cellStyle name="Comma 7 2 4 3" xfId="8210" xr:uid="{00000000-0005-0000-0000-0000721C0000}"/>
    <cellStyle name="Comma 7 2 5" xfId="561" xr:uid="{00000000-0005-0000-0000-0000731C0000}"/>
    <cellStyle name="Comma 7 2 5 2" xfId="6525" xr:uid="{00000000-0005-0000-0000-0000741C0000}"/>
    <cellStyle name="Comma 7 2 5 2 2" xfId="9242" xr:uid="{00000000-0005-0000-0000-0000751C0000}"/>
    <cellStyle name="Comma 7 2 5 3" xfId="7903" xr:uid="{00000000-0005-0000-0000-0000761C0000}"/>
    <cellStyle name="Comma 7 2 6" xfId="1374" xr:uid="{00000000-0005-0000-0000-0000771C0000}"/>
    <cellStyle name="Comma 7 2 6 2" xfId="7079" xr:uid="{00000000-0005-0000-0000-0000781C0000}"/>
    <cellStyle name="Comma 7 2 6 2 2" xfId="9784" xr:uid="{00000000-0005-0000-0000-0000791C0000}"/>
    <cellStyle name="Comma 7 2 6 3" xfId="8445" xr:uid="{00000000-0005-0000-0000-00007A1C0000}"/>
    <cellStyle name="Comma 7 2 7" xfId="1490" xr:uid="{00000000-0005-0000-0000-00007B1C0000}"/>
    <cellStyle name="Comma 7 2 7 2" xfId="7181" xr:uid="{00000000-0005-0000-0000-00007C1C0000}"/>
    <cellStyle name="Comma 7 2 7 2 2" xfId="9884" xr:uid="{00000000-0005-0000-0000-00007D1C0000}"/>
    <cellStyle name="Comma 7 2 7 3" xfId="8544" xr:uid="{00000000-0005-0000-0000-00007E1C0000}"/>
    <cellStyle name="Comma 7 2 8" xfId="6354" xr:uid="{00000000-0005-0000-0000-00007F1C0000}"/>
    <cellStyle name="Comma 7 2 8 2" xfId="9073" xr:uid="{00000000-0005-0000-0000-0000801C0000}"/>
    <cellStyle name="Comma 7 2 9" xfId="7734" xr:uid="{00000000-0005-0000-0000-0000811C0000}"/>
    <cellStyle name="Comma 7 3" xfId="115" xr:uid="{00000000-0005-0000-0000-0000821C0000}"/>
    <cellStyle name="Comma 7 3 2" xfId="4950" xr:uid="{00000000-0005-0000-0000-0000831C0000}"/>
    <cellStyle name="Comma 7 3 2 2" xfId="4951" xr:uid="{00000000-0005-0000-0000-0000841C0000}"/>
    <cellStyle name="Comma 7 3 2 2 2" xfId="7582" xr:uid="{00000000-0005-0000-0000-0000851C0000}"/>
    <cellStyle name="Comma 7 3 2 2 2 2" xfId="10281" xr:uid="{00000000-0005-0000-0000-0000861C0000}"/>
    <cellStyle name="Comma 7 3 2 2 3" xfId="8941" xr:uid="{00000000-0005-0000-0000-0000871C0000}"/>
    <cellStyle name="Comma 7 3 2 3" xfId="4952" xr:uid="{00000000-0005-0000-0000-0000881C0000}"/>
    <cellStyle name="Comma 7 3 2 3 2" xfId="7583" xr:uid="{00000000-0005-0000-0000-0000891C0000}"/>
    <cellStyle name="Comma 7 3 2 3 2 2" xfId="10282" xr:uid="{00000000-0005-0000-0000-00008A1C0000}"/>
    <cellStyle name="Comma 7 3 2 3 3" xfId="8942" xr:uid="{00000000-0005-0000-0000-00008B1C0000}"/>
    <cellStyle name="Comma 7 3 2 4" xfId="7581" xr:uid="{00000000-0005-0000-0000-00008C1C0000}"/>
    <cellStyle name="Comma 7 3 2 4 2" xfId="10280" xr:uid="{00000000-0005-0000-0000-00008D1C0000}"/>
    <cellStyle name="Comma 7 3 2 5" xfId="8940" xr:uid="{00000000-0005-0000-0000-00008E1C0000}"/>
    <cellStyle name="Comma 7 3 3" xfId="563" xr:uid="{00000000-0005-0000-0000-00008F1C0000}"/>
    <cellStyle name="Comma 7 4" xfId="564" xr:uid="{00000000-0005-0000-0000-0000901C0000}"/>
    <cellStyle name="Comma 7 4 2" xfId="956" xr:uid="{00000000-0005-0000-0000-0000911C0000}"/>
    <cellStyle name="Comma 7 4 2 2" xfId="1234" xr:uid="{00000000-0005-0000-0000-0000921C0000}"/>
    <cellStyle name="Comma 7 4 2 2 2" xfId="6952" xr:uid="{00000000-0005-0000-0000-0000931C0000}"/>
    <cellStyle name="Comma 7 4 2 2 2 2" xfId="9659" xr:uid="{00000000-0005-0000-0000-0000941C0000}"/>
    <cellStyle name="Comma 7 4 2 2 3" xfId="8320" xr:uid="{00000000-0005-0000-0000-0000951C0000}"/>
    <cellStyle name="Comma 7 4 2 3" xfId="4953" xr:uid="{00000000-0005-0000-0000-0000961C0000}"/>
    <cellStyle name="Comma 7 4 2 3 2" xfId="7584" xr:uid="{00000000-0005-0000-0000-0000971C0000}"/>
    <cellStyle name="Comma 7 4 2 3 2 2" xfId="10283" xr:uid="{00000000-0005-0000-0000-0000981C0000}"/>
    <cellStyle name="Comma 7 4 2 3 3" xfId="8943" xr:uid="{00000000-0005-0000-0000-0000991C0000}"/>
    <cellStyle name="Comma 7 4 2 4" xfId="6689" xr:uid="{00000000-0005-0000-0000-00009A1C0000}"/>
    <cellStyle name="Comma 7 4 2 4 2" xfId="9396" xr:uid="{00000000-0005-0000-0000-00009B1C0000}"/>
    <cellStyle name="Comma 7 4 2 5" xfId="8057" xr:uid="{00000000-0005-0000-0000-00009C1C0000}"/>
    <cellStyle name="Comma 7 4 3" xfId="1114" xr:uid="{00000000-0005-0000-0000-00009D1C0000}"/>
    <cellStyle name="Comma 7 4 3 2" xfId="4954" xr:uid="{00000000-0005-0000-0000-00009E1C0000}"/>
    <cellStyle name="Comma 7 4 3 2 2" xfId="7585" xr:uid="{00000000-0005-0000-0000-00009F1C0000}"/>
    <cellStyle name="Comma 7 4 3 2 2 2" xfId="10284" xr:uid="{00000000-0005-0000-0000-0000A01C0000}"/>
    <cellStyle name="Comma 7 4 3 2 3" xfId="8944" xr:uid="{00000000-0005-0000-0000-0000A11C0000}"/>
    <cellStyle name="Comma 7 4 3 3" xfId="6844" xr:uid="{00000000-0005-0000-0000-0000A21C0000}"/>
    <cellStyle name="Comma 7 4 3 3 2" xfId="9551" xr:uid="{00000000-0005-0000-0000-0000A31C0000}"/>
    <cellStyle name="Comma 7 4 3 4" xfId="8212" xr:uid="{00000000-0005-0000-0000-0000A41C0000}"/>
    <cellStyle name="Comma 7 4 4" xfId="1492" xr:uid="{00000000-0005-0000-0000-0000A51C0000}"/>
    <cellStyle name="Comma 7 4 4 2" xfId="7183" xr:uid="{00000000-0005-0000-0000-0000A61C0000}"/>
    <cellStyle name="Comma 7 4 4 2 2" xfId="9886" xr:uid="{00000000-0005-0000-0000-0000A71C0000}"/>
    <cellStyle name="Comma 7 4 4 3" xfId="8546" xr:uid="{00000000-0005-0000-0000-0000A81C0000}"/>
    <cellStyle name="Comma 7 4 5" xfId="6527" xr:uid="{00000000-0005-0000-0000-0000A91C0000}"/>
    <cellStyle name="Comma 7 4 5 2" xfId="9244" xr:uid="{00000000-0005-0000-0000-0000AA1C0000}"/>
    <cellStyle name="Comma 7 4 6" xfId="7905" xr:uid="{00000000-0005-0000-0000-0000AB1C0000}"/>
    <cellStyle name="Comma 7 5" xfId="953" xr:uid="{00000000-0005-0000-0000-0000AC1C0000}"/>
    <cellStyle name="Comma 7 5 2" xfId="1215" xr:uid="{00000000-0005-0000-0000-0000AD1C0000}"/>
    <cellStyle name="Comma 7 5 2 2" xfId="6933" xr:uid="{00000000-0005-0000-0000-0000AE1C0000}"/>
    <cellStyle name="Comma 7 5 2 2 2" xfId="9640" xr:uid="{00000000-0005-0000-0000-0000AF1C0000}"/>
    <cellStyle name="Comma 7 5 2 3" xfId="8301" xr:uid="{00000000-0005-0000-0000-0000B01C0000}"/>
    <cellStyle name="Comma 7 5 3" xfId="1111" xr:uid="{00000000-0005-0000-0000-0000B11C0000}"/>
    <cellStyle name="Comma 7 5 3 2" xfId="6841" xr:uid="{00000000-0005-0000-0000-0000B21C0000}"/>
    <cellStyle name="Comma 7 5 3 2 2" xfId="9548" xr:uid="{00000000-0005-0000-0000-0000B31C0000}"/>
    <cellStyle name="Comma 7 5 3 3" xfId="8209" xr:uid="{00000000-0005-0000-0000-0000B41C0000}"/>
    <cellStyle name="Comma 7 5 4" xfId="6686" xr:uid="{00000000-0005-0000-0000-0000B51C0000}"/>
    <cellStyle name="Comma 7 5 4 2" xfId="9393" xr:uid="{00000000-0005-0000-0000-0000B61C0000}"/>
    <cellStyle name="Comma 7 5 5" xfId="8054" xr:uid="{00000000-0005-0000-0000-0000B71C0000}"/>
    <cellStyle name="Comma 7 6" xfId="1231" xr:uid="{00000000-0005-0000-0000-0000B81C0000}"/>
    <cellStyle name="Comma 7 6 2" xfId="6949" xr:uid="{00000000-0005-0000-0000-0000B91C0000}"/>
    <cellStyle name="Comma 7 6 2 2" xfId="9656" xr:uid="{00000000-0005-0000-0000-0000BA1C0000}"/>
    <cellStyle name="Comma 7 6 3" xfId="8317" xr:uid="{00000000-0005-0000-0000-0000BB1C0000}"/>
    <cellStyle name="Comma 7 7" xfId="1033" xr:uid="{00000000-0005-0000-0000-0000BC1C0000}"/>
    <cellStyle name="Comma 7 7 2" xfId="6764" xr:uid="{00000000-0005-0000-0000-0000BD1C0000}"/>
    <cellStyle name="Comma 7 7 2 2" xfId="9471" xr:uid="{00000000-0005-0000-0000-0000BE1C0000}"/>
    <cellStyle name="Comma 7 7 3" xfId="8132" xr:uid="{00000000-0005-0000-0000-0000BF1C0000}"/>
    <cellStyle name="Comma 7 8" xfId="560" xr:uid="{00000000-0005-0000-0000-0000C01C0000}"/>
    <cellStyle name="Comma 7 8 2" xfId="6524" xr:uid="{00000000-0005-0000-0000-0000C11C0000}"/>
    <cellStyle name="Comma 7 8 2 2" xfId="9241" xr:uid="{00000000-0005-0000-0000-0000C21C0000}"/>
    <cellStyle name="Comma 7 8 3" xfId="7902" xr:uid="{00000000-0005-0000-0000-0000C31C0000}"/>
    <cellStyle name="Comma 7 9" xfId="1373" xr:uid="{00000000-0005-0000-0000-0000C41C0000}"/>
    <cellStyle name="Comma 7 9 2" xfId="7078" xr:uid="{00000000-0005-0000-0000-0000C51C0000}"/>
    <cellStyle name="Comma 7 9 2 2" xfId="9783" xr:uid="{00000000-0005-0000-0000-0000C61C0000}"/>
    <cellStyle name="Comma 7 9 3" xfId="8444" xr:uid="{00000000-0005-0000-0000-0000C71C0000}"/>
    <cellStyle name="Comma 7_BRIGADE BLOCK A &amp; B  IBMS DDC BUDGETARY ESTIMATES 10 03 14 R0" xfId="565" xr:uid="{00000000-0005-0000-0000-0000C81C0000}"/>
    <cellStyle name="Comma 70" xfId="1338" xr:uid="{00000000-0005-0000-0000-0000C91C0000}"/>
    <cellStyle name="Comma 70 2" xfId="7043" xr:uid="{00000000-0005-0000-0000-0000CA1C0000}"/>
    <cellStyle name="Comma 70 2 2" xfId="9750" xr:uid="{00000000-0005-0000-0000-0000CB1C0000}"/>
    <cellStyle name="Comma 70 3" xfId="8411" xr:uid="{00000000-0005-0000-0000-0000CC1C0000}"/>
    <cellStyle name="Comma 71" xfId="1339" xr:uid="{00000000-0005-0000-0000-0000CD1C0000}"/>
    <cellStyle name="Comma 71 2" xfId="7044" xr:uid="{00000000-0005-0000-0000-0000CE1C0000}"/>
    <cellStyle name="Comma 71 2 2" xfId="9751" xr:uid="{00000000-0005-0000-0000-0000CF1C0000}"/>
    <cellStyle name="Comma 71 2 3" xfId="10442" xr:uid="{00000000-0005-0000-0000-0000D01C0000}"/>
    <cellStyle name="Comma 71 3" xfId="8412" xr:uid="{00000000-0005-0000-0000-0000D11C0000}"/>
    <cellStyle name="Comma 72" xfId="1340" xr:uid="{00000000-0005-0000-0000-0000D21C0000}"/>
    <cellStyle name="Comma 72 2" xfId="7045" xr:uid="{00000000-0005-0000-0000-0000D31C0000}"/>
    <cellStyle name="Comma 72 2 2" xfId="9752" xr:uid="{00000000-0005-0000-0000-0000D41C0000}"/>
    <cellStyle name="Comma 72 3" xfId="8413" xr:uid="{00000000-0005-0000-0000-0000D51C0000}"/>
    <cellStyle name="Comma 73" xfId="1341" xr:uid="{00000000-0005-0000-0000-0000D61C0000}"/>
    <cellStyle name="Comma 73 2" xfId="7046" xr:uid="{00000000-0005-0000-0000-0000D71C0000}"/>
    <cellStyle name="Comma 73 2 2" xfId="9753" xr:uid="{00000000-0005-0000-0000-0000D81C0000}"/>
    <cellStyle name="Comma 73 3" xfId="8414" xr:uid="{00000000-0005-0000-0000-0000D91C0000}"/>
    <cellStyle name="Comma 74" xfId="1420" xr:uid="{00000000-0005-0000-0000-0000DA1C0000}"/>
    <cellStyle name="Comma 74 2" xfId="7122" xr:uid="{00000000-0005-0000-0000-0000DB1C0000}"/>
    <cellStyle name="Comma 74 2 2" xfId="9825" xr:uid="{00000000-0005-0000-0000-0000DC1C0000}"/>
    <cellStyle name="Comma 75" xfId="1342" xr:uid="{00000000-0005-0000-0000-0000DD1C0000}"/>
    <cellStyle name="Comma 75 2" xfId="7047" xr:uid="{00000000-0005-0000-0000-0000DE1C0000}"/>
    <cellStyle name="Comma 75 2 2" xfId="9754" xr:uid="{00000000-0005-0000-0000-0000DF1C0000}"/>
    <cellStyle name="Comma 75 3" xfId="8415" xr:uid="{00000000-0005-0000-0000-0000E01C0000}"/>
    <cellStyle name="Comma 76" xfId="1423" xr:uid="{00000000-0005-0000-0000-0000E11C0000}"/>
    <cellStyle name="Comma 76 2" xfId="10444" xr:uid="{00000000-0005-0000-0000-0000E21C0000}"/>
    <cellStyle name="Comma 77" xfId="1521" xr:uid="{00000000-0005-0000-0000-0000E31C0000}"/>
    <cellStyle name="Comma 77 2" xfId="159" xr:uid="{00000000-0005-0000-0000-0000E41C0000}"/>
    <cellStyle name="Comma 77 2 2" xfId="161" xr:uid="{00000000-0005-0000-0000-0000E51C0000}"/>
    <cellStyle name="Comma 77 2 2 2" xfId="236" xr:uid="{00000000-0005-0000-0000-0000E61C0000}"/>
    <cellStyle name="Comma 77 2 2 2 2" xfId="6397" xr:uid="{00000000-0005-0000-0000-0000E71C0000}"/>
    <cellStyle name="Comma 77 2 2 2 2 2" xfId="9116" xr:uid="{00000000-0005-0000-0000-0000E81C0000}"/>
    <cellStyle name="Comma 77 2 2 2 3" xfId="7777" xr:uid="{00000000-0005-0000-0000-0000E91C0000}"/>
    <cellStyle name="Comma 77 2 2 3" xfId="1286" xr:uid="{00000000-0005-0000-0000-0000EA1C0000}"/>
    <cellStyle name="Comma 77 2 2 3 2" xfId="6996" xr:uid="{00000000-0005-0000-0000-0000EB1C0000}"/>
    <cellStyle name="Comma 77 2 2 3 2 2" xfId="9703" xr:uid="{00000000-0005-0000-0000-0000EC1C0000}"/>
    <cellStyle name="Comma 77 2 2 3 3" xfId="8364" xr:uid="{00000000-0005-0000-0000-0000ED1C0000}"/>
    <cellStyle name="Comma 77 2 2 4" xfId="1376" xr:uid="{00000000-0005-0000-0000-0000EE1C0000}"/>
    <cellStyle name="Comma 77 2 2 4 2" xfId="7081" xr:uid="{00000000-0005-0000-0000-0000EF1C0000}"/>
    <cellStyle name="Comma 77 2 2 4 2 2" xfId="9786" xr:uid="{00000000-0005-0000-0000-0000F01C0000}"/>
    <cellStyle name="Comma 77 2 2 4 3" xfId="8447" xr:uid="{00000000-0005-0000-0000-0000F11C0000}"/>
    <cellStyle name="Comma 77 2 2 5" xfId="6222" xr:uid="{00000000-0005-0000-0000-0000F21C0000}"/>
    <cellStyle name="Comma 77 2 2 5 2" xfId="7700" xr:uid="{00000000-0005-0000-0000-0000F31C0000}"/>
    <cellStyle name="Comma 77 2 2 5 2 2" xfId="10381" xr:uid="{00000000-0005-0000-0000-0000F41C0000}"/>
    <cellStyle name="Comma 77 2 2 5 3" xfId="9041" xr:uid="{00000000-0005-0000-0000-0000F51C0000}"/>
    <cellStyle name="Comma 77 2 2 6" xfId="6356" xr:uid="{00000000-0005-0000-0000-0000F61C0000}"/>
    <cellStyle name="Comma 77 2 2 6 2" xfId="9075" xr:uid="{00000000-0005-0000-0000-0000F71C0000}"/>
    <cellStyle name="Comma 77 2 2 7" xfId="7736" xr:uid="{00000000-0005-0000-0000-0000F81C0000}"/>
    <cellStyle name="Comma 77 2 3" xfId="162" xr:uid="{00000000-0005-0000-0000-0000F91C0000}"/>
    <cellStyle name="Comma 77 2 3 2" xfId="1285" xr:uid="{00000000-0005-0000-0000-0000FA1C0000}"/>
    <cellStyle name="Comma 77 2 3 2 2" xfId="6995" xr:uid="{00000000-0005-0000-0000-0000FB1C0000}"/>
    <cellStyle name="Comma 77 2 3 2 2 2" xfId="9702" xr:uid="{00000000-0005-0000-0000-0000FC1C0000}"/>
    <cellStyle name="Comma 77 2 3 2 3" xfId="8363" xr:uid="{00000000-0005-0000-0000-0000FD1C0000}"/>
    <cellStyle name="Comma 77 2 3 3" xfId="1377" xr:uid="{00000000-0005-0000-0000-0000FE1C0000}"/>
    <cellStyle name="Comma 77 2 3 3 2" xfId="7082" xr:uid="{00000000-0005-0000-0000-0000FF1C0000}"/>
    <cellStyle name="Comma 77 2 3 3 2 2" xfId="9787" xr:uid="{00000000-0005-0000-0000-0000001D0000}"/>
    <cellStyle name="Comma 77 2 3 3 3" xfId="8448" xr:uid="{00000000-0005-0000-0000-0000011D0000}"/>
    <cellStyle name="Comma 77 2 3 4" xfId="6223" xr:uid="{00000000-0005-0000-0000-0000021D0000}"/>
    <cellStyle name="Comma 77 2 3 4 2" xfId="7701" xr:uid="{00000000-0005-0000-0000-0000031D0000}"/>
    <cellStyle name="Comma 77 2 3 4 2 2" xfId="10382" xr:uid="{00000000-0005-0000-0000-0000041D0000}"/>
    <cellStyle name="Comma 77 2 3 4 3" xfId="9042" xr:uid="{00000000-0005-0000-0000-0000051D0000}"/>
    <cellStyle name="Comma 77 2 3 5" xfId="6357" xr:uid="{00000000-0005-0000-0000-0000061D0000}"/>
    <cellStyle name="Comma 77 2 3 5 2" xfId="9076" xr:uid="{00000000-0005-0000-0000-0000071D0000}"/>
    <cellStyle name="Comma 77 2 3 6" xfId="7737" xr:uid="{00000000-0005-0000-0000-0000081D0000}"/>
    <cellStyle name="Comma 77 2 4" xfId="234" xr:uid="{00000000-0005-0000-0000-0000091D0000}"/>
    <cellStyle name="Comma 77 2 4 2" xfId="6395" xr:uid="{00000000-0005-0000-0000-00000A1D0000}"/>
    <cellStyle name="Comma 77 2 4 2 2" xfId="9114" xr:uid="{00000000-0005-0000-0000-00000B1D0000}"/>
    <cellStyle name="Comma 77 2 4 3" xfId="7775" xr:uid="{00000000-0005-0000-0000-00000C1D0000}"/>
    <cellStyle name="Comma 77 2 5" xfId="1287" xr:uid="{00000000-0005-0000-0000-00000D1D0000}"/>
    <cellStyle name="Comma 77 2 5 2" xfId="6997" xr:uid="{00000000-0005-0000-0000-00000E1D0000}"/>
    <cellStyle name="Comma 77 2 5 2 2" xfId="9704" xr:uid="{00000000-0005-0000-0000-00000F1D0000}"/>
    <cellStyle name="Comma 77 2 5 3" xfId="8365" xr:uid="{00000000-0005-0000-0000-0000101D0000}"/>
    <cellStyle name="Comma 77 2 6" xfId="1375" xr:uid="{00000000-0005-0000-0000-0000111D0000}"/>
    <cellStyle name="Comma 77 2 6 2" xfId="7080" xr:uid="{00000000-0005-0000-0000-0000121D0000}"/>
    <cellStyle name="Comma 77 2 6 2 2" xfId="9785" xr:uid="{00000000-0005-0000-0000-0000131D0000}"/>
    <cellStyle name="Comma 77 2 6 3" xfId="8446" xr:uid="{00000000-0005-0000-0000-0000141D0000}"/>
    <cellStyle name="Comma 77 2 7" xfId="6221" xr:uid="{00000000-0005-0000-0000-0000151D0000}"/>
    <cellStyle name="Comma 77 2 7 2" xfId="7699" xr:uid="{00000000-0005-0000-0000-0000161D0000}"/>
    <cellStyle name="Comma 77 2 7 2 2" xfId="10380" xr:uid="{00000000-0005-0000-0000-0000171D0000}"/>
    <cellStyle name="Comma 77 2 7 3" xfId="9040" xr:uid="{00000000-0005-0000-0000-0000181D0000}"/>
    <cellStyle name="Comma 77 2 8" xfId="6355" xr:uid="{00000000-0005-0000-0000-0000191D0000}"/>
    <cellStyle name="Comma 77 2 8 2" xfId="9074" xr:uid="{00000000-0005-0000-0000-00001A1D0000}"/>
    <cellStyle name="Comma 77 2 9" xfId="7735" xr:uid="{00000000-0005-0000-0000-00001B1D0000}"/>
    <cellStyle name="Comma 78" xfId="6234" xr:uid="{00000000-0005-0000-0000-00001C1D0000}"/>
    <cellStyle name="Comma 79" xfId="6327" xr:uid="{00000000-0005-0000-0000-00001D1D0000}"/>
    <cellStyle name="Comma 8" xfId="164" xr:uid="{00000000-0005-0000-0000-00001E1D0000}"/>
    <cellStyle name="Comma 8 2" xfId="567" xr:uid="{00000000-0005-0000-0000-00001F1D0000}"/>
    <cellStyle name="Comma 8 2 2" xfId="568" xr:uid="{00000000-0005-0000-0000-0000201D0000}"/>
    <cellStyle name="Comma 8 2 2 2" xfId="959" xr:uid="{00000000-0005-0000-0000-0000211D0000}"/>
    <cellStyle name="Comma 8 2 2 2 2" xfId="1237" xr:uid="{00000000-0005-0000-0000-0000221D0000}"/>
    <cellStyle name="Comma 8 2 2 2 2 2" xfId="6955" xr:uid="{00000000-0005-0000-0000-0000231D0000}"/>
    <cellStyle name="Comma 8 2 2 2 2 2 2" xfId="9662" xr:uid="{00000000-0005-0000-0000-0000241D0000}"/>
    <cellStyle name="Comma 8 2 2 2 2 3" xfId="8323" xr:uid="{00000000-0005-0000-0000-0000251D0000}"/>
    <cellStyle name="Comma 8 2 2 2 3" xfId="4955" xr:uid="{00000000-0005-0000-0000-0000261D0000}"/>
    <cellStyle name="Comma 8 2 2 2 3 2" xfId="7586" xr:uid="{00000000-0005-0000-0000-0000271D0000}"/>
    <cellStyle name="Comma 8 2 2 2 3 2 2" xfId="10285" xr:uid="{00000000-0005-0000-0000-0000281D0000}"/>
    <cellStyle name="Comma 8 2 2 2 3 3" xfId="8945" xr:uid="{00000000-0005-0000-0000-0000291D0000}"/>
    <cellStyle name="Comma 8 2 2 2 4" xfId="6692" xr:uid="{00000000-0005-0000-0000-00002A1D0000}"/>
    <cellStyle name="Comma 8 2 2 2 4 2" xfId="9399" xr:uid="{00000000-0005-0000-0000-00002B1D0000}"/>
    <cellStyle name="Comma 8 2 2 2 5" xfId="8060" xr:uid="{00000000-0005-0000-0000-00002C1D0000}"/>
    <cellStyle name="Comma 8 2 2 3" xfId="1117" xr:uid="{00000000-0005-0000-0000-00002D1D0000}"/>
    <cellStyle name="Comma 8 2 2 3 2" xfId="4956" xr:uid="{00000000-0005-0000-0000-00002E1D0000}"/>
    <cellStyle name="Comma 8 2 2 3 2 2" xfId="7587" xr:uid="{00000000-0005-0000-0000-00002F1D0000}"/>
    <cellStyle name="Comma 8 2 2 3 2 2 2" xfId="10286" xr:uid="{00000000-0005-0000-0000-0000301D0000}"/>
    <cellStyle name="Comma 8 2 2 3 2 3" xfId="8946" xr:uid="{00000000-0005-0000-0000-0000311D0000}"/>
    <cellStyle name="Comma 8 2 2 3 3" xfId="6847" xr:uid="{00000000-0005-0000-0000-0000321D0000}"/>
    <cellStyle name="Comma 8 2 2 3 3 2" xfId="9554" xr:uid="{00000000-0005-0000-0000-0000331D0000}"/>
    <cellStyle name="Comma 8 2 2 3 4" xfId="8215" xr:uid="{00000000-0005-0000-0000-0000341D0000}"/>
    <cellStyle name="Comma 8 2 2 4" xfId="1431" xr:uid="{00000000-0005-0000-0000-0000351D0000}"/>
    <cellStyle name="Comma 8 2 2 4 2" xfId="7128" xr:uid="{00000000-0005-0000-0000-0000361D0000}"/>
    <cellStyle name="Comma 8 2 2 4 2 2" xfId="9831" xr:uid="{00000000-0005-0000-0000-0000371D0000}"/>
    <cellStyle name="Comma 8 2 2 4 3" xfId="8491" xr:uid="{00000000-0005-0000-0000-0000381D0000}"/>
    <cellStyle name="Comma 8 2 2 5" xfId="6530" xr:uid="{00000000-0005-0000-0000-0000391D0000}"/>
    <cellStyle name="Comma 8 2 2 5 2" xfId="9247" xr:uid="{00000000-0005-0000-0000-00003A1D0000}"/>
    <cellStyle name="Comma 8 2 2 6" xfId="7908" xr:uid="{00000000-0005-0000-0000-00003B1D0000}"/>
    <cellStyle name="Comma 8 2 3" xfId="569" xr:uid="{00000000-0005-0000-0000-00003C1D0000}"/>
    <cellStyle name="Comma 8 2 3 2" xfId="960" xr:uid="{00000000-0005-0000-0000-00003D1D0000}"/>
    <cellStyle name="Comma 8 2 3 2 2" xfId="1238" xr:uid="{00000000-0005-0000-0000-00003E1D0000}"/>
    <cellStyle name="Comma 8 2 3 2 2 2" xfId="6956" xr:uid="{00000000-0005-0000-0000-00003F1D0000}"/>
    <cellStyle name="Comma 8 2 3 2 2 2 2" xfId="9663" xr:uid="{00000000-0005-0000-0000-0000401D0000}"/>
    <cellStyle name="Comma 8 2 3 2 2 3" xfId="8324" xr:uid="{00000000-0005-0000-0000-0000411D0000}"/>
    <cellStyle name="Comma 8 2 3 2 3" xfId="6693" xr:uid="{00000000-0005-0000-0000-0000421D0000}"/>
    <cellStyle name="Comma 8 2 3 2 3 2" xfId="9400" xr:uid="{00000000-0005-0000-0000-0000431D0000}"/>
    <cellStyle name="Comma 8 2 3 2 4" xfId="8061" xr:uid="{00000000-0005-0000-0000-0000441D0000}"/>
    <cellStyle name="Comma 8 2 3 3" xfId="1118" xr:uid="{00000000-0005-0000-0000-0000451D0000}"/>
    <cellStyle name="Comma 8 2 3 3 2" xfId="6848" xr:uid="{00000000-0005-0000-0000-0000461D0000}"/>
    <cellStyle name="Comma 8 2 3 3 2 2" xfId="9555" xr:uid="{00000000-0005-0000-0000-0000471D0000}"/>
    <cellStyle name="Comma 8 2 3 3 3" xfId="8216" xr:uid="{00000000-0005-0000-0000-0000481D0000}"/>
    <cellStyle name="Comma 8 2 3 4" xfId="1432" xr:uid="{00000000-0005-0000-0000-0000491D0000}"/>
    <cellStyle name="Comma 8 2 3 4 2" xfId="7129" xr:uid="{00000000-0005-0000-0000-00004A1D0000}"/>
    <cellStyle name="Comma 8 2 3 4 2 2" xfId="9832" xr:uid="{00000000-0005-0000-0000-00004B1D0000}"/>
    <cellStyle name="Comma 8 2 3 4 3" xfId="8492" xr:uid="{00000000-0005-0000-0000-00004C1D0000}"/>
    <cellStyle name="Comma 8 2 3 5" xfId="6531" xr:uid="{00000000-0005-0000-0000-00004D1D0000}"/>
    <cellStyle name="Comma 8 2 3 5 2" xfId="9248" xr:uid="{00000000-0005-0000-0000-00004E1D0000}"/>
    <cellStyle name="Comma 8 2 3 6" xfId="7909" xr:uid="{00000000-0005-0000-0000-00004F1D0000}"/>
    <cellStyle name="Comma 8 2 4" xfId="958" xr:uid="{00000000-0005-0000-0000-0000501D0000}"/>
    <cellStyle name="Comma 8 2 4 2" xfId="1236" xr:uid="{00000000-0005-0000-0000-0000511D0000}"/>
    <cellStyle name="Comma 8 2 4 2 2" xfId="6954" xr:uid="{00000000-0005-0000-0000-0000521D0000}"/>
    <cellStyle name="Comma 8 2 4 2 2 2" xfId="9661" xr:uid="{00000000-0005-0000-0000-0000531D0000}"/>
    <cellStyle name="Comma 8 2 4 2 3" xfId="8322" xr:uid="{00000000-0005-0000-0000-0000541D0000}"/>
    <cellStyle name="Comma 8 2 4 3" xfId="6691" xr:uid="{00000000-0005-0000-0000-0000551D0000}"/>
    <cellStyle name="Comma 8 2 4 3 2" xfId="9398" xr:uid="{00000000-0005-0000-0000-0000561D0000}"/>
    <cellStyle name="Comma 8 2 4 4" xfId="8059" xr:uid="{00000000-0005-0000-0000-0000571D0000}"/>
    <cellStyle name="Comma 8 2 5" xfId="1116" xr:uid="{00000000-0005-0000-0000-0000581D0000}"/>
    <cellStyle name="Comma 8 2 5 2" xfId="6846" xr:uid="{00000000-0005-0000-0000-0000591D0000}"/>
    <cellStyle name="Comma 8 2 5 2 2" xfId="9553" xr:uid="{00000000-0005-0000-0000-00005A1D0000}"/>
    <cellStyle name="Comma 8 2 5 3" xfId="8214" xr:uid="{00000000-0005-0000-0000-00005B1D0000}"/>
    <cellStyle name="Comma 8 2 6" xfId="1494" xr:uid="{00000000-0005-0000-0000-00005C1D0000}"/>
    <cellStyle name="Comma 8 2 6 2" xfId="7185" xr:uid="{00000000-0005-0000-0000-00005D1D0000}"/>
    <cellStyle name="Comma 8 2 6 2 2" xfId="9888" xr:uid="{00000000-0005-0000-0000-00005E1D0000}"/>
    <cellStyle name="Comma 8 2 6 3" xfId="8548" xr:uid="{00000000-0005-0000-0000-00005F1D0000}"/>
    <cellStyle name="Comma 8 2 7" xfId="6529" xr:uid="{00000000-0005-0000-0000-0000601D0000}"/>
    <cellStyle name="Comma 8 2 7 2" xfId="9246" xr:uid="{00000000-0005-0000-0000-0000611D0000}"/>
    <cellStyle name="Comma 8 2 8" xfId="7907" xr:uid="{00000000-0005-0000-0000-0000621D0000}"/>
    <cellStyle name="Comma 8 24" xfId="10499" xr:uid="{00000000-0005-0000-0000-0000631D0000}"/>
    <cellStyle name="Comma 8 24 2 2" xfId="10600" xr:uid="{00000000-0005-0000-0000-0000641D0000}"/>
    <cellStyle name="Comma 8 24 3" xfId="10615" xr:uid="{00000000-0005-0000-0000-0000651D0000}"/>
    <cellStyle name="Comma 8 3" xfId="957" xr:uid="{00000000-0005-0000-0000-0000661D0000}"/>
    <cellStyle name="Comma 8 3 10" xfId="10589" xr:uid="{00000000-0005-0000-0000-0000671D0000}"/>
    <cellStyle name="Comma 8 3 2" xfId="1235" xr:uid="{00000000-0005-0000-0000-0000681D0000}"/>
    <cellStyle name="Comma 8 3 2 2" xfId="4958" xr:uid="{00000000-0005-0000-0000-0000691D0000}"/>
    <cellStyle name="Comma 8 3 2 2 2" xfId="7589" xr:uid="{00000000-0005-0000-0000-00006A1D0000}"/>
    <cellStyle name="Comma 8 3 2 2 2 2" xfId="10288" xr:uid="{00000000-0005-0000-0000-00006B1D0000}"/>
    <cellStyle name="Comma 8 3 2 2 3" xfId="8948" xr:uid="{00000000-0005-0000-0000-00006C1D0000}"/>
    <cellStyle name="Comma 8 3 2 3" xfId="6953" xr:uid="{00000000-0005-0000-0000-00006D1D0000}"/>
    <cellStyle name="Comma 8 3 2 3 2" xfId="9660" xr:uid="{00000000-0005-0000-0000-00006E1D0000}"/>
    <cellStyle name="Comma 8 3 2 4" xfId="8321" xr:uid="{00000000-0005-0000-0000-00006F1D0000}"/>
    <cellStyle name="Comma 8 3 3" xfId="4959" xr:uid="{00000000-0005-0000-0000-0000701D0000}"/>
    <cellStyle name="Comma 8 3 3 2" xfId="7590" xr:uid="{00000000-0005-0000-0000-0000711D0000}"/>
    <cellStyle name="Comma 8 3 3 2 2" xfId="10289" xr:uid="{00000000-0005-0000-0000-0000721D0000}"/>
    <cellStyle name="Comma 8 3 3 3" xfId="8949" xr:uid="{00000000-0005-0000-0000-0000731D0000}"/>
    <cellStyle name="Comma 8 3 4" xfId="4957" xr:uid="{00000000-0005-0000-0000-0000741D0000}"/>
    <cellStyle name="Comma 8 3 4 2" xfId="7588" xr:uid="{00000000-0005-0000-0000-0000751D0000}"/>
    <cellStyle name="Comma 8 3 4 2 2" xfId="10287" xr:uid="{00000000-0005-0000-0000-0000761D0000}"/>
    <cellStyle name="Comma 8 3 4 3" xfId="8947" xr:uid="{00000000-0005-0000-0000-0000771D0000}"/>
    <cellStyle name="Comma 8 3 5" xfId="6690" xr:uid="{00000000-0005-0000-0000-0000781D0000}"/>
    <cellStyle name="Comma 8 3 5 2" xfId="9397" xr:uid="{00000000-0005-0000-0000-0000791D0000}"/>
    <cellStyle name="Comma 8 3 6" xfId="8058" xr:uid="{00000000-0005-0000-0000-00007A1D0000}"/>
    <cellStyle name="Comma 8 3 7" xfId="10507" xr:uid="{00000000-0005-0000-0000-00007B1D0000}"/>
    <cellStyle name="Comma 8 3 8" xfId="10540" xr:uid="{00000000-0005-0000-0000-00007C1D0000}"/>
    <cellStyle name="Comma 8 3 8 2" xfId="10573" xr:uid="{00000000-0005-0000-0000-00007D1D0000}"/>
    <cellStyle name="Comma 8 3 8 2 2" xfId="10601" xr:uid="{00000000-0005-0000-0000-00007E1D0000}"/>
    <cellStyle name="Comma 8 3 9" xfId="10570" xr:uid="{00000000-0005-0000-0000-00007F1D0000}"/>
    <cellStyle name="Comma 8 4" xfId="1115" xr:uid="{00000000-0005-0000-0000-0000801D0000}"/>
    <cellStyle name="Comma 8 4 2" xfId="6845" xr:uid="{00000000-0005-0000-0000-0000811D0000}"/>
    <cellStyle name="Comma 8 4 2 2" xfId="9552" xr:uid="{00000000-0005-0000-0000-0000821D0000}"/>
    <cellStyle name="Comma 8 4 3" xfId="8213" xr:uid="{00000000-0005-0000-0000-0000831D0000}"/>
    <cellStyle name="Comma 8 5" xfId="566" xr:uid="{00000000-0005-0000-0000-0000841D0000}"/>
    <cellStyle name="Comma 8 5 2" xfId="4960" xr:uid="{00000000-0005-0000-0000-0000851D0000}"/>
    <cellStyle name="Comma 8 5 2 2" xfId="7591" xr:uid="{00000000-0005-0000-0000-0000861D0000}"/>
    <cellStyle name="Comma 8 5 2 2 2" xfId="10290" xr:uid="{00000000-0005-0000-0000-0000871D0000}"/>
    <cellStyle name="Comma 8 5 2 3" xfId="8950" xr:uid="{00000000-0005-0000-0000-0000881D0000}"/>
    <cellStyle name="Comma 8 5 3" xfId="6528" xr:uid="{00000000-0005-0000-0000-0000891D0000}"/>
    <cellStyle name="Comma 8 5 3 2" xfId="9245" xr:uid="{00000000-0005-0000-0000-00008A1D0000}"/>
    <cellStyle name="Comma 8 5 4" xfId="7906" xr:uid="{00000000-0005-0000-0000-00008B1D0000}"/>
    <cellStyle name="Comma 8 6" xfId="1379" xr:uid="{00000000-0005-0000-0000-00008C1D0000}"/>
    <cellStyle name="Comma 8 6 2" xfId="7084" xr:uid="{00000000-0005-0000-0000-00008D1D0000}"/>
    <cellStyle name="Comma 8 6 2 2" xfId="9789" xr:uid="{00000000-0005-0000-0000-00008E1D0000}"/>
    <cellStyle name="Comma 8 6 3" xfId="8450" xr:uid="{00000000-0005-0000-0000-00008F1D0000}"/>
    <cellStyle name="Comma 8 7" xfId="6359" xr:uid="{00000000-0005-0000-0000-0000901D0000}"/>
    <cellStyle name="Comma 8 7 2" xfId="9078" xr:uid="{00000000-0005-0000-0000-0000911D0000}"/>
    <cellStyle name="Comma 8 8" xfId="7739" xr:uid="{00000000-0005-0000-0000-0000921D0000}"/>
    <cellStyle name="Comma 8_BRIGADE BLOCK A &amp; B  IBMS DDC BUDGETARY ESTIMATES 10 03 14 R0" xfId="570" xr:uid="{00000000-0005-0000-0000-0000931D0000}"/>
    <cellStyle name="Comma 80" xfId="6328" xr:uid="{00000000-0005-0000-0000-0000941D0000}"/>
    <cellStyle name="Comma 81" xfId="6232" xr:uid="{00000000-0005-0000-0000-0000951D0000}"/>
    <cellStyle name="Comma 82" xfId="6330" xr:uid="{00000000-0005-0000-0000-0000961D0000}"/>
    <cellStyle name="Comma 82 2" xfId="9049" xr:uid="{00000000-0005-0000-0000-0000971D0000}"/>
    <cellStyle name="Comma 83" xfId="7710" xr:uid="{00000000-0005-0000-0000-0000981D0000}"/>
    <cellStyle name="Comma 84" xfId="10401" xr:uid="{00000000-0005-0000-0000-0000991D0000}"/>
    <cellStyle name="Comma 85" xfId="10405" xr:uid="{00000000-0005-0000-0000-00009A1D0000}"/>
    <cellStyle name="Comma 86" xfId="10409" xr:uid="{00000000-0005-0000-0000-00009B1D0000}"/>
    <cellStyle name="Comma 87" xfId="10411" xr:uid="{00000000-0005-0000-0000-00009C1D0000}"/>
    <cellStyle name="Comma 88" xfId="10413" xr:uid="{00000000-0005-0000-0000-00009D1D0000}"/>
    <cellStyle name="Comma 89" xfId="10415" xr:uid="{00000000-0005-0000-0000-00009E1D0000}"/>
    <cellStyle name="Comma 9" xfId="86" xr:uid="{00000000-0005-0000-0000-00009F1D0000}"/>
    <cellStyle name="Comma 9 10" xfId="165" xr:uid="{00000000-0005-0000-0000-0000A01D0000}"/>
    <cellStyle name="Comma 9 2" xfId="106" xr:uid="{00000000-0005-0000-0000-0000A11D0000}"/>
    <cellStyle name="Comma 9 2 2" xfId="962" xr:uid="{00000000-0005-0000-0000-0000A21D0000}"/>
    <cellStyle name="Comma 9 2 2 2" xfId="1240" xr:uid="{00000000-0005-0000-0000-0000A31D0000}"/>
    <cellStyle name="Comma 9 2 2 2 2" xfId="4962" xr:uid="{00000000-0005-0000-0000-0000A41D0000}"/>
    <cellStyle name="Comma 9 2 2 2 2 2" xfId="7593" xr:uid="{00000000-0005-0000-0000-0000A51D0000}"/>
    <cellStyle name="Comma 9 2 2 2 2 2 2" xfId="10292" xr:uid="{00000000-0005-0000-0000-0000A61D0000}"/>
    <cellStyle name="Comma 9 2 2 2 2 3" xfId="8952" xr:uid="{00000000-0005-0000-0000-0000A71D0000}"/>
    <cellStyle name="Comma 9 2 2 2 3" xfId="6958" xr:uid="{00000000-0005-0000-0000-0000A81D0000}"/>
    <cellStyle name="Comma 9 2 2 2 3 2" xfId="9665" xr:uid="{00000000-0005-0000-0000-0000A91D0000}"/>
    <cellStyle name="Comma 9 2 2 2 4" xfId="8326" xr:uid="{00000000-0005-0000-0000-0000AA1D0000}"/>
    <cellStyle name="Comma 9 2 2 3" xfId="4963" xr:uid="{00000000-0005-0000-0000-0000AB1D0000}"/>
    <cellStyle name="Comma 9 2 2 3 2" xfId="7594" xr:uid="{00000000-0005-0000-0000-0000AC1D0000}"/>
    <cellStyle name="Comma 9 2 2 3 2 2" xfId="10293" xr:uid="{00000000-0005-0000-0000-0000AD1D0000}"/>
    <cellStyle name="Comma 9 2 2 3 3" xfId="8953" xr:uid="{00000000-0005-0000-0000-0000AE1D0000}"/>
    <cellStyle name="Comma 9 2 2 4" xfId="4961" xr:uid="{00000000-0005-0000-0000-0000AF1D0000}"/>
    <cellStyle name="Comma 9 2 2 4 2" xfId="7592" xr:uid="{00000000-0005-0000-0000-0000B01D0000}"/>
    <cellStyle name="Comma 9 2 2 4 2 2" xfId="10291" xr:uid="{00000000-0005-0000-0000-0000B11D0000}"/>
    <cellStyle name="Comma 9 2 2 4 3" xfId="8951" xr:uid="{00000000-0005-0000-0000-0000B21D0000}"/>
    <cellStyle name="Comma 9 2 2 5" xfId="6695" xr:uid="{00000000-0005-0000-0000-0000B31D0000}"/>
    <cellStyle name="Comma 9 2 2 5 2" xfId="9402" xr:uid="{00000000-0005-0000-0000-0000B41D0000}"/>
    <cellStyle name="Comma 9 2 2 6" xfId="8063" xr:uid="{00000000-0005-0000-0000-0000B51D0000}"/>
    <cellStyle name="Comma 9 2 3" xfId="1120" xr:uid="{00000000-0005-0000-0000-0000B61D0000}"/>
    <cellStyle name="Comma 9 2 3 2" xfId="6850" xr:uid="{00000000-0005-0000-0000-0000B71D0000}"/>
    <cellStyle name="Comma 9 2 3 2 2" xfId="9557" xr:uid="{00000000-0005-0000-0000-0000B81D0000}"/>
    <cellStyle name="Comma 9 2 3 3" xfId="8218" xr:uid="{00000000-0005-0000-0000-0000B91D0000}"/>
    <cellStyle name="Comma 9 2 4" xfId="6533" xr:uid="{00000000-0005-0000-0000-0000BA1D0000}"/>
    <cellStyle name="Comma 9 2 4 2" xfId="9250" xr:uid="{00000000-0005-0000-0000-0000BB1D0000}"/>
    <cellStyle name="Comma 9 2 5" xfId="7911" xr:uid="{00000000-0005-0000-0000-0000BC1D0000}"/>
    <cellStyle name="Comma 9 2 6" xfId="572" xr:uid="{00000000-0005-0000-0000-0000BD1D0000}"/>
    <cellStyle name="Comma 9 3" xfId="961" xr:uid="{00000000-0005-0000-0000-0000BE1D0000}"/>
    <cellStyle name="Comma 9 3 2" xfId="1239" xr:uid="{00000000-0005-0000-0000-0000BF1D0000}"/>
    <cellStyle name="Comma 9 3 2 2" xfId="4965" xr:uid="{00000000-0005-0000-0000-0000C01D0000}"/>
    <cellStyle name="Comma 9 3 2 2 2" xfId="7596" xr:uid="{00000000-0005-0000-0000-0000C11D0000}"/>
    <cellStyle name="Comma 9 3 2 2 2 2" xfId="10295" xr:uid="{00000000-0005-0000-0000-0000C21D0000}"/>
    <cellStyle name="Comma 9 3 2 2 3" xfId="8955" xr:uid="{00000000-0005-0000-0000-0000C31D0000}"/>
    <cellStyle name="Comma 9 3 2 3" xfId="6957" xr:uid="{00000000-0005-0000-0000-0000C41D0000}"/>
    <cellStyle name="Comma 9 3 2 3 2" xfId="9664" xr:uid="{00000000-0005-0000-0000-0000C51D0000}"/>
    <cellStyle name="Comma 9 3 2 4" xfId="8325" xr:uid="{00000000-0005-0000-0000-0000C61D0000}"/>
    <cellStyle name="Comma 9 3 3" xfId="4966" xr:uid="{00000000-0005-0000-0000-0000C71D0000}"/>
    <cellStyle name="Comma 9 3 3 2" xfId="7597" xr:uid="{00000000-0005-0000-0000-0000C81D0000}"/>
    <cellStyle name="Comma 9 3 3 2 2" xfId="10296" xr:uid="{00000000-0005-0000-0000-0000C91D0000}"/>
    <cellStyle name="Comma 9 3 3 3" xfId="8956" xr:uid="{00000000-0005-0000-0000-0000CA1D0000}"/>
    <cellStyle name="Comma 9 3 4" xfId="4964" xr:uid="{00000000-0005-0000-0000-0000CB1D0000}"/>
    <cellStyle name="Comma 9 3 4 2" xfId="7595" xr:uid="{00000000-0005-0000-0000-0000CC1D0000}"/>
    <cellStyle name="Comma 9 3 4 2 2" xfId="10294" xr:uid="{00000000-0005-0000-0000-0000CD1D0000}"/>
    <cellStyle name="Comma 9 3 4 3" xfId="8954" xr:uid="{00000000-0005-0000-0000-0000CE1D0000}"/>
    <cellStyle name="Comma 9 3 5" xfId="6694" xr:uid="{00000000-0005-0000-0000-0000CF1D0000}"/>
    <cellStyle name="Comma 9 3 5 2" xfId="9401" xr:uid="{00000000-0005-0000-0000-0000D01D0000}"/>
    <cellStyle name="Comma 9 3 6" xfId="8062" xr:uid="{00000000-0005-0000-0000-0000D11D0000}"/>
    <cellStyle name="Comma 9 4" xfId="1284" xr:uid="{00000000-0005-0000-0000-0000D21D0000}"/>
    <cellStyle name="Comma 9 4 2" xfId="4967" xr:uid="{00000000-0005-0000-0000-0000D31D0000}"/>
    <cellStyle name="Comma 9 4 2 2" xfId="7598" xr:uid="{00000000-0005-0000-0000-0000D41D0000}"/>
    <cellStyle name="Comma 9 4 2 2 2" xfId="10297" xr:uid="{00000000-0005-0000-0000-0000D51D0000}"/>
    <cellStyle name="Comma 9 4 2 3" xfId="8957" xr:uid="{00000000-0005-0000-0000-0000D61D0000}"/>
    <cellStyle name="Comma 9 4 3" xfId="6994" xr:uid="{00000000-0005-0000-0000-0000D71D0000}"/>
    <cellStyle name="Comma 9 4 3 2" xfId="9701" xr:uid="{00000000-0005-0000-0000-0000D81D0000}"/>
    <cellStyle name="Comma 9 4 4" xfId="8362" xr:uid="{00000000-0005-0000-0000-0000D91D0000}"/>
    <cellStyle name="Comma 9 5" xfId="1119" xr:uid="{00000000-0005-0000-0000-0000DA1D0000}"/>
    <cellStyle name="Comma 9 5 2" xfId="6849" xr:uid="{00000000-0005-0000-0000-0000DB1D0000}"/>
    <cellStyle name="Comma 9 5 2 2" xfId="9556" xr:uid="{00000000-0005-0000-0000-0000DC1D0000}"/>
    <cellStyle name="Comma 9 5 3" xfId="8217" xr:uid="{00000000-0005-0000-0000-0000DD1D0000}"/>
    <cellStyle name="Comma 9 6" xfId="571" xr:uid="{00000000-0005-0000-0000-0000DE1D0000}"/>
    <cellStyle name="Comma 9 6 2" xfId="6532" xr:uid="{00000000-0005-0000-0000-0000DF1D0000}"/>
    <cellStyle name="Comma 9 6 2 2" xfId="9249" xr:uid="{00000000-0005-0000-0000-0000E01D0000}"/>
    <cellStyle name="Comma 9 6 3" xfId="7910" xr:uid="{00000000-0005-0000-0000-0000E11D0000}"/>
    <cellStyle name="Comma 9 7" xfId="1380" xr:uid="{00000000-0005-0000-0000-0000E21D0000}"/>
    <cellStyle name="Comma 9 7 2" xfId="7085" xr:uid="{00000000-0005-0000-0000-0000E31D0000}"/>
    <cellStyle name="Comma 9 7 2 2" xfId="9790" xr:uid="{00000000-0005-0000-0000-0000E41D0000}"/>
    <cellStyle name="Comma 9 7 3" xfId="8451" xr:uid="{00000000-0005-0000-0000-0000E51D0000}"/>
    <cellStyle name="Comma 9 8" xfId="6360" xr:uid="{00000000-0005-0000-0000-0000E61D0000}"/>
    <cellStyle name="Comma 9 8 2" xfId="9079" xr:uid="{00000000-0005-0000-0000-0000E71D0000}"/>
    <cellStyle name="Comma 9 9" xfId="7740" xr:uid="{00000000-0005-0000-0000-0000E81D0000}"/>
    <cellStyle name="Comma 9_BRIGADE BLOCK A &amp; B  IBMS DDC BUDGETARY ESTIMATES 10 03 14 R0" xfId="573" xr:uid="{00000000-0005-0000-0000-0000E91D0000}"/>
    <cellStyle name="Comma 90" xfId="10417" xr:uid="{00000000-0005-0000-0000-0000EA1D0000}"/>
    <cellStyle name="Comma 91" xfId="10419" xr:uid="{00000000-0005-0000-0000-0000EB1D0000}"/>
    <cellStyle name="Comma 92" xfId="123" xr:uid="{00000000-0005-0000-0000-0000EC1D0000}"/>
    <cellStyle name="Comma 93" xfId="652" xr:uid="{00000000-0005-0000-0000-0000ED1D0000}"/>
    <cellStyle name="Comma 94" xfId="10452" xr:uid="{00000000-0005-0000-0000-0000EE1D0000}"/>
    <cellStyle name="Comma 95" xfId="10457" xr:uid="{00000000-0005-0000-0000-0000EF1D0000}"/>
    <cellStyle name="Comma 96" xfId="30" xr:uid="{00000000-0005-0000-0000-0000F01D0000}"/>
    <cellStyle name="Comma 96 2" xfId="40" xr:uid="{00000000-0005-0000-0000-0000F11D0000}"/>
    <cellStyle name="Comma 96 2 2" xfId="10472" xr:uid="{00000000-0005-0000-0000-0000F21D0000}"/>
    <cellStyle name="Comma 96 3" xfId="10465" xr:uid="{00000000-0005-0000-0000-0000F31D0000}"/>
    <cellStyle name="Comma 96 3 2" xfId="10564" xr:uid="{00000000-0005-0000-0000-0000F41D0000}"/>
    <cellStyle name="Comma 96 3 2 2" xfId="10563" xr:uid="{00000000-0005-0000-0000-0000F51D0000}"/>
    <cellStyle name="Comma 96 3 2 2 2" xfId="10602" xr:uid="{00000000-0005-0000-0000-0000F61D0000}"/>
    <cellStyle name="Comma 96 4" xfId="10588" xr:uid="{00000000-0005-0000-0000-0000F71D0000}"/>
    <cellStyle name="Comma 96 5" xfId="10578" xr:uid="{00000000-0005-0000-0000-0000F81D0000}"/>
    <cellStyle name="Comma 96 6 2" xfId="10605" xr:uid="{00000000-0005-0000-0000-0000F91D0000}"/>
    <cellStyle name="Comma 97" xfId="10463" xr:uid="{00000000-0005-0000-0000-0000FA1D0000}"/>
    <cellStyle name="Comma 98" xfId="5" xr:uid="{00000000-0005-0000-0000-0000FB1D0000}"/>
    <cellStyle name="Comma 98 2" xfId="10464" xr:uid="{00000000-0005-0000-0000-0000FC1D0000}"/>
    <cellStyle name="Comma 98 3" xfId="10478" xr:uid="{00000000-0005-0000-0000-0000FD1D0000}"/>
    <cellStyle name="Comma 99" xfId="57" xr:uid="{00000000-0005-0000-0000-0000FE1D0000}"/>
    <cellStyle name="comma zerodec" xfId="574" xr:uid="{00000000-0005-0000-0000-0000FF1D0000}"/>
    <cellStyle name="Comma0" xfId="575" xr:uid="{00000000-0005-0000-0000-0000001E0000}"/>
    <cellStyle name="Comŭa" xfId="4968" xr:uid="{00000000-0005-0000-0000-0000011E0000}"/>
    <cellStyle name="Comŭa 2" xfId="4969" xr:uid="{00000000-0005-0000-0000-0000021E0000}"/>
    <cellStyle name="Comŭa 2 2" xfId="4970" xr:uid="{00000000-0005-0000-0000-0000031E0000}"/>
    <cellStyle name="Comŭa 2 2 2" xfId="7601" xr:uid="{00000000-0005-0000-0000-0000041E0000}"/>
    <cellStyle name="Comŭa 2 2 2 2" xfId="10300" xr:uid="{00000000-0005-0000-0000-0000051E0000}"/>
    <cellStyle name="Comŭa 2 2 3" xfId="8960" xr:uid="{00000000-0005-0000-0000-0000061E0000}"/>
    <cellStyle name="Comŭa 2 3" xfId="4971" xr:uid="{00000000-0005-0000-0000-0000071E0000}"/>
    <cellStyle name="Comŭa 2 3 2" xfId="7602" xr:uid="{00000000-0005-0000-0000-0000081E0000}"/>
    <cellStyle name="Comŭa 2 3 2 2" xfId="10301" xr:uid="{00000000-0005-0000-0000-0000091E0000}"/>
    <cellStyle name="Comŭa 2 3 3" xfId="8961" xr:uid="{00000000-0005-0000-0000-00000A1E0000}"/>
    <cellStyle name="Comŭa 2 4" xfId="7600" xr:uid="{00000000-0005-0000-0000-00000B1E0000}"/>
    <cellStyle name="Comŭa 2 4 2" xfId="10299" xr:uid="{00000000-0005-0000-0000-00000C1E0000}"/>
    <cellStyle name="Comŭa 2 5" xfId="8959" xr:uid="{00000000-0005-0000-0000-00000D1E0000}"/>
    <cellStyle name="Comŭa 3" xfId="7599" xr:uid="{00000000-0005-0000-0000-00000E1E0000}"/>
    <cellStyle name="Comŭa 3 2" xfId="10298" xr:uid="{00000000-0005-0000-0000-00000F1E0000}"/>
    <cellStyle name="Comŭa 4" xfId="8958" xr:uid="{00000000-0005-0000-0000-0000101E0000}"/>
    <cellStyle name="Copied" xfId="576" xr:uid="{00000000-0005-0000-0000-0000111E0000}"/>
    <cellStyle name="Copied 2" xfId="1121" xr:uid="{00000000-0005-0000-0000-0000121E0000}"/>
    <cellStyle name="COURIER" xfId="577" xr:uid="{00000000-0005-0000-0000-0000131E0000}"/>
    <cellStyle name="COURIER 2" xfId="1122" xr:uid="{00000000-0005-0000-0000-0000141E0000}"/>
    <cellStyle name="CSI" xfId="4972" xr:uid="{00000000-0005-0000-0000-0000151E0000}"/>
    <cellStyle name="Currency [00]" xfId="578" xr:uid="{00000000-0005-0000-0000-0000161E0000}"/>
    <cellStyle name="Currency 15" xfId="10482" xr:uid="{00000000-0005-0000-0000-0000171E0000}"/>
    <cellStyle name="Currency 15 2" xfId="10552" xr:uid="{00000000-0005-0000-0000-0000181E0000}"/>
    <cellStyle name="Currency 2" xfId="54" xr:uid="{00000000-0005-0000-0000-0000191E0000}"/>
    <cellStyle name="Currency 2 10" xfId="4973" xr:uid="{00000000-0005-0000-0000-00001A1E0000}"/>
    <cellStyle name="Currency 2 11" xfId="4974" xr:uid="{00000000-0005-0000-0000-00001B1E0000}"/>
    <cellStyle name="Currency 2 12" xfId="4975" xr:uid="{00000000-0005-0000-0000-00001C1E0000}"/>
    <cellStyle name="Currency 2 13" xfId="4976" xr:uid="{00000000-0005-0000-0000-00001D1E0000}"/>
    <cellStyle name="Currency 2 14" xfId="4977" xr:uid="{00000000-0005-0000-0000-00001E1E0000}"/>
    <cellStyle name="Currency 2 15" xfId="4978" xr:uid="{00000000-0005-0000-0000-00001F1E0000}"/>
    <cellStyle name="Currency 2 16" xfId="4979" xr:uid="{00000000-0005-0000-0000-0000201E0000}"/>
    <cellStyle name="Currency 2 17" xfId="4980" xr:uid="{00000000-0005-0000-0000-0000211E0000}"/>
    <cellStyle name="Currency 2 18" xfId="4981" xr:uid="{00000000-0005-0000-0000-0000221E0000}"/>
    <cellStyle name="Currency 2 19" xfId="4982" xr:uid="{00000000-0005-0000-0000-0000231E0000}"/>
    <cellStyle name="Currency 2 2" xfId="167" xr:uid="{00000000-0005-0000-0000-0000241E0000}"/>
    <cellStyle name="Currency 2 2 2" xfId="1283" xr:uid="{00000000-0005-0000-0000-0000251E0000}"/>
    <cellStyle name="Currency 2 2 2 2" xfId="4983" xr:uid="{00000000-0005-0000-0000-0000261E0000}"/>
    <cellStyle name="Currency 2 2 2 3" xfId="6993" xr:uid="{00000000-0005-0000-0000-0000271E0000}"/>
    <cellStyle name="Currency 2 2 2 3 2" xfId="9700" xr:uid="{00000000-0005-0000-0000-0000281E0000}"/>
    <cellStyle name="Currency 2 2 2 4" xfId="8361" xr:uid="{00000000-0005-0000-0000-0000291E0000}"/>
    <cellStyle name="Currency 2 2 3" xfId="580" xr:uid="{00000000-0005-0000-0000-00002A1E0000}"/>
    <cellStyle name="Currency 2 2 3 2" xfId="4984" xr:uid="{00000000-0005-0000-0000-00002B1E0000}"/>
    <cellStyle name="Currency 2 2 4" xfId="1381" xr:uid="{00000000-0005-0000-0000-00002C1E0000}"/>
    <cellStyle name="Currency 2 2 4 2" xfId="7086" xr:uid="{00000000-0005-0000-0000-00002D1E0000}"/>
    <cellStyle name="Currency 2 2 4 2 2" xfId="9791" xr:uid="{00000000-0005-0000-0000-00002E1E0000}"/>
    <cellStyle name="Currency 2 2 4 3" xfId="8452" xr:uid="{00000000-0005-0000-0000-00002F1E0000}"/>
    <cellStyle name="Currency 2 2 5" xfId="6361" xr:uid="{00000000-0005-0000-0000-0000301E0000}"/>
    <cellStyle name="Currency 2 2 5 2" xfId="9080" xr:uid="{00000000-0005-0000-0000-0000311E0000}"/>
    <cellStyle name="Currency 2 2 6" xfId="7741" xr:uid="{00000000-0005-0000-0000-0000321E0000}"/>
    <cellStyle name="Currency 2 20" xfId="4985" xr:uid="{00000000-0005-0000-0000-0000331E0000}"/>
    <cellStyle name="Currency 2 21" xfId="4986" xr:uid="{00000000-0005-0000-0000-0000341E0000}"/>
    <cellStyle name="Currency 2 22" xfId="4987" xr:uid="{00000000-0005-0000-0000-0000351E0000}"/>
    <cellStyle name="Currency 2 23" xfId="4988" xr:uid="{00000000-0005-0000-0000-0000361E0000}"/>
    <cellStyle name="Currency 2 24" xfId="4989" xr:uid="{00000000-0005-0000-0000-0000371E0000}"/>
    <cellStyle name="Currency 2 25" xfId="4990" xr:uid="{00000000-0005-0000-0000-0000381E0000}"/>
    <cellStyle name="Currency 2 26" xfId="4991" xr:uid="{00000000-0005-0000-0000-0000391E0000}"/>
    <cellStyle name="Currency 2 27" xfId="4992" xr:uid="{00000000-0005-0000-0000-00003A1E0000}"/>
    <cellStyle name="Currency 2 28" xfId="4993" xr:uid="{00000000-0005-0000-0000-00003B1E0000}"/>
    <cellStyle name="Currency 2 29" xfId="4994" xr:uid="{00000000-0005-0000-0000-00003C1E0000}"/>
    <cellStyle name="Currency 2 3" xfId="230" xr:uid="{00000000-0005-0000-0000-00003D1E0000}"/>
    <cellStyle name="Currency 2 3 2" xfId="581" xr:uid="{00000000-0005-0000-0000-00003E1E0000}"/>
    <cellStyle name="Currency 2 30" xfId="4995" xr:uid="{00000000-0005-0000-0000-00003F1E0000}"/>
    <cellStyle name="Currency 2 31" xfId="4996" xr:uid="{00000000-0005-0000-0000-0000401E0000}"/>
    <cellStyle name="Currency 2 32" xfId="4997" xr:uid="{00000000-0005-0000-0000-0000411E0000}"/>
    <cellStyle name="Currency 2 33" xfId="4998" xr:uid="{00000000-0005-0000-0000-0000421E0000}"/>
    <cellStyle name="Currency 2 34" xfId="4999" xr:uid="{00000000-0005-0000-0000-0000431E0000}"/>
    <cellStyle name="Currency 2 35" xfId="5000" xr:uid="{00000000-0005-0000-0000-0000441E0000}"/>
    <cellStyle name="Currency 2 36" xfId="5001" xr:uid="{00000000-0005-0000-0000-0000451E0000}"/>
    <cellStyle name="Currency 2 37" xfId="5002" xr:uid="{00000000-0005-0000-0000-0000461E0000}"/>
    <cellStyle name="Currency 2 38" xfId="5003" xr:uid="{00000000-0005-0000-0000-0000471E0000}"/>
    <cellStyle name="Currency 2 39" xfId="5004" xr:uid="{00000000-0005-0000-0000-0000481E0000}"/>
    <cellStyle name="Currency 2 4" xfId="582" xr:uid="{00000000-0005-0000-0000-0000491E0000}"/>
    <cellStyle name="Currency 2 4 2" xfId="963" xr:uid="{00000000-0005-0000-0000-00004A1E0000}"/>
    <cellStyle name="Currency 2 4 2 2" xfId="1241" xr:uid="{00000000-0005-0000-0000-00004B1E0000}"/>
    <cellStyle name="Currency 2 4 2 2 2" xfId="6959" xr:uid="{00000000-0005-0000-0000-00004C1E0000}"/>
    <cellStyle name="Currency 2 4 2 2 2 2" xfId="9666" xr:uid="{00000000-0005-0000-0000-00004D1E0000}"/>
    <cellStyle name="Currency 2 4 2 2 3" xfId="8327" xr:uid="{00000000-0005-0000-0000-00004E1E0000}"/>
    <cellStyle name="Currency 2 4 2 3" xfId="5005" xr:uid="{00000000-0005-0000-0000-00004F1E0000}"/>
    <cellStyle name="Currency 2 4 2 4" xfId="6696" xr:uid="{00000000-0005-0000-0000-0000501E0000}"/>
    <cellStyle name="Currency 2 4 2 4 2" xfId="9403" xr:uid="{00000000-0005-0000-0000-0000511E0000}"/>
    <cellStyle name="Currency 2 4 2 5" xfId="8064" xr:uid="{00000000-0005-0000-0000-0000521E0000}"/>
    <cellStyle name="Currency 2 4 3" xfId="1123" xr:uid="{00000000-0005-0000-0000-0000531E0000}"/>
    <cellStyle name="Currency 2 4 3 2" xfId="5006" xr:uid="{00000000-0005-0000-0000-0000541E0000}"/>
    <cellStyle name="Currency 2 4 3 3" xfId="6851" xr:uid="{00000000-0005-0000-0000-0000551E0000}"/>
    <cellStyle name="Currency 2 4 3 3 2" xfId="9558" xr:uid="{00000000-0005-0000-0000-0000561E0000}"/>
    <cellStyle name="Currency 2 4 3 4" xfId="8219" xr:uid="{00000000-0005-0000-0000-0000571E0000}"/>
    <cellStyle name="Currency 2 4 4" xfId="5007" xr:uid="{00000000-0005-0000-0000-0000581E0000}"/>
    <cellStyle name="Currency 2 4 5" xfId="6534" xr:uid="{00000000-0005-0000-0000-0000591E0000}"/>
    <cellStyle name="Currency 2 4 5 2" xfId="9251" xr:uid="{00000000-0005-0000-0000-00005A1E0000}"/>
    <cellStyle name="Currency 2 4 6" xfId="7912" xr:uid="{00000000-0005-0000-0000-00005B1E0000}"/>
    <cellStyle name="Currency 2 40" xfId="5008" xr:uid="{00000000-0005-0000-0000-00005C1E0000}"/>
    <cellStyle name="Currency 2 41" xfId="5009" xr:uid="{00000000-0005-0000-0000-00005D1E0000}"/>
    <cellStyle name="Currency 2 42" xfId="5010" xr:uid="{00000000-0005-0000-0000-00005E1E0000}"/>
    <cellStyle name="Currency 2 43" xfId="5011" xr:uid="{00000000-0005-0000-0000-00005F1E0000}"/>
    <cellStyle name="Currency 2 44" xfId="5012" xr:uid="{00000000-0005-0000-0000-0000601E0000}"/>
    <cellStyle name="Currency 2 45" xfId="5013" xr:uid="{00000000-0005-0000-0000-0000611E0000}"/>
    <cellStyle name="Currency 2 46" xfId="5014" xr:uid="{00000000-0005-0000-0000-0000621E0000}"/>
    <cellStyle name="Currency 2 47" xfId="5015" xr:uid="{00000000-0005-0000-0000-0000631E0000}"/>
    <cellStyle name="Currency 2 48" xfId="5016" xr:uid="{00000000-0005-0000-0000-0000641E0000}"/>
    <cellStyle name="Currency 2 49" xfId="5017" xr:uid="{00000000-0005-0000-0000-0000651E0000}"/>
    <cellStyle name="Currency 2 5" xfId="579" xr:uid="{00000000-0005-0000-0000-0000661E0000}"/>
    <cellStyle name="Currency 2 5 2" xfId="5019" xr:uid="{00000000-0005-0000-0000-0000671E0000}"/>
    <cellStyle name="Currency 2 5 3" xfId="5018" xr:uid="{00000000-0005-0000-0000-0000681E0000}"/>
    <cellStyle name="Currency 2 50" xfId="5020" xr:uid="{00000000-0005-0000-0000-0000691E0000}"/>
    <cellStyle name="Currency 2 51" xfId="166" xr:uid="{00000000-0005-0000-0000-00006A1E0000}"/>
    <cellStyle name="Currency 2 6" xfId="5021" xr:uid="{00000000-0005-0000-0000-00006B1E0000}"/>
    <cellStyle name="Currency 2 7" xfId="5022" xr:uid="{00000000-0005-0000-0000-00006C1E0000}"/>
    <cellStyle name="Currency 2 8" xfId="5023" xr:uid="{00000000-0005-0000-0000-00006D1E0000}"/>
    <cellStyle name="Currency 2 9" xfId="5024" xr:uid="{00000000-0005-0000-0000-00006E1E0000}"/>
    <cellStyle name="Currency 3" xfId="168" xr:uid="{00000000-0005-0000-0000-00006F1E0000}"/>
    <cellStyle name="Currency 3 2" xfId="169" xr:uid="{00000000-0005-0000-0000-0000701E0000}"/>
    <cellStyle name="Currency 3 2 2" xfId="1281" xr:uid="{00000000-0005-0000-0000-0000711E0000}"/>
    <cellStyle name="Currency 3 2 2 2" xfId="6991" xr:uid="{00000000-0005-0000-0000-0000721E0000}"/>
    <cellStyle name="Currency 3 2 2 2 2" xfId="9698" xr:uid="{00000000-0005-0000-0000-0000731E0000}"/>
    <cellStyle name="Currency 3 2 2 3" xfId="8359" xr:uid="{00000000-0005-0000-0000-0000741E0000}"/>
    <cellStyle name="Currency 3 2 3" xfId="1383" xr:uid="{00000000-0005-0000-0000-0000751E0000}"/>
    <cellStyle name="Currency 3 2 3 2" xfId="7088" xr:uid="{00000000-0005-0000-0000-0000761E0000}"/>
    <cellStyle name="Currency 3 2 3 2 2" xfId="9793" xr:uid="{00000000-0005-0000-0000-0000771E0000}"/>
    <cellStyle name="Currency 3 2 3 3" xfId="8454" xr:uid="{00000000-0005-0000-0000-0000781E0000}"/>
    <cellStyle name="Currency 3 2 4" xfId="5025" xr:uid="{00000000-0005-0000-0000-0000791E0000}"/>
    <cellStyle name="Currency 3 2 5" xfId="6363" xr:uid="{00000000-0005-0000-0000-00007A1E0000}"/>
    <cellStyle name="Currency 3 2 5 2" xfId="9082" xr:uid="{00000000-0005-0000-0000-00007B1E0000}"/>
    <cellStyle name="Currency 3 2 6" xfId="7743" xr:uid="{00000000-0005-0000-0000-00007C1E0000}"/>
    <cellStyle name="Currency 3 3" xfId="1282" xr:uid="{00000000-0005-0000-0000-00007D1E0000}"/>
    <cellStyle name="Currency 3 3 2" xfId="6992" xr:uid="{00000000-0005-0000-0000-00007E1E0000}"/>
    <cellStyle name="Currency 3 3 2 2" xfId="9699" xr:uid="{00000000-0005-0000-0000-00007F1E0000}"/>
    <cellStyle name="Currency 3 3 3" xfId="8360" xr:uid="{00000000-0005-0000-0000-0000801E0000}"/>
    <cellStyle name="Currency 3 4" xfId="583" xr:uid="{00000000-0005-0000-0000-0000811E0000}"/>
    <cellStyle name="Currency 3 5" xfId="1382" xr:uid="{00000000-0005-0000-0000-0000821E0000}"/>
    <cellStyle name="Currency 3 5 2" xfId="7087" xr:uid="{00000000-0005-0000-0000-0000831E0000}"/>
    <cellStyle name="Currency 3 5 2 2" xfId="9792" xr:uid="{00000000-0005-0000-0000-0000841E0000}"/>
    <cellStyle name="Currency 3 5 3" xfId="8453" xr:uid="{00000000-0005-0000-0000-0000851E0000}"/>
    <cellStyle name="Currency 3 6" xfId="6362" xr:uid="{00000000-0005-0000-0000-0000861E0000}"/>
    <cellStyle name="Currency 3 6 2" xfId="9081" xr:uid="{00000000-0005-0000-0000-0000871E0000}"/>
    <cellStyle name="Currency 3 7" xfId="7742" xr:uid="{00000000-0005-0000-0000-0000881E0000}"/>
    <cellStyle name="Currency 4" xfId="5026" xr:uid="{00000000-0005-0000-0000-0000891E0000}"/>
    <cellStyle name="Currency 4 2" xfId="5027" xr:uid="{00000000-0005-0000-0000-00008A1E0000}"/>
    <cellStyle name="Currency 4 3" xfId="5028" xr:uid="{00000000-0005-0000-0000-00008B1E0000}"/>
    <cellStyle name="Currency 4 3 2" xfId="5029" xr:uid="{00000000-0005-0000-0000-00008C1E0000}"/>
    <cellStyle name="Currency 4 4" xfId="5030" xr:uid="{00000000-0005-0000-0000-00008D1E0000}"/>
    <cellStyle name="Currency 4 4 2" xfId="5031" xr:uid="{00000000-0005-0000-0000-00008E1E0000}"/>
    <cellStyle name="Currency 5" xfId="5032" xr:uid="{00000000-0005-0000-0000-00008F1E0000}"/>
    <cellStyle name="Currency 5 2" xfId="5033" xr:uid="{00000000-0005-0000-0000-0000901E0000}"/>
    <cellStyle name="Currency 6" xfId="5034" xr:uid="{00000000-0005-0000-0000-0000911E0000}"/>
    <cellStyle name="Currency0" xfId="584" xr:uid="{00000000-0005-0000-0000-0000921E0000}"/>
    <cellStyle name="Currency1" xfId="585" xr:uid="{00000000-0005-0000-0000-0000931E0000}"/>
    <cellStyle name="Date" xfId="586" xr:uid="{00000000-0005-0000-0000-0000941E0000}"/>
    <cellStyle name="Date 2" xfId="5035" xr:uid="{00000000-0005-0000-0000-0000951E0000}"/>
    <cellStyle name="Date Short" xfId="587" xr:uid="{00000000-0005-0000-0000-0000961E0000}"/>
    <cellStyle name="Date_BRIGADE BLOCK A &amp; B  IBMS DDC BUDGETARY ESTIMATES 10 03 14 R0" xfId="588" xr:uid="{00000000-0005-0000-0000-0000971E0000}"/>
    <cellStyle name="DELTA" xfId="589" xr:uid="{00000000-0005-0000-0000-0000981E0000}"/>
    <cellStyle name="Description" xfId="5036" xr:uid="{00000000-0005-0000-0000-0000991E0000}"/>
    <cellStyle name="Description 2" xfId="5037" xr:uid="{00000000-0005-0000-0000-00009A1E0000}"/>
    <cellStyle name="Description 3" xfId="5038" xr:uid="{00000000-0005-0000-0000-00009B1E0000}"/>
    <cellStyle name="Dollar (zero dec)" xfId="590" xr:uid="{00000000-0005-0000-0000-00009C1E0000}"/>
    <cellStyle name="Enter Currency (0)" xfId="591" xr:uid="{00000000-0005-0000-0000-00009D1E0000}"/>
    <cellStyle name="Enter Currency (2)" xfId="592" xr:uid="{00000000-0005-0000-0000-00009E1E0000}"/>
    <cellStyle name="Enter Units (0)" xfId="593" xr:uid="{00000000-0005-0000-0000-00009F1E0000}"/>
    <cellStyle name="Enter Units (1)" xfId="594" xr:uid="{00000000-0005-0000-0000-0000A01E0000}"/>
    <cellStyle name="Enter Units (2)" xfId="595" xr:uid="{00000000-0005-0000-0000-0000A11E0000}"/>
    <cellStyle name="Entered" xfId="596" xr:uid="{00000000-0005-0000-0000-0000A21E0000}"/>
    <cellStyle name="Entered 2" xfId="1124" xr:uid="{00000000-0005-0000-0000-0000A31E0000}"/>
    <cellStyle name="Euro" xfId="597" xr:uid="{00000000-0005-0000-0000-0000A41E0000}"/>
    <cellStyle name="Euro 2" xfId="598" xr:uid="{00000000-0005-0000-0000-0000A51E0000}"/>
    <cellStyle name="Euro 3" xfId="599" xr:uid="{00000000-0005-0000-0000-0000A61E0000}"/>
    <cellStyle name="Euro 3 2" xfId="600" xr:uid="{00000000-0005-0000-0000-0000A71E0000}"/>
    <cellStyle name="Excel Built-in Comma" xfId="5039" xr:uid="{00000000-0005-0000-0000-0000A81E0000}"/>
    <cellStyle name="Excel Built-in Normal" xfId="601" xr:uid="{00000000-0005-0000-0000-0000A91E0000}"/>
    <cellStyle name="Excel Built-in Normal 1" xfId="602" xr:uid="{00000000-0005-0000-0000-0000AA1E0000}"/>
    <cellStyle name="Excel_BuiltIn_Bad 1" xfId="5040" xr:uid="{00000000-0005-0000-0000-0000AB1E0000}"/>
    <cellStyle name="Explanatory Text 10" xfId="5041" xr:uid="{00000000-0005-0000-0000-0000AC1E0000}"/>
    <cellStyle name="Explanatory Text 10 2" xfId="5042" xr:uid="{00000000-0005-0000-0000-0000AD1E0000}"/>
    <cellStyle name="Explanatory Text 11" xfId="5043" xr:uid="{00000000-0005-0000-0000-0000AE1E0000}"/>
    <cellStyle name="Explanatory Text 2" xfId="603" xr:uid="{00000000-0005-0000-0000-0000AF1E0000}"/>
    <cellStyle name="Explanatory Text 2 2" xfId="5044" xr:uid="{00000000-0005-0000-0000-0000B01E0000}"/>
    <cellStyle name="Explanatory Text 2 2 2" xfId="10500" xr:uid="{00000000-0005-0000-0000-0000B11E0000}"/>
    <cellStyle name="Explanatory Text 3" xfId="5045" xr:uid="{00000000-0005-0000-0000-0000B21E0000}"/>
    <cellStyle name="Explanatory Text 3 2" xfId="5046" xr:uid="{00000000-0005-0000-0000-0000B31E0000}"/>
    <cellStyle name="Explanatory Text 4" xfId="5047" xr:uid="{00000000-0005-0000-0000-0000B41E0000}"/>
    <cellStyle name="Explanatory Text 4 2" xfId="5048" xr:uid="{00000000-0005-0000-0000-0000B51E0000}"/>
    <cellStyle name="Explanatory Text 5" xfId="5049" xr:uid="{00000000-0005-0000-0000-0000B61E0000}"/>
    <cellStyle name="Explanatory Text 5 2" xfId="5050" xr:uid="{00000000-0005-0000-0000-0000B71E0000}"/>
    <cellStyle name="Explanatory Text 6" xfId="5051" xr:uid="{00000000-0005-0000-0000-0000B81E0000}"/>
    <cellStyle name="Explanatory Text 6 2" xfId="5052" xr:uid="{00000000-0005-0000-0000-0000B91E0000}"/>
    <cellStyle name="Explanatory Text 7" xfId="5053" xr:uid="{00000000-0005-0000-0000-0000BA1E0000}"/>
    <cellStyle name="Explanatory Text 7 2" xfId="5054" xr:uid="{00000000-0005-0000-0000-0000BB1E0000}"/>
    <cellStyle name="Explanatory Text 8" xfId="5055" xr:uid="{00000000-0005-0000-0000-0000BC1E0000}"/>
    <cellStyle name="Explanatory Text 8 2" xfId="5056" xr:uid="{00000000-0005-0000-0000-0000BD1E0000}"/>
    <cellStyle name="Explanatory Text 9" xfId="5057" xr:uid="{00000000-0005-0000-0000-0000BE1E0000}"/>
    <cellStyle name="Explanatory Text 9 2" xfId="5058" xr:uid="{00000000-0005-0000-0000-0000BF1E0000}"/>
    <cellStyle name="F2" xfId="604" xr:uid="{00000000-0005-0000-0000-0000C01E0000}"/>
    <cellStyle name="F2 2" xfId="1125" xr:uid="{00000000-0005-0000-0000-0000C11E0000}"/>
    <cellStyle name="F2 2 2" xfId="5059" xr:uid="{00000000-0005-0000-0000-0000C21E0000}"/>
    <cellStyle name="F3" xfId="605" xr:uid="{00000000-0005-0000-0000-0000C31E0000}"/>
    <cellStyle name="F3 2" xfId="1126" xr:uid="{00000000-0005-0000-0000-0000C41E0000}"/>
    <cellStyle name="F3 2 2" xfId="5060" xr:uid="{00000000-0005-0000-0000-0000C51E0000}"/>
    <cellStyle name="F4" xfId="606" xr:uid="{00000000-0005-0000-0000-0000C61E0000}"/>
    <cellStyle name="F4 2" xfId="1127" xr:uid="{00000000-0005-0000-0000-0000C71E0000}"/>
    <cellStyle name="F4 2 2" xfId="5061" xr:uid="{00000000-0005-0000-0000-0000C81E0000}"/>
    <cellStyle name="F5" xfId="607" xr:uid="{00000000-0005-0000-0000-0000C91E0000}"/>
    <cellStyle name="F5 2" xfId="1128" xr:uid="{00000000-0005-0000-0000-0000CA1E0000}"/>
    <cellStyle name="F5 2 2" xfId="5062" xr:uid="{00000000-0005-0000-0000-0000CB1E0000}"/>
    <cellStyle name="F6" xfId="608" xr:uid="{00000000-0005-0000-0000-0000CC1E0000}"/>
    <cellStyle name="F6 2" xfId="1129" xr:uid="{00000000-0005-0000-0000-0000CD1E0000}"/>
    <cellStyle name="F6 2 2" xfId="5063" xr:uid="{00000000-0005-0000-0000-0000CE1E0000}"/>
    <cellStyle name="F7" xfId="609" xr:uid="{00000000-0005-0000-0000-0000CF1E0000}"/>
    <cellStyle name="F7 2" xfId="1130" xr:uid="{00000000-0005-0000-0000-0000D01E0000}"/>
    <cellStyle name="F7 2 2" xfId="5064" xr:uid="{00000000-0005-0000-0000-0000D11E0000}"/>
    <cellStyle name="F8" xfId="610" xr:uid="{00000000-0005-0000-0000-0000D21E0000}"/>
    <cellStyle name="F8 2" xfId="1131" xr:uid="{00000000-0005-0000-0000-0000D31E0000}"/>
    <cellStyle name="F8 2 2" xfId="5065" xr:uid="{00000000-0005-0000-0000-0000D41E0000}"/>
    <cellStyle name="Fixed" xfId="611" xr:uid="{00000000-0005-0000-0000-0000D51E0000}"/>
    <cellStyle name="Fixed 2" xfId="5066" xr:uid="{00000000-0005-0000-0000-0000D61E0000}"/>
    <cellStyle name="Foottitle" xfId="5067" xr:uid="{00000000-0005-0000-0000-0000D71E0000}"/>
    <cellStyle name="Foottitle 2" xfId="5068" xr:uid="{00000000-0005-0000-0000-0000D81E0000}"/>
    <cellStyle name="FORM" xfId="612" xr:uid="{00000000-0005-0000-0000-0000D91E0000}"/>
    <cellStyle name="Formula" xfId="613" xr:uid="{00000000-0005-0000-0000-0000DA1E0000}"/>
    <cellStyle name="Good 10" xfId="5069" xr:uid="{00000000-0005-0000-0000-0000DB1E0000}"/>
    <cellStyle name="Good 10 2" xfId="5070" xr:uid="{00000000-0005-0000-0000-0000DC1E0000}"/>
    <cellStyle name="Good 10 2 2" xfId="5071" xr:uid="{00000000-0005-0000-0000-0000DD1E0000}"/>
    <cellStyle name="Good 10 3" xfId="5072" xr:uid="{00000000-0005-0000-0000-0000DE1E0000}"/>
    <cellStyle name="Good 11" xfId="5073" xr:uid="{00000000-0005-0000-0000-0000DF1E0000}"/>
    <cellStyle name="Good 11 2" xfId="5074" xr:uid="{00000000-0005-0000-0000-0000E01E0000}"/>
    <cellStyle name="Good 12" xfId="5075" xr:uid="{00000000-0005-0000-0000-0000E11E0000}"/>
    <cellStyle name="Good 2" xfId="614" xr:uid="{00000000-0005-0000-0000-0000E21E0000}"/>
    <cellStyle name="Good 2 10" xfId="5076" xr:uid="{00000000-0005-0000-0000-0000E31E0000}"/>
    <cellStyle name="Good 2 11" xfId="5077" xr:uid="{00000000-0005-0000-0000-0000E41E0000}"/>
    <cellStyle name="Good 2 12" xfId="5078" xr:uid="{00000000-0005-0000-0000-0000E51E0000}"/>
    <cellStyle name="Good 2 13" xfId="5079" xr:uid="{00000000-0005-0000-0000-0000E61E0000}"/>
    <cellStyle name="Good 2 14" xfId="5080" xr:uid="{00000000-0005-0000-0000-0000E71E0000}"/>
    <cellStyle name="Good 2 15" xfId="5081" xr:uid="{00000000-0005-0000-0000-0000E81E0000}"/>
    <cellStyle name="Good 2 16" xfId="5082" xr:uid="{00000000-0005-0000-0000-0000E91E0000}"/>
    <cellStyle name="Good 2 17" xfId="5083" xr:uid="{00000000-0005-0000-0000-0000EA1E0000}"/>
    <cellStyle name="Good 2 18" xfId="5084" xr:uid="{00000000-0005-0000-0000-0000EB1E0000}"/>
    <cellStyle name="Good 2 19" xfId="5085" xr:uid="{00000000-0005-0000-0000-0000EC1E0000}"/>
    <cellStyle name="Good 2 2" xfId="615" xr:uid="{00000000-0005-0000-0000-0000ED1E0000}"/>
    <cellStyle name="Good 2 2 2" xfId="5086" xr:uid="{00000000-0005-0000-0000-0000EE1E0000}"/>
    <cellStyle name="Good 2 2 3" xfId="5087" xr:uid="{00000000-0005-0000-0000-0000EF1E0000}"/>
    <cellStyle name="Good 2 20" xfId="5088" xr:uid="{00000000-0005-0000-0000-0000F01E0000}"/>
    <cellStyle name="Good 2 21" xfId="5089" xr:uid="{00000000-0005-0000-0000-0000F11E0000}"/>
    <cellStyle name="Good 2 22" xfId="5090" xr:uid="{00000000-0005-0000-0000-0000F21E0000}"/>
    <cellStyle name="Good 2 23" xfId="5091" xr:uid="{00000000-0005-0000-0000-0000F31E0000}"/>
    <cellStyle name="Good 2 24" xfId="5092" xr:uid="{00000000-0005-0000-0000-0000F41E0000}"/>
    <cellStyle name="Good 2 25" xfId="5093" xr:uid="{00000000-0005-0000-0000-0000F51E0000}"/>
    <cellStyle name="Good 2 26" xfId="5094" xr:uid="{00000000-0005-0000-0000-0000F61E0000}"/>
    <cellStyle name="Good 2 27" xfId="5095" xr:uid="{00000000-0005-0000-0000-0000F71E0000}"/>
    <cellStyle name="Good 2 28" xfId="5096" xr:uid="{00000000-0005-0000-0000-0000F81E0000}"/>
    <cellStyle name="Good 2 29" xfId="5097" xr:uid="{00000000-0005-0000-0000-0000F91E0000}"/>
    <cellStyle name="Good 2 3" xfId="5098" xr:uid="{00000000-0005-0000-0000-0000FA1E0000}"/>
    <cellStyle name="Good 2 3 2" xfId="5099" xr:uid="{00000000-0005-0000-0000-0000FB1E0000}"/>
    <cellStyle name="Good 2 30" xfId="5100" xr:uid="{00000000-0005-0000-0000-0000FC1E0000}"/>
    <cellStyle name="Good 2 31" xfId="5101" xr:uid="{00000000-0005-0000-0000-0000FD1E0000}"/>
    <cellStyle name="Good 2 32" xfId="5102" xr:uid="{00000000-0005-0000-0000-0000FE1E0000}"/>
    <cellStyle name="Good 2 33" xfId="5103" xr:uid="{00000000-0005-0000-0000-0000FF1E0000}"/>
    <cellStyle name="Good 2 34" xfId="5104" xr:uid="{00000000-0005-0000-0000-0000001F0000}"/>
    <cellStyle name="Good 2 35" xfId="5105" xr:uid="{00000000-0005-0000-0000-0000011F0000}"/>
    <cellStyle name="Good 2 36" xfId="5106" xr:uid="{00000000-0005-0000-0000-0000021F0000}"/>
    <cellStyle name="Good 2 37" xfId="5107" xr:uid="{00000000-0005-0000-0000-0000031F0000}"/>
    <cellStyle name="Good 2 38" xfId="5108" xr:uid="{00000000-0005-0000-0000-0000041F0000}"/>
    <cellStyle name="Good 2 39" xfId="5109" xr:uid="{00000000-0005-0000-0000-0000051F0000}"/>
    <cellStyle name="Good 2 4" xfId="5110" xr:uid="{00000000-0005-0000-0000-0000061F0000}"/>
    <cellStyle name="Good 2 40" xfId="5111" xr:uid="{00000000-0005-0000-0000-0000071F0000}"/>
    <cellStyle name="Good 2 41" xfId="5112" xr:uid="{00000000-0005-0000-0000-0000081F0000}"/>
    <cellStyle name="Good 2 42" xfId="5113" xr:uid="{00000000-0005-0000-0000-0000091F0000}"/>
    <cellStyle name="Good 2 43" xfId="5114" xr:uid="{00000000-0005-0000-0000-00000A1F0000}"/>
    <cellStyle name="Good 2 44" xfId="5115" xr:uid="{00000000-0005-0000-0000-00000B1F0000}"/>
    <cellStyle name="Good 2 45" xfId="5116" xr:uid="{00000000-0005-0000-0000-00000C1F0000}"/>
    <cellStyle name="Good 2 46" xfId="5117" xr:uid="{00000000-0005-0000-0000-00000D1F0000}"/>
    <cellStyle name="Good 2 47" xfId="5118" xr:uid="{00000000-0005-0000-0000-00000E1F0000}"/>
    <cellStyle name="Good 2 48" xfId="5119" xr:uid="{00000000-0005-0000-0000-00000F1F0000}"/>
    <cellStyle name="Good 2 49" xfId="5120" xr:uid="{00000000-0005-0000-0000-0000101F0000}"/>
    <cellStyle name="Good 2 5" xfId="5121" xr:uid="{00000000-0005-0000-0000-0000111F0000}"/>
    <cellStyle name="Good 2 50" xfId="5122" xr:uid="{00000000-0005-0000-0000-0000121F0000}"/>
    <cellStyle name="Good 2 51" xfId="5123" xr:uid="{00000000-0005-0000-0000-0000131F0000}"/>
    <cellStyle name="Good 2 6" xfId="5124" xr:uid="{00000000-0005-0000-0000-0000141F0000}"/>
    <cellStyle name="Good 2 7" xfId="5125" xr:uid="{00000000-0005-0000-0000-0000151F0000}"/>
    <cellStyle name="Good 2 8" xfId="5126" xr:uid="{00000000-0005-0000-0000-0000161F0000}"/>
    <cellStyle name="Good 2 9" xfId="5127" xr:uid="{00000000-0005-0000-0000-0000171F0000}"/>
    <cellStyle name="Good 3" xfId="5128" xr:uid="{00000000-0005-0000-0000-0000181F0000}"/>
    <cellStyle name="Good 3 2" xfId="5129" xr:uid="{00000000-0005-0000-0000-0000191F0000}"/>
    <cellStyle name="Good 3 2 2" xfId="5130" xr:uid="{00000000-0005-0000-0000-00001A1F0000}"/>
    <cellStyle name="Good 3 3" xfId="5131" xr:uid="{00000000-0005-0000-0000-00001B1F0000}"/>
    <cellStyle name="Good 4" xfId="5132" xr:uid="{00000000-0005-0000-0000-00001C1F0000}"/>
    <cellStyle name="Good 4 2" xfId="5133" xr:uid="{00000000-0005-0000-0000-00001D1F0000}"/>
    <cellStyle name="Good 4 2 2" xfId="5134" xr:uid="{00000000-0005-0000-0000-00001E1F0000}"/>
    <cellStyle name="Good 4 3" xfId="5135" xr:uid="{00000000-0005-0000-0000-00001F1F0000}"/>
    <cellStyle name="Good 5" xfId="5136" xr:uid="{00000000-0005-0000-0000-0000201F0000}"/>
    <cellStyle name="Good 5 2" xfId="5137" xr:uid="{00000000-0005-0000-0000-0000211F0000}"/>
    <cellStyle name="Good 5 2 2" xfId="5138" xr:uid="{00000000-0005-0000-0000-0000221F0000}"/>
    <cellStyle name="Good 5 3" xfId="5139" xr:uid="{00000000-0005-0000-0000-0000231F0000}"/>
    <cellStyle name="Good 6" xfId="5140" xr:uid="{00000000-0005-0000-0000-0000241F0000}"/>
    <cellStyle name="Good 6 2" xfId="5141" xr:uid="{00000000-0005-0000-0000-0000251F0000}"/>
    <cellStyle name="Good 6 2 2" xfId="5142" xr:uid="{00000000-0005-0000-0000-0000261F0000}"/>
    <cellStyle name="Good 6 3" xfId="5143" xr:uid="{00000000-0005-0000-0000-0000271F0000}"/>
    <cellStyle name="Good 7" xfId="5144" xr:uid="{00000000-0005-0000-0000-0000281F0000}"/>
    <cellStyle name="Good 7 2" xfId="5145" xr:uid="{00000000-0005-0000-0000-0000291F0000}"/>
    <cellStyle name="Good 7 2 2" xfId="5146" xr:uid="{00000000-0005-0000-0000-00002A1F0000}"/>
    <cellStyle name="Good 7 3" xfId="5147" xr:uid="{00000000-0005-0000-0000-00002B1F0000}"/>
    <cellStyle name="Good 8" xfId="5148" xr:uid="{00000000-0005-0000-0000-00002C1F0000}"/>
    <cellStyle name="Good 8 2" xfId="5149" xr:uid="{00000000-0005-0000-0000-00002D1F0000}"/>
    <cellStyle name="Good 8 2 2" xfId="5150" xr:uid="{00000000-0005-0000-0000-00002E1F0000}"/>
    <cellStyle name="Good 8 3" xfId="5151" xr:uid="{00000000-0005-0000-0000-00002F1F0000}"/>
    <cellStyle name="Good 9" xfId="5152" xr:uid="{00000000-0005-0000-0000-0000301F0000}"/>
    <cellStyle name="Good 9 2" xfId="5153" xr:uid="{00000000-0005-0000-0000-0000311F0000}"/>
    <cellStyle name="Good 9 2 2" xfId="5154" xr:uid="{00000000-0005-0000-0000-0000321F0000}"/>
    <cellStyle name="Good 9 3" xfId="5155" xr:uid="{00000000-0005-0000-0000-0000331F0000}"/>
    <cellStyle name="Grey" xfId="616" xr:uid="{00000000-0005-0000-0000-0000341F0000}"/>
    <cellStyle name="Grey 2" xfId="5156" xr:uid="{00000000-0005-0000-0000-0000351F0000}"/>
    <cellStyle name="header" xfId="5157" xr:uid="{00000000-0005-0000-0000-0000361F0000}"/>
    <cellStyle name="Header1" xfId="617" xr:uid="{00000000-0005-0000-0000-0000371F0000}"/>
    <cellStyle name="Header2" xfId="618" xr:uid="{00000000-0005-0000-0000-0000381F0000}"/>
    <cellStyle name="Header2 2" xfId="1471" xr:uid="{00000000-0005-0000-0000-0000391F0000}"/>
    <cellStyle name="Heading 1 10" xfId="5158" xr:uid="{00000000-0005-0000-0000-00003A1F0000}"/>
    <cellStyle name="Heading 1 10 2" xfId="5159" xr:uid="{00000000-0005-0000-0000-00003B1F0000}"/>
    <cellStyle name="Heading 1 11" xfId="5160" xr:uid="{00000000-0005-0000-0000-00003C1F0000}"/>
    <cellStyle name="Heading 1 2" xfId="619" xr:uid="{00000000-0005-0000-0000-00003D1F0000}"/>
    <cellStyle name="Heading 1 2 2" xfId="5161" xr:uid="{00000000-0005-0000-0000-00003E1F0000}"/>
    <cellStyle name="Heading 1 3" xfId="5162" xr:uid="{00000000-0005-0000-0000-00003F1F0000}"/>
    <cellStyle name="Heading 1 3 2" xfId="5163" xr:uid="{00000000-0005-0000-0000-0000401F0000}"/>
    <cellStyle name="Heading 1 4" xfId="5164" xr:uid="{00000000-0005-0000-0000-0000411F0000}"/>
    <cellStyle name="Heading 1 4 2" xfId="5165" xr:uid="{00000000-0005-0000-0000-0000421F0000}"/>
    <cellStyle name="Heading 1 5" xfId="5166" xr:uid="{00000000-0005-0000-0000-0000431F0000}"/>
    <cellStyle name="Heading 1 5 2" xfId="5167" xr:uid="{00000000-0005-0000-0000-0000441F0000}"/>
    <cellStyle name="Heading 1 6" xfId="5168" xr:uid="{00000000-0005-0000-0000-0000451F0000}"/>
    <cellStyle name="Heading 1 6 2" xfId="5169" xr:uid="{00000000-0005-0000-0000-0000461F0000}"/>
    <cellStyle name="Heading 1 7" xfId="5170" xr:uid="{00000000-0005-0000-0000-0000471F0000}"/>
    <cellStyle name="Heading 1 7 2" xfId="5171" xr:uid="{00000000-0005-0000-0000-0000481F0000}"/>
    <cellStyle name="Heading 1 8" xfId="5172" xr:uid="{00000000-0005-0000-0000-0000491F0000}"/>
    <cellStyle name="Heading 1 8 2" xfId="5173" xr:uid="{00000000-0005-0000-0000-00004A1F0000}"/>
    <cellStyle name="Heading 1 9" xfId="5174" xr:uid="{00000000-0005-0000-0000-00004B1F0000}"/>
    <cellStyle name="Heading 1 9 2" xfId="5175" xr:uid="{00000000-0005-0000-0000-00004C1F0000}"/>
    <cellStyle name="Heading 2 10" xfId="5176" xr:uid="{00000000-0005-0000-0000-00004D1F0000}"/>
    <cellStyle name="Heading 2 10 2" xfId="5177" xr:uid="{00000000-0005-0000-0000-00004E1F0000}"/>
    <cellStyle name="Heading 2 11" xfId="5178" xr:uid="{00000000-0005-0000-0000-00004F1F0000}"/>
    <cellStyle name="Heading 2 2" xfId="620" xr:uid="{00000000-0005-0000-0000-0000501F0000}"/>
    <cellStyle name="Heading 2 2 2" xfId="5179" xr:uid="{00000000-0005-0000-0000-0000511F0000}"/>
    <cellStyle name="Heading 2 3" xfId="5180" xr:uid="{00000000-0005-0000-0000-0000521F0000}"/>
    <cellStyle name="Heading 2 3 2" xfId="5181" xr:uid="{00000000-0005-0000-0000-0000531F0000}"/>
    <cellStyle name="Heading 2 4" xfId="5182" xr:uid="{00000000-0005-0000-0000-0000541F0000}"/>
    <cellStyle name="Heading 2 4 2" xfId="5183" xr:uid="{00000000-0005-0000-0000-0000551F0000}"/>
    <cellStyle name="Heading 2 5" xfId="5184" xr:uid="{00000000-0005-0000-0000-0000561F0000}"/>
    <cellStyle name="Heading 2 5 2" xfId="5185" xr:uid="{00000000-0005-0000-0000-0000571F0000}"/>
    <cellStyle name="Heading 2 6" xfId="5186" xr:uid="{00000000-0005-0000-0000-0000581F0000}"/>
    <cellStyle name="Heading 2 6 2" xfId="5187" xr:uid="{00000000-0005-0000-0000-0000591F0000}"/>
    <cellStyle name="Heading 2 7" xfId="5188" xr:uid="{00000000-0005-0000-0000-00005A1F0000}"/>
    <cellStyle name="Heading 2 7 2" xfId="5189" xr:uid="{00000000-0005-0000-0000-00005B1F0000}"/>
    <cellStyle name="Heading 2 8" xfId="5190" xr:uid="{00000000-0005-0000-0000-00005C1F0000}"/>
    <cellStyle name="Heading 2 8 2" xfId="5191" xr:uid="{00000000-0005-0000-0000-00005D1F0000}"/>
    <cellStyle name="Heading 2 9" xfId="5192" xr:uid="{00000000-0005-0000-0000-00005E1F0000}"/>
    <cellStyle name="Heading 2 9 2" xfId="5193" xr:uid="{00000000-0005-0000-0000-00005F1F0000}"/>
    <cellStyle name="Heading 3 10" xfId="5194" xr:uid="{00000000-0005-0000-0000-0000601F0000}"/>
    <cellStyle name="Heading 3 10 2" xfId="5195" xr:uid="{00000000-0005-0000-0000-0000611F0000}"/>
    <cellStyle name="Heading 3 10 2 2" xfId="7604" xr:uid="{00000000-0005-0000-0000-0000621F0000}"/>
    <cellStyle name="Heading 3 10 3" xfId="7603" xr:uid="{00000000-0005-0000-0000-0000631F0000}"/>
    <cellStyle name="Heading 3 11" xfId="5196" xr:uid="{00000000-0005-0000-0000-0000641F0000}"/>
    <cellStyle name="Heading 3 11 2" xfId="7605" xr:uid="{00000000-0005-0000-0000-0000651F0000}"/>
    <cellStyle name="Heading 3 2" xfId="621" xr:uid="{00000000-0005-0000-0000-0000661F0000}"/>
    <cellStyle name="Heading 3 2 2" xfId="5197" xr:uid="{00000000-0005-0000-0000-0000671F0000}"/>
    <cellStyle name="Heading 3 2 2 2" xfId="7606" xr:uid="{00000000-0005-0000-0000-0000681F0000}"/>
    <cellStyle name="Heading 3 2 3" xfId="6535" xr:uid="{00000000-0005-0000-0000-0000691F0000}"/>
    <cellStyle name="Heading 3 3" xfId="5198" xr:uid="{00000000-0005-0000-0000-00006A1F0000}"/>
    <cellStyle name="Heading 3 3 2" xfId="5199" xr:uid="{00000000-0005-0000-0000-00006B1F0000}"/>
    <cellStyle name="Heading 3 3 2 2" xfId="7608" xr:uid="{00000000-0005-0000-0000-00006C1F0000}"/>
    <cellStyle name="Heading 3 3 3" xfId="7607" xr:uid="{00000000-0005-0000-0000-00006D1F0000}"/>
    <cellStyle name="Heading 3 4" xfId="5200" xr:uid="{00000000-0005-0000-0000-00006E1F0000}"/>
    <cellStyle name="Heading 3 4 2" xfId="5201" xr:uid="{00000000-0005-0000-0000-00006F1F0000}"/>
    <cellStyle name="Heading 3 4 2 2" xfId="7610" xr:uid="{00000000-0005-0000-0000-0000701F0000}"/>
    <cellStyle name="Heading 3 4 3" xfId="7609" xr:uid="{00000000-0005-0000-0000-0000711F0000}"/>
    <cellStyle name="Heading 3 5" xfId="5202" xr:uid="{00000000-0005-0000-0000-0000721F0000}"/>
    <cellStyle name="Heading 3 5 2" xfId="5203" xr:uid="{00000000-0005-0000-0000-0000731F0000}"/>
    <cellStyle name="Heading 3 5 2 2" xfId="7612" xr:uid="{00000000-0005-0000-0000-0000741F0000}"/>
    <cellStyle name="Heading 3 5 3" xfId="7611" xr:uid="{00000000-0005-0000-0000-0000751F0000}"/>
    <cellStyle name="Heading 3 6" xfId="5204" xr:uid="{00000000-0005-0000-0000-0000761F0000}"/>
    <cellStyle name="Heading 3 6 2" xfId="5205" xr:uid="{00000000-0005-0000-0000-0000771F0000}"/>
    <cellStyle name="Heading 3 6 2 2" xfId="7614" xr:uid="{00000000-0005-0000-0000-0000781F0000}"/>
    <cellStyle name="Heading 3 6 3" xfId="7613" xr:uid="{00000000-0005-0000-0000-0000791F0000}"/>
    <cellStyle name="Heading 3 7" xfId="5206" xr:uid="{00000000-0005-0000-0000-00007A1F0000}"/>
    <cellStyle name="Heading 3 7 2" xfId="5207" xr:uid="{00000000-0005-0000-0000-00007B1F0000}"/>
    <cellStyle name="Heading 3 7 2 2" xfId="7616" xr:uid="{00000000-0005-0000-0000-00007C1F0000}"/>
    <cellStyle name="Heading 3 7 3" xfId="7615" xr:uid="{00000000-0005-0000-0000-00007D1F0000}"/>
    <cellStyle name="Heading 3 8" xfId="5208" xr:uid="{00000000-0005-0000-0000-00007E1F0000}"/>
    <cellStyle name="Heading 3 8 2" xfId="5209" xr:uid="{00000000-0005-0000-0000-00007F1F0000}"/>
    <cellStyle name="Heading 3 8 2 2" xfId="7618" xr:uid="{00000000-0005-0000-0000-0000801F0000}"/>
    <cellStyle name="Heading 3 8 3" xfId="7617" xr:uid="{00000000-0005-0000-0000-0000811F0000}"/>
    <cellStyle name="Heading 3 9" xfId="5210" xr:uid="{00000000-0005-0000-0000-0000821F0000}"/>
    <cellStyle name="Heading 3 9 2" xfId="5211" xr:uid="{00000000-0005-0000-0000-0000831F0000}"/>
    <cellStyle name="Heading 3 9 2 2" xfId="7620" xr:uid="{00000000-0005-0000-0000-0000841F0000}"/>
    <cellStyle name="Heading 3 9 3" xfId="7619" xr:uid="{00000000-0005-0000-0000-0000851F0000}"/>
    <cellStyle name="Heading 4 10" xfId="5212" xr:uid="{00000000-0005-0000-0000-0000861F0000}"/>
    <cellStyle name="Heading 4 10 2" xfId="5213" xr:uid="{00000000-0005-0000-0000-0000871F0000}"/>
    <cellStyle name="Heading 4 11" xfId="5214" xr:uid="{00000000-0005-0000-0000-0000881F0000}"/>
    <cellStyle name="Heading 4 2" xfId="622" xr:uid="{00000000-0005-0000-0000-0000891F0000}"/>
    <cellStyle name="Heading 4 2 2" xfId="5215" xr:uid="{00000000-0005-0000-0000-00008A1F0000}"/>
    <cellStyle name="Heading 4 3" xfId="623" xr:uid="{00000000-0005-0000-0000-00008B1F0000}"/>
    <cellStyle name="Heading 4 3 2" xfId="5216" xr:uid="{00000000-0005-0000-0000-00008C1F0000}"/>
    <cellStyle name="Heading 4 4" xfId="5217" xr:uid="{00000000-0005-0000-0000-00008D1F0000}"/>
    <cellStyle name="Heading 4 4 2" xfId="5218" xr:uid="{00000000-0005-0000-0000-00008E1F0000}"/>
    <cellStyle name="Heading 4 5" xfId="5219" xr:uid="{00000000-0005-0000-0000-00008F1F0000}"/>
    <cellStyle name="Heading 4 5 2" xfId="5220" xr:uid="{00000000-0005-0000-0000-0000901F0000}"/>
    <cellStyle name="Heading 4 6" xfId="5221" xr:uid="{00000000-0005-0000-0000-0000911F0000}"/>
    <cellStyle name="Heading 4 6 2" xfId="5222" xr:uid="{00000000-0005-0000-0000-0000921F0000}"/>
    <cellStyle name="Heading 4 7" xfId="5223" xr:uid="{00000000-0005-0000-0000-0000931F0000}"/>
    <cellStyle name="Heading 4 7 2" xfId="5224" xr:uid="{00000000-0005-0000-0000-0000941F0000}"/>
    <cellStyle name="Heading 4 8" xfId="5225" xr:uid="{00000000-0005-0000-0000-0000951F0000}"/>
    <cellStyle name="Heading 4 8 2" xfId="5226" xr:uid="{00000000-0005-0000-0000-0000961F0000}"/>
    <cellStyle name="Heading 4 9" xfId="5227" xr:uid="{00000000-0005-0000-0000-0000971F0000}"/>
    <cellStyle name="Heading 4 9 2" xfId="5228" xr:uid="{00000000-0005-0000-0000-0000981F0000}"/>
    <cellStyle name="HEADING1" xfId="624" xr:uid="{00000000-0005-0000-0000-0000991F0000}"/>
    <cellStyle name="Heading1 2" xfId="5229" xr:uid="{00000000-0005-0000-0000-00009A1F0000}"/>
    <cellStyle name="HEADING2" xfId="625" xr:uid="{00000000-0005-0000-0000-00009B1F0000}"/>
    <cellStyle name="Heading2 2" xfId="5230" xr:uid="{00000000-0005-0000-0000-00009C1F0000}"/>
    <cellStyle name="Hyperlink 2" xfId="626" xr:uid="{00000000-0005-0000-0000-00009D1F0000}"/>
    <cellStyle name="Hyperlink 2 2" xfId="627" xr:uid="{00000000-0005-0000-0000-00009E1F0000}"/>
    <cellStyle name="Hyperlink 2 2 2" xfId="5231" xr:uid="{00000000-0005-0000-0000-00009F1F0000}"/>
    <cellStyle name="Hyperlink 2 3" xfId="5232" xr:uid="{00000000-0005-0000-0000-0000A01F0000}"/>
    <cellStyle name="Hyperlink 3" xfId="90" xr:uid="{00000000-0005-0000-0000-0000A11F0000}"/>
    <cellStyle name="Hyperlink 3 2" xfId="628" xr:uid="{00000000-0005-0000-0000-0000A21F0000}"/>
    <cellStyle name="Hyperlink 875" xfId="10449" xr:uid="{00000000-0005-0000-0000-0000A31F0000}"/>
    <cellStyle name="Hypertextový odkaz" xfId="629" xr:uid="{00000000-0005-0000-0000-0000A41F0000}"/>
    <cellStyle name="INCHES" xfId="630" xr:uid="{00000000-0005-0000-0000-0000A51F0000}"/>
    <cellStyle name="Input [yellow]" xfId="631" xr:uid="{00000000-0005-0000-0000-0000A61F0000}"/>
    <cellStyle name="Input [yellow] 2" xfId="5233" xr:uid="{00000000-0005-0000-0000-0000A71F0000}"/>
    <cellStyle name="Input [yellow] 2 2" xfId="6324" xr:uid="{00000000-0005-0000-0000-0000A81F0000}"/>
    <cellStyle name="Input [yellow] 3" xfId="1497" xr:uid="{00000000-0005-0000-0000-0000A91F0000}"/>
    <cellStyle name="Input [yellow] 3 2" xfId="10435" xr:uid="{00000000-0005-0000-0000-0000AA1F0000}"/>
    <cellStyle name="Input [yellow] 4" xfId="1444" xr:uid="{00000000-0005-0000-0000-0000AB1F0000}"/>
    <cellStyle name="Input 10" xfId="5234" xr:uid="{00000000-0005-0000-0000-0000AC1F0000}"/>
    <cellStyle name="Input 10 2" xfId="5235" xr:uid="{00000000-0005-0000-0000-0000AD1F0000}"/>
    <cellStyle name="Input 10 2 2" xfId="5236" xr:uid="{00000000-0005-0000-0000-0000AE1F0000}"/>
    <cellStyle name="Input 10 3" xfId="5237" xr:uid="{00000000-0005-0000-0000-0000AF1F0000}"/>
    <cellStyle name="Input 11" xfId="5238" xr:uid="{00000000-0005-0000-0000-0000B01F0000}"/>
    <cellStyle name="Input 11 2" xfId="5239" xr:uid="{00000000-0005-0000-0000-0000B11F0000}"/>
    <cellStyle name="Input 12" xfId="5240" xr:uid="{00000000-0005-0000-0000-0000B21F0000}"/>
    <cellStyle name="Input 12 2" xfId="5241" xr:uid="{00000000-0005-0000-0000-0000B31F0000}"/>
    <cellStyle name="Input 13" xfId="5242" xr:uid="{00000000-0005-0000-0000-0000B41F0000}"/>
    <cellStyle name="Input 13 2" xfId="5243" xr:uid="{00000000-0005-0000-0000-0000B51F0000}"/>
    <cellStyle name="Input 14" xfId="5244" xr:uid="{00000000-0005-0000-0000-0000B61F0000}"/>
    <cellStyle name="Input 14 2" xfId="5245" xr:uid="{00000000-0005-0000-0000-0000B71F0000}"/>
    <cellStyle name="Input 15" xfId="5246" xr:uid="{00000000-0005-0000-0000-0000B81F0000}"/>
    <cellStyle name="Input 15 2" xfId="5247" xr:uid="{00000000-0005-0000-0000-0000B91F0000}"/>
    <cellStyle name="Input 16" xfId="5248" xr:uid="{00000000-0005-0000-0000-0000BA1F0000}"/>
    <cellStyle name="Input 16 2" xfId="5249" xr:uid="{00000000-0005-0000-0000-0000BB1F0000}"/>
    <cellStyle name="Input 17" xfId="5250" xr:uid="{00000000-0005-0000-0000-0000BC1F0000}"/>
    <cellStyle name="Input 17 2" xfId="5251" xr:uid="{00000000-0005-0000-0000-0000BD1F0000}"/>
    <cellStyle name="Input 18" xfId="5252" xr:uid="{00000000-0005-0000-0000-0000BE1F0000}"/>
    <cellStyle name="Input 18 2" xfId="5253" xr:uid="{00000000-0005-0000-0000-0000BF1F0000}"/>
    <cellStyle name="Input 19" xfId="5254" xr:uid="{00000000-0005-0000-0000-0000C01F0000}"/>
    <cellStyle name="Input 19 2" xfId="5255" xr:uid="{00000000-0005-0000-0000-0000C11F0000}"/>
    <cellStyle name="Input 2" xfId="632" xr:uid="{00000000-0005-0000-0000-0000C21F0000}"/>
    <cellStyle name="Input 2 10" xfId="5256" xr:uid="{00000000-0005-0000-0000-0000C31F0000}"/>
    <cellStyle name="Input 2 11" xfId="5257" xr:uid="{00000000-0005-0000-0000-0000C41F0000}"/>
    <cellStyle name="Input 2 12" xfId="5258" xr:uid="{00000000-0005-0000-0000-0000C51F0000}"/>
    <cellStyle name="Input 2 13" xfId="5259" xr:uid="{00000000-0005-0000-0000-0000C61F0000}"/>
    <cellStyle name="Input 2 14" xfId="5260" xr:uid="{00000000-0005-0000-0000-0000C71F0000}"/>
    <cellStyle name="Input 2 15" xfId="5261" xr:uid="{00000000-0005-0000-0000-0000C81F0000}"/>
    <cellStyle name="Input 2 16" xfId="5262" xr:uid="{00000000-0005-0000-0000-0000C91F0000}"/>
    <cellStyle name="Input 2 17" xfId="5263" xr:uid="{00000000-0005-0000-0000-0000CA1F0000}"/>
    <cellStyle name="Input 2 18" xfId="5264" xr:uid="{00000000-0005-0000-0000-0000CB1F0000}"/>
    <cellStyle name="Input 2 19" xfId="5265" xr:uid="{00000000-0005-0000-0000-0000CC1F0000}"/>
    <cellStyle name="Input 2 2" xfId="633" xr:uid="{00000000-0005-0000-0000-0000CD1F0000}"/>
    <cellStyle name="Input 2 2 2" xfId="634" xr:uid="{00000000-0005-0000-0000-0000CE1F0000}"/>
    <cellStyle name="Input 2 2 2 2" xfId="5267" xr:uid="{00000000-0005-0000-0000-0000CF1F0000}"/>
    <cellStyle name="Input 2 2 2 3" xfId="6536" xr:uid="{00000000-0005-0000-0000-0000D01F0000}"/>
    <cellStyle name="Input 2 2 3" xfId="5268" xr:uid="{00000000-0005-0000-0000-0000D11F0000}"/>
    <cellStyle name="Input 2 2 4" xfId="5266" xr:uid="{00000000-0005-0000-0000-0000D21F0000}"/>
    <cellStyle name="Input 2 20" xfId="5269" xr:uid="{00000000-0005-0000-0000-0000D31F0000}"/>
    <cellStyle name="Input 2 21" xfId="5270" xr:uid="{00000000-0005-0000-0000-0000D41F0000}"/>
    <cellStyle name="Input 2 22" xfId="5271" xr:uid="{00000000-0005-0000-0000-0000D51F0000}"/>
    <cellStyle name="Input 2 23" xfId="5272" xr:uid="{00000000-0005-0000-0000-0000D61F0000}"/>
    <cellStyle name="Input 2 24" xfId="5273" xr:uid="{00000000-0005-0000-0000-0000D71F0000}"/>
    <cellStyle name="Input 2 25" xfId="5274" xr:uid="{00000000-0005-0000-0000-0000D81F0000}"/>
    <cellStyle name="Input 2 26" xfId="5275" xr:uid="{00000000-0005-0000-0000-0000D91F0000}"/>
    <cellStyle name="Input 2 27" xfId="5276" xr:uid="{00000000-0005-0000-0000-0000DA1F0000}"/>
    <cellStyle name="Input 2 28" xfId="5277" xr:uid="{00000000-0005-0000-0000-0000DB1F0000}"/>
    <cellStyle name="Input 2 29" xfId="5278" xr:uid="{00000000-0005-0000-0000-0000DC1F0000}"/>
    <cellStyle name="Input 2 3" xfId="635" xr:uid="{00000000-0005-0000-0000-0000DD1F0000}"/>
    <cellStyle name="Input 2 3 2" xfId="5280" xr:uid="{00000000-0005-0000-0000-0000DE1F0000}"/>
    <cellStyle name="Input 2 3 3" xfId="5279" xr:uid="{00000000-0005-0000-0000-0000DF1F0000}"/>
    <cellStyle name="Input 2 30" xfId="5281" xr:uid="{00000000-0005-0000-0000-0000E01F0000}"/>
    <cellStyle name="Input 2 31" xfId="5282" xr:uid="{00000000-0005-0000-0000-0000E11F0000}"/>
    <cellStyle name="Input 2 32" xfId="5283" xr:uid="{00000000-0005-0000-0000-0000E21F0000}"/>
    <cellStyle name="Input 2 33" xfId="5284" xr:uid="{00000000-0005-0000-0000-0000E31F0000}"/>
    <cellStyle name="Input 2 34" xfId="5285" xr:uid="{00000000-0005-0000-0000-0000E41F0000}"/>
    <cellStyle name="Input 2 35" xfId="5286" xr:uid="{00000000-0005-0000-0000-0000E51F0000}"/>
    <cellStyle name="Input 2 36" xfId="5287" xr:uid="{00000000-0005-0000-0000-0000E61F0000}"/>
    <cellStyle name="Input 2 37" xfId="5288" xr:uid="{00000000-0005-0000-0000-0000E71F0000}"/>
    <cellStyle name="Input 2 38" xfId="5289" xr:uid="{00000000-0005-0000-0000-0000E81F0000}"/>
    <cellStyle name="Input 2 39" xfId="5290" xr:uid="{00000000-0005-0000-0000-0000E91F0000}"/>
    <cellStyle name="Input 2 4" xfId="636" xr:uid="{00000000-0005-0000-0000-0000EA1F0000}"/>
    <cellStyle name="Input 2 4 2" xfId="5291" xr:uid="{00000000-0005-0000-0000-0000EB1F0000}"/>
    <cellStyle name="Input 2 4 3" xfId="6537" xr:uid="{00000000-0005-0000-0000-0000EC1F0000}"/>
    <cellStyle name="Input 2 40" xfId="5292" xr:uid="{00000000-0005-0000-0000-0000ED1F0000}"/>
    <cellStyle name="Input 2 41" xfId="5293" xr:uid="{00000000-0005-0000-0000-0000EE1F0000}"/>
    <cellStyle name="Input 2 42" xfId="5294" xr:uid="{00000000-0005-0000-0000-0000EF1F0000}"/>
    <cellStyle name="Input 2 43" xfId="5295" xr:uid="{00000000-0005-0000-0000-0000F01F0000}"/>
    <cellStyle name="Input 2 44" xfId="5296" xr:uid="{00000000-0005-0000-0000-0000F11F0000}"/>
    <cellStyle name="Input 2 45" xfId="5297" xr:uid="{00000000-0005-0000-0000-0000F21F0000}"/>
    <cellStyle name="Input 2 46" xfId="5298" xr:uid="{00000000-0005-0000-0000-0000F31F0000}"/>
    <cellStyle name="Input 2 47" xfId="5299" xr:uid="{00000000-0005-0000-0000-0000F41F0000}"/>
    <cellStyle name="Input 2 48" xfId="5300" xr:uid="{00000000-0005-0000-0000-0000F51F0000}"/>
    <cellStyle name="Input 2 49" xfId="5301" xr:uid="{00000000-0005-0000-0000-0000F61F0000}"/>
    <cellStyle name="Input 2 5" xfId="5302" xr:uid="{00000000-0005-0000-0000-0000F71F0000}"/>
    <cellStyle name="Input 2 50" xfId="1434" xr:uid="{00000000-0005-0000-0000-0000F81F0000}"/>
    <cellStyle name="Input 2 6" xfId="5303" xr:uid="{00000000-0005-0000-0000-0000F91F0000}"/>
    <cellStyle name="Input 2 7" xfId="5304" xr:uid="{00000000-0005-0000-0000-0000FA1F0000}"/>
    <cellStyle name="Input 2 8" xfId="5305" xr:uid="{00000000-0005-0000-0000-0000FB1F0000}"/>
    <cellStyle name="Input 2 9" xfId="5306" xr:uid="{00000000-0005-0000-0000-0000FC1F0000}"/>
    <cellStyle name="Input 20" xfId="5307" xr:uid="{00000000-0005-0000-0000-0000FD1F0000}"/>
    <cellStyle name="Input 20 2" xfId="5308" xr:uid="{00000000-0005-0000-0000-0000FE1F0000}"/>
    <cellStyle name="Input 21" xfId="5309" xr:uid="{00000000-0005-0000-0000-0000FF1F0000}"/>
    <cellStyle name="Input 21 2" xfId="5310" xr:uid="{00000000-0005-0000-0000-000000200000}"/>
    <cellStyle name="Input 22" xfId="5311" xr:uid="{00000000-0005-0000-0000-000001200000}"/>
    <cellStyle name="Input 22 2" xfId="5312" xr:uid="{00000000-0005-0000-0000-000002200000}"/>
    <cellStyle name="Input 23" xfId="5313" xr:uid="{00000000-0005-0000-0000-000003200000}"/>
    <cellStyle name="Input 23 2" xfId="5314" xr:uid="{00000000-0005-0000-0000-000004200000}"/>
    <cellStyle name="Input 24" xfId="5315" xr:uid="{00000000-0005-0000-0000-000005200000}"/>
    <cellStyle name="Input 25" xfId="5316" xr:uid="{00000000-0005-0000-0000-000006200000}"/>
    <cellStyle name="Input 26" xfId="5317" xr:uid="{00000000-0005-0000-0000-000007200000}"/>
    <cellStyle name="Input 27" xfId="5318" xr:uid="{00000000-0005-0000-0000-000008200000}"/>
    <cellStyle name="Input 28" xfId="5319" xr:uid="{00000000-0005-0000-0000-000009200000}"/>
    <cellStyle name="Input 29" xfId="5320" xr:uid="{00000000-0005-0000-0000-00000A200000}"/>
    <cellStyle name="Input 3" xfId="5321" xr:uid="{00000000-0005-0000-0000-00000B200000}"/>
    <cellStyle name="Input 3 2" xfId="5322" xr:uid="{00000000-0005-0000-0000-00000C200000}"/>
    <cellStyle name="Input 3 2 2" xfId="5323" xr:uid="{00000000-0005-0000-0000-00000D200000}"/>
    <cellStyle name="Input 3 3" xfId="5324" xr:uid="{00000000-0005-0000-0000-00000E200000}"/>
    <cellStyle name="Input 30" xfId="5325" xr:uid="{00000000-0005-0000-0000-00000F200000}"/>
    <cellStyle name="Input 31" xfId="5326" xr:uid="{00000000-0005-0000-0000-000010200000}"/>
    <cellStyle name="Input 32" xfId="5327" xr:uid="{00000000-0005-0000-0000-000011200000}"/>
    <cellStyle name="Input 33" xfId="5328" xr:uid="{00000000-0005-0000-0000-000012200000}"/>
    <cellStyle name="Input 34" xfId="5329" xr:uid="{00000000-0005-0000-0000-000013200000}"/>
    <cellStyle name="Input 35" xfId="5330" xr:uid="{00000000-0005-0000-0000-000014200000}"/>
    <cellStyle name="Input 4" xfId="5331" xr:uid="{00000000-0005-0000-0000-000015200000}"/>
    <cellStyle name="Input 4 2" xfId="5332" xr:uid="{00000000-0005-0000-0000-000016200000}"/>
    <cellStyle name="Input 4 2 2" xfId="5333" xr:uid="{00000000-0005-0000-0000-000017200000}"/>
    <cellStyle name="Input 4 3" xfId="5334" xr:uid="{00000000-0005-0000-0000-000018200000}"/>
    <cellStyle name="Input 5" xfId="5335" xr:uid="{00000000-0005-0000-0000-000019200000}"/>
    <cellStyle name="Input 5 2" xfId="5336" xr:uid="{00000000-0005-0000-0000-00001A200000}"/>
    <cellStyle name="Input 5 2 2" xfId="5337" xr:uid="{00000000-0005-0000-0000-00001B200000}"/>
    <cellStyle name="Input 5 3" xfId="5338" xr:uid="{00000000-0005-0000-0000-00001C200000}"/>
    <cellStyle name="Input 6" xfId="5339" xr:uid="{00000000-0005-0000-0000-00001D200000}"/>
    <cellStyle name="Input 6 2" xfId="5340" xr:uid="{00000000-0005-0000-0000-00001E200000}"/>
    <cellStyle name="Input 6 2 2" xfId="5341" xr:uid="{00000000-0005-0000-0000-00001F200000}"/>
    <cellStyle name="Input 6 3" xfId="5342" xr:uid="{00000000-0005-0000-0000-000020200000}"/>
    <cellStyle name="Input 7" xfId="5343" xr:uid="{00000000-0005-0000-0000-000021200000}"/>
    <cellStyle name="Input 7 2" xfId="5344" xr:uid="{00000000-0005-0000-0000-000022200000}"/>
    <cellStyle name="Input 7 2 2" xfId="5345" xr:uid="{00000000-0005-0000-0000-000023200000}"/>
    <cellStyle name="Input 7 3" xfId="5346" xr:uid="{00000000-0005-0000-0000-000024200000}"/>
    <cellStyle name="Input 8" xfId="5347" xr:uid="{00000000-0005-0000-0000-000025200000}"/>
    <cellStyle name="Input 8 2" xfId="5348" xr:uid="{00000000-0005-0000-0000-000026200000}"/>
    <cellStyle name="Input 8 2 2" xfId="5349" xr:uid="{00000000-0005-0000-0000-000027200000}"/>
    <cellStyle name="Input 8 3" xfId="5350" xr:uid="{00000000-0005-0000-0000-000028200000}"/>
    <cellStyle name="Input 9" xfId="5351" xr:uid="{00000000-0005-0000-0000-000029200000}"/>
    <cellStyle name="Input 9 2" xfId="5352" xr:uid="{00000000-0005-0000-0000-00002A200000}"/>
    <cellStyle name="Input 9 2 2" xfId="5353" xr:uid="{00000000-0005-0000-0000-00002B200000}"/>
    <cellStyle name="Input 9 3" xfId="5354" xr:uid="{00000000-0005-0000-0000-00002C200000}"/>
    <cellStyle name="Jun" xfId="5355" xr:uid="{00000000-0005-0000-0000-00002D200000}"/>
    <cellStyle name="k" xfId="5356" xr:uid="{00000000-0005-0000-0000-00002E200000}"/>
    <cellStyle name="k 2" xfId="5357" xr:uid="{00000000-0005-0000-0000-00002F200000}"/>
    <cellStyle name="L" xfId="5358" xr:uid="{00000000-0005-0000-0000-000030200000}"/>
    <cellStyle name="L 2" xfId="5359" xr:uid="{00000000-0005-0000-0000-000031200000}"/>
    <cellStyle name="Length" xfId="5360" xr:uid="{00000000-0005-0000-0000-000032200000}"/>
    <cellStyle name="Length 2" xfId="5361" xr:uid="{00000000-0005-0000-0000-000033200000}"/>
    <cellStyle name="Link Currency (0)" xfId="637" xr:uid="{00000000-0005-0000-0000-000034200000}"/>
    <cellStyle name="Link Currency (2)" xfId="638" xr:uid="{00000000-0005-0000-0000-000035200000}"/>
    <cellStyle name="Link Units (0)" xfId="639" xr:uid="{00000000-0005-0000-0000-000036200000}"/>
    <cellStyle name="Link Units (1)" xfId="640" xr:uid="{00000000-0005-0000-0000-000037200000}"/>
    <cellStyle name="Link Units (2)" xfId="641" xr:uid="{00000000-0005-0000-0000-000038200000}"/>
    <cellStyle name="Linked Cell 10" xfId="5362" xr:uid="{00000000-0005-0000-0000-000039200000}"/>
    <cellStyle name="Linked Cell 10 2" xfId="5363" xr:uid="{00000000-0005-0000-0000-00003A200000}"/>
    <cellStyle name="Linked Cell 11" xfId="5364" xr:uid="{00000000-0005-0000-0000-00003B200000}"/>
    <cellStyle name="Linked Cell 2" xfId="642" xr:uid="{00000000-0005-0000-0000-00003C200000}"/>
    <cellStyle name="Linked Cell 2 2" xfId="5365" xr:uid="{00000000-0005-0000-0000-00003D200000}"/>
    <cellStyle name="Linked Cell 3" xfId="5366" xr:uid="{00000000-0005-0000-0000-00003E200000}"/>
    <cellStyle name="Linked Cell 3 2" xfId="5367" xr:uid="{00000000-0005-0000-0000-00003F200000}"/>
    <cellStyle name="Linked Cell 4" xfId="5368" xr:uid="{00000000-0005-0000-0000-000040200000}"/>
    <cellStyle name="Linked Cell 4 2" xfId="5369" xr:uid="{00000000-0005-0000-0000-000041200000}"/>
    <cellStyle name="Linked Cell 5" xfId="5370" xr:uid="{00000000-0005-0000-0000-000042200000}"/>
    <cellStyle name="Linked Cell 5 2" xfId="5371" xr:uid="{00000000-0005-0000-0000-000043200000}"/>
    <cellStyle name="Linked Cell 6" xfId="5372" xr:uid="{00000000-0005-0000-0000-000044200000}"/>
    <cellStyle name="Linked Cell 6 2" xfId="5373" xr:uid="{00000000-0005-0000-0000-000045200000}"/>
    <cellStyle name="Linked Cell 7" xfId="5374" xr:uid="{00000000-0005-0000-0000-000046200000}"/>
    <cellStyle name="Linked Cell 7 2" xfId="5375" xr:uid="{00000000-0005-0000-0000-000047200000}"/>
    <cellStyle name="Linked Cell 8" xfId="5376" xr:uid="{00000000-0005-0000-0000-000048200000}"/>
    <cellStyle name="Linked Cell 8 2" xfId="5377" xr:uid="{00000000-0005-0000-0000-000049200000}"/>
    <cellStyle name="Linked Cell 9" xfId="5378" xr:uid="{00000000-0005-0000-0000-00004A200000}"/>
    <cellStyle name="Linked Cell 9 2" xfId="5379" xr:uid="{00000000-0005-0000-0000-00004B200000}"/>
    <cellStyle name="Locked" xfId="643" xr:uid="{00000000-0005-0000-0000-00004C200000}"/>
    <cellStyle name="M" xfId="5380" xr:uid="{00000000-0005-0000-0000-00004D200000}"/>
    <cellStyle name="M 2" xfId="5381" xr:uid="{00000000-0005-0000-0000-00004E200000}"/>
    <cellStyle name="M-0" xfId="5382" xr:uid="{00000000-0005-0000-0000-00004F200000}"/>
    <cellStyle name="M-0 2" xfId="5383" xr:uid="{00000000-0005-0000-0000-000050200000}"/>
    <cellStyle name="MainDescription" xfId="5384" xr:uid="{00000000-0005-0000-0000-000051200000}"/>
    <cellStyle name="Measure" xfId="5385" xr:uid="{00000000-0005-0000-0000-000052200000}"/>
    <cellStyle name="Measure 2" xfId="5386" xr:uid="{00000000-0005-0000-0000-000053200000}"/>
    <cellStyle name="Milliers [0]_laroux" xfId="644" xr:uid="{00000000-0005-0000-0000-000054200000}"/>
    <cellStyle name="Milliers_laroux" xfId="645" xr:uid="{00000000-0005-0000-0000-000055200000}"/>
    <cellStyle name="m-o" xfId="5387" xr:uid="{00000000-0005-0000-0000-000056200000}"/>
    <cellStyle name="m-o 2" xfId="5388" xr:uid="{00000000-0005-0000-0000-000057200000}"/>
    <cellStyle name="Monétaire [0]_laroux" xfId="646" xr:uid="{00000000-0005-0000-0000-000058200000}"/>
    <cellStyle name="Monétaire_laroux" xfId="647" xr:uid="{00000000-0005-0000-0000-000059200000}"/>
    <cellStyle name="n" xfId="5389" xr:uid="{00000000-0005-0000-0000-00005A200000}"/>
    <cellStyle name="n 2" xfId="5390" xr:uid="{00000000-0005-0000-0000-00005B200000}"/>
    <cellStyle name="Neutral 10" xfId="5391" xr:uid="{00000000-0005-0000-0000-00005C200000}"/>
    <cellStyle name="Neutral 10 2" xfId="5392" xr:uid="{00000000-0005-0000-0000-00005D200000}"/>
    <cellStyle name="Neutral 10 2 2" xfId="5393" xr:uid="{00000000-0005-0000-0000-00005E200000}"/>
    <cellStyle name="Neutral 10 3" xfId="5394" xr:uid="{00000000-0005-0000-0000-00005F200000}"/>
    <cellStyle name="Neutral 11" xfId="5395" xr:uid="{00000000-0005-0000-0000-000060200000}"/>
    <cellStyle name="Neutral 11 2" xfId="5396" xr:uid="{00000000-0005-0000-0000-000061200000}"/>
    <cellStyle name="Neutral 12" xfId="5397" xr:uid="{00000000-0005-0000-0000-000062200000}"/>
    <cellStyle name="Neutral 2" xfId="648" xr:uid="{00000000-0005-0000-0000-000063200000}"/>
    <cellStyle name="Neutral 2 10" xfId="5398" xr:uid="{00000000-0005-0000-0000-000064200000}"/>
    <cellStyle name="Neutral 2 11" xfId="5399" xr:uid="{00000000-0005-0000-0000-000065200000}"/>
    <cellStyle name="Neutral 2 12" xfId="5400" xr:uid="{00000000-0005-0000-0000-000066200000}"/>
    <cellStyle name="Neutral 2 13" xfId="5401" xr:uid="{00000000-0005-0000-0000-000067200000}"/>
    <cellStyle name="Neutral 2 14" xfId="5402" xr:uid="{00000000-0005-0000-0000-000068200000}"/>
    <cellStyle name="Neutral 2 15" xfId="5403" xr:uid="{00000000-0005-0000-0000-000069200000}"/>
    <cellStyle name="Neutral 2 16" xfId="5404" xr:uid="{00000000-0005-0000-0000-00006A200000}"/>
    <cellStyle name="Neutral 2 17" xfId="5405" xr:uid="{00000000-0005-0000-0000-00006B200000}"/>
    <cellStyle name="Neutral 2 18" xfId="5406" xr:uid="{00000000-0005-0000-0000-00006C200000}"/>
    <cellStyle name="Neutral 2 19" xfId="5407" xr:uid="{00000000-0005-0000-0000-00006D200000}"/>
    <cellStyle name="Neutral 2 2" xfId="247" xr:uid="{00000000-0005-0000-0000-00006E200000}"/>
    <cellStyle name="Neutral 2 2 2" xfId="5409" xr:uid="{00000000-0005-0000-0000-00006F200000}"/>
    <cellStyle name="Neutral 2 2 3" xfId="5410" xr:uid="{00000000-0005-0000-0000-000070200000}"/>
    <cellStyle name="Neutral 2 2 4" xfId="5408" xr:uid="{00000000-0005-0000-0000-000071200000}"/>
    <cellStyle name="Neutral 2 20" xfId="5411" xr:uid="{00000000-0005-0000-0000-000072200000}"/>
    <cellStyle name="Neutral 2 21" xfId="5412" xr:uid="{00000000-0005-0000-0000-000073200000}"/>
    <cellStyle name="Neutral 2 22" xfId="5413" xr:uid="{00000000-0005-0000-0000-000074200000}"/>
    <cellStyle name="Neutral 2 23" xfId="5414" xr:uid="{00000000-0005-0000-0000-000075200000}"/>
    <cellStyle name="Neutral 2 24" xfId="5415" xr:uid="{00000000-0005-0000-0000-000076200000}"/>
    <cellStyle name="Neutral 2 25" xfId="5416" xr:uid="{00000000-0005-0000-0000-000077200000}"/>
    <cellStyle name="Neutral 2 26" xfId="5417" xr:uid="{00000000-0005-0000-0000-000078200000}"/>
    <cellStyle name="Neutral 2 27" xfId="5418" xr:uid="{00000000-0005-0000-0000-000079200000}"/>
    <cellStyle name="Neutral 2 28" xfId="5419" xr:uid="{00000000-0005-0000-0000-00007A200000}"/>
    <cellStyle name="Neutral 2 29" xfId="5420" xr:uid="{00000000-0005-0000-0000-00007B200000}"/>
    <cellStyle name="Neutral 2 3" xfId="5421" xr:uid="{00000000-0005-0000-0000-00007C200000}"/>
    <cellStyle name="Neutral 2 3 2" xfId="5422" xr:uid="{00000000-0005-0000-0000-00007D200000}"/>
    <cellStyle name="Neutral 2 30" xfId="5423" xr:uid="{00000000-0005-0000-0000-00007E200000}"/>
    <cellStyle name="Neutral 2 31" xfId="5424" xr:uid="{00000000-0005-0000-0000-00007F200000}"/>
    <cellStyle name="Neutral 2 32" xfId="5425" xr:uid="{00000000-0005-0000-0000-000080200000}"/>
    <cellStyle name="Neutral 2 33" xfId="5426" xr:uid="{00000000-0005-0000-0000-000081200000}"/>
    <cellStyle name="Neutral 2 34" xfId="5427" xr:uid="{00000000-0005-0000-0000-000082200000}"/>
    <cellStyle name="Neutral 2 35" xfId="5428" xr:uid="{00000000-0005-0000-0000-000083200000}"/>
    <cellStyle name="Neutral 2 36" xfId="5429" xr:uid="{00000000-0005-0000-0000-000084200000}"/>
    <cellStyle name="Neutral 2 37" xfId="5430" xr:uid="{00000000-0005-0000-0000-000085200000}"/>
    <cellStyle name="Neutral 2 38" xfId="5431" xr:uid="{00000000-0005-0000-0000-000086200000}"/>
    <cellStyle name="Neutral 2 39" xfId="5432" xr:uid="{00000000-0005-0000-0000-000087200000}"/>
    <cellStyle name="Neutral 2 4" xfId="5433" xr:uid="{00000000-0005-0000-0000-000088200000}"/>
    <cellStyle name="Neutral 2 40" xfId="5434" xr:uid="{00000000-0005-0000-0000-000089200000}"/>
    <cellStyle name="Neutral 2 41" xfId="5435" xr:uid="{00000000-0005-0000-0000-00008A200000}"/>
    <cellStyle name="Neutral 2 42" xfId="5436" xr:uid="{00000000-0005-0000-0000-00008B200000}"/>
    <cellStyle name="Neutral 2 43" xfId="5437" xr:uid="{00000000-0005-0000-0000-00008C200000}"/>
    <cellStyle name="Neutral 2 44" xfId="5438" xr:uid="{00000000-0005-0000-0000-00008D200000}"/>
    <cellStyle name="Neutral 2 45" xfId="5439" xr:uid="{00000000-0005-0000-0000-00008E200000}"/>
    <cellStyle name="Neutral 2 46" xfId="5440" xr:uid="{00000000-0005-0000-0000-00008F200000}"/>
    <cellStyle name="Neutral 2 47" xfId="5441" xr:uid="{00000000-0005-0000-0000-000090200000}"/>
    <cellStyle name="Neutral 2 48" xfId="5442" xr:uid="{00000000-0005-0000-0000-000091200000}"/>
    <cellStyle name="Neutral 2 49" xfId="5443" xr:uid="{00000000-0005-0000-0000-000092200000}"/>
    <cellStyle name="Neutral 2 5" xfId="5444" xr:uid="{00000000-0005-0000-0000-000093200000}"/>
    <cellStyle name="Neutral 2 6" xfId="5445" xr:uid="{00000000-0005-0000-0000-000094200000}"/>
    <cellStyle name="Neutral 2 7" xfId="5446" xr:uid="{00000000-0005-0000-0000-000095200000}"/>
    <cellStyle name="Neutral 2 8" xfId="5447" xr:uid="{00000000-0005-0000-0000-000096200000}"/>
    <cellStyle name="Neutral 2 9" xfId="5448" xr:uid="{00000000-0005-0000-0000-000097200000}"/>
    <cellStyle name="Neutral 3" xfId="5449" xr:uid="{00000000-0005-0000-0000-000098200000}"/>
    <cellStyle name="Neutral 3 2" xfId="5450" xr:uid="{00000000-0005-0000-0000-000099200000}"/>
    <cellStyle name="Neutral 3 2 2" xfId="5451" xr:uid="{00000000-0005-0000-0000-00009A200000}"/>
    <cellStyle name="Neutral 3 3" xfId="5452" xr:uid="{00000000-0005-0000-0000-00009B200000}"/>
    <cellStyle name="Neutral 4" xfId="5453" xr:uid="{00000000-0005-0000-0000-00009C200000}"/>
    <cellStyle name="Neutral 4 2" xfId="5454" xr:uid="{00000000-0005-0000-0000-00009D200000}"/>
    <cellStyle name="Neutral 4 2 2" xfId="5455" xr:uid="{00000000-0005-0000-0000-00009E200000}"/>
    <cellStyle name="Neutral 4 3" xfId="5456" xr:uid="{00000000-0005-0000-0000-00009F200000}"/>
    <cellStyle name="Neutral 5" xfId="5457" xr:uid="{00000000-0005-0000-0000-0000A0200000}"/>
    <cellStyle name="Neutral 5 2" xfId="5458" xr:uid="{00000000-0005-0000-0000-0000A1200000}"/>
    <cellStyle name="Neutral 5 2 2" xfId="5459" xr:uid="{00000000-0005-0000-0000-0000A2200000}"/>
    <cellStyle name="Neutral 5 3" xfId="5460" xr:uid="{00000000-0005-0000-0000-0000A3200000}"/>
    <cellStyle name="Neutral 6" xfId="5461" xr:uid="{00000000-0005-0000-0000-0000A4200000}"/>
    <cellStyle name="Neutral 6 2" xfId="5462" xr:uid="{00000000-0005-0000-0000-0000A5200000}"/>
    <cellStyle name="Neutral 6 2 2" xfId="5463" xr:uid="{00000000-0005-0000-0000-0000A6200000}"/>
    <cellStyle name="Neutral 6 3" xfId="5464" xr:uid="{00000000-0005-0000-0000-0000A7200000}"/>
    <cellStyle name="Neutral 7" xfId="5465" xr:uid="{00000000-0005-0000-0000-0000A8200000}"/>
    <cellStyle name="Neutral 7 2" xfId="5466" xr:uid="{00000000-0005-0000-0000-0000A9200000}"/>
    <cellStyle name="Neutral 7 2 2" xfId="5467" xr:uid="{00000000-0005-0000-0000-0000AA200000}"/>
    <cellStyle name="Neutral 7 3" xfId="5468" xr:uid="{00000000-0005-0000-0000-0000AB200000}"/>
    <cellStyle name="Neutral 8" xfId="5469" xr:uid="{00000000-0005-0000-0000-0000AC200000}"/>
    <cellStyle name="Neutral 8 2" xfId="5470" xr:uid="{00000000-0005-0000-0000-0000AD200000}"/>
    <cellStyle name="Neutral 8 2 2" xfId="5471" xr:uid="{00000000-0005-0000-0000-0000AE200000}"/>
    <cellStyle name="Neutral 8 3" xfId="5472" xr:uid="{00000000-0005-0000-0000-0000AF200000}"/>
    <cellStyle name="Neutral 9" xfId="5473" xr:uid="{00000000-0005-0000-0000-0000B0200000}"/>
    <cellStyle name="Neutral 9 2" xfId="5474" xr:uid="{00000000-0005-0000-0000-0000B1200000}"/>
    <cellStyle name="Neutral 9 2 2" xfId="5475" xr:uid="{00000000-0005-0000-0000-0000B2200000}"/>
    <cellStyle name="Neutral 9 3" xfId="5476" xr:uid="{00000000-0005-0000-0000-0000B3200000}"/>
    <cellStyle name="NEW" xfId="649" xr:uid="{00000000-0005-0000-0000-0000B4200000}"/>
    <cellStyle name="no dec" xfId="650" xr:uid="{00000000-0005-0000-0000-0000B5200000}"/>
    <cellStyle name="no dec 2" xfId="1132" xr:uid="{00000000-0005-0000-0000-0000B6200000}"/>
    <cellStyle name="Normal" xfId="0" builtinId="0"/>
    <cellStyle name="Normal - Style1" xfId="121" xr:uid="{00000000-0005-0000-0000-0000B8200000}"/>
    <cellStyle name="Normal - Style1 2" xfId="48" xr:uid="{00000000-0005-0000-0000-0000B9200000}"/>
    <cellStyle name="Normal - Style1 2 2" xfId="651" xr:uid="{00000000-0005-0000-0000-0000BA200000}"/>
    <cellStyle name="Normal - Style1 2 2 2 2" xfId="5477" xr:uid="{00000000-0005-0000-0000-0000BB200000}"/>
    <cellStyle name="Normal - Style1 2 2 2 3" xfId="10520" xr:uid="{00000000-0005-0000-0000-0000BC200000}"/>
    <cellStyle name="Normal - Style1 3" xfId="5478" xr:uid="{00000000-0005-0000-0000-0000BD200000}"/>
    <cellStyle name="Normal 1" xfId="170" xr:uid="{00000000-0005-0000-0000-0000BE200000}"/>
    <cellStyle name="Normal 1 2" xfId="6216" xr:uid="{00000000-0005-0000-0000-0000BF200000}"/>
    <cellStyle name="Normal 1 3" xfId="5479" xr:uid="{00000000-0005-0000-0000-0000C0200000}"/>
    <cellStyle name="Normal 10" xfId="19" xr:uid="{00000000-0005-0000-0000-0000C1200000}"/>
    <cellStyle name="Normal 10 10" xfId="5480" xr:uid="{00000000-0005-0000-0000-0000C2200000}"/>
    <cellStyle name="Normal 10 11" xfId="171" xr:uid="{00000000-0005-0000-0000-0000C3200000}"/>
    <cellStyle name="Normal 10 12" xfId="5481" xr:uid="{00000000-0005-0000-0000-0000C4200000}"/>
    <cellStyle name="Normal 10 13" xfId="5482" xr:uid="{00000000-0005-0000-0000-0000C5200000}"/>
    <cellStyle name="Normal 10 14" xfId="5483" xr:uid="{00000000-0005-0000-0000-0000C6200000}"/>
    <cellStyle name="Normal 10 15" xfId="5484" xr:uid="{00000000-0005-0000-0000-0000C7200000}"/>
    <cellStyle name="Normal 10 15 2" xfId="7621" xr:uid="{00000000-0005-0000-0000-0000C8200000}"/>
    <cellStyle name="Normal 10 15 2 2" xfId="10302" xr:uid="{00000000-0005-0000-0000-0000C9200000}"/>
    <cellStyle name="Normal 10 15 3" xfId="8962" xr:uid="{00000000-0005-0000-0000-0000CA200000}"/>
    <cellStyle name="Normal 10 16" xfId="5485" xr:uid="{00000000-0005-0000-0000-0000CB200000}"/>
    <cellStyle name="Normal 10 2" xfId="112" xr:uid="{00000000-0005-0000-0000-0000CC200000}"/>
    <cellStyle name="Normal 10 2 2" xfId="5486" xr:uid="{00000000-0005-0000-0000-0000CD200000}"/>
    <cellStyle name="Normal 10 2 2 2" xfId="653" xr:uid="{00000000-0005-0000-0000-0000CE200000}"/>
    <cellStyle name="Normal 10 2 2 3" xfId="7622" xr:uid="{00000000-0005-0000-0000-0000CF200000}"/>
    <cellStyle name="Normal 10 2 2 3 2" xfId="10303" xr:uid="{00000000-0005-0000-0000-0000D0200000}"/>
    <cellStyle name="Normal 10 2 2 4" xfId="8963" xr:uid="{00000000-0005-0000-0000-0000D1200000}"/>
    <cellStyle name="Normal 10 2 3" xfId="5487" xr:uid="{00000000-0005-0000-0000-0000D2200000}"/>
    <cellStyle name="Normal 10 2 4" xfId="5488" xr:uid="{00000000-0005-0000-0000-0000D3200000}"/>
    <cellStyle name="Normal 10 2 4 2" xfId="7623" xr:uid="{00000000-0005-0000-0000-0000D4200000}"/>
    <cellStyle name="Normal 10 2 4 2 2" xfId="10304" xr:uid="{00000000-0005-0000-0000-0000D5200000}"/>
    <cellStyle name="Normal 10 2 4 3" xfId="173" xr:uid="{00000000-0005-0000-0000-0000D6200000}"/>
    <cellStyle name="Normal 10 2 4 3 2" xfId="1279" xr:uid="{00000000-0005-0000-0000-0000D7200000}"/>
    <cellStyle name="Normal 10 2 4 3 2 2" xfId="6989" xr:uid="{00000000-0005-0000-0000-0000D8200000}"/>
    <cellStyle name="Normal 10 2 4 3 2 2 2" xfId="9696" xr:uid="{00000000-0005-0000-0000-0000D9200000}"/>
    <cellStyle name="Normal 10 2 4 3 2 3" xfId="8357" xr:uid="{00000000-0005-0000-0000-0000DA200000}"/>
    <cellStyle name="Normal 10 2 4 3 3" xfId="1385" xr:uid="{00000000-0005-0000-0000-0000DB200000}"/>
    <cellStyle name="Normal 10 2 4 3 3 2" xfId="7090" xr:uid="{00000000-0005-0000-0000-0000DC200000}"/>
    <cellStyle name="Normal 10 2 4 3 3 2 2" xfId="9795" xr:uid="{00000000-0005-0000-0000-0000DD200000}"/>
    <cellStyle name="Normal 10 2 4 3 3 3" xfId="8456" xr:uid="{00000000-0005-0000-0000-0000DE200000}"/>
    <cellStyle name="Normal 10 2 4 3 4" xfId="6224" xr:uid="{00000000-0005-0000-0000-0000DF200000}"/>
    <cellStyle name="Normal 10 2 4 3 4 2" xfId="7702" xr:uid="{00000000-0005-0000-0000-0000E0200000}"/>
    <cellStyle name="Normal 10 2 4 3 4 2 2" xfId="10383" xr:uid="{00000000-0005-0000-0000-0000E1200000}"/>
    <cellStyle name="Normal 10 2 4 3 4 3" xfId="9043" xr:uid="{00000000-0005-0000-0000-0000E2200000}"/>
    <cellStyle name="Normal 10 2 4 3 5" xfId="6365" xr:uid="{00000000-0005-0000-0000-0000E3200000}"/>
    <cellStyle name="Normal 10 2 4 3 5 2" xfId="9084" xr:uid="{00000000-0005-0000-0000-0000E4200000}"/>
    <cellStyle name="Normal 10 2 4 3 6" xfId="7745" xr:uid="{00000000-0005-0000-0000-0000E5200000}"/>
    <cellStyle name="Normal 10 2 4 4" xfId="8964" xr:uid="{00000000-0005-0000-0000-0000E6200000}"/>
    <cellStyle name="Normal 10 20 2 3 2 2" xfId="10517" xr:uid="{00000000-0005-0000-0000-0000E7200000}"/>
    <cellStyle name="Normal 10 20 2 3 2 2 2" xfId="10551" xr:uid="{00000000-0005-0000-0000-0000E8200000}"/>
    <cellStyle name="Normal 10 20 2 3 2 2 2 2" xfId="10581" xr:uid="{00000000-0005-0000-0000-0000E9200000}"/>
    <cellStyle name="Normal 10 20 2 3 2 2 2 3" xfId="10598" xr:uid="{00000000-0005-0000-0000-0000EA200000}"/>
    <cellStyle name="Normal 10 20 2 3 2 2 3" xfId="10580" xr:uid="{00000000-0005-0000-0000-0000EB200000}"/>
    <cellStyle name="Normal 10 3" xfId="654" xr:uid="{00000000-0005-0000-0000-0000EC200000}"/>
    <cellStyle name="Normal 10 3 2" xfId="655" xr:uid="{00000000-0005-0000-0000-0000ED200000}"/>
    <cellStyle name="Normal 10 3 2 2" xfId="174" xr:uid="{00000000-0005-0000-0000-0000EE200000}"/>
    <cellStyle name="Normal 10 3 2 3" xfId="42" xr:uid="{00000000-0005-0000-0000-0000EF200000}"/>
    <cellStyle name="Normal 10 3 2 9" xfId="10497" xr:uid="{00000000-0005-0000-0000-0000F0200000}"/>
    <cellStyle name="Normal 10 4" xfId="5489" xr:uid="{00000000-0005-0000-0000-0000F1200000}"/>
    <cellStyle name="Normal 10 4 2" xfId="22" xr:uid="{00000000-0005-0000-0000-0000F2200000}"/>
    <cellStyle name="Normal 10 5" xfId="5490" xr:uid="{00000000-0005-0000-0000-0000F3200000}"/>
    <cellStyle name="Normal 10 5 2" xfId="5491" xr:uid="{00000000-0005-0000-0000-0000F4200000}"/>
    <cellStyle name="Normal 10 6" xfId="5492" xr:uid="{00000000-0005-0000-0000-0000F5200000}"/>
    <cellStyle name="Normal 10 7" xfId="5493" xr:uid="{00000000-0005-0000-0000-0000F6200000}"/>
    <cellStyle name="Normal 10 8" xfId="5494" xr:uid="{00000000-0005-0000-0000-0000F7200000}"/>
    <cellStyle name="Normal 10 9" xfId="5495" xr:uid="{00000000-0005-0000-0000-0000F8200000}"/>
    <cellStyle name="Normal 100" xfId="10407" xr:uid="{00000000-0005-0000-0000-0000F9200000}"/>
    <cellStyle name="Normal 100 4 2 2" xfId="10523" xr:uid="{00000000-0005-0000-0000-0000FA200000}"/>
    <cellStyle name="Normal 100 4 2 2 2" xfId="10548" xr:uid="{00000000-0005-0000-0000-0000FB200000}"/>
    <cellStyle name="Normal 101" xfId="10410" xr:uid="{00000000-0005-0000-0000-0000FC200000}"/>
    <cellStyle name="Normal 101 2" xfId="10451" xr:uid="{00000000-0005-0000-0000-0000FD200000}"/>
    <cellStyle name="Normal 102" xfId="10412" xr:uid="{00000000-0005-0000-0000-0000FE200000}"/>
    <cellStyle name="Normal 103" xfId="10414" xr:uid="{00000000-0005-0000-0000-0000FF200000}"/>
    <cellStyle name="Normal 104" xfId="10416" xr:uid="{00000000-0005-0000-0000-000000210000}"/>
    <cellStyle name="Normal 105" xfId="10418" xr:uid="{00000000-0005-0000-0000-000001210000}"/>
    <cellStyle name="Normal 106" xfId="10420" xr:uid="{00000000-0005-0000-0000-000002210000}"/>
    <cellStyle name="Normal 107" xfId="10422" xr:uid="{00000000-0005-0000-0000-000003210000}"/>
    <cellStyle name="Normal 107 2" xfId="10437" xr:uid="{00000000-0005-0000-0000-000004210000}"/>
    <cellStyle name="Normal 108" xfId="10423" xr:uid="{00000000-0005-0000-0000-000005210000}"/>
    <cellStyle name="Normal 109" xfId="5496" xr:uid="{00000000-0005-0000-0000-000006210000}"/>
    <cellStyle name="Normal 109 2" xfId="5497" xr:uid="{00000000-0005-0000-0000-000007210000}"/>
    <cellStyle name="Normal 109 2 2" xfId="7625" xr:uid="{00000000-0005-0000-0000-000008210000}"/>
    <cellStyle name="Normal 109 2 2 2" xfId="10306" xr:uid="{00000000-0005-0000-0000-000009210000}"/>
    <cellStyle name="Normal 109 2 3" xfId="8966" xr:uid="{00000000-0005-0000-0000-00000A210000}"/>
    <cellStyle name="Normal 109 3" xfId="7624" xr:uid="{00000000-0005-0000-0000-00000B210000}"/>
    <cellStyle name="Normal 109 3 2" xfId="10305" xr:uid="{00000000-0005-0000-0000-00000C210000}"/>
    <cellStyle name="Normal 109 4" xfId="8965" xr:uid="{00000000-0005-0000-0000-00000D210000}"/>
    <cellStyle name="Normal 11" xfId="81" xr:uid="{00000000-0005-0000-0000-00000E210000}"/>
    <cellStyle name="Normal 11 2" xfId="83" xr:uid="{00000000-0005-0000-0000-00000F210000}"/>
    <cellStyle name="Normal 11 2 10" xfId="5498" xr:uid="{00000000-0005-0000-0000-000010210000}"/>
    <cellStyle name="Normal 11 2 11" xfId="5499" xr:uid="{00000000-0005-0000-0000-000011210000}"/>
    <cellStyle name="Normal 11 2 12" xfId="5500" xr:uid="{00000000-0005-0000-0000-000012210000}"/>
    <cellStyle name="Normal 11 2 13" xfId="5501" xr:uid="{00000000-0005-0000-0000-000013210000}"/>
    <cellStyle name="Normal 11 2 14" xfId="5502" xr:uid="{00000000-0005-0000-0000-000014210000}"/>
    <cellStyle name="Normal 11 2 15" xfId="6367" xr:uid="{00000000-0005-0000-0000-000015210000}"/>
    <cellStyle name="Normal 11 2 15 2" xfId="9086" xr:uid="{00000000-0005-0000-0000-000016210000}"/>
    <cellStyle name="Normal 11 2 16" xfId="7747" xr:uid="{00000000-0005-0000-0000-000017210000}"/>
    <cellStyle name="Normal 11 2 17" xfId="176" xr:uid="{00000000-0005-0000-0000-000018210000}"/>
    <cellStyle name="Normal 11 2 2" xfId="1277" xr:uid="{00000000-0005-0000-0000-000019210000}"/>
    <cellStyle name="Normal 11 2 2 2" xfId="5504" xr:uid="{00000000-0005-0000-0000-00001A210000}"/>
    <cellStyle name="Normal 11 2 2 2 2" xfId="5505" xr:uid="{00000000-0005-0000-0000-00001B210000}"/>
    <cellStyle name="Normal 11 2 2 2 3" xfId="5506" xr:uid="{00000000-0005-0000-0000-00001C210000}"/>
    <cellStyle name="Normal 11 2 2 2 4" xfId="5507" xr:uid="{00000000-0005-0000-0000-00001D210000}"/>
    <cellStyle name="Normal 11 2 2 2 4 2" xfId="10496" xr:uid="{00000000-0005-0000-0000-00001E210000}"/>
    <cellStyle name="Normal 11 2 2 2 5" xfId="5508" xr:uid="{00000000-0005-0000-0000-00001F210000}"/>
    <cellStyle name="Normal 11 2 2 2 6" xfId="41" xr:uid="{00000000-0005-0000-0000-000020210000}"/>
    <cellStyle name="Normal 11 2 2 3" xfId="5509" xr:uid="{00000000-0005-0000-0000-000021210000}"/>
    <cellStyle name="Normal 11 2 2 4" xfId="5510" xr:uid="{00000000-0005-0000-0000-000022210000}"/>
    <cellStyle name="Normal 11 2 2 5" xfId="5511" xr:uid="{00000000-0005-0000-0000-000023210000}"/>
    <cellStyle name="Normal 11 2 2 6" xfId="5503" xr:uid="{00000000-0005-0000-0000-000024210000}"/>
    <cellStyle name="Normal 11 2 2 7" xfId="6987" xr:uid="{00000000-0005-0000-0000-000025210000}"/>
    <cellStyle name="Normal 11 2 2 7 2" xfId="9694" xr:uid="{00000000-0005-0000-0000-000026210000}"/>
    <cellStyle name="Normal 11 2 2 8" xfId="8355" xr:uid="{00000000-0005-0000-0000-000027210000}"/>
    <cellStyle name="Normal 11 2 3" xfId="657" xr:uid="{00000000-0005-0000-0000-000028210000}"/>
    <cellStyle name="Normal 11 2 3 2" xfId="5512" xr:uid="{00000000-0005-0000-0000-000029210000}"/>
    <cellStyle name="Normal 11 2 4" xfId="1387" xr:uid="{00000000-0005-0000-0000-00002A210000}"/>
    <cellStyle name="Normal 11 2 4 2" xfId="5513" xr:uid="{00000000-0005-0000-0000-00002B210000}"/>
    <cellStyle name="Normal 11 2 4 3" xfId="7092" xr:uid="{00000000-0005-0000-0000-00002C210000}"/>
    <cellStyle name="Normal 11 2 4 3 2" xfId="9797" xr:uid="{00000000-0005-0000-0000-00002D210000}"/>
    <cellStyle name="Normal 11 2 4 4" xfId="8458" xr:uid="{00000000-0005-0000-0000-00002E210000}"/>
    <cellStyle name="Normal 11 2 5" xfId="5514" xr:uid="{00000000-0005-0000-0000-00002F210000}"/>
    <cellStyle name="Normal 11 2 6" xfId="5515" xr:uid="{00000000-0005-0000-0000-000030210000}"/>
    <cellStyle name="Normal 11 2 7" xfId="5516" xr:uid="{00000000-0005-0000-0000-000031210000}"/>
    <cellStyle name="Normal 11 2 8" xfId="5517" xr:uid="{00000000-0005-0000-0000-000032210000}"/>
    <cellStyle name="Normal 11 2 9" xfId="5518" xr:uid="{00000000-0005-0000-0000-000033210000}"/>
    <cellStyle name="Normal 11 3" xfId="1278" xr:uid="{00000000-0005-0000-0000-000034210000}"/>
    <cellStyle name="Normal 11 3 2" xfId="5520" xr:uid="{00000000-0005-0000-0000-000035210000}"/>
    <cellStyle name="Normal 11 3 2 2" xfId="5521" xr:uid="{00000000-0005-0000-0000-000036210000}"/>
    <cellStyle name="Normal 11 3 2 2 2" xfId="5522" xr:uid="{00000000-0005-0000-0000-000037210000}"/>
    <cellStyle name="Normal 11 3 2 2 3" xfId="5523" xr:uid="{00000000-0005-0000-0000-000038210000}"/>
    <cellStyle name="Normal 11 3 2 2 3 2" xfId="5524" xr:uid="{00000000-0005-0000-0000-000039210000}"/>
    <cellStyle name="Normal 11 3 2 2 3 3" xfId="7627" xr:uid="{00000000-0005-0000-0000-00003A210000}"/>
    <cellStyle name="Normal 11 3 2 2 3 3 2" xfId="10308" xr:uid="{00000000-0005-0000-0000-00003B210000}"/>
    <cellStyle name="Normal 11 3 2 2 3 4" xfId="8968" xr:uid="{00000000-0005-0000-0000-00003C210000}"/>
    <cellStyle name="Normal 11 3 2 3" xfId="5525" xr:uid="{00000000-0005-0000-0000-00003D210000}"/>
    <cellStyle name="Normal 11 3 2 4" xfId="7626" xr:uid="{00000000-0005-0000-0000-00003E210000}"/>
    <cellStyle name="Normal 11 3 2 4 2" xfId="10307" xr:uid="{00000000-0005-0000-0000-00003F210000}"/>
    <cellStyle name="Normal 11 3 2 5" xfId="8967" xr:uid="{00000000-0005-0000-0000-000040210000}"/>
    <cellStyle name="Normal 11 3 3" xfId="5526" xr:uid="{00000000-0005-0000-0000-000041210000}"/>
    <cellStyle name="Normal 11 3 4" xfId="5527" xr:uid="{00000000-0005-0000-0000-000042210000}"/>
    <cellStyle name="Normal 11 3 5" xfId="5519" xr:uid="{00000000-0005-0000-0000-000043210000}"/>
    <cellStyle name="Normal 11 3 6" xfId="6988" xr:uid="{00000000-0005-0000-0000-000044210000}"/>
    <cellStyle name="Normal 11 3 6 2" xfId="9695" xr:uid="{00000000-0005-0000-0000-000045210000}"/>
    <cellStyle name="Normal 11 3 7" xfId="8356" xr:uid="{00000000-0005-0000-0000-000046210000}"/>
    <cellStyle name="Normal 11 4" xfId="656" xr:uid="{00000000-0005-0000-0000-000047210000}"/>
    <cellStyle name="Normal 11 4 2" xfId="5529" xr:uid="{00000000-0005-0000-0000-000048210000}"/>
    <cellStyle name="Normal 11 4 2 2" xfId="5530" xr:uid="{00000000-0005-0000-0000-000049210000}"/>
    <cellStyle name="Normal 11 4 2 3" xfId="7629" xr:uid="{00000000-0005-0000-0000-00004A210000}"/>
    <cellStyle name="Normal 11 4 2 3 2" xfId="10310" xr:uid="{00000000-0005-0000-0000-00004B210000}"/>
    <cellStyle name="Normal 11 4 2 4" xfId="8970" xr:uid="{00000000-0005-0000-0000-00004C210000}"/>
    <cellStyle name="Normal 11 4 3" xfId="5531" xr:uid="{00000000-0005-0000-0000-00004D210000}"/>
    <cellStyle name="Normal 11 4 4" xfId="5528" xr:uid="{00000000-0005-0000-0000-00004E210000}"/>
    <cellStyle name="Normal 11 4 4 2" xfId="7628" xr:uid="{00000000-0005-0000-0000-00004F210000}"/>
    <cellStyle name="Normal 11 4 4 2 2" xfId="10309" xr:uid="{00000000-0005-0000-0000-000050210000}"/>
    <cellStyle name="Normal 11 4 4 3" xfId="8969" xr:uid="{00000000-0005-0000-0000-000051210000}"/>
    <cellStyle name="Normal 11 5" xfId="1386" xr:uid="{00000000-0005-0000-0000-000052210000}"/>
    <cellStyle name="Normal 11 5 2" xfId="7091" xr:uid="{00000000-0005-0000-0000-000053210000}"/>
    <cellStyle name="Normal 11 5 2 2" xfId="9796" xr:uid="{00000000-0005-0000-0000-000054210000}"/>
    <cellStyle name="Normal 11 5 3" xfId="8457" xr:uid="{00000000-0005-0000-0000-000055210000}"/>
    <cellStyle name="Normal 11 6" xfId="6366" xr:uid="{00000000-0005-0000-0000-000056210000}"/>
    <cellStyle name="Normal 11 6 2" xfId="9085" xr:uid="{00000000-0005-0000-0000-000057210000}"/>
    <cellStyle name="Normal 11 7" xfId="7746" xr:uid="{00000000-0005-0000-0000-000058210000}"/>
    <cellStyle name="Normal 110" xfId="122" xr:uid="{00000000-0005-0000-0000-000059210000}"/>
    <cellStyle name="Normal 111" xfId="175" xr:uid="{00000000-0005-0000-0000-00005A210000}"/>
    <cellStyle name="Normal 112" xfId="31" xr:uid="{00000000-0005-0000-0000-00005B210000}"/>
    <cellStyle name="Normal 112 2" xfId="36" xr:uid="{00000000-0005-0000-0000-00005C210000}"/>
    <cellStyle name="Normal 112 3" xfId="10466" xr:uid="{00000000-0005-0000-0000-00005D210000}"/>
    <cellStyle name="Normal 112 3 2" xfId="10577" xr:uid="{00000000-0005-0000-0000-00005E210000}"/>
    <cellStyle name="Normal 112 4" xfId="10483" xr:uid="{00000000-0005-0000-0000-00005F210000}"/>
    <cellStyle name="Normal 112 4 2" xfId="10562" xr:uid="{00000000-0005-0000-0000-000060210000}"/>
    <cellStyle name="Normal 112 4 2 2" xfId="10587" xr:uid="{00000000-0005-0000-0000-000061210000}"/>
    <cellStyle name="Normal 113" xfId="5532" xr:uid="{00000000-0005-0000-0000-000062210000}"/>
    <cellStyle name="Normal 113 2" xfId="5533" xr:uid="{00000000-0005-0000-0000-000063210000}"/>
    <cellStyle name="Normal 113 3" xfId="7630" xr:uid="{00000000-0005-0000-0000-000064210000}"/>
    <cellStyle name="Normal 113 3 2" xfId="10311" xr:uid="{00000000-0005-0000-0000-000065210000}"/>
    <cellStyle name="Normal 113 4" xfId="8971" xr:uid="{00000000-0005-0000-0000-000066210000}"/>
    <cellStyle name="Normal 114" xfId="39" xr:uid="{00000000-0005-0000-0000-000067210000}"/>
    <cellStyle name="Normal 114 2" xfId="10471" xr:uid="{00000000-0005-0000-0000-000068210000}"/>
    <cellStyle name="Normal 115" xfId="34" xr:uid="{00000000-0005-0000-0000-000069210000}"/>
    <cellStyle name="Normal 115 2" xfId="10468" xr:uid="{00000000-0005-0000-0000-00006A210000}"/>
    <cellStyle name="Normal 116" xfId="56" xr:uid="{00000000-0005-0000-0000-00006B210000}"/>
    <cellStyle name="Normal 117" xfId="10474" xr:uid="{00000000-0005-0000-0000-00006C210000}"/>
    <cellStyle name="Normal 117 2" xfId="10565" xr:uid="{00000000-0005-0000-0000-00006D210000}"/>
    <cellStyle name="Normal 117 2 2" xfId="10606" xr:uid="{00000000-0005-0000-0000-00006E210000}"/>
    <cellStyle name="Normal 118" xfId="10511" xr:uid="{00000000-0005-0000-0000-00006F210000}"/>
    <cellStyle name="Normal 119" xfId="6229" xr:uid="{00000000-0005-0000-0000-000070210000}"/>
    <cellStyle name="Normal 12" xfId="87" xr:uid="{00000000-0005-0000-0000-000071210000}"/>
    <cellStyle name="Normal 12 10 2" xfId="5534" xr:uid="{00000000-0005-0000-0000-000072210000}"/>
    <cellStyle name="Normal 12 2" xfId="178" xr:uid="{00000000-0005-0000-0000-000073210000}"/>
    <cellStyle name="Normal 12 2 2" xfId="1275" xr:uid="{00000000-0005-0000-0000-000074210000}"/>
    <cellStyle name="Normal 12 2 2 2" xfId="6985" xr:uid="{00000000-0005-0000-0000-000075210000}"/>
    <cellStyle name="Normal 12 2 2 2 2" xfId="9692" xr:uid="{00000000-0005-0000-0000-000076210000}"/>
    <cellStyle name="Normal 12 2 2 3" xfId="8353" xr:uid="{00000000-0005-0000-0000-000077210000}"/>
    <cellStyle name="Normal 12 2 3" xfId="1389" xr:uid="{00000000-0005-0000-0000-000078210000}"/>
    <cellStyle name="Normal 12 2 3 2" xfId="7094" xr:uid="{00000000-0005-0000-0000-000079210000}"/>
    <cellStyle name="Normal 12 2 3 2 2" xfId="9799" xr:uid="{00000000-0005-0000-0000-00007A210000}"/>
    <cellStyle name="Normal 12 2 3 3" xfId="8460" xr:uid="{00000000-0005-0000-0000-00007B210000}"/>
    <cellStyle name="Normal 12 2 4" xfId="5535" xr:uid="{00000000-0005-0000-0000-00007C210000}"/>
    <cellStyle name="Normal 12 2 5" xfId="6369" xr:uid="{00000000-0005-0000-0000-00007D210000}"/>
    <cellStyle name="Normal 12 2 5 2" xfId="9088" xr:uid="{00000000-0005-0000-0000-00007E210000}"/>
    <cellStyle name="Normal 12 2 6" xfId="7749" xr:uid="{00000000-0005-0000-0000-00007F210000}"/>
    <cellStyle name="Normal 12 3" xfId="1276" xr:uid="{00000000-0005-0000-0000-000080210000}"/>
    <cellStyle name="Normal 12 3 2" xfId="5537" xr:uid="{00000000-0005-0000-0000-000081210000}"/>
    <cellStyle name="Normal 12 3 3" xfId="5536" xr:uid="{00000000-0005-0000-0000-000082210000}"/>
    <cellStyle name="Normal 12 3 3 2" xfId="7631" xr:uid="{00000000-0005-0000-0000-000083210000}"/>
    <cellStyle name="Normal 12 3 3 2 2" xfId="10312" xr:uid="{00000000-0005-0000-0000-000084210000}"/>
    <cellStyle name="Normal 12 3 3 3" xfId="8972" xr:uid="{00000000-0005-0000-0000-000085210000}"/>
    <cellStyle name="Normal 12 3 4" xfId="6986" xr:uid="{00000000-0005-0000-0000-000086210000}"/>
    <cellStyle name="Normal 12 3 4 2" xfId="9693" xr:uid="{00000000-0005-0000-0000-000087210000}"/>
    <cellStyle name="Normal 12 3 5" xfId="8354" xr:uid="{00000000-0005-0000-0000-000088210000}"/>
    <cellStyle name="Normal 12 4" xfId="658" xr:uid="{00000000-0005-0000-0000-000089210000}"/>
    <cellStyle name="Normal 12 4 2" xfId="5538" xr:uid="{00000000-0005-0000-0000-00008A210000}"/>
    <cellStyle name="Normal 12 5" xfId="1388" xr:uid="{00000000-0005-0000-0000-00008B210000}"/>
    <cellStyle name="Normal 12 5 2" xfId="5539" xr:uid="{00000000-0005-0000-0000-00008C210000}"/>
    <cellStyle name="Normal 12 5 2 2" xfId="7632" xr:uid="{00000000-0005-0000-0000-00008D210000}"/>
    <cellStyle name="Normal 12 5 2 2 2" xfId="10313" xr:uid="{00000000-0005-0000-0000-00008E210000}"/>
    <cellStyle name="Normal 12 5 2 3" xfId="8973" xr:uid="{00000000-0005-0000-0000-00008F210000}"/>
    <cellStyle name="Normal 12 5 3" xfId="7093" xr:uid="{00000000-0005-0000-0000-000090210000}"/>
    <cellStyle name="Normal 12 5 3 2" xfId="9798" xr:uid="{00000000-0005-0000-0000-000091210000}"/>
    <cellStyle name="Normal 12 5 4" xfId="8459" xr:uid="{00000000-0005-0000-0000-000092210000}"/>
    <cellStyle name="Normal 12 6" xfId="6368" xr:uid="{00000000-0005-0000-0000-000093210000}"/>
    <cellStyle name="Normal 12 6 2" xfId="9087" xr:uid="{00000000-0005-0000-0000-000094210000}"/>
    <cellStyle name="Normal 12 7" xfId="7748" xr:uid="{00000000-0005-0000-0000-000095210000}"/>
    <cellStyle name="Normal 12 8" xfId="177" xr:uid="{00000000-0005-0000-0000-000096210000}"/>
    <cellStyle name="Normal 120" xfId="10569" xr:uid="{00000000-0005-0000-0000-000097210000}"/>
    <cellStyle name="Normal 121" xfId="5540" xr:uid="{00000000-0005-0000-0000-000098210000}"/>
    <cellStyle name="Normal 121 2" xfId="5541" xr:uid="{00000000-0005-0000-0000-000099210000}"/>
    <cellStyle name="Normal 122" xfId="10586" xr:uid="{00000000-0005-0000-0000-00009A210000}"/>
    <cellStyle name="Normal 123" xfId="10616" xr:uid="{00000000-0005-0000-0000-00009B210000}"/>
    <cellStyle name="Normal 13" xfId="179" xr:uid="{00000000-0005-0000-0000-00009C210000}"/>
    <cellStyle name="Normal 13 2" xfId="180" xr:uid="{00000000-0005-0000-0000-00009D210000}"/>
    <cellStyle name="Normal 13 2 2" xfId="1273" xr:uid="{00000000-0005-0000-0000-00009E210000}"/>
    <cellStyle name="Normal 13 2 2 2" xfId="5543" xr:uid="{00000000-0005-0000-0000-00009F210000}"/>
    <cellStyle name="Normal 13 2 2 3" xfId="5544" xr:uid="{00000000-0005-0000-0000-0000A0210000}"/>
    <cellStyle name="Normal 13 2 2 4" xfId="5542" xr:uid="{00000000-0005-0000-0000-0000A1210000}"/>
    <cellStyle name="Normal 13 2 2 5" xfId="6983" xr:uid="{00000000-0005-0000-0000-0000A2210000}"/>
    <cellStyle name="Normal 13 2 2 5 2" xfId="9690" xr:uid="{00000000-0005-0000-0000-0000A3210000}"/>
    <cellStyle name="Normal 13 2 2 6" xfId="8351" xr:uid="{00000000-0005-0000-0000-0000A4210000}"/>
    <cellStyle name="Normal 13 2 3" xfId="660" xr:uid="{00000000-0005-0000-0000-0000A5210000}"/>
    <cellStyle name="Normal 13 2 4" xfId="1391" xr:uid="{00000000-0005-0000-0000-0000A6210000}"/>
    <cellStyle name="Normal 13 2 4 2" xfId="7096" xr:uid="{00000000-0005-0000-0000-0000A7210000}"/>
    <cellStyle name="Normal 13 2 4 2 2" xfId="9801" xr:uid="{00000000-0005-0000-0000-0000A8210000}"/>
    <cellStyle name="Normal 13 2 4 3" xfId="8462" xr:uid="{00000000-0005-0000-0000-0000A9210000}"/>
    <cellStyle name="Normal 13 2 5" xfId="6371" xr:uid="{00000000-0005-0000-0000-0000AA210000}"/>
    <cellStyle name="Normal 13 2 5 2" xfId="9090" xr:uid="{00000000-0005-0000-0000-0000AB210000}"/>
    <cellStyle name="Normal 13 2 6" xfId="7751" xr:uid="{00000000-0005-0000-0000-0000AC210000}"/>
    <cellStyle name="Normal 13 3" xfId="1274" xr:uid="{00000000-0005-0000-0000-0000AD210000}"/>
    <cellStyle name="Normal 13 3 2" xfId="5546" xr:uid="{00000000-0005-0000-0000-0000AE210000}"/>
    <cellStyle name="Normal 13 3 3" xfId="5545" xr:uid="{00000000-0005-0000-0000-0000AF210000}"/>
    <cellStyle name="Normal 13 3 3 2" xfId="7633" xr:uid="{00000000-0005-0000-0000-0000B0210000}"/>
    <cellStyle name="Normal 13 3 3 2 2" xfId="10314" xr:uid="{00000000-0005-0000-0000-0000B1210000}"/>
    <cellStyle name="Normal 13 3 3 3" xfId="8974" xr:uid="{00000000-0005-0000-0000-0000B2210000}"/>
    <cellStyle name="Normal 13 3 4" xfId="6984" xr:uid="{00000000-0005-0000-0000-0000B3210000}"/>
    <cellStyle name="Normal 13 3 4 2" xfId="9691" xr:uid="{00000000-0005-0000-0000-0000B4210000}"/>
    <cellStyle name="Normal 13 3 5" xfId="8352" xr:uid="{00000000-0005-0000-0000-0000B5210000}"/>
    <cellStyle name="Normal 13 4" xfId="659" xr:uid="{00000000-0005-0000-0000-0000B6210000}"/>
    <cellStyle name="Normal 13 5" xfId="1390" xr:uid="{00000000-0005-0000-0000-0000B7210000}"/>
    <cellStyle name="Normal 13 5 2" xfId="5547" xr:uid="{00000000-0005-0000-0000-0000B8210000}"/>
    <cellStyle name="Normal 13 5 3" xfId="7095" xr:uid="{00000000-0005-0000-0000-0000B9210000}"/>
    <cellStyle name="Normal 13 5 3 2" xfId="9800" xr:uid="{00000000-0005-0000-0000-0000BA210000}"/>
    <cellStyle name="Normal 13 5 4" xfId="8461" xr:uid="{00000000-0005-0000-0000-0000BB210000}"/>
    <cellStyle name="Normal 13 6" xfId="5548" xr:uid="{00000000-0005-0000-0000-0000BC210000}"/>
    <cellStyle name="Normal 13 6 2" xfId="7634" xr:uid="{00000000-0005-0000-0000-0000BD210000}"/>
    <cellStyle name="Normal 13 6 2 2" xfId="10315" xr:uid="{00000000-0005-0000-0000-0000BE210000}"/>
    <cellStyle name="Normal 13 6 3" xfId="8975" xr:uid="{00000000-0005-0000-0000-0000BF210000}"/>
    <cellStyle name="Normal 13 7" xfId="6370" xr:uid="{00000000-0005-0000-0000-0000C0210000}"/>
    <cellStyle name="Normal 13 7 2" xfId="9089" xr:uid="{00000000-0005-0000-0000-0000C1210000}"/>
    <cellStyle name="Normal 13 8" xfId="7750" xr:uid="{00000000-0005-0000-0000-0000C2210000}"/>
    <cellStyle name="Normal 13_Electrical BOQ -working" xfId="5549" xr:uid="{00000000-0005-0000-0000-0000C3210000}"/>
    <cellStyle name="Normal 135" xfId="6230" xr:uid="{00000000-0005-0000-0000-0000C4210000}"/>
    <cellStyle name="Normal 135 2" xfId="7707" xr:uid="{00000000-0005-0000-0000-0000C5210000}"/>
    <cellStyle name="Normal 135 2 2" xfId="10388" xr:uid="{00000000-0005-0000-0000-0000C6210000}"/>
    <cellStyle name="Normal 135 3" xfId="9048" xr:uid="{00000000-0005-0000-0000-0000C7210000}"/>
    <cellStyle name="Normal 14" xfId="181" xr:uid="{00000000-0005-0000-0000-0000C8210000}"/>
    <cellStyle name="Normal 14 2" xfId="182" xr:uid="{00000000-0005-0000-0000-0000C9210000}"/>
    <cellStyle name="Normal 14 2 2" xfId="663" xr:uid="{00000000-0005-0000-0000-0000CA210000}"/>
    <cellStyle name="Normal 14 2 3" xfId="1272" xr:uid="{00000000-0005-0000-0000-0000CB210000}"/>
    <cellStyle name="Normal 14 2 3 2" xfId="6982" xr:uid="{00000000-0005-0000-0000-0000CC210000}"/>
    <cellStyle name="Normal 14 2 3 2 2" xfId="9689" xr:uid="{00000000-0005-0000-0000-0000CD210000}"/>
    <cellStyle name="Normal 14 2 3 3" xfId="8350" xr:uid="{00000000-0005-0000-0000-0000CE210000}"/>
    <cellStyle name="Normal 14 2 4" xfId="662" xr:uid="{00000000-0005-0000-0000-0000CF210000}"/>
    <cellStyle name="Normal 14 2 5" xfId="1393" xr:uid="{00000000-0005-0000-0000-0000D0210000}"/>
    <cellStyle name="Normal 14 2 5 2" xfId="7098" xr:uid="{00000000-0005-0000-0000-0000D1210000}"/>
    <cellStyle name="Normal 14 2 5 2 2" xfId="9803" xr:uid="{00000000-0005-0000-0000-0000D2210000}"/>
    <cellStyle name="Normal 14 2 5 3" xfId="8464" xr:uid="{00000000-0005-0000-0000-0000D3210000}"/>
    <cellStyle name="Normal 14 2 6" xfId="6373" xr:uid="{00000000-0005-0000-0000-0000D4210000}"/>
    <cellStyle name="Normal 14 2 6 2" xfId="9092" xr:uid="{00000000-0005-0000-0000-0000D5210000}"/>
    <cellStyle name="Normal 14 2 7" xfId="7753" xr:uid="{00000000-0005-0000-0000-0000D6210000}"/>
    <cellStyle name="Normal 14 3" xfId="661" xr:uid="{00000000-0005-0000-0000-0000D7210000}"/>
    <cellStyle name="Normal 14 3 2" xfId="5551" xr:uid="{00000000-0005-0000-0000-0000D8210000}"/>
    <cellStyle name="Normal 14 3 3" xfId="5550" xr:uid="{00000000-0005-0000-0000-0000D9210000}"/>
    <cellStyle name="Normal 14 3 3 2" xfId="7635" xr:uid="{00000000-0005-0000-0000-0000DA210000}"/>
    <cellStyle name="Normal 14 3 3 2 2" xfId="10316" xr:uid="{00000000-0005-0000-0000-0000DB210000}"/>
    <cellStyle name="Normal 14 3 3 3" xfId="8976" xr:uid="{00000000-0005-0000-0000-0000DC210000}"/>
    <cellStyle name="Normal 14 3 4" xfId="6538" xr:uid="{00000000-0005-0000-0000-0000DD210000}"/>
    <cellStyle name="Normal 14 3 4 2" xfId="9252" xr:uid="{00000000-0005-0000-0000-0000DE210000}"/>
    <cellStyle name="Normal 14 3 5" xfId="7913" xr:uid="{00000000-0005-0000-0000-0000DF210000}"/>
    <cellStyle name="Normal 14 4" xfId="1392" xr:uid="{00000000-0005-0000-0000-0000E0210000}"/>
    <cellStyle name="Normal 14 4 2" xfId="5552" xr:uid="{00000000-0005-0000-0000-0000E1210000}"/>
    <cellStyle name="Normal 14 4 3" xfId="7097" xr:uid="{00000000-0005-0000-0000-0000E2210000}"/>
    <cellStyle name="Normal 14 4 3 2" xfId="9802" xr:uid="{00000000-0005-0000-0000-0000E3210000}"/>
    <cellStyle name="Normal 14 4 4" xfId="8463" xr:uid="{00000000-0005-0000-0000-0000E4210000}"/>
    <cellStyle name="Normal 14 5" xfId="5553" xr:uid="{00000000-0005-0000-0000-0000E5210000}"/>
    <cellStyle name="Normal 14 5 2" xfId="7636" xr:uid="{00000000-0005-0000-0000-0000E6210000}"/>
    <cellStyle name="Normal 14 5 2 2" xfId="10317" xr:uid="{00000000-0005-0000-0000-0000E7210000}"/>
    <cellStyle name="Normal 14 5 3" xfId="8977" xr:uid="{00000000-0005-0000-0000-0000E8210000}"/>
    <cellStyle name="Normal 14 6" xfId="5554" xr:uid="{00000000-0005-0000-0000-0000E9210000}"/>
    <cellStyle name="Normal 14 7" xfId="1499" xr:uid="{00000000-0005-0000-0000-0000EA210000}"/>
    <cellStyle name="Normal 14 7 2" xfId="7189" xr:uid="{00000000-0005-0000-0000-0000EB210000}"/>
    <cellStyle name="Normal 14 7 2 2" xfId="9892" xr:uid="{00000000-0005-0000-0000-0000EC210000}"/>
    <cellStyle name="Normal 14 7 3" xfId="8552" xr:uid="{00000000-0005-0000-0000-0000ED210000}"/>
    <cellStyle name="Normal 14 8" xfId="6372" xr:uid="{00000000-0005-0000-0000-0000EE210000}"/>
    <cellStyle name="Normal 14 8 2" xfId="9091" xr:uid="{00000000-0005-0000-0000-0000EF210000}"/>
    <cellStyle name="Normal 14 9" xfId="7752" xr:uid="{00000000-0005-0000-0000-0000F0210000}"/>
    <cellStyle name="Normal 140 2" xfId="664" xr:uid="{00000000-0005-0000-0000-0000F1210000}"/>
    <cellStyle name="Normal 140 2 2" xfId="6539" xr:uid="{00000000-0005-0000-0000-0000F2210000}"/>
    <cellStyle name="Normal 140 2 2 2" xfId="9253" xr:uid="{00000000-0005-0000-0000-0000F3210000}"/>
    <cellStyle name="Normal 140 2 3" xfId="7914" xr:uid="{00000000-0005-0000-0000-0000F4210000}"/>
    <cellStyle name="Normal 15" xfId="184" xr:uid="{00000000-0005-0000-0000-0000F5210000}"/>
    <cellStyle name="Normal 15 2" xfId="185" xr:uid="{00000000-0005-0000-0000-0000F6210000}"/>
    <cellStyle name="Normal 15 2 2" xfId="5555" xr:uid="{00000000-0005-0000-0000-0000F7210000}"/>
    <cellStyle name="Normal 15 3" xfId="666" xr:uid="{00000000-0005-0000-0000-0000F8210000}"/>
    <cellStyle name="Normal 15 3 2" xfId="1495" xr:uid="{00000000-0005-0000-0000-0000F9210000}"/>
    <cellStyle name="Normal 15 3 2 2" xfId="7186" xr:uid="{00000000-0005-0000-0000-0000FA210000}"/>
    <cellStyle name="Normal 15 3 2 2 2" xfId="9889" xr:uid="{00000000-0005-0000-0000-0000FB210000}"/>
    <cellStyle name="Normal 15 3 2 3" xfId="8549" xr:uid="{00000000-0005-0000-0000-0000FC210000}"/>
    <cellStyle name="Normal 15 3 3" xfId="6540" xr:uid="{00000000-0005-0000-0000-0000FD210000}"/>
    <cellStyle name="Normal 15 3 3 2" xfId="9254" xr:uid="{00000000-0005-0000-0000-0000FE210000}"/>
    <cellStyle name="Normal 15 3 4" xfId="7915" xr:uid="{00000000-0005-0000-0000-0000FF210000}"/>
    <cellStyle name="Normal 15 4" xfId="667" xr:uid="{00000000-0005-0000-0000-000000220000}"/>
    <cellStyle name="Normal 15 4 2" xfId="5556" xr:uid="{00000000-0005-0000-0000-000001220000}"/>
    <cellStyle name="Normal 15 4 2 2" xfId="7637" xr:uid="{00000000-0005-0000-0000-000002220000}"/>
    <cellStyle name="Normal 15 4 2 2 2" xfId="10318" xr:uid="{00000000-0005-0000-0000-000003220000}"/>
    <cellStyle name="Normal 15 4 2 3" xfId="8978" xr:uid="{00000000-0005-0000-0000-000004220000}"/>
    <cellStyle name="Normal 15 5" xfId="665" xr:uid="{00000000-0005-0000-0000-000005220000}"/>
    <cellStyle name="Normal 16" xfId="82" xr:uid="{00000000-0005-0000-0000-000006220000}"/>
    <cellStyle name="Normal 16 10" xfId="186" xr:uid="{00000000-0005-0000-0000-000007220000}"/>
    <cellStyle name="Normal 16 2" xfId="188" xr:uid="{00000000-0005-0000-0000-000008220000}"/>
    <cellStyle name="Normal 16 2 2" xfId="669" xr:uid="{00000000-0005-0000-0000-000009220000}"/>
    <cellStyle name="Normal 16 2 2 2" xfId="5557" xr:uid="{00000000-0005-0000-0000-00000A220000}"/>
    <cellStyle name="Normal 16 2 2 3" xfId="6541" xr:uid="{00000000-0005-0000-0000-00000B220000}"/>
    <cellStyle name="Normal 16 2 2 3 2" xfId="9255" xr:uid="{00000000-0005-0000-0000-00000C220000}"/>
    <cellStyle name="Normal 16 2 2 4" xfId="7916" xr:uid="{00000000-0005-0000-0000-00000D220000}"/>
    <cellStyle name="Normal 16 2 25" xfId="10479" xr:uid="{00000000-0005-0000-0000-00000E220000}"/>
    <cellStyle name="Normal 16 2 25 2" xfId="10532" xr:uid="{00000000-0005-0000-0000-00000F220000}"/>
    <cellStyle name="Normal 16 2 25 2 2" xfId="10559" xr:uid="{00000000-0005-0000-0000-000010220000}"/>
    <cellStyle name="Normal 16 2 25 2 2 2" xfId="10599" xr:uid="{00000000-0005-0000-0000-000011220000}"/>
    <cellStyle name="Normal 16 2 25 3" xfId="10614" xr:uid="{00000000-0005-0000-0000-000012220000}"/>
    <cellStyle name="Normal 16 2 3" xfId="1395" xr:uid="{00000000-0005-0000-0000-000013220000}"/>
    <cellStyle name="Normal 16 2 3 2" xfId="7100" xr:uid="{00000000-0005-0000-0000-000014220000}"/>
    <cellStyle name="Normal 16 2 3 2 2" xfId="9805" xr:uid="{00000000-0005-0000-0000-000015220000}"/>
    <cellStyle name="Normal 16 2 3 3" xfId="8466" xr:uid="{00000000-0005-0000-0000-000016220000}"/>
    <cellStyle name="Normal 16 2 4" xfId="1447" xr:uid="{00000000-0005-0000-0000-000017220000}"/>
    <cellStyle name="Normal 16 2 4 2" xfId="7142" xr:uid="{00000000-0005-0000-0000-000018220000}"/>
    <cellStyle name="Normal 16 2 4 2 2" xfId="9845" xr:uid="{00000000-0005-0000-0000-000019220000}"/>
    <cellStyle name="Normal 16 2 4 3" xfId="8505" xr:uid="{00000000-0005-0000-0000-00001A220000}"/>
    <cellStyle name="Normal 16 2 5" xfId="6375" xr:uid="{00000000-0005-0000-0000-00001B220000}"/>
    <cellStyle name="Normal 16 2 5 2" xfId="9094" xr:uid="{00000000-0005-0000-0000-00001C220000}"/>
    <cellStyle name="Normal 16 2 6" xfId="7755" xr:uid="{00000000-0005-0000-0000-00001D220000}"/>
    <cellStyle name="Normal 16 2 7" xfId="46" xr:uid="{00000000-0005-0000-0000-00001E220000}"/>
    <cellStyle name="Normal 16 2 7 2" xfId="10473" xr:uid="{00000000-0005-0000-0000-00001F220000}"/>
    <cellStyle name="Normal 16 3" xfId="670" xr:uid="{00000000-0005-0000-0000-000020220000}"/>
    <cellStyle name="Normal 16 4" xfId="671" xr:uid="{00000000-0005-0000-0000-000021220000}"/>
    <cellStyle name="Normal 16 4 2" xfId="5558" xr:uid="{00000000-0005-0000-0000-000022220000}"/>
    <cellStyle name="Normal 16 4 2 2" xfId="7638" xr:uid="{00000000-0005-0000-0000-000023220000}"/>
    <cellStyle name="Normal 16 4 2 2 2" xfId="10319" xr:uid="{00000000-0005-0000-0000-000024220000}"/>
    <cellStyle name="Normal 16 4 2 3" xfId="8979" xr:uid="{00000000-0005-0000-0000-000025220000}"/>
    <cellStyle name="Normal 16 4 3" xfId="6542" xr:uid="{00000000-0005-0000-0000-000026220000}"/>
    <cellStyle name="Normal 16 4 3 2" xfId="9256" xr:uid="{00000000-0005-0000-0000-000027220000}"/>
    <cellStyle name="Normal 16 4 4" xfId="7917" xr:uid="{00000000-0005-0000-0000-000028220000}"/>
    <cellStyle name="Normal 16 5" xfId="668" xr:uid="{00000000-0005-0000-0000-000029220000}"/>
    <cellStyle name="Normal 16 6" xfId="1394" xr:uid="{00000000-0005-0000-0000-00002A220000}"/>
    <cellStyle name="Normal 16 6 2" xfId="7099" xr:uid="{00000000-0005-0000-0000-00002B220000}"/>
    <cellStyle name="Normal 16 6 2 2" xfId="9804" xr:uid="{00000000-0005-0000-0000-00002C220000}"/>
    <cellStyle name="Normal 16 6 3" xfId="8465" xr:uid="{00000000-0005-0000-0000-00002D220000}"/>
    <cellStyle name="Normal 16 7" xfId="1500" xr:uid="{00000000-0005-0000-0000-00002E220000}"/>
    <cellStyle name="Normal 16 7 2" xfId="7190" xr:uid="{00000000-0005-0000-0000-00002F220000}"/>
    <cellStyle name="Normal 16 7 2 2" xfId="9893" xr:uid="{00000000-0005-0000-0000-000030220000}"/>
    <cellStyle name="Normal 16 7 3" xfId="8553" xr:uid="{00000000-0005-0000-0000-000031220000}"/>
    <cellStyle name="Normal 16 8" xfId="6374" xr:uid="{00000000-0005-0000-0000-000032220000}"/>
    <cellStyle name="Normal 16 8 2" xfId="9093" xr:uid="{00000000-0005-0000-0000-000033220000}"/>
    <cellStyle name="Normal 16 9" xfId="7754" xr:uid="{00000000-0005-0000-0000-000034220000}"/>
    <cellStyle name="Normal 17" xfId="26" xr:uid="{00000000-0005-0000-0000-000035220000}"/>
    <cellStyle name="Normal 17 2" xfId="1252" xr:uid="{00000000-0005-0000-0000-000036220000}"/>
    <cellStyle name="Normal 17 2 2" xfId="5560" xr:uid="{00000000-0005-0000-0000-000037220000}"/>
    <cellStyle name="Normal 17 2 3" xfId="5559" xr:uid="{00000000-0005-0000-0000-000038220000}"/>
    <cellStyle name="Normal 17 2 3 2" xfId="7639" xr:uid="{00000000-0005-0000-0000-000039220000}"/>
    <cellStyle name="Normal 17 2 3 2 2" xfId="10320" xr:uid="{00000000-0005-0000-0000-00003A220000}"/>
    <cellStyle name="Normal 17 2 3 3" xfId="8980" xr:uid="{00000000-0005-0000-0000-00003B220000}"/>
    <cellStyle name="Normal 17 2 4" xfId="6969" xr:uid="{00000000-0005-0000-0000-00003C220000}"/>
    <cellStyle name="Normal 17 2 4 2" xfId="9676" xr:uid="{00000000-0005-0000-0000-00003D220000}"/>
    <cellStyle name="Normal 17 2 5" xfId="8337" xr:uid="{00000000-0005-0000-0000-00003E220000}"/>
    <cellStyle name="Normal 17 3" xfId="672" xr:uid="{00000000-0005-0000-0000-00003F220000}"/>
    <cellStyle name="Normal 17 3 2" xfId="5561" xr:uid="{00000000-0005-0000-0000-000040220000}"/>
    <cellStyle name="Normal 17 4" xfId="1413" xr:uid="{00000000-0005-0000-0000-000041220000}"/>
    <cellStyle name="Normal 17 4 2" xfId="5562" xr:uid="{00000000-0005-0000-0000-000042220000}"/>
    <cellStyle name="Normal 17 4 2 2" xfId="7640" xr:uid="{00000000-0005-0000-0000-000043220000}"/>
    <cellStyle name="Normal 17 4 2 2 2" xfId="10321" xr:uid="{00000000-0005-0000-0000-000044220000}"/>
    <cellStyle name="Normal 17 4 2 3" xfId="8981" xr:uid="{00000000-0005-0000-0000-000045220000}"/>
    <cellStyle name="Normal 17 4 3" xfId="7118" xr:uid="{00000000-0005-0000-0000-000046220000}"/>
    <cellStyle name="Normal 17 4 3 2" xfId="9821" xr:uid="{00000000-0005-0000-0000-000047220000}"/>
    <cellStyle name="Normal 17 4 4" xfId="8482" xr:uid="{00000000-0005-0000-0000-000048220000}"/>
    <cellStyle name="Normal 17 5" xfId="6391" xr:uid="{00000000-0005-0000-0000-000049220000}"/>
    <cellStyle name="Normal 17 5 2" xfId="9110" xr:uid="{00000000-0005-0000-0000-00004A220000}"/>
    <cellStyle name="Normal 17 6" xfId="7771" xr:uid="{00000000-0005-0000-0000-00004B220000}"/>
    <cellStyle name="Normal 17 7" xfId="225" xr:uid="{00000000-0005-0000-0000-00004C220000}"/>
    <cellStyle name="Normal 18" xfId="673" xr:uid="{00000000-0005-0000-0000-00004D220000}"/>
    <cellStyle name="Normal 18 2" xfId="5563" xr:uid="{00000000-0005-0000-0000-00004E220000}"/>
    <cellStyle name="Normal 18 2 2" xfId="5564" xr:uid="{00000000-0005-0000-0000-00004F220000}"/>
    <cellStyle name="Normal 18 2 3" xfId="7641" xr:uid="{00000000-0005-0000-0000-000050220000}"/>
    <cellStyle name="Normal 18 2 3 2" xfId="10322" xr:uid="{00000000-0005-0000-0000-000051220000}"/>
    <cellStyle name="Normal 18 2 4" xfId="8982" xr:uid="{00000000-0005-0000-0000-000052220000}"/>
    <cellStyle name="Normal 18 3" xfId="5565" xr:uid="{00000000-0005-0000-0000-000053220000}"/>
    <cellStyle name="Normal 18 4" xfId="5566" xr:uid="{00000000-0005-0000-0000-000054220000}"/>
    <cellStyle name="Normal 18 4 2" xfId="7642" xr:uid="{00000000-0005-0000-0000-000055220000}"/>
    <cellStyle name="Normal 18 4 2 2" xfId="10323" xr:uid="{00000000-0005-0000-0000-000056220000}"/>
    <cellStyle name="Normal 18 4 3" xfId="8983" xr:uid="{00000000-0005-0000-0000-000057220000}"/>
    <cellStyle name="Normal 18 5" xfId="10461" xr:uid="{00000000-0005-0000-0000-000058220000}"/>
    <cellStyle name="Normal 183 2" xfId="674" xr:uid="{00000000-0005-0000-0000-000059220000}"/>
    <cellStyle name="Normal 183 2 2" xfId="6543" xr:uid="{00000000-0005-0000-0000-00005A220000}"/>
    <cellStyle name="Normal 183 2 2 2" xfId="9257" xr:uid="{00000000-0005-0000-0000-00005B220000}"/>
    <cellStyle name="Normal 183 2 3" xfId="7918" xr:uid="{00000000-0005-0000-0000-00005C220000}"/>
    <cellStyle name="Normal 19" xfId="675" xr:uid="{00000000-0005-0000-0000-00005D220000}"/>
    <cellStyle name="Normal 19 2" xfId="5567" xr:uid="{00000000-0005-0000-0000-00005E220000}"/>
    <cellStyle name="Normal 19 2 2" xfId="5568" xr:uid="{00000000-0005-0000-0000-00005F220000}"/>
    <cellStyle name="Normal 19 2 3" xfId="7643" xr:uid="{00000000-0005-0000-0000-000060220000}"/>
    <cellStyle name="Normal 19 2 3 2" xfId="10324" xr:uid="{00000000-0005-0000-0000-000061220000}"/>
    <cellStyle name="Normal 19 2 4" xfId="8984" xr:uid="{00000000-0005-0000-0000-000062220000}"/>
    <cellStyle name="Normal 19 3" xfId="5569" xr:uid="{00000000-0005-0000-0000-000063220000}"/>
    <cellStyle name="Normal 19 4" xfId="5570" xr:uid="{00000000-0005-0000-0000-000064220000}"/>
    <cellStyle name="Normal 19 4 2" xfId="7644" xr:uid="{00000000-0005-0000-0000-000065220000}"/>
    <cellStyle name="Normal 19 4 2 2" xfId="10325" xr:uid="{00000000-0005-0000-0000-000066220000}"/>
    <cellStyle name="Normal 19 4 3" xfId="8985" xr:uid="{00000000-0005-0000-0000-000067220000}"/>
    <cellStyle name="Normal 2" xfId="3" xr:uid="{00000000-0005-0000-0000-000068220000}"/>
    <cellStyle name="Normal 2 1 2" xfId="43" xr:uid="{00000000-0005-0000-0000-000069220000}"/>
    <cellStyle name="Normal 2 10" xfId="28" xr:uid="{00000000-0005-0000-0000-00006A220000}"/>
    <cellStyle name="Normal 2 10 2" xfId="55" xr:uid="{00000000-0005-0000-0000-00006B220000}"/>
    <cellStyle name="Normal 2 10 3" xfId="5571" xr:uid="{00000000-0005-0000-0000-00006C220000}"/>
    <cellStyle name="Normal 2 10 4" xfId="5572" xr:uid="{00000000-0005-0000-0000-00006D220000}"/>
    <cellStyle name="Normal 2 10 47" xfId="5573" xr:uid="{00000000-0005-0000-0000-00006E220000}"/>
    <cellStyle name="Normal 2 11" xfId="27" xr:uid="{00000000-0005-0000-0000-00006F220000}"/>
    <cellStyle name="Normal 2 11 2" xfId="676" xr:uid="{00000000-0005-0000-0000-000070220000}"/>
    <cellStyle name="Normal 2 11 3" xfId="6408" xr:uid="{00000000-0005-0000-0000-000071220000}"/>
    <cellStyle name="Normal 2 11 3 2" xfId="9127" xr:uid="{00000000-0005-0000-0000-000072220000}"/>
    <cellStyle name="Normal 2 11 4" xfId="7788" xr:uid="{00000000-0005-0000-0000-000073220000}"/>
    <cellStyle name="Normal 2 11 5" xfId="10448" xr:uid="{00000000-0005-0000-0000-000074220000}"/>
    <cellStyle name="Normal 2 11 6" xfId="249" xr:uid="{00000000-0005-0000-0000-000075220000}"/>
    <cellStyle name="Normal 2 12" xfId="189" xr:uid="{00000000-0005-0000-0000-000076220000}"/>
    <cellStyle name="Normal 2 12 2" xfId="5574" xr:uid="{00000000-0005-0000-0000-000077220000}"/>
    <cellStyle name="Normal 2 12 3" xfId="1527" xr:uid="{00000000-0005-0000-0000-000078220000}"/>
    <cellStyle name="Normal 2 12 3 2" xfId="7206" xr:uid="{00000000-0005-0000-0000-000079220000}"/>
    <cellStyle name="Normal 2 12 3 2 2" xfId="9909" xr:uid="{00000000-0005-0000-0000-00007A220000}"/>
    <cellStyle name="Normal 2 12 3 3" xfId="8569" xr:uid="{00000000-0005-0000-0000-00007B220000}"/>
    <cellStyle name="Normal 2 13" xfId="248" xr:uid="{00000000-0005-0000-0000-00007C220000}"/>
    <cellStyle name="Normal 2 13 2" xfId="5576" xr:uid="{00000000-0005-0000-0000-00007D220000}"/>
    <cellStyle name="Normal 2 13 2 2" xfId="5577" xr:uid="{00000000-0005-0000-0000-00007E220000}"/>
    <cellStyle name="Normal 2 13 3" xfId="5575" xr:uid="{00000000-0005-0000-0000-00007F220000}"/>
    <cellStyle name="Normal 2 14" xfId="677" xr:uid="{00000000-0005-0000-0000-000080220000}"/>
    <cellStyle name="Normal 2 14 2" xfId="5578" xr:uid="{00000000-0005-0000-0000-000081220000}"/>
    <cellStyle name="Normal 2 14 3" xfId="5579" xr:uid="{00000000-0005-0000-0000-000082220000}"/>
    <cellStyle name="Normal 2 15" xfId="5580" xr:uid="{00000000-0005-0000-0000-000083220000}"/>
    <cellStyle name="Normal 2 16" xfId="5581" xr:uid="{00000000-0005-0000-0000-000084220000}"/>
    <cellStyle name="Normal 2 16 3" xfId="5582" xr:uid="{00000000-0005-0000-0000-000085220000}"/>
    <cellStyle name="Normal 2 17" xfId="5583" xr:uid="{00000000-0005-0000-0000-000086220000}"/>
    <cellStyle name="Normal 2 18" xfId="5584" xr:uid="{00000000-0005-0000-0000-000087220000}"/>
    <cellStyle name="Normal 2 19" xfId="5585" xr:uid="{00000000-0005-0000-0000-000088220000}"/>
    <cellStyle name="Normal 2 2" xfId="10" xr:uid="{00000000-0005-0000-0000-000089220000}"/>
    <cellStyle name="Normal 2 2 10" xfId="5586" xr:uid="{00000000-0005-0000-0000-00008A220000}"/>
    <cellStyle name="Normal 2 2 10 2" xfId="5587" xr:uid="{00000000-0005-0000-0000-00008B220000}"/>
    <cellStyle name="Normal 2 2 10 3" xfId="49" xr:uid="{00000000-0005-0000-0000-00008C220000}"/>
    <cellStyle name="Normal 2 2 11" xfId="5588" xr:uid="{00000000-0005-0000-0000-00008D220000}"/>
    <cellStyle name="Normal 2 2 12" xfId="5589" xr:uid="{00000000-0005-0000-0000-00008E220000}"/>
    <cellStyle name="Normal 2 2 13" xfId="5590" xr:uid="{00000000-0005-0000-0000-00008F220000}"/>
    <cellStyle name="Normal 2 2 14" xfId="5591" xr:uid="{00000000-0005-0000-0000-000090220000}"/>
    <cellStyle name="Normal 2 2 14 2 5" xfId="10481" xr:uid="{00000000-0005-0000-0000-000091220000}"/>
    <cellStyle name="Normal 2 2 15" xfId="5592" xr:uid="{00000000-0005-0000-0000-000092220000}"/>
    <cellStyle name="Normal 2 2 16" xfId="5593" xr:uid="{00000000-0005-0000-0000-000093220000}"/>
    <cellStyle name="Normal 2 2 17" xfId="5594" xr:uid="{00000000-0005-0000-0000-000094220000}"/>
    <cellStyle name="Normal 2 2 18" xfId="10460" xr:uid="{00000000-0005-0000-0000-000095220000}"/>
    <cellStyle name="Normal 2 2 19" xfId="190" xr:uid="{00000000-0005-0000-0000-000096220000}"/>
    <cellStyle name="Normal 2 2 2" xfId="191" xr:uid="{00000000-0005-0000-0000-000097220000}"/>
    <cellStyle name="Normal 2 2 2 2" xfId="678" xr:uid="{00000000-0005-0000-0000-000098220000}"/>
    <cellStyle name="Normal 2 2 2 2 2" xfId="5595" xr:uid="{00000000-0005-0000-0000-000099220000}"/>
    <cellStyle name="Normal 2 2 2 2 2 2 2" xfId="5596" xr:uid="{00000000-0005-0000-0000-00009A220000}"/>
    <cellStyle name="Normal 2 2 2 2 2 2 2 4" xfId="10485" xr:uid="{00000000-0005-0000-0000-00009B220000}"/>
    <cellStyle name="Normal 2 2 2 2 3" xfId="5597" xr:uid="{00000000-0005-0000-0000-00009C220000}"/>
    <cellStyle name="Normal 2 2 2 2 4" xfId="5598" xr:uid="{00000000-0005-0000-0000-00009D220000}"/>
    <cellStyle name="Normal 2 2 2 2 5" xfId="5599" xr:uid="{00000000-0005-0000-0000-00009E220000}"/>
    <cellStyle name="Normal 2 2 2 3" xfId="5600" xr:uid="{00000000-0005-0000-0000-00009F220000}"/>
    <cellStyle name="Normal 2 2 2 3 3" xfId="192" xr:uid="{00000000-0005-0000-0000-0000A0220000}"/>
    <cellStyle name="Normal 2 2 2 3 9" xfId="5601" xr:uid="{00000000-0005-0000-0000-0000A1220000}"/>
    <cellStyle name="Normal 2 2 2 3 9 2" xfId="5602" xr:uid="{00000000-0005-0000-0000-0000A2220000}"/>
    <cellStyle name="Normal 2 2 2 3 9 2 2" xfId="7646" xr:uid="{00000000-0005-0000-0000-0000A3220000}"/>
    <cellStyle name="Normal 2 2 2 3 9 2 2 2" xfId="10327" xr:uid="{00000000-0005-0000-0000-0000A4220000}"/>
    <cellStyle name="Normal 2 2 2 3 9 2 3" xfId="8987" xr:uid="{00000000-0005-0000-0000-0000A5220000}"/>
    <cellStyle name="Normal 2 2 2 3 9 3" xfId="7645" xr:uid="{00000000-0005-0000-0000-0000A6220000}"/>
    <cellStyle name="Normal 2 2 2 3 9 3 2" xfId="10326" xr:uid="{00000000-0005-0000-0000-0000A7220000}"/>
    <cellStyle name="Normal 2 2 2 3 9 4" xfId="8986" xr:uid="{00000000-0005-0000-0000-0000A8220000}"/>
    <cellStyle name="Normal 2 2 2 4" xfId="5603" xr:uid="{00000000-0005-0000-0000-0000A9220000}"/>
    <cellStyle name="Normal 2 2 2 5" xfId="5604" xr:uid="{00000000-0005-0000-0000-0000AA220000}"/>
    <cellStyle name="Normal 2 2 2 6" xfId="5605" xr:uid="{00000000-0005-0000-0000-0000AB220000}"/>
    <cellStyle name="Normal 2 2 2 7" xfId="5606" xr:uid="{00000000-0005-0000-0000-0000AC220000}"/>
    <cellStyle name="Normal 2 2 3" xfId="679" xr:uid="{00000000-0005-0000-0000-0000AD220000}"/>
    <cellStyle name="Normal 2 2 3 2" xfId="5607" xr:uid="{00000000-0005-0000-0000-0000AE220000}"/>
    <cellStyle name="Normal 2 2 4" xfId="680" xr:uid="{00000000-0005-0000-0000-0000AF220000}"/>
    <cellStyle name="Normal 2 2 4 2" xfId="5608" xr:uid="{00000000-0005-0000-0000-0000B0220000}"/>
    <cellStyle name="Normal 2 2 49" xfId="5609" xr:uid="{00000000-0005-0000-0000-0000B1220000}"/>
    <cellStyle name="Normal 2 2 49 2" xfId="5610" xr:uid="{00000000-0005-0000-0000-0000B2220000}"/>
    <cellStyle name="Normal 2 2 49 2 2" xfId="7648" xr:uid="{00000000-0005-0000-0000-0000B3220000}"/>
    <cellStyle name="Normal 2 2 49 2 2 2" xfId="10329" xr:uid="{00000000-0005-0000-0000-0000B4220000}"/>
    <cellStyle name="Normal 2 2 49 2 3" xfId="8989" xr:uid="{00000000-0005-0000-0000-0000B5220000}"/>
    <cellStyle name="Normal 2 2 49 3" xfId="7647" xr:uid="{00000000-0005-0000-0000-0000B6220000}"/>
    <cellStyle name="Normal 2 2 49 3 2" xfId="10328" xr:uid="{00000000-0005-0000-0000-0000B7220000}"/>
    <cellStyle name="Normal 2 2 49 4" xfId="8988" xr:uid="{00000000-0005-0000-0000-0000B8220000}"/>
    <cellStyle name="Normal 2 2 5" xfId="193" xr:uid="{00000000-0005-0000-0000-0000B9220000}"/>
    <cellStyle name="Normal 2 2 5 2" xfId="6218" xr:uid="{00000000-0005-0000-0000-0000BA220000}"/>
    <cellStyle name="Normal 2 2 5 3" xfId="5611" xr:uid="{00000000-0005-0000-0000-0000BB220000}"/>
    <cellStyle name="Normal 2 2 6" xfId="1269" xr:uid="{00000000-0005-0000-0000-0000BC220000}"/>
    <cellStyle name="Normal 2 2 6 2" xfId="5612" xr:uid="{00000000-0005-0000-0000-0000BD220000}"/>
    <cellStyle name="Normal 2 2 7" xfId="5613" xr:uid="{00000000-0005-0000-0000-0000BE220000}"/>
    <cellStyle name="Normal 2 2 8" xfId="5614" xr:uid="{00000000-0005-0000-0000-0000BF220000}"/>
    <cellStyle name="Normal 2 2 9" xfId="5615" xr:uid="{00000000-0005-0000-0000-0000C0220000}"/>
    <cellStyle name="Normal 2 2_BRIGADE BLOCK A &amp; B  IBMS DDC BUDGETARY ESTIMATES 10 03 14 R0" xfId="681" xr:uid="{00000000-0005-0000-0000-0000C1220000}"/>
    <cellStyle name="Normal 2 20" xfId="66" xr:uid="{00000000-0005-0000-0000-0000C2220000}"/>
    <cellStyle name="Normal 2 21" xfId="10476" xr:uid="{00000000-0005-0000-0000-0000C3220000}"/>
    <cellStyle name="Normal 2 3" xfId="15" xr:uid="{00000000-0005-0000-0000-0000C4220000}"/>
    <cellStyle name="Normal 2 3 10" xfId="6376" xr:uid="{00000000-0005-0000-0000-0000C5220000}"/>
    <cellStyle name="Normal 2 3 10 2" xfId="9095" xr:uid="{00000000-0005-0000-0000-0000C6220000}"/>
    <cellStyle name="Normal 2 3 11" xfId="7756" xr:uid="{00000000-0005-0000-0000-0000C7220000}"/>
    <cellStyle name="Normal 2 3 12" xfId="194" xr:uid="{00000000-0005-0000-0000-0000C8220000}"/>
    <cellStyle name="Normal 2 3 2" xfId="195" xr:uid="{00000000-0005-0000-0000-0000C9220000}"/>
    <cellStyle name="Normal 2 3 2 2" xfId="1267" xr:uid="{00000000-0005-0000-0000-0000CA220000}"/>
    <cellStyle name="Normal 2 3 2 2 2" xfId="5617" xr:uid="{00000000-0005-0000-0000-0000CB220000}"/>
    <cellStyle name="Normal 2 3 2 2 3" xfId="5618" xr:uid="{00000000-0005-0000-0000-0000CC220000}"/>
    <cellStyle name="Normal 2 3 2 2 4" xfId="5616" xr:uid="{00000000-0005-0000-0000-0000CD220000}"/>
    <cellStyle name="Normal 2 3 2 2 5" xfId="6978" xr:uid="{00000000-0005-0000-0000-0000CE220000}"/>
    <cellStyle name="Normal 2 3 2 2 5 2" xfId="9685" xr:uid="{00000000-0005-0000-0000-0000CF220000}"/>
    <cellStyle name="Normal 2 3 2 2 6" xfId="8346" xr:uid="{00000000-0005-0000-0000-0000D0220000}"/>
    <cellStyle name="Normal 2 3 2 3" xfId="683" xr:uid="{00000000-0005-0000-0000-0000D1220000}"/>
    <cellStyle name="Normal 2 3 2 3 2" xfId="5619" xr:uid="{00000000-0005-0000-0000-0000D2220000}"/>
    <cellStyle name="Normal 2 3 2 4" xfId="1397" xr:uid="{00000000-0005-0000-0000-0000D3220000}"/>
    <cellStyle name="Normal 2 3 2 4 2" xfId="5620" xr:uid="{00000000-0005-0000-0000-0000D4220000}"/>
    <cellStyle name="Normal 2 3 2 4 3" xfId="7102" xr:uid="{00000000-0005-0000-0000-0000D5220000}"/>
    <cellStyle name="Normal 2 3 2 4 3 2" xfId="9807" xr:uid="{00000000-0005-0000-0000-0000D6220000}"/>
    <cellStyle name="Normal 2 3 2 4 4" xfId="8468" xr:uid="{00000000-0005-0000-0000-0000D7220000}"/>
    <cellStyle name="Normal 2 3 2 5" xfId="5621" xr:uid="{00000000-0005-0000-0000-0000D8220000}"/>
    <cellStyle name="Normal 2 3 2 6" xfId="6377" xr:uid="{00000000-0005-0000-0000-0000D9220000}"/>
    <cellStyle name="Normal 2 3 2 6 2" xfId="9096" xr:uid="{00000000-0005-0000-0000-0000DA220000}"/>
    <cellStyle name="Normal 2 3 2 7" xfId="7757" xr:uid="{00000000-0005-0000-0000-0000DB220000}"/>
    <cellStyle name="Normal 2 3 3" xfId="684" xr:uid="{00000000-0005-0000-0000-0000DC220000}"/>
    <cellStyle name="Normal 2 3 4" xfId="1268" xr:uid="{00000000-0005-0000-0000-0000DD220000}"/>
    <cellStyle name="Normal 2 3 4 2" xfId="5622" xr:uid="{00000000-0005-0000-0000-0000DE220000}"/>
    <cellStyle name="Normal 2 3 4 3" xfId="6979" xr:uid="{00000000-0005-0000-0000-0000DF220000}"/>
    <cellStyle name="Normal 2 3 4 3 2" xfId="9686" xr:uid="{00000000-0005-0000-0000-0000E0220000}"/>
    <cellStyle name="Normal 2 3 4 4" xfId="8347" xr:uid="{00000000-0005-0000-0000-0000E1220000}"/>
    <cellStyle name="Normal 2 3 5" xfId="682" xr:uid="{00000000-0005-0000-0000-0000E2220000}"/>
    <cellStyle name="Normal 2 3 5 2" xfId="5623" xr:uid="{00000000-0005-0000-0000-0000E3220000}"/>
    <cellStyle name="Normal 2 3 5 2 2" xfId="7649" xr:uid="{00000000-0005-0000-0000-0000E4220000}"/>
    <cellStyle name="Normal 2 3 5 2 2 2" xfId="10330" xr:uid="{00000000-0005-0000-0000-0000E5220000}"/>
    <cellStyle name="Normal 2 3 5 2 3" xfId="8990" xr:uid="{00000000-0005-0000-0000-0000E6220000}"/>
    <cellStyle name="Normal 2 3 5 3" xfId="5624" xr:uid="{00000000-0005-0000-0000-0000E7220000}"/>
    <cellStyle name="Normal 2 3 5 4" xfId="5625" xr:uid="{00000000-0005-0000-0000-0000E8220000}"/>
    <cellStyle name="Normal 2 3 5 4 2" xfId="7650" xr:uid="{00000000-0005-0000-0000-0000E9220000}"/>
    <cellStyle name="Normal 2 3 5 4 2 2" xfId="10331" xr:uid="{00000000-0005-0000-0000-0000EA220000}"/>
    <cellStyle name="Normal 2 3 5 4 3" xfId="8991" xr:uid="{00000000-0005-0000-0000-0000EB220000}"/>
    <cellStyle name="Normal 2 3 6" xfId="1396" xr:uid="{00000000-0005-0000-0000-0000EC220000}"/>
    <cellStyle name="Normal 2 3 6 2" xfId="5626" xr:uid="{00000000-0005-0000-0000-0000ED220000}"/>
    <cellStyle name="Normal 2 3 6 2 2" xfId="7651" xr:uid="{00000000-0005-0000-0000-0000EE220000}"/>
    <cellStyle name="Normal 2 3 6 2 2 2" xfId="10332" xr:uid="{00000000-0005-0000-0000-0000EF220000}"/>
    <cellStyle name="Normal 2 3 6 2 3" xfId="8992" xr:uid="{00000000-0005-0000-0000-0000F0220000}"/>
    <cellStyle name="Normal 2 3 6 3" xfId="7101" xr:uid="{00000000-0005-0000-0000-0000F1220000}"/>
    <cellStyle name="Normal 2 3 6 3 2" xfId="9806" xr:uid="{00000000-0005-0000-0000-0000F2220000}"/>
    <cellStyle name="Normal 2 3 6 4" xfId="8467" xr:uid="{00000000-0005-0000-0000-0000F3220000}"/>
    <cellStyle name="Normal 2 3 7" xfId="5627" xr:uid="{00000000-0005-0000-0000-0000F4220000}"/>
    <cellStyle name="Normal 2 3 8" xfId="5628" xr:uid="{00000000-0005-0000-0000-0000F5220000}"/>
    <cellStyle name="Normal 2 3 9" xfId="5629" xr:uid="{00000000-0005-0000-0000-0000F6220000}"/>
    <cellStyle name="Normal 2 32 5 2" xfId="10521" xr:uid="{00000000-0005-0000-0000-0000F7220000}"/>
    <cellStyle name="Normal 2 4" xfId="226" xr:uid="{00000000-0005-0000-0000-0000F8220000}"/>
    <cellStyle name="Normal 2 4 2" xfId="685" xr:uid="{00000000-0005-0000-0000-0000F9220000}"/>
    <cellStyle name="Normal 2 4 3" xfId="5630" xr:uid="{00000000-0005-0000-0000-0000FA220000}"/>
    <cellStyle name="Normal 2 4 4" xfId="5631" xr:uid="{00000000-0005-0000-0000-0000FB220000}"/>
    <cellStyle name="Normal 2 5" xfId="686" xr:uid="{00000000-0005-0000-0000-0000FC220000}"/>
    <cellStyle name="Normal 2 5 2" xfId="5632" xr:uid="{00000000-0005-0000-0000-0000FD220000}"/>
    <cellStyle name="Normal 2 5 3" xfId="5633" xr:uid="{00000000-0005-0000-0000-0000FE220000}"/>
    <cellStyle name="Normal 2 6" xfId="687" xr:uid="{00000000-0005-0000-0000-0000FF220000}"/>
    <cellStyle name="Normal 2 6 2" xfId="5634" xr:uid="{00000000-0005-0000-0000-000000230000}"/>
    <cellStyle name="Normal 2 6 3" xfId="5635" xr:uid="{00000000-0005-0000-0000-000001230000}"/>
    <cellStyle name="Normal 2 7" xfId="196" xr:uid="{00000000-0005-0000-0000-000002230000}"/>
    <cellStyle name="Normal 2 7 2" xfId="5636" xr:uid="{00000000-0005-0000-0000-000003230000}"/>
    <cellStyle name="Normal 2 7 3" xfId="5637" xr:uid="{00000000-0005-0000-0000-000004230000}"/>
    <cellStyle name="Normal 2 8" xfId="109" xr:uid="{00000000-0005-0000-0000-000005230000}"/>
    <cellStyle name="Normal 2 8 16" xfId="10487" xr:uid="{00000000-0005-0000-0000-000006230000}"/>
    <cellStyle name="Normal 2 8 2" xfId="5638" xr:uid="{00000000-0005-0000-0000-000007230000}"/>
    <cellStyle name="Normal 2 8 3" xfId="5639" xr:uid="{00000000-0005-0000-0000-000008230000}"/>
    <cellStyle name="Normal 2 8 4" xfId="50" xr:uid="{00000000-0005-0000-0000-000009230000}"/>
    <cellStyle name="Normal 2 9" xfId="688" xr:uid="{00000000-0005-0000-0000-00000A230000}"/>
    <cellStyle name="Normal 2 9 2" xfId="5640" xr:uid="{00000000-0005-0000-0000-00000B230000}"/>
    <cellStyle name="Normal 2 9 3" xfId="5641" xr:uid="{00000000-0005-0000-0000-00000C230000}"/>
    <cellStyle name="Normal 2_Electrical BOQ -working" xfId="5642" xr:uid="{00000000-0005-0000-0000-00000D230000}"/>
    <cellStyle name="Normal 20" xfId="183" xr:uid="{00000000-0005-0000-0000-00000E230000}"/>
    <cellStyle name="Normal 20 2" xfId="5643" xr:uid="{00000000-0005-0000-0000-00000F230000}"/>
    <cellStyle name="Normal 20 2 2" xfId="5644" xr:uid="{00000000-0005-0000-0000-000010230000}"/>
    <cellStyle name="Normal 20 2 3" xfId="7652" xr:uid="{00000000-0005-0000-0000-000011230000}"/>
    <cellStyle name="Normal 20 2 3 2" xfId="10333" xr:uid="{00000000-0005-0000-0000-000012230000}"/>
    <cellStyle name="Normal 20 2 4" xfId="8993" xr:uid="{00000000-0005-0000-0000-000013230000}"/>
    <cellStyle name="Normal 20 3" xfId="5645" xr:uid="{00000000-0005-0000-0000-000014230000}"/>
    <cellStyle name="Normal 20 4" xfId="5646" xr:uid="{00000000-0005-0000-0000-000015230000}"/>
    <cellStyle name="Normal 20 4 2" xfId="7653" xr:uid="{00000000-0005-0000-0000-000016230000}"/>
    <cellStyle name="Normal 20 4 2 2" xfId="10334" xr:uid="{00000000-0005-0000-0000-000017230000}"/>
    <cellStyle name="Normal 20 4 3" xfId="8994" xr:uid="{00000000-0005-0000-0000-000018230000}"/>
    <cellStyle name="Normal 21" xfId="689" xr:uid="{00000000-0005-0000-0000-000019230000}"/>
    <cellStyle name="Normal 21 2" xfId="187" xr:uid="{00000000-0005-0000-0000-00001A230000}"/>
    <cellStyle name="Normal 21 3" xfId="5647" xr:uid="{00000000-0005-0000-0000-00001B230000}"/>
    <cellStyle name="Normal 22" xfId="690" xr:uid="{00000000-0005-0000-0000-00001C230000}"/>
    <cellStyle name="Normal 22 2" xfId="5648" xr:uid="{00000000-0005-0000-0000-00001D230000}"/>
    <cellStyle name="Normal 226" xfId="691" xr:uid="{00000000-0005-0000-0000-00001E230000}"/>
    <cellStyle name="Normal 226 2" xfId="5649" xr:uid="{00000000-0005-0000-0000-00001F230000}"/>
    <cellStyle name="Normal 23" xfId="692" xr:uid="{00000000-0005-0000-0000-000020230000}"/>
    <cellStyle name="Normal 23 2" xfId="5650" xr:uid="{00000000-0005-0000-0000-000021230000}"/>
    <cellStyle name="Normal 23 2 2" xfId="5651" xr:uid="{00000000-0005-0000-0000-000022230000}"/>
    <cellStyle name="Normal 24" xfId="693" xr:uid="{00000000-0005-0000-0000-000023230000}"/>
    <cellStyle name="Normal 24 2" xfId="5652" xr:uid="{00000000-0005-0000-0000-000024230000}"/>
    <cellStyle name="Normal 25" xfId="694" xr:uid="{00000000-0005-0000-0000-000025230000}"/>
    <cellStyle name="Normal 25 2" xfId="5653" xr:uid="{00000000-0005-0000-0000-000026230000}"/>
    <cellStyle name="Normal 26" xfId="695" xr:uid="{00000000-0005-0000-0000-000027230000}"/>
    <cellStyle name="Normal 26 2" xfId="5654" xr:uid="{00000000-0005-0000-0000-000028230000}"/>
    <cellStyle name="Normal 26 2 2" xfId="5655" xr:uid="{00000000-0005-0000-0000-000029230000}"/>
    <cellStyle name="Normal 26 2 2 2" xfId="5656" xr:uid="{00000000-0005-0000-0000-00002A230000}"/>
    <cellStyle name="Normal 27" xfId="197" xr:uid="{00000000-0005-0000-0000-00002B230000}"/>
    <cellStyle name="Normal 27 2" xfId="5657" xr:uid="{00000000-0005-0000-0000-00002C230000}"/>
    <cellStyle name="Normal 28" xfId="696" xr:uid="{00000000-0005-0000-0000-00002D230000}"/>
    <cellStyle name="Normal 28 2" xfId="5658" xr:uid="{00000000-0005-0000-0000-00002E230000}"/>
    <cellStyle name="Normal 29" xfId="89" xr:uid="{00000000-0005-0000-0000-00002F230000}"/>
    <cellStyle name="Normal 29 2" xfId="5659" xr:uid="{00000000-0005-0000-0000-000030230000}"/>
    <cellStyle name="Normal 29 3" xfId="5660" xr:uid="{00000000-0005-0000-0000-000031230000}"/>
    <cellStyle name="Normal 29 4" xfId="5661" xr:uid="{00000000-0005-0000-0000-000032230000}"/>
    <cellStyle name="Normal 29 4 2" xfId="5662" xr:uid="{00000000-0005-0000-0000-000033230000}"/>
    <cellStyle name="Normal 29 4 3" xfId="7654" xr:uid="{00000000-0005-0000-0000-000034230000}"/>
    <cellStyle name="Normal 29 4 3 2" xfId="10335" xr:uid="{00000000-0005-0000-0000-000035230000}"/>
    <cellStyle name="Normal 29 4 4" xfId="8995" xr:uid="{00000000-0005-0000-0000-000036230000}"/>
    <cellStyle name="Normal 29 5" xfId="5663" xr:uid="{00000000-0005-0000-0000-000037230000}"/>
    <cellStyle name="Normal 29 6" xfId="5664" xr:uid="{00000000-0005-0000-0000-000038230000}"/>
    <cellStyle name="Normal 29 6 2" xfId="7655" xr:uid="{00000000-0005-0000-0000-000039230000}"/>
    <cellStyle name="Normal 29 6 2 2" xfId="10336" xr:uid="{00000000-0005-0000-0000-00003A230000}"/>
    <cellStyle name="Normal 29 6 3" xfId="8996" xr:uid="{00000000-0005-0000-0000-00003B230000}"/>
    <cellStyle name="Normal 29 7" xfId="697" xr:uid="{00000000-0005-0000-0000-00003C230000}"/>
    <cellStyle name="Normal 3" xfId="6" xr:uid="{00000000-0005-0000-0000-00003D230000}"/>
    <cellStyle name="Normal 3 10" xfId="128" xr:uid="{00000000-0005-0000-0000-00003E230000}"/>
    <cellStyle name="Normal 3 10 2" xfId="229" xr:uid="{00000000-0005-0000-0000-00003F230000}"/>
    <cellStyle name="Normal 3 10 2 2" xfId="1251" xr:uid="{00000000-0005-0000-0000-000040230000}"/>
    <cellStyle name="Normal 3 10 3" xfId="5665" xr:uid="{00000000-0005-0000-0000-000041230000}"/>
    <cellStyle name="Normal 3 11" xfId="5666" xr:uid="{00000000-0005-0000-0000-000042230000}"/>
    <cellStyle name="Normal 3 12" xfId="5667" xr:uid="{00000000-0005-0000-0000-000043230000}"/>
    <cellStyle name="Normal 3 13" xfId="69" xr:uid="{00000000-0005-0000-0000-000044230000}"/>
    <cellStyle name="Normal 3 13 2" xfId="5668" xr:uid="{00000000-0005-0000-0000-000045230000}"/>
    <cellStyle name="Normal 3 14" xfId="5669" xr:uid="{00000000-0005-0000-0000-000046230000}"/>
    <cellStyle name="Normal 3 15" xfId="1491" xr:uid="{00000000-0005-0000-0000-000047230000}"/>
    <cellStyle name="Normal 3 15 2" xfId="7182" xr:uid="{00000000-0005-0000-0000-000048230000}"/>
    <cellStyle name="Normal 3 15 2 2" xfId="9885" xr:uid="{00000000-0005-0000-0000-000049230000}"/>
    <cellStyle name="Normal 3 15 3" xfId="8545" xr:uid="{00000000-0005-0000-0000-00004A230000}"/>
    <cellStyle name="Normal 3 15 4" xfId="10456" xr:uid="{00000000-0005-0000-0000-00004B230000}"/>
    <cellStyle name="Normal 3 16" xfId="118" xr:uid="{00000000-0005-0000-0000-00004C230000}"/>
    <cellStyle name="Normal 3 2" xfId="198" xr:uid="{00000000-0005-0000-0000-00004D230000}"/>
    <cellStyle name="Normal 3 2 2" xfId="699" xr:uid="{00000000-0005-0000-0000-00004E230000}"/>
    <cellStyle name="Normal 3 2 2 2" xfId="700" xr:uid="{00000000-0005-0000-0000-00004F230000}"/>
    <cellStyle name="Normal 3 2 2 2 2" xfId="1426" xr:uid="{00000000-0005-0000-0000-000050230000}"/>
    <cellStyle name="Normal 3 2 2 2 2 2" xfId="7125" xr:uid="{00000000-0005-0000-0000-000051230000}"/>
    <cellStyle name="Normal 3 2 2 2 2 2 2" xfId="9828" xr:uid="{00000000-0005-0000-0000-000052230000}"/>
    <cellStyle name="Normal 3 2 2 2 2 3" xfId="8488" xr:uid="{00000000-0005-0000-0000-000053230000}"/>
    <cellStyle name="Normal 3 2 2 2 3" xfId="6546" xr:uid="{00000000-0005-0000-0000-000054230000}"/>
    <cellStyle name="Normal 3 2 2 2 3 2" xfId="9260" xr:uid="{00000000-0005-0000-0000-000055230000}"/>
    <cellStyle name="Normal 3 2 2 2 4" xfId="7921" xr:uid="{00000000-0005-0000-0000-000056230000}"/>
    <cellStyle name="Normal 3 2 2 3" xfId="5670" xr:uid="{00000000-0005-0000-0000-000057230000}"/>
    <cellStyle name="Normal 3 2 2 4" xfId="5671" xr:uid="{00000000-0005-0000-0000-000058230000}"/>
    <cellStyle name="Normal 3 2 2 5" xfId="5672" xr:uid="{00000000-0005-0000-0000-000059230000}"/>
    <cellStyle name="Normal 3 2 2 6" xfId="1443" xr:uid="{00000000-0005-0000-0000-00005A230000}"/>
    <cellStyle name="Normal 3 2 2 6 2" xfId="7139" xr:uid="{00000000-0005-0000-0000-00005B230000}"/>
    <cellStyle name="Normal 3 2 2 6 2 2" xfId="9842" xr:uid="{00000000-0005-0000-0000-00005C230000}"/>
    <cellStyle name="Normal 3 2 2 6 3" xfId="8502" xr:uid="{00000000-0005-0000-0000-00005D230000}"/>
    <cellStyle name="Normal 3 2 2 7" xfId="6545" xr:uid="{00000000-0005-0000-0000-00005E230000}"/>
    <cellStyle name="Normal 3 2 2 7 2" xfId="9259" xr:uid="{00000000-0005-0000-0000-00005F230000}"/>
    <cellStyle name="Normal 3 2 2 8" xfId="7920" xr:uid="{00000000-0005-0000-0000-000060230000}"/>
    <cellStyle name="Normal 3 2 3" xfId="199" xr:uid="{00000000-0005-0000-0000-000061230000}"/>
    <cellStyle name="Normal 3 2 4" xfId="701" xr:uid="{00000000-0005-0000-0000-000062230000}"/>
    <cellStyle name="Normal 3 2 5" xfId="702" xr:uid="{00000000-0005-0000-0000-000063230000}"/>
    <cellStyle name="Normal 3 2 5 2" xfId="1529" xr:uid="{00000000-0005-0000-0000-000064230000}"/>
    <cellStyle name="Normal 3 2 5 2 2" xfId="7208" xr:uid="{00000000-0005-0000-0000-000065230000}"/>
    <cellStyle name="Normal 3 2 5 2 2 2" xfId="9911" xr:uid="{00000000-0005-0000-0000-000066230000}"/>
    <cellStyle name="Normal 3 2 5 2 3" xfId="8571" xr:uid="{00000000-0005-0000-0000-000067230000}"/>
    <cellStyle name="Normal 3 2 6" xfId="698" xr:uid="{00000000-0005-0000-0000-000068230000}"/>
    <cellStyle name="Normal 3 2 6 2" xfId="5673" xr:uid="{00000000-0005-0000-0000-000069230000}"/>
    <cellStyle name="Normal 3 2 6 3" xfId="6544" xr:uid="{00000000-0005-0000-0000-00006A230000}"/>
    <cellStyle name="Normal 3 2 6 3 2" xfId="9258" xr:uid="{00000000-0005-0000-0000-00006B230000}"/>
    <cellStyle name="Normal 3 2 6 4" xfId="7919" xr:uid="{00000000-0005-0000-0000-00006C230000}"/>
    <cellStyle name="Normal 3 2 7" xfId="5674" xr:uid="{00000000-0005-0000-0000-00006D230000}"/>
    <cellStyle name="Normal 3 2 8" xfId="10506" xr:uid="{00000000-0005-0000-0000-00006E230000}"/>
    <cellStyle name="Normal 3 3" xfId="200" xr:uid="{00000000-0005-0000-0000-00006F230000}"/>
    <cellStyle name="Normal 3 3 2" xfId="163" xr:uid="{00000000-0005-0000-0000-000070230000}"/>
    <cellStyle name="Normal 3 3 2 2" xfId="704" xr:uid="{00000000-0005-0000-0000-000071230000}"/>
    <cellStyle name="Normal 3 3 2 2 2" xfId="6548" xr:uid="{00000000-0005-0000-0000-000072230000}"/>
    <cellStyle name="Normal 3 3 2 2 2 2" xfId="9262" xr:uid="{00000000-0005-0000-0000-000073230000}"/>
    <cellStyle name="Normal 3 3 2 2 3" xfId="7923" xr:uid="{00000000-0005-0000-0000-000074230000}"/>
    <cellStyle name="Normal 3 3 2 3" xfId="1378" xr:uid="{00000000-0005-0000-0000-000075230000}"/>
    <cellStyle name="Normal 3 3 2 3 2" xfId="5675" xr:uid="{00000000-0005-0000-0000-000076230000}"/>
    <cellStyle name="Normal 3 3 2 3 2 2" xfId="7656" xr:uid="{00000000-0005-0000-0000-000077230000}"/>
    <cellStyle name="Normal 3 3 2 3 2 2 2" xfId="10337" xr:uid="{00000000-0005-0000-0000-000078230000}"/>
    <cellStyle name="Normal 3 3 2 3 2 3" xfId="8997" xr:uid="{00000000-0005-0000-0000-000079230000}"/>
    <cellStyle name="Normal 3 3 2 3 3" xfId="7083" xr:uid="{00000000-0005-0000-0000-00007A230000}"/>
    <cellStyle name="Normal 3 3 2 3 3 2" xfId="9788" xr:uid="{00000000-0005-0000-0000-00007B230000}"/>
    <cellStyle name="Normal 3 3 2 3 4" xfId="8449" xr:uid="{00000000-0005-0000-0000-00007C230000}"/>
    <cellStyle name="Normal 3 3 2 4" xfId="1493" xr:uid="{00000000-0005-0000-0000-00007D230000}"/>
    <cellStyle name="Normal 3 3 2 4 2" xfId="7184" xr:uid="{00000000-0005-0000-0000-00007E230000}"/>
    <cellStyle name="Normal 3 3 2 4 2 2" xfId="9887" xr:uid="{00000000-0005-0000-0000-00007F230000}"/>
    <cellStyle name="Normal 3 3 2 4 3" xfId="8547" xr:uid="{00000000-0005-0000-0000-000080230000}"/>
    <cellStyle name="Normal 3 3 2 5" xfId="6358" xr:uid="{00000000-0005-0000-0000-000081230000}"/>
    <cellStyle name="Normal 3 3 2 5 2" xfId="9077" xr:uid="{00000000-0005-0000-0000-000082230000}"/>
    <cellStyle name="Normal 3 3 2 6" xfId="7738" xr:uid="{00000000-0005-0000-0000-000083230000}"/>
    <cellStyle name="Normal 3 3 3" xfId="703" xr:uid="{00000000-0005-0000-0000-000084230000}"/>
    <cellStyle name="Normal 3 3 3 2" xfId="232" xr:uid="{00000000-0005-0000-0000-000085230000}"/>
    <cellStyle name="Normal 3 3 3 2 2" xfId="1249" xr:uid="{00000000-0005-0000-0000-000086230000}"/>
    <cellStyle name="Normal 3 3 3 2 2 2" xfId="6967" xr:uid="{00000000-0005-0000-0000-000087230000}"/>
    <cellStyle name="Normal 3 3 3 2 2 2 2" xfId="9674" xr:uid="{00000000-0005-0000-0000-000088230000}"/>
    <cellStyle name="Normal 3 3 3 2 2 3" xfId="8335" xr:uid="{00000000-0005-0000-0000-000089230000}"/>
    <cellStyle name="Normal 3 3 3 2 3" xfId="1415" xr:uid="{00000000-0005-0000-0000-00008A230000}"/>
    <cellStyle name="Normal 3 3 3 2 3 2" xfId="7120" xr:uid="{00000000-0005-0000-0000-00008B230000}"/>
    <cellStyle name="Normal 3 3 3 2 3 2 2" xfId="9823" xr:uid="{00000000-0005-0000-0000-00008C230000}"/>
    <cellStyle name="Normal 3 3 3 2 3 3" xfId="8484" xr:uid="{00000000-0005-0000-0000-00008D230000}"/>
    <cellStyle name="Normal 3 3 3 2 4" xfId="6225" xr:uid="{00000000-0005-0000-0000-00008E230000}"/>
    <cellStyle name="Normal 3 3 3 2 4 2" xfId="7703" xr:uid="{00000000-0005-0000-0000-00008F230000}"/>
    <cellStyle name="Normal 3 3 3 2 4 2 2" xfId="10384" xr:uid="{00000000-0005-0000-0000-000090230000}"/>
    <cellStyle name="Normal 3 3 3 2 4 3" xfId="9044" xr:uid="{00000000-0005-0000-0000-000091230000}"/>
    <cellStyle name="Normal 3 3 3 2 5" xfId="6393" xr:uid="{00000000-0005-0000-0000-000092230000}"/>
    <cellStyle name="Normal 3 3 3 2 5 2" xfId="9112" xr:uid="{00000000-0005-0000-0000-000093230000}"/>
    <cellStyle name="Normal 3 3 3 2 6" xfId="7773" xr:uid="{00000000-0005-0000-0000-000094230000}"/>
    <cellStyle name="Normal 3 3 3 3" xfId="5676" xr:uid="{00000000-0005-0000-0000-000095230000}"/>
    <cellStyle name="Normal 3 3 3 4" xfId="6547" xr:uid="{00000000-0005-0000-0000-000096230000}"/>
    <cellStyle name="Normal 3 3 3 4 2" xfId="9261" xr:uid="{00000000-0005-0000-0000-000097230000}"/>
    <cellStyle name="Normal 3 3 3 5" xfId="7922" xr:uid="{00000000-0005-0000-0000-000098230000}"/>
    <cellStyle name="Normal 3 3 4" xfId="1398" xr:uid="{00000000-0005-0000-0000-000099230000}"/>
    <cellStyle name="Normal 3 3 4 2" xfId="7103" xr:uid="{00000000-0005-0000-0000-00009A230000}"/>
    <cellStyle name="Normal 3 3 4 2 2" xfId="9808" xr:uid="{00000000-0005-0000-0000-00009B230000}"/>
    <cellStyle name="Normal 3 3 4 3" xfId="8469" xr:uid="{00000000-0005-0000-0000-00009C230000}"/>
    <cellStyle name="Normal 3 3 5" xfId="1445" xr:uid="{00000000-0005-0000-0000-00009D230000}"/>
    <cellStyle name="Normal 3 3 5 2" xfId="7140" xr:uid="{00000000-0005-0000-0000-00009E230000}"/>
    <cellStyle name="Normal 3 3 5 2 2" xfId="9843" xr:uid="{00000000-0005-0000-0000-00009F230000}"/>
    <cellStyle name="Normal 3 3 5 3" xfId="8503" xr:uid="{00000000-0005-0000-0000-0000A0230000}"/>
    <cellStyle name="Normal 3 3 6" xfId="6378" xr:uid="{00000000-0005-0000-0000-0000A1230000}"/>
    <cellStyle name="Normal 3 3 6 2" xfId="9097" xr:uid="{00000000-0005-0000-0000-0000A2230000}"/>
    <cellStyle name="Normal 3 3 7" xfId="7758" xr:uid="{00000000-0005-0000-0000-0000A3230000}"/>
    <cellStyle name="Normal 3 4" xfId="705" xr:uid="{00000000-0005-0000-0000-0000A4230000}"/>
    <cellStyle name="Normal 3 4 2" xfId="5677" xr:uid="{00000000-0005-0000-0000-0000A5230000}"/>
    <cellStyle name="Normal 3 4 3" xfId="5678" xr:uid="{00000000-0005-0000-0000-0000A6230000}"/>
    <cellStyle name="Normal 3 4 3 2" xfId="7657" xr:uid="{00000000-0005-0000-0000-0000A7230000}"/>
    <cellStyle name="Normal 3 4 3 2 2" xfId="10338" xr:uid="{00000000-0005-0000-0000-0000A8230000}"/>
    <cellStyle name="Normal 3 4 3 3" xfId="8998" xr:uid="{00000000-0005-0000-0000-0000A9230000}"/>
    <cellStyle name="Normal 3 5" xfId="5679" xr:uid="{00000000-0005-0000-0000-0000AA230000}"/>
    <cellStyle name="Normal 3 5 5 2" xfId="53" xr:uid="{00000000-0005-0000-0000-0000AB230000}"/>
    <cellStyle name="Normal 3 5 5 2 10" xfId="10480" xr:uid="{00000000-0005-0000-0000-0000AC230000}"/>
    <cellStyle name="Normal 3 6" xfId="5680" xr:uid="{00000000-0005-0000-0000-0000AD230000}"/>
    <cellStyle name="Normal 3 7" xfId="5681" xr:uid="{00000000-0005-0000-0000-0000AE230000}"/>
    <cellStyle name="Normal 3 8" xfId="5682" xr:uid="{00000000-0005-0000-0000-0000AF230000}"/>
    <cellStyle name="Normal 3 9" xfId="5683" xr:uid="{00000000-0005-0000-0000-0000B0230000}"/>
    <cellStyle name="Normal 30" xfId="706" xr:uid="{00000000-0005-0000-0000-0000B1230000}"/>
    <cellStyle name="Normal 30 2" xfId="5684" xr:uid="{00000000-0005-0000-0000-0000B2230000}"/>
    <cellStyle name="Normal 30 3" xfId="5685" xr:uid="{00000000-0005-0000-0000-0000B3230000}"/>
    <cellStyle name="Normal 30 4" xfId="5686" xr:uid="{00000000-0005-0000-0000-0000B4230000}"/>
    <cellStyle name="Normal 30 4 2" xfId="7658" xr:uid="{00000000-0005-0000-0000-0000B5230000}"/>
    <cellStyle name="Normal 30 4 2 2" xfId="10339" xr:uid="{00000000-0005-0000-0000-0000B6230000}"/>
    <cellStyle name="Normal 30 4 3" xfId="8999" xr:uid="{00000000-0005-0000-0000-0000B7230000}"/>
    <cellStyle name="Normal 31" xfId="707" xr:uid="{00000000-0005-0000-0000-0000B8230000}"/>
    <cellStyle name="Normal 31 2" xfId="5687" xr:uid="{00000000-0005-0000-0000-0000B9230000}"/>
    <cellStyle name="Normal 31 3" xfId="5688" xr:uid="{00000000-0005-0000-0000-0000BA230000}"/>
    <cellStyle name="Normal 31 4" xfId="5689" xr:uid="{00000000-0005-0000-0000-0000BB230000}"/>
    <cellStyle name="Normal 31 4 2" xfId="7659" xr:uid="{00000000-0005-0000-0000-0000BC230000}"/>
    <cellStyle name="Normal 31 4 2 2" xfId="10340" xr:uid="{00000000-0005-0000-0000-0000BD230000}"/>
    <cellStyle name="Normal 31 4 3" xfId="9000" xr:uid="{00000000-0005-0000-0000-0000BE230000}"/>
    <cellStyle name="Normal 32" xfId="708" xr:uid="{00000000-0005-0000-0000-0000BF230000}"/>
    <cellStyle name="Normal 32 2" xfId="709" xr:uid="{00000000-0005-0000-0000-0000C0230000}"/>
    <cellStyle name="Normal 32 3" xfId="5690" xr:uid="{00000000-0005-0000-0000-0000C1230000}"/>
    <cellStyle name="Normal 32 4" xfId="5691" xr:uid="{00000000-0005-0000-0000-0000C2230000}"/>
    <cellStyle name="Normal 32 4 2" xfId="7660" xr:uid="{00000000-0005-0000-0000-0000C3230000}"/>
    <cellStyle name="Normal 32 4 2 2" xfId="10341" xr:uid="{00000000-0005-0000-0000-0000C4230000}"/>
    <cellStyle name="Normal 32 4 3" xfId="9001" xr:uid="{00000000-0005-0000-0000-0000C5230000}"/>
    <cellStyle name="Normal 32 5" xfId="1461" xr:uid="{00000000-0005-0000-0000-0000C6230000}"/>
    <cellStyle name="Normal 32 5 2" xfId="7154" xr:uid="{00000000-0005-0000-0000-0000C7230000}"/>
    <cellStyle name="Normal 32 5 2 2" xfId="9857" xr:uid="{00000000-0005-0000-0000-0000C8230000}"/>
    <cellStyle name="Normal 32 5 3" xfId="8517" xr:uid="{00000000-0005-0000-0000-0000C9230000}"/>
    <cellStyle name="Normal 32 6" xfId="6549" xr:uid="{00000000-0005-0000-0000-0000CA230000}"/>
    <cellStyle name="Normal 32 6 2" xfId="9263" xr:uid="{00000000-0005-0000-0000-0000CB230000}"/>
    <cellStyle name="Normal 32 7" xfId="7924" xr:uid="{00000000-0005-0000-0000-0000CC230000}"/>
    <cellStyle name="Normal 33" xfId="710" xr:uid="{00000000-0005-0000-0000-0000CD230000}"/>
    <cellStyle name="Normal 33 2" xfId="5692" xr:uid="{00000000-0005-0000-0000-0000CE230000}"/>
    <cellStyle name="Normal 33 3" xfId="5693" xr:uid="{00000000-0005-0000-0000-0000CF230000}"/>
    <cellStyle name="Normal 33 4" xfId="5694" xr:uid="{00000000-0005-0000-0000-0000D0230000}"/>
    <cellStyle name="Normal 33 4 2" xfId="7661" xr:uid="{00000000-0005-0000-0000-0000D1230000}"/>
    <cellStyle name="Normal 33 4 2 2" xfId="10342" xr:uid="{00000000-0005-0000-0000-0000D2230000}"/>
    <cellStyle name="Normal 33 4 3" xfId="9002" xr:uid="{00000000-0005-0000-0000-0000D3230000}"/>
    <cellStyle name="Normal 34" xfId="711" xr:uid="{00000000-0005-0000-0000-0000D4230000}"/>
    <cellStyle name="Normal 34 2" xfId="5695" xr:uid="{00000000-0005-0000-0000-0000D5230000}"/>
    <cellStyle name="Normal 34 3" xfId="5696" xr:uid="{00000000-0005-0000-0000-0000D6230000}"/>
    <cellStyle name="Normal 34 3 2" xfId="7662" xr:uid="{00000000-0005-0000-0000-0000D7230000}"/>
    <cellStyle name="Normal 34 3 2 2" xfId="10343" xr:uid="{00000000-0005-0000-0000-0000D8230000}"/>
    <cellStyle name="Normal 34 3 3" xfId="9003" xr:uid="{00000000-0005-0000-0000-0000D9230000}"/>
    <cellStyle name="Normal 34 6" xfId="10501" xr:uid="{00000000-0005-0000-0000-0000DA230000}"/>
    <cellStyle name="Normal 35" xfId="712" xr:uid="{00000000-0005-0000-0000-0000DB230000}"/>
    <cellStyle name="Normal 35 2" xfId="5697" xr:uid="{00000000-0005-0000-0000-0000DC230000}"/>
    <cellStyle name="Normal 35 3" xfId="5698" xr:uid="{00000000-0005-0000-0000-0000DD230000}"/>
    <cellStyle name="Normal 35 3 2" xfId="7663" xr:uid="{00000000-0005-0000-0000-0000DE230000}"/>
    <cellStyle name="Normal 35 3 2 2" xfId="10344" xr:uid="{00000000-0005-0000-0000-0000DF230000}"/>
    <cellStyle name="Normal 35 3 3" xfId="9004" xr:uid="{00000000-0005-0000-0000-0000E0230000}"/>
    <cellStyle name="Normal 36" xfId="713" xr:uid="{00000000-0005-0000-0000-0000E1230000}"/>
    <cellStyle name="Normal 36 2" xfId="5699" xr:uid="{00000000-0005-0000-0000-0000E2230000}"/>
    <cellStyle name="Normal 36 3" xfId="5700" xr:uid="{00000000-0005-0000-0000-0000E3230000}"/>
    <cellStyle name="Normal 36 3 2" xfId="7664" xr:uid="{00000000-0005-0000-0000-0000E4230000}"/>
    <cellStyle name="Normal 36 3 2 2" xfId="10345" xr:uid="{00000000-0005-0000-0000-0000E5230000}"/>
    <cellStyle name="Normal 36 3 3" xfId="9005" xr:uid="{00000000-0005-0000-0000-0000E6230000}"/>
    <cellStyle name="Normal 37" xfId="714" xr:uid="{00000000-0005-0000-0000-0000E7230000}"/>
    <cellStyle name="Normal 37 2" xfId="5701" xr:uid="{00000000-0005-0000-0000-0000E8230000}"/>
    <cellStyle name="Normal 37 3" xfId="5702" xr:uid="{00000000-0005-0000-0000-0000E9230000}"/>
    <cellStyle name="Normal 37 3 2" xfId="7665" xr:uid="{00000000-0005-0000-0000-0000EA230000}"/>
    <cellStyle name="Normal 37 3 2 2" xfId="10346" xr:uid="{00000000-0005-0000-0000-0000EB230000}"/>
    <cellStyle name="Normal 37 3 3" xfId="9006" xr:uid="{00000000-0005-0000-0000-0000EC230000}"/>
    <cellStyle name="Normal 38" xfId="715" xr:uid="{00000000-0005-0000-0000-0000ED230000}"/>
    <cellStyle name="Normal 38 2" xfId="5703" xr:uid="{00000000-0005-0000-0000-0000EE230000}"/>
    <cellStyle name="Normal 38 3" xfId="5704" xr:uid="{00000000-0005-0000-0000-0000EF230000}"/>
    <cellStyle name="Normal 38 3 2" xfId="7666" xr:uid="{00000000-0005-0000-0000-0000F0230000}"/>
    <cellStyle name="Normal 38 3 2 2" xfId="10347" xr:uid="{00000000-0005-0000-0000-0000F1230000}"/>
    <cellStyle name="Normal 38 3 3" xfId="9007" xr:uid="{00000000-0005-0000-0000-0000F2230000}"/>
    <cellStyle name="Normal 39" xfId="716" xr:uid="{00000000-0005-0000-0000-0000F3230000}"/>
    <cellStyle name="Normal 39 2" xfId="5705" xr:uid="{00000000-0005-0000-0000-0000F4230000}"/>
    <cellStyle name="Normal 39 3" xfId="5706" xr:uid="{00000000-0005-0000-0000-0000F5230000}"/>
    <cellStyle name="Normal 39 3 2" xfId="7667" xr:uid="{00000000-0005-0000-0000-0000F6230000}"/>
    <cellStyle name="Normal 39 3 2 2" xfId="10348" xr:uid="{00000000-0005-0000-0000-0000F7230000}"/>
    <cellStyle name="Normal 39 3 3" xfId="9008" xr:uid="{00000000-0005-0000-0000-0000F8230000}"/>
    <cellStyle name="Normal 4" xfId="11" xr:uid="{00000000-0005-0000-0000-0000F9230000}"/>
    <cellStyle name="Normal 4 10" xfId="5707" xr:uid="{00000000-0005-0000-0000-0000FA230000}"/>
    <cellStyle name="Normal 4 11" xfId="5708" xr:uid="{00000000-0005-0000-0000-0000FB230000}"/>
    <cellStyle name="Normal 4 12" xfId="5709" xr:uid="{00000000-0005-0000-0000-0000FC230000}"/>
    <cellStyle name="Normal 4 13" xfId="5710" xr:uid="{00000000-0005-0000-0000-0000FD230000}"/>
    <cellStyle name="Normal 4 14" xfId="5711" xr:uid="{00000000-0005-0000-0000-0000FE230000}"/>
    <cellStyle name="Normal 4 15" xfId="5712" xr:uid="{00000000-0005-0000-0000-0000FF230000}"/>
    <cellStyle name="Normal 4 16" xfId="5713" xr:uid="{00000000-0005-0000-0000-000000240000}"/>
    <cellStyle name="Normal 4 17" xfId="201" xr:uid="{00000000-0005-0000-0000-000001240000}"/>
    <cellStyle name="Normal 4 18" xfId="120" xr:uid="{00000000-0005-0000-0000-000002240000}"/>
    <cellStyle name="Normal 4 2" xfId="202" xr:uid="{00000000-0005-0000-0000-000003240000}"/>
    <cellStyle name="Normal 4 2 10" xfId="5714" xr:uid="{00000000-0005-0000-0000-000004240000}"/>
    <cellStyle name="Normal 4 2 11" xfId="5715" xr:uid="{00000000-0005-0000-0000-000005240000}"/>
    <cellStyle name="Normal 4 2 12" xfId="5716" xr:uid="{00000000-0005-0000-0000-000006240000}"/>
    <cellStyle name="Normal 4 2 13" xfId="5717" xr:uid="{00000000-0005-0000-0000-000007240000}"/>
    <cellStyle name="Normal 4 2 14" xfId="5718" xr:uid="{00000000-0005-0000-0000-000008240000}"/>
    <cellStyle name="Normal 4 2 2" xfId="718" xr:uid="{00000000-0005-0000-0000-000009240000}"/>
    <cellStyle name="Normal 4 2 2 2" xfId="719" xr:uid="{00000000-0005-0000-0000-00000A240000}"/>
    <cellStyle name="Normal 4 2 2 2 2" xfId="5719" xr:uid="{00000000-0005-0000-0000-00000B240000}"/>
    <cellStyle name="Normal 4 2 2 2 3" xfId="5720" xr:uid="{00000000-0005-0000-0000-00000C240000}"/>
    <cellStyle name="Normal 4 2 2 2 4" xfId="5721" xr:uid="{00000000-0005-0000-0000-00000D240000}"/>
    <cellStyle name="Normal 4 2 2 2 5" xfId="5722" xr:uid="{00000000-0005-0000-0000-00000E240000}"/>
    <cellStyle name="Normal 4 2 2 2 6" xfId="1456" xr:uid="{00000000-0005-0000-0000-00000F240000}"/>
    <cellStyle name="Normal 4 2 2 2 6 2" xfId="7149" xr:uid="{00000000-0005-0000-0000-000010240000}"/>
    <cellStyle name="Normal 4 2 2 2 6 2 2" xfId="9852" xr:uid="{00000000-0005-0000-0000-000011240000}"/>
    <cellStyle name="Normal 4 2 2 2 6 3" xfId="8512" xr:uid="{00000000-0005-0000-0000-000012240000}"/>
    <cellStyle name="Normal 4 2 2 2 7" xfId="6550" xr:uid="{00000000-0005-0000-0000-000013240000}"/>
    <cellStyle name="Normal 4 2 2 2 7 2" xfId="9264" xr:uid="{00000000-0005-0000-0000-000014240000}"/>
    <cellStyle name="Normal 4 2 2 2 8" xfId="7925" xr:uid="{00000000-0005-0000-0000-000015240000}"/>
    <cellStyle name="Normal 4 2 2 3" xfId="720" xr:uid="{00000000-0005-0000-0000-000016240000}"/>
    <cellStyle name="Normal 4 2 2 3 2" xfId="5723" xr:uid="{00000000-0005-0000-0000-000017240000}"/>
    <cellStyle name="Normal 4 2 2 3 3" xfId="6551" xr:uid="{00000000-0005-0000-0000-000018240000}"/>
    <cellStyle name="Normal 4 2 2 3 3 2" xfId="9265" xr:uid="{00000000-0005-0000-0000-000019240000}"/>
    <cellStyle name="Normal 4 2 2 3 4" xfId="7926" xr:uid="{00000000-0005-0000-0000-00001A240000}"/>
    <cellStyle name="Normal 4 2 2 4" xfId="1418" xr:uid="{00000000-0005-0000-0000-00001B240000}"/>
    <cellStyle name="Normal 4 2 2 4 2" xfId="5724" xr:uid="{00000000-0005-0000-0000-00001C240000}"/>
    <cellStyle name="Normal 4 2 2 5" xfId="5725" xr:uid="{00000000-0005-0000-0000-00001D240000}"/>
    <cellStyle name="Normal 4 2 2 6" xfId="1501" xr:uid="{00000000-0005-0000-0000-00001E240000}"/>
    <cellStyle name="Normal 4 2 2 6 2" xfId="7191" xr:uid="{00000000-0005-0000-0000-00001F240000}"/>
    <cellStyle name="Normal 4 2 2 6 2 2" xfId="9894" xr:uid="{00000000-0005-0000-0000-000020240000}"/>
    <cellStyle name="Normal 4 2 2 6 3" xfId="8554" xr:uid="{00000000-0005-0000-0000-000021240000}"/>
    <cellStyle name="Normal 4 2 3" xfId="1266" xr:uid="{00000000-0005-0000-0000-000022240000}"/>
    <cellStyle name="Normal 4 2 3 2" xfId="5726" xr:uid="{00000000-0005-0000-0000-000023240000}"/>
    <cellStyle name="Normal 4 2 4" xfId="717" xr:uid="{00000000-0005-0000-0000-000024240000}"/>
    <cellStyle name="Normal 4 2 4 2" xfId="5727" xr:uid="{00000000-0005-0000-0000-000025240000}"/>
    <cellStyle name="Normal 4 2 5" xfId="1399" xr:uid="{00000000-0005-0000-0000-000026240000}"/>
    <cellStyle name="Normal 4 2 5 2" xfId="5728" xr:uid="{00000000-0005-0000-0000-000027240000}"/>
    <cellStyle name="Normal 4 2 5 3" xfId="7104" xr:uid="{00000000-0005-0000-0000-000028240000}"/>
    <cellStyle name="Normal 4 2 6" xfId="5729" xr:uid="{00000000-0005-0000-0000-000029240000}"/>
    <cellStyle name="Normal 4 2 7" xfId="5730" xr:uid="{00000000-0005-0000-0000-00002A240000}"/>
    <cellStyle name="Normal 4 2 8" xfId="5731" xr:uid="{00000000-0005-0000-0000-00002B240000}"/>
    <cellStyle name="Normal 4 2 9" xfId="5732" xr:uid="{00000000-0005-0000-0000-00002C240000}"/>
    <cellStyle name="Normal 4 3" xfId="203" xr:uid="{00000000-0005-0000-0000-00002D240000}"/>
    <cellStyle name="Normal 4 3 2" xfId="722" xr:uid="{00000000-0005-0000-0000-00002E240000}"/>
    <cellStyle name="Normal 4 3 2 2" xfId="723" xr:uid="{00000000-0005-0000-0000-00002F240000}"/>
    <cellStyle name="Normal 4 3 2 2 2" xfId="724" xr:uid="{00000000-0005-0000-0000-000030240000}"/>
    <cellStyle name="Normal 4 3 2 2 2 2" xfId="1498" xr:uid="{00000000-0005-0000-0000-000031240000}"/>
    <cellStyle name="Normal 4 3 2 2 2 2 2" xfId="7188" xr:uid="{00000000-0005-0000-0000-000032240000}"/>
    <cellStyle name="Normal 4 3 2 2 2 2 2 2" xfId="9891" xr:uid="{00000000-0005-0000-0000-000033240000}"/>
    <cellStyle name="Normal 4 3 2 2 2 2 3" xfId="8551" xr:uid="{00000000-0005-0000-0000-000034240000}"/>
    <cellStyle name="Normal 4 3 2 2 2 3" xfId="6555" xr:uid="{00000000-0005-0000-0000-000035240000}"/>
    <cellStyle name="Normal 4 3 2 2 2 3 2" xfId="9269" xr:uid="{00000000-0005-0000-0000-000036240000}"/>
    <cellStyle name="Normal 4 3 2 2 2 4" xfId="7930" xr:uid="{00000000-0005-0000-0000-000037240000}"/>
    <cellStyle name="Normal 4 3 2 2 3" xfId="1486" xr:uid="{00000000-0005-0000-0000-000038240000}"/>
    <cellStyle name="Normal 4 3 2 2 3 2" xfId="7177" xr:uid="{00000000-0005-0000-0000-000039240000}"/>
    <cellStyle name="Normal 4 3 2 2 3 2 2" xfId="9880" xr:uid="{00000000-0005-0000-0000-00003A240000}"/>
    <cellStyle name="Normal 4 3 2 2 3 3" xfId="8540" xr:uid="{00000000-0005-0000-0000-00003B240000}"/>
    <cellStyle name="Normal 4 3 2 2 4" xfId="6554" xr:uid="{00000000-0005-0000-0000-00003C240000}"/>
    <cellStyle name="Normal 4 3 2 2 4 2" xfId="9268" xr:uid="{00000000-0005-0000-0000-00003D240000}"/>
    <cellStyle name="Normal 4 3 2 2 5" xfId="7929" xr:uid="{00000000-0005-0000-0000-00003E240000}"/>
    <cellStyle name="Normal 4 3 2 3" xfId="725" xr:uid="{00000000-0005-0000-0000-00003F240000}"/>
    <cellStyle name="Normal 4 3 2 3 2" xfId="1429" xr:uid="{00000000-0005-0000-0000-000040240000}"/>
    <cellStyle name="Normal 4 3 2 3 2 2" xfId="7127" xr:uid="{00000000-0005-0000-0000-000041240000}"/>
    <cellStyle name="Normal 4 3 2 3 2 2 2" xfId="9830" xr:uid="{00000000-0005-0000-0000-000042240000}"/>
    <cellStyle name="Normal 4 3 2 3 2 3" xfId="8490" xr:uid="{00000000-0005-0000-0000-000043240000}"/>
    <cellStyle name="Normal 4 3 2 3 3" xfId="6556" xr:uid="{00000000-0005-0000-0000-000044240000}"/>
    <cellStyle name="Normal 4 3 2 3 3 2" xfId="9270" xr:uid="{00000000-0005-0000-0000-000045240000}"/>
    <cellStyle name="Normal 4 3 2 3 4" xfId="7931" xr:uid="{00000000-0005-0000-0000-000046240000}"/>
    <cellStyle name="Normal 4 3 2 4" xfId="5733" xr:uid="{00000000-0005-0000-0000-000047240000}"/>
    <cellStyle name="Normal 4 3 2 5" xfId="5734" xr:uid="{00000000-0005-0000-0000-000048240000}"/>
    <cellStyle name="Normal 4 3 2 6" xfId="1503" xr:uid="{00000000-0005-0000-0000-000049240000}"/>
    <cellStyle name="Normal 4 3 2 6 2" xfId="7193" xr:uid="{00000000-0005-0000-0000-00004A240000}"/>
    <cellStyle name="Normal 4 3 2 6 2 2" xfId="9896" xr:uid="{00000000-0005-0000-0000-00004B240000}"/>
    <cellStyle name="Normal 4 3 2 6 3" xfId="8556" xr:uid="{00000000-0005-0000-0000-00004C240000}"/>
    <cellStyle name="Normal 4 3 2 7" xfId="6553" xr:uid="{00000000-0005-0000-0000-00004D240000}"/>
    <cellStyle name="Normal 4 3 2 7 2" xfId="9267" xr:uid="{00000000-0005-0000-0000-00004E240000}"/>
    <cellStyle name="Normal 4 3 2 8" xfId="7928" xr:uid="{00000000-0005-0000-0000-00004F240000}"/>
    <cellStyle name="Normal 4 3 3" xfId="726" xr:uid="{00000000-0005-0000-0000-000050240000}"/>
    <cellStyle name="Normal 4 3 3 2" xfId="727" xr:uid="{00000000-0005-0000-0000-000051240000}"/>
    <cellStyle name="Normal 4 3 3 2 2" xfId="1505" xr:uid="{00000000-0005-0000-0000-000052240000}"/>
    <cellStyle name="Normal 4 3 3 2 2 2" xfId="7195" xr:uid="{00000000-0005-0000-0000-000053240000}"/>
    <cellStyle name="Normal 4 3 3 2 2 2 2" xfId="9898" xr:uid="{00000000-0005-0000-0000-000054240000}"/>
    <cellStyle name="Normal 4 3 3 2 2 3" xfId="8558" xr:uid="{00000000-0005-0000-0000-000055240000}"/>
    <cellStyle name="Normal 4 3 3 2 3" xfId="6558" xr:uid="{00000000-0005-0000-0000-000056240000}"/>
    <cellStyle name="Normal 4 3 3 2 3 2" xfId="9272" xr:uid="{00000000-0005-0000-0000-000057240000}"/>
    <cellStyle name="Normal 4 3 3 2 4" xfId="7933" xr:uid="{00000000-0005-0000-0000-000058240000}"/>
    <cellStyle name="Normal 4 3 3 3" xfId="1504" xr:uid="{00000000-0005-0000-0000-000059240000}"/>
    <cellStyle name="Normal 4 3 3 3 2" xfId="7194" xr:uid="{00000000-0005-0000-0000-00005A240000}"/>
    <cellStyle name="Normal 4 3 3 3 2 2" xfId="9897" xr:uid="{00000000-0005-0000-0000-00005B240000}"/>
    <cellStyle name="Normal 4 3 3 3 3" xfId="8557" xr:uid="{00000000-0005-0000-0000-00005C240000}"/>
    <cellStyle name="Normal 4 3 3 4" xfId="6557" xr:uid="{00000000-0005-0000-0000-00005D240000}"/>
    <cellStyle name="Normal 4 3 3 4 2" xfId="9271" xr:uid="{00000000-0005-0000-0000-00005E240000}"/>
    <cellStyle name="Normal 4 3 3 5" xfId="7932" xr:uid="{00000000-0005-0000-0000-00005F240000}"/>
    <cellStyle name="Normal 4 3 4" xfId="728" xr:uid="{00000000-0005-0000-0000-000060240000}"/>
    <cellStyle name="Normal 4 3 4 2" xfId="729" xr:uid="{00000000-0005-0000-0000-000061240000}"/>
    <cellStyle name="Normal 4 3 4 2 2" xfId="1496" xr:uid="{00000000-0005-0000-0000-000062240000}"/>
    <cellStyle name="Normal 4 3 4 2 2 2" xfId="7187" xr:uid="{00000000-0005-0000-0000-000063240000}"/>
    <cellStyle name="Normal 4 3 4 2 2 2 2" xfId="9890" xr:uid="{00000000-0005-0000-0000-000064240000}"/>
    <cellStyle name="Normal 4 3 4 2 2 3" xfId="8550" xr:uid="{00000000-0005-0000-0000-000065240000}"/>
    <cellStyle name="Normal 4 3 4 2 3" xfId="6560" xr:uid="{00000000-0005-0000-0000-000066240000}"/>
    <cellStyle name="Normal 4 3 4 2 3 2" xfId="9274" xr:uid="{00000000-0005-0000-0000-000067240000}"/>
    <cellStyle name="Normal 4 3 4 2 4" xfId="7935" xr:uid="{00000000-0005-0000-0000-000068240000}"/>
    <cellStyle name="Normal 4 3 4 3" xfId="1437" xr:uid="{00000000-0005-0000-0000-000069240000}"/>
    <cellStyle name="Normal 4 3 4 3 2" xfId="7133" xr:uid="{00000000-0005-0000-0000-00006A240000}"/>
    <cellStyle name="Normal 4 3 4 3 2 2" xfId="9836" xr:uid="{00000000-0005-0000-0000-00006B240000}"/>
    <cellStyle name="Normal 4 3 4 3 3" xfId="8496" xr:uid="{00000000-0005-0000-0000-00006C240000}"/>
    <cellStyle name="Normal 4 3 4 4" xfId="6559" xr:uid="{00000000-0005-0000-0000-00006D240000}"/>
    <cellStyle name="Normal 4 3 4 4 2" xfId="9273" xr:uid="{00000000-0005-0000-0000-00006E240000}"/>
    <cellStyle name="Normal 4 3 4 5" xfId="7934" xr:uid="{00000000-0005-0000-0000-00006F240000}"/>
    <cellStyle name="Normal 4 3 5" xfId="730" xr:uid="{00000000-0005-0000-0000-000070240000}"/>
    <cellStyle name="Normal 4 3 5 2" xfId="1506" xr:uid="{00000000-0005-0000-0000-000071240000}"/>
    <cellStyle name="Normal 4 3 5 2 2" xfId="7196" xr:uid="{00000000-0005-0000-0000-000072240000}"/>
    <cellStyle name="Normal 4 3 5 2 2 2" xfId="9899" xr:uid="{00000000-0005-0000-0000-000073240000}"/>
    <cellStyle name="Normal 4 3 5 2 3" xfId="8559" xr:uid="{00000000-0005-0000-0000-000074240000}"/>
    <cellStyle name="Normal 4 3 5 3" xfId="6561" xr:uid="{00000000-0005-0000-0000-000075240000}"/>
    <cellStyle name="Normal 4 3 5 3 2" xfId="9275" xr:uid="{00000000-0005-0000-0000-000076240000}"/>
    <cellStyle name="Normal 4 3 5 4" xfId="7936" xr:uid="{00000000-0005-0000-0000-000077240000}"/>
    <cellStyle name="Normal 4 3 6" xfId="1265" xr:uid="{00000000-0005-0000-0000-000078240000}"/>
    <cellStyle name="Normal 4 3 7" xfId="721" xr:uid="{00000000-0005-0000-0000-000079240000}"/>
    <cellStyle name="Normal 4 3 7 2" xfId="6552" xr:uid="{00000000-0005-0000-0000-00007A240000}"/>
    <cellStyle name="Normal 4 3 7 2 2" xfId="9266" xr:uid="{00000000-0005-0000-0000-00007B240000}"/>
    <cellStyle name="Normal 4 3 7 3" xfId="7927" xr:uid="{00000000-0005-0000-0000-00007C240000}"/>
    <cellStyle name="Normal 4 3 8" xfId="1502" xr:uid="{00000000-0005-0000-0000-00007D240000}"/>
    <cellStyle name="Normal 4 3 8 2" xfId="7192" xr:uid="{00000000-0005-0000-0000-00007E240000}"/>
    <cellStyle name="Normal 4 3 8 2 2" xfId="9895" xr:uid="{00000000-0005-0000-0000-00007F240000}"/>
    <cellStyle name="Normal 4 3 8 3" xfId="8555" xr:uid="{00000000-0005-0000-0000-000080240000}"/>
    <cellStyle name="Normal 4 4" xfId="731" xr:uid="{00000000-0005-0000-0000-000081240000}"/>
    <cellStyle name="Normal 4 4 2" xfId="732" xr:uid="{00000000-0005-0000-0000-000082240000}"/>
    <cellStyle name="Normal 4 4 2 2" xfId="733" xr:uid="{00000000-0005-0000-0000-000083240000}"/>
    <cellStyle name="Normal 4 4 2 2 2" xfId="1507" xr:uid="{00000000-0005-0000-0000-000084240000}"/>
    <cellStyle name="Normal 4 4 2 2 2 2" xfId="7197" xr:uid="{00000000-0005-0000-0000-000085240000}"/>
    <cellStyle name="Normal 4 4 2 2 2 2 2" xfId="9900" xr:uid="{00000000-0005-0000-0000-000086240000}"/>
    <cellStyle name="Normal 4 4 2 2 2 3" xfId="8560" xr:uid="{00000000-0005-0000-0000-000087240000}"/>
    <cellStyle name="Normal 4 4 2 2 3" xfId="6564" xr:uid="{00000000-0005-0000-0000-000088240000}"/>
    <cellStyle name="Normal 4 4 2 2 3 2" xfId="9278" xr:uid="{00000000-0005-0000-0000-000089240000}"/>
    <cellStyle name="Normal 4 4 2 2 4" xfId="7939" xr:uid="{00000000-0005-0000-0000-00008A240000}"/>
    <cellStyle name="Normal 4 4 2 3" xfId="1464" xr:uid="{00000000-0005-0000-0000-00008B240000}"/>
    <cellStyle name="Normal 4 4 2 3 2" xfId="7157" xr:uid="{00000000-0005-0000-0000-00008C240000}"/>
    <cellStyle name="Normal 4 4 2 3 2 2" xfId="9860" xr:uid="{00000000-0005-0000-0000-00008D240000}"/>
    <cellStyle name="Normal 4 4 2 3 3" xfId="8520" xr:uid="{00000000-0005-0000-0000-00008E240000}"/>
    <cellStyle name="Normal 4 4 2 4" xfId="6563" xr:uid="{00000000-0005-0000-0000-00008F240000}"/>
    <cellStyle name="Normal 4 4 2 4 2" xfId="9277" xr:uid="{00000000-0005-0000-0000-000090240000}"/>
    <cellStyle name="Normal 4 4 2 5" xfId="7938" xr:uid="{00000000-0005-0000-0000-000091240000}"/>
    <cellStyle name="Normal 4 4 3" xfId="734" xr:uid="{00000000-0005-0000-0000-000092240000}"/>
    <cellStyle name="Normal 4 4 3 2" xfId="1472" xr:uid="{00000000-0005-0000-0000-000093240000}"/>
    <cellStyle name="Normal 4 4 3 2 2" xfId="7164" xr:uid="{00000000-0005-0000-0000-000094240000}"/>
    <cellStyle name="Normal 4 4 3 2 2 2" xfId="9867" xr:uid="{00000000-0005-0000-0000-000095240000}"/>
    <cellStyle name="Normal 4 4 3 2 3" xfId="8527" xr:uid="{00000000-0005-0000-0000-000096240000}"/>
    <cellStyle name="Normal 4 4 3 3" xfId="6565" xr:uid="{00000000-0005-0000-0000-000097240000}"/>
    <cellStyle name="Normal 4 4 3 3 2" xfId="9279" xr:uid="{00000000-0005-0000-0000-000098240000}"/>
    <cellStyle name="Normal 4 4 3 4" xfId="7940" xr:uid="{00000000-0005-0000-0000-000099240000}"/>
    <cellStyle name="Normal 4 4 4" xfId="1446" xr:uid="{00000000-0005-0000-0000-00009A240000}"/>
    <cellStyle name="Normal 4 4 4 2" xfId="7141" xr:uid="{00000000-0005-0000-0000-00009B240000}"/>
    <cellStyle name="Normal 4 4 4 2 2" xfId="9844" xr:uid="{00000000-0005-0000-0000-00009C240000}"/>
    <cellStyle name="Normal 4 4 4 3" xfId="8504" xr:uid="{00000000-0005-0000-0000-00009D240000}"/>
    <cellStyle name="Normal 4 4 5" xfId="6562" xr:uid="{00000000-0005-0000-0000-00009E240000}"/>
    <cellStyle name="Normal 4 4 5 2" xfId="9276" xr:uid="{00000000-0005-0000-0000-00009F240000}"/>
    <cellStyle name="Normal 4 4 6" xfId="7937" xr:uid="{00000000-0005-0000-0000-0000A0240000}"/>
    <cellStyle name="Normal 4 5" xfId="735" xr:uid="{00000000-0005-0000-0000-0000A1240000}"/>
    <cellStyle name="Normal 4 5 2" xfId="736" xr:uid="{00000000-0005-0000-0000-0000A2240000}"/>
    <cellStyle name="Normal 4 5 2 2" xfId="1451" xr:uid="{00000000-0005-0000-0000-0000A3240000}"/>
    <cellStyle name="Normal 4 5 2 2 2" xfId="7146" xr:uid="{00000000-0005-0000-0000-0000A4240000}"/>
    <cellStyle name="Normal 4 5 2 2 2 2" xfId="9849" xr:uid="{00000000-0005-0000-0000-0000A5240000}"/>
    <cellStyle name="Normal 4 5 2 2 3" xfId="8509" xr:uid="{00000000-0005-0000-0000-0000A6240000}"/>
    <cellStyle name="Normal 4 5 2 3" xfId="6567" xr:uid="{00000000-0005-0000-0000-0000A7240000}"/>
    <cellStyle name="Normal 4 5 2 3 2" xfId="9281" xr:uid="{00000000-0005-0000-0000-0000A8240000}"/>
    <cellStyle name="Normal 4 5 2 4" xfId="7942" xr:uid="{00000000-0005-0000-0000-0000A9240000}"/>
    <cellStyle name="Normal 4 5 3" xfId="1449" xr:uid="{00000000-0005-0000-0000-0000AA240000}"/>
    <cellStyle name="Normal 4 5 3 2" xfId="7144" xr:uid="{00000000-0005-0000-0000-0000AB240000}"/>
    <cellStyle name="Normal 4 5 3 2 2" xfId="9847" xr:uid="{00000000-0005-0000-0000-0000AC240000}"/>
    <cellStyle name="Normal 4 5 3 3" xfId="8507" xr:uid="{00000000-0005-0000-0000-0000AD240000}"/>
    <cellStyle name="Normal 4 5 4" xfId="6566" xr:uid="{00000000-0005-0000-0000-0000AE240000}"/>
    <cellStyle name="Normal 4 5 4 2" xfId="9280" xr:uid="{00000000-0005-0000-0000-0000AF240000}"/>
    <cellStyle name="Normal 4 5 5" xfId="7941" xr:uid="{00000000-0005-0000-0000-0000B0240000}"/>
    <cellStyle name="Normal 4 6" xfId="737" xr:uid="{00000000-0005-0000-0000-0000B1240000}"/>
    <cellStyle name="Normal 4 6 2" xfId="738" xr:uid="{00000000-0005-0000-0000-0000B2240000}"/>
    <cellStyle name="Normal 4 6 2 2" xfId="1509" xr:uid="{00000000-0005-0000-0000-0000B3240000}"/>
    <cellStyle name="Normal 4 6 2 2 2" xfId="7199" xr:uid="{00000000-0005-0000-0000-0000B4240000}"/>
    <cellStyle name="Normal 4 6 2 2 2 2" xfId="9902" xr:uid="{00000000-0005-0000-0000-0000B5240000}"/>
    <cellStyle name="Normal 4 6 2 2 3" xfId="8562" xr:uid="{00000000-0005-0000-0000-0000B6240000}"/>
    <cellStyle name="Normal 4 6 2 3" xfId="6569" xr:uid="{00000000-0005-0000-0000-0000B7240000}"/>
    <cellStyle name="Normal 4 6 2 3 2" xfId="9283" xr:uid="{00000000-0005-0000-0000-0000B8240000}"/>
    <cellStyle name="Normal 4 6 2 4" xfId="7944" xr:uid="{00000000-0005-0000-0000-0000B9240000}"/>
    <cellStyle name="Normal 4 6 3" xfId="1508" xr:uid="{00000000-0005-0000-0000-0000BA240000}"/>
    <cellStyle name="Normal 4 6 3 2" xfId="7198" xr:uid="{00000000-0005-0000-0000-0000BB240000}"/>
    <cellStyle name="Normal 4 6 3 2 2" xfId="9901" xr:uid="{00000000-0005-0000-0000-0000BC240000}"/>
    <cellStyle name="Normal 4 6 3 3" xfId="8561" xr:uid="{00000000-0005-0000-0000-0000BD240000}"/>
    <cellStyle name="Normal 4 6 4" xfId="6568" xr:uid="{00000000-0005-0000-0000-0000BE240000}"/>
    <cellStyle name="Normal 4 6 4 2" xfId="9282" xr:uid="{00000000-0005-0000-0000-0000BF240000}"/>
    <cellStyle name="Normal 4 6 5" xfId="7943" xr:uid="{00000000-0005-0000-0000-0000C0240000}"/>
    <cellStyle name="Normal 4 7" xfId="739" xr:uid="{00000000-0005-0000-0000-0000C1240000}"/>
    <cellStyle name="Normal 4 7 2" xfId="1510" xr:uid="{00000000-0005-0000-0000-0000C2240000}"/>
    <cellStyle name="Normal 4 7 2 2" xfId="7200" xr:uid="{00000000-0005-0000-0000-0000C3240000}"/>
    <cellStyle name="Normal 4 7 2 2 2" xfId="9903" xr:uid="{00000000-0005-0000-0000-0000C4240000}"/>
    <cellStyle name="Normal 4 7 2 3" xfId="8563" xr:uid="{00000000-0005-0000-0000-0000C5240000}"/>
    <cellStyle name="Normal 4 7 3" xfId="6570" xr:uid="{00000000-0005-0000-0000-0000C6240000}"/>
    <cellStyle name="Normal 4 7 3 2" xfId="9284" xr:uid="{00000000-0005-0000-0000-0000C7240000}"/>
    <cellStyle name="Normal 4 7 4" xfId="7945" xr:uid="{00000000-0005-0000-0000-0000C8240000}"/>
    <cellStyle name="Normal 4 8" xfId="250" xr:uid="{00000000-0005-0000-0000-0000C9240000}"/>
    <cellStyle name="Normal 4 8 2" xfId="5735" xr:uid="{00000000-0005-0000-0000-0000CA240000}"/>
    <cellStyle name="Normal 4 9" xfId="5736" xr:uid="{00000000-0005-0000-0000-0000CB240000}"/>
    <cellStyle name="Normal 40" xfId="251" xr:uid="{00000000-0005-0000-0000-0000CC240000}"/>
    <cellStyle name="Normal 40 2" xfId="740" xr:uid="{00000000-0005-0000-0000-0000CD240000}"/>
    <cellStyle name="Normal 40 3" xfId="5737" xr:uid="{00000000-0005-0000-0000-0000CE240000}"/>
    <cellStyle name="Normal 40 3 2" xfId="7668" xr:uid="{00000000-0005-0000-0000-0000CF240000}"/>
    <cellStyle name="Normal 40 3 2 2" xfId="10349" xr:uid="{00000000-0005-0000-0000-0000D0240000}"/>
    <cellStyle name="Normal 40 3 3" xfId="9009" xr:uid="{00000000-0005-0000-0000-0000D1240000}"/>
    <cellStyle name="Normal 41" xfId="741" xr:uid="{00000000-0005-0000-0000-0000D2240000}"/>
    <cellStyle name="Normal 41 2" xfId="5738" xr:uid="{00000000-0005-0000-0000-0000D3240000}"/>
    <cellStyle name="Normal 41 3" xfId="5739" xr:uid="{00000000-0005-0000-0000-0000D4240000}"/>
    <cellStyle name="Normal 41 3 2" xfId="7669" xr:uid="{00000000-0005-0000-0000-0000D5240000}"/>
    <cellStyle name="Normal 41 3 2 2" xfId="10350" xr:uid="{00000000-0005-0000-0000-0000D6240000}"/>
    <cellStyle name="Normal 41 3 3" xfId="9010" xr:uid="{00000000-0005-0000-0000-0000D7240000}"/>
    <cellStyle name="Normal 41 4" xfId="1463" xr:uid="{00000000-0005-0000-0000-0000D8240000}"/>
    <cellStyle name="Normal 41 4 2" xfId="7156" xr:uid="{00000000-0005-0000-0000-0000D9240000}"/>
    <cellStyle name="Normal 41 4 2 2" xfId="9859" xr:uid="{00000000-0005-0000-0000-0000DA240000}"/>
    <cellStyle name="Normal 41 4 3" xfId="8519" xr:uid="{00000000-0005-0000-0000-0000DB240000}"/>
    <cellStyle name="Normal 41 5" xfId="6571" xr:uid="{00000000-0005-0000-0000-0000DC240000}"/>
    <cellStyle name="Normal 41 5 2" xfId="9285" xr:uid="{00000000-0005-0000-0000-0000DD240000}"/>
    <cellStyle name="Normal 41 6" xfId="7946" xr:uid="{00000000-0005-0000-0000-0000DE240000}"/>
    <cellStyle name="Normal 42" xfId="742" xr:uid="{00000000-0005-0000-0000-0000DF240000}"/>
    <cellStyle name="Normal 42 2" xfId="5740" xr:uid="{00000000-0005-0000-0000-0000E0240000}"/>
    <cellStyle name="Normal 42 3" xfId="5741" xr:uid="{00000000-0005-0000-0000-0000E1240000}"/>
    <cellStyle name="Normal 42 3 2" xfId="7670" xr:uid="{00000000-0005-0000-0000-0000E2240000}"/>
    <cellStyle name="Normal 42 3 2 2" xfId="10351" xr:uid="{00000000-0005-0000-0000-0000E3240000}"/>
    <cellStyle name="Normal 42 3 3" xfId="9011" xr:uid="{00000000-0005-0000-0000-0000E4240000}"/>
    <cellStyle name="Normal 42 4" xfId="1465" xr:uid="{00000000-0005-0000-0000-0000E5240000}"/>
    <cellStyle name="Normal 42 4 2" xfId="7158" xr:uid="{00000000-0005-0000-0000-0000E6240000}"/>
    <cellStyle name="Normal 42 4 2 2" xfId="9861" xr:uid="{00000000-0005-0000-0000-0000E7240000}"/>
    <cellStyle name="Normal 42 4 3" xfId="8521" xr:uid="{00000000-0005-0000-0000-0000E8240000}"/>
    <cellStyle name="Normal 42 5" xfId="6572" xr:uid="{00000000-0005-0000-0000-0000E9240000}"/>
    <cellStyle name="Normal 42 5 2" xfId="9286" xr:uid="{00000000-0005-0000-0000-0000EA240000}"/>
    <cellStyle name="Normal 42 6" xfId="7947" xr:uid="{00000000-0005-0000-0000-0000EB240000}"/>
    <cellStyle name="Normal 43" xfId="743" xr:uid="{00000000-0005-0000-0000-0000EC240000}"/>
    <cellStyle name="Normal 43 2" xfId="5742" xr:uid="{00000000-0005-0000-0000-0000ED240000}"/>
    <cellStyle name="Normal 43 3" xfId="5743" xr:uid="{00000000-0005-0000-0000-0000EE240000}"/>
    <cellStyle name="Normal 43 3 2" xfId="7671" xr:uid="{00000000-0005-0000-0000-0000EF240000}"/>
    <cellStyle name="Normal 43 3 2 2" xfId="10352" xr:uid="{00000000-0005-0000-0000-0000F0240000}"/>
    <cellStyle name="Normal 43 3 3" xfId="9012" xr:uid="{00000000-0005-0000-0000-0000F1240000}"/>
    <cellStyle name="Normal 43 4" xfId="1474" xr:uid="{00000000-0005-0000-0000-0000F2240000}"/>
    <cellStyle name="Normal 43 4 2" xfId="7166" xr:uid="{00000000-0005-0000-0000-0000F3240000}"/>
    <cellStyle name="Normal 43 4 2 2" xfId="9869" xr:uid="{00000000-0005-0000-0000-0000F4240000}"/>
    <cellStyle name="Normal 43 4 3" xfId="8529" xr:uid="{00000000-0005-0000-0000-0000F5240000}"/>
    <cellStyle name="Normal 43 5" xfId="6573" xr:uid="{00000000-0005-0000-0000-0000F6240000}"/>
    <cellStyle name="Normal 43 5 2" xfId="9287" xr:uid="{00000000-0005-0000-0000-0000F7240000}"/>
    <cellStyle name="Normal 43 6" xfId="7948" xr:uid="{00000000-0005-0000-0000-0000F8240000}"/>
    <cellStyle name="Normal 44" xfId="744" xr:uid="{00000000-0005-0000-0000-0000F9240000}"/>
    <cellStyle name="Normal 44 2" xfId="5744" xr:uid="{00000000-0005-0000-0000-0000FA240000}"/>
    <cellStyle name="Normal 44 3" xfId="5745" xr:uid="{00000000-0005-0000-0000-0000FB240000}"/>
    <cellStyle name="Normal 44 3 2" xfId="7672" xr:uid="{00000000-0005-0000-0000-0000FC240000}"/>
    <cellStyle name="Normal 44 3 2 2" xfId="10353" xr:uid="{00000000-0005-0000-0000-0000FD240000}"/>
    <cellStyle name="Normal 44 3 3" xfId="9013" xr:uid="{00000000-0005-0000-0000-0000FE240000}"/>
    <cellStyle name="Normal 44 4" xfId="1440" xr:uid="{00000000-0005-0000-0000-0000FF240000}"/>
    <cellStyle name="Normal 44 4 2" xfId="7136" xr:uid="{00000000-0005-0000-0000-000000250000}"/>
    <cellStyle name="Normal 44 4 2 2" xfId="9839" xr:uid="{00000000-0005-0000-0000-000001250000}"/>
    <cellStyle name="Normal 44 4 3" xfId="8499" xr:uid="{00000000-0005-0000-0000-000002250000}"/>
    <cellStyle name="Normal 44 5" xfId="6574" xr:uid="{00000000-0005-0000-0000-000003250000}"/>
    <cellStyle name="Normal 44 5 2" xfId="9288" xr:uid="{00000000-0005-0000-0000-000004250000}"/>
    <cellStyle name="Normal 44 6" xfId="7949" xr:uid="{00000000-0005-0000-0000-000005250000}"/>
    <cellStyle name="Normal 45" xfId="745" xr:uid="{00000000-0005-0000-0000-000006250000}"/>
    <cellStyle name="Normal 45 2" xfId="5746" xr:uid="{00000000-0005-0000-0000-000007250000}"/>
    <cellStyle name="Normal 45 3" xfId="5747" xr:uid="{00000000-0005-0000-0000-000008250000}"/>
    <cellStyle name="Normal 45 3 2" xfId="7673" xr:uid="{00000000-0005-0000-0000-000009250000}"/>
    <cellStyle name="Normal 45 3 2 2" xfId="10354" xr:uid="{00000000-0005-0000-0000-00000A250000}"/>
    <cellStyle name="Normal 45 3 3" xfId="9014" xr:uid="{00000000-0005-0000-0000-00000B250000}"/>
    <cellStyle name="Normal 45 4" xfId="1477" xr:uid="{00000000-0005-0000-0000-00000C250000}"/>
    <cellStyle name="Normal 45 4 2" xfId="7169" xr:uid="{00000000-0005-0000-0000-00000D250000}"/>
    <cellStyle name="Normal 45 4 2 2" xfId="9872" xr:uid="{00000000-0005-0000-0000-00000E250000}"/>
    <cellStyle name="Normal 45 4 3" xfId="8532" xr:uid="{00000000-0005-0000-0000-00000F250000}"/>
    <cellStyle name="Normal 45 5" xfId="6575" xr:uid="{00000000-0005-0000-0000-000010250000}"/>
    <cellStyle name="Normal 45 5 2" xfId="9289" xr:uid="{00000000-0005-0000-0000-000011250000}"/>
    <cellStyle name="Normal 45 6" xfId="7950" xr:uid="{00000000-0005-0000-0000-000012250000}"/>
    <cellStyle name="Normal 46" xfId="746" xr:uid="{00000000-0005-0000-0000-000013250000}"/>
    <cellStyle name="Normal 46 2" xfId="5748" xr:uid="{00000000-0005-0000-0000-000014250000}"/>
    <cellStyle name="Normal 46 3" xfId="5749" xr:uid="{00000000-0005-0000-0000-000015250000}"/>
    <cellStyle name="Normal 46 3 2" xfId="7674" xr:uid="{00000000-0005-0000-0000-000016250000}"/>
    <cellStyle name="Normal 46 3 2 2" xfId="10355" xr:uid="{00000000-0005-0000-0000-000017250000}"/>
    <cellStyle name="Normal 46 3 3" xfId="9015" xr:uid="{00000000-0005-0000-0000-000018250000}"/>
    <cellStyle name="Normal 46 4" xfId="1479" xr:uid="{00000000-0005-0000-0000-000019250000}"/>
    <cellStyle name="Normal 46 4 2" xfId="7171" xr:uid="{00000000-0005-0000-0000-00001A250000}"/>
    <cellStyle name="Normal 46 4 2 2" xfId="9874" xr:uid="{00000000-0005-0000-0000-00001B250000}"/>
    <cellStyle name="Normal 46 4 3" xfId="8534" xr:uid="{00000000-0005-0000-0000-00001C250000}"/>
    <cellStyle name="Normal 46 5" xfId="6576" xr:uid="{00000000-0005-0000-0000-00001D250000}"/>
    <cellStyle name="Normal 46 5 2" xfId="9290" xr:uid="{00000000-0005-0000-0000-00001E250000}"/>
    <cellStyle name="Normal 46 6" xfId="7951" xr:uid="{00000000-0005-0000-0000-00001F250000}"/>
    <cellStyle name="Normal 47" xfId="84" xr:uid="{00000000-0005-0000-0000-000020250000}"/>
    <cellStyle name="Normal 47 2" xfId="5750" xr:uid="{00000000-0005-0000-0000-000021250000}"/>
    <cellStyle name="Normal 47 3" xfId="5751" xr:uid="{00000000-0005-0000-0000-000022250000}"/>
    <cellStyle name="Normal 47 3 2" xfId="7675" xr:uid="{00000000-0005-0000-0000-000023250000}"/>
    <cellStyle name="Normal 47 3 2 2" xfId="10356" xr:uid="{00000000-0005-0000-0000-000024250000}"/>
    <cellStyle name="Normal 47 3 3" xfId="9016" xr:uid="{00000000-0005-0000-0000-000025250000}"/>
    <cellStyle name="Normal 48" xfId="747" xr:uid="{00000000-0005-0000-0000-000026250000}"/>
    <cellStyle name="Normal 48 2" xfId="5752" xr:uid="{00000000-0005-0000-0000-000027250000}"/>
    <cellStyle name="Normal 49" xfId="748" xr:uid="{00000000-0005-0000-0000-000028250000}"/>
    <cellStyle name="Normal 49 2" xfId="5753" xr:uid="{00000000-0005-0000-0000-000029250000}"/>
    <cellStyle name="Normal 49 3" xfId="1483" xr:uid="{00000000-0005-0000-0000-00002A250000}"/>
    <cellStyle name="Normal 49 3 2" xfId="7174" xr:uid="{00000000-0005-0000-0000-00002B250000}"/>
    <cellStyle name="Normal 49 3 2 2" xfId="9877" xr:uid="{00000000-0005-0000-0000-00002C250000}"/>
    <cellStyle name="Normal 49 3 3" xfId="8537" xr:uid="{00000000-0005-0000-0000-00002D250000}"/>
    <cellStyle name="Normal 49 4" xfId="6577" xr:uid="{00000000-0005-0000-0000-00002E250000}"/>
    <cellStyle name="Normal 49 4 2" xfId="9291" xr:uid="{00000000-0005-0000-0000-00002F250000}"/>
    <cellStyle name="Normal 49 5" xfId="7952" xr:uid="{00000000-0005-0000-0000-000030250000}"/>
    <cellStyle name="Normal 5" xfId="108" xr:uid="{00000000-0005-0000-0000-000031250000}"/>
    <cellStyle name="Normal 5 10" xfId="5754" xr:uid="{00000000-0005-0000-0000-000032250000}"/>
    <cellStyle name="Normal 5 11" xfId="5755" xr:uid="{00000000-0005-0000-0000-000033250000}"/>
    <cellStyle name="Normal 5 12" xfId="5756" xr:uid="{00000000-0005-0000-0000-000034250000}"/>
    <cellStyle name="Normal 5 13" xfId="5757" xr:uid="{00000000-0005-0000-0000-000035250000}"/>
    <cellStyle name="Normal 5 14" xfId="5758" xr:uid="{00000000-0005-0000-0000-000036250000}"/>
    <cellStyle name="Normal 5 15" xfId="5759" xr:uid="{00000000-0005-0000-0000-000037250000}"/>
    <cellStyle name="Normal 5 16" xfId="5760" xr:uid="{00000000-0005-0000-0000-000038250000}"/>
    <cellStyle name="Normal 5 17" xfId="5761" xr:uid="{00000000-0005-0000-0000-000039250000}"/>
    <cellStyle name="Normal 5 18" xfId="5762" xr:uid="{00000000-0005-0000-0000-00003A250000}"/>
    <cellStyle name="Normal 5 19" xfId="6215" xr:uid="{00000000-0005-0000-0000-00003B250000}"/>
    <cellStyle name="Normal 5 2" xfId="204" xr:uid="{00000000-0005-0000-0000-00003C250000}"/>
    <cellStyle name="Normal 5 2 2" xfId="750" xr:uid="{00000000-0005-0000-0000-00003D250000}"/>
    <cellStyle name="Normal 5 2 2 2" xfId="5763" xr:uid="{00000000-0005-0000-0000-00003E250000}"/>
    <cellStyle name="Normal 5 2 2 3" xfId="5764" xr:uid="{00000000-0005-0000-0000-00003F250000}"/>
    <cellStyle name="Normal 5 2 2 4" xfId="5765" xr:uid="{00000000-0005-0000-0000-000040250000}"/>
    <cellStyle name="Normal 5 2 2 5" xfId="5766" xr:uid="{00000000-0005-0000-0000-000041250000}"/>
    <cellStyle name="Normal 5 2 3" xfId="751" xr:uid="{00000000-0005-0000-0000-000042250000}"/>
    <cellStyle name="Normal 5 2 3 2" xfId="1424" xr:uid="{00000000-0005-0000-0000-000043250000}"/>
    <cellStyle name="Normal 5 2 3 2 2" xfId="7124" xr:uid="{00000000-0005-0000-0000-000044250000}"/>
    <cellStyle name="Normal 5 2 3 2 2 2" xfId="9827" xr:uid="{00000000-0005-0000-0000-000045250000}"/>
    <cellStyle name="Normal 5 2 3 2 3" xfId="8487" xr:uid="{00000000-0005-0000-0000-000046250000}"/>
    <cellStyle name="Normal 5 2 3 3" xfId="6578" xr:uid="{00000000-0005-0000-0000-000047250000}"/>
    <cellStyle name="Normal 5 2 3 3 2" xfId="9292" xr:uid="{00000000-0005-0000-0000-000048250000}"/>
    <cellStyle name="Normal 5 2 3 4" xfId="7953" xr:uid="{00000000-0005-0000-0000-000049250000}"/>
    <cellStyle name="Normal 5 2 4" xfId="1264" xr:uid="{00000000-0005-0000-0000-00004A250000}"/>
    <cellStyle name="Normal 5 2 4 2" xfId="5767" xr:uid="{00000000-0005-0000-0000-00004B250000}"/>
    <cellStyle name="Normal 5 2 5" xfId="749" xr:uid="{00000000-0005-0000-0000-00004C250000}"/>
    <cellStyle name="Normal 5 20" xfId="7709" xr:uid="{00000000-0005-0000-0000-00004D250000}"/>
    <cellStyle name="Normal 5 3" xfId="752" xr:uid="{00000000-0005-0000-0000-00004E250000}"/>
    <cellStyle name="Normal 5 3 2" xfId="5768" xr:uid="{00000000-0005-0000-0000-00004F250000}"/>
    <cellStyle name="Normal 5 3 4" xfId="10527" xr:uid="{00000000-0005-0000-0000-000050250000}"/>
    <cellStyle name="Normal 5 3 4 2" xfId="10555" xr:uid="{00000000-0005-0000-0000-000051250000}"/>
    <cellStyle name="Normal 5 4" xfId="1419" xr:uid="{00000000-0005-0000-0000-000052250000}"/>
    <cellStyle name="Normal 5 4 2" xfId="5769" xr:uid="{00000000-0005-0000-0000-000053250000}"/>
    <cellStyle name="Normal 5 4 3" xfId="7121" xr:uid="{00000000-0005-0000-0000-000054250000}"/>
    <cellStyle name="Normal 5 4 3 2" xfId="9824" xr:uid="{00000000-0005-0000-0000-000055250000}"/>
    <cellStyle name="Normal 5 4 4" xfId="8485" xr:uid="{00000000-0005-0000-0000-000056250000}"/>
    <cellStyle name="Normal 5 5" xfId="5770" xr:uid="{00000000-0005-0000-0000-000057250000}"/>
    <cellStyle name="Normal 5 6" xfId="5771" xr:uid="{00000000-0005-0000-0000-000058250000}"/>
    <cellStyle name="Normal 5 6 2" xfId="5772" xr:uid="{00000000-0005-0000-0000-000059250000}"/>
    <cellStyle name="Normal 5 6 2 2" xfId="7676" xr:uid="{00000000-0005-0000-0000-00005A250000}"/>
    <cellStyle name="Normal 5 6 2 2 2" xfId="10357" xr:uid="{00000000-0005-0000-0000-00005B250000}"/>
    <cellStyle name="Normal 5 6 2 3" xfId="9017" xr:uid="{00000000-0005-0000-0000-00005C250000}"/>
    <cellStyle name="Normal 5 7" xfId="5773" xr:uid="{00000000-0005-0000-0000-00005D250000}"/>
    <cellStyle name="Normal 5 8" xfId="5774" xr:uid="{00000000-0005-0000-0000-00005E250000}"/>
    <cellStyle name="Normal 5 9" xfId="5775" xr:uid="{00000000-0005-0000-0000-00005F250000}"/>
    <cellStyle name="Normal 5_Inergen" xfId="753" xr:uid="{00000000-0005-0000-0000-000060250000}"/>
    <cellStyle name="Normal 50" xfId="754" xr:uid="{00000000-0005-0000-0000-000061250000}"/>
    <cellStyle name="Normal 50 2" xfId="5776" xr:uid="{00000000-0005-0000-0000-000062250000}"/>
    <cellStyle name="Normal 50 3" xfId="5777" xr:uid="{00000000-0005-0000-0000-000063250000}"/>
    <cellStyle name="Normal 50 3 2" xfId="7677" xr:uid="{00000000-0005-0000-0000-000064250000}"/>
    <cellStyle name="Normal 50 3 2 2" xfId="10358" xr:uid="{00000000-0005-0000-0000-000065250000}"/>
    <cellStyle name="Normal 50 3 3" xfId="9018" xr:uid="{00000000-0005-0000-0000-000066250000}"/>
    <cellStyle name="Normal 51" xfId="755" xr:uid="{00000000-0005-0000-0000-000067250000}"/>
    <cellStyle name="Normal 51 2" xfId="5778" xr:uid="{00000000-0005-0000-0000-000068250000}"/>
    <cellStyle name="Normal 51 3" xfId="5779" xr:uid="{00000000-0005-0000-0000-000069250000}"/>
    <cellStyle name="Normal 51 3 2" xfId="7678" xr:uid="{00000000-0005-0000-0000-00006A250000}"/>
    <cellStyle name="Normal 51 3 2 2" xfId="10359" xr:uid="{00000000-0005-0000-0000-00006B250000}"/>
    <cellStyle name="Normal 51 3 3" xfId="9019" xr:uid="{00000000-0005-0000-0000-00006C250000}"/>
    <cellStyle name="Normal 52" xfId="1332" xr:uid="{00000000-0005-0000-0000-00006D250000}"/>
    <cellStyle name="Normal 52 2" xfId="5780" xr:uid="{00000000-0005-0000-0000-00006E250000}"/>
    <cellStyle name="Normal 53" xfId="237" xr:uid="{00000000-0005-0000-0000-00006F250000}"/>
    <cellStyle name="Normal 53 2" xfId="5781" xr:uid="{00000000-0005-0000-0000-000070250000}"/>
    <cellStyle name="Normal 53 3" xfId="1526" xr:uid="{00000000-0005-0000-0000-000071250000}"/>
    <cellStyle name="Normal 53 3 2" xfId="7205" xr:uid="{00000000-0005-0000-0000-000072250000}"/>
    <cellStyle name="Normal 53 3 2 2" xfId="9908" xr:uid="{00000000-0005-0000-0000-000073250000}"/>
    <cellStyle name="Normal 53 3 3" xfId="8568" xr:uid="{00000000-0005-0000-0000-000074250000}"/>
    <cellStyle name="Normal 53 4" xfId="6398" xr:uid="{00000000-0005-0000-0000-000075250000}"/>
    <cellStyle name="Normal 53 4 2" xfId="9117" xr:uid="{00000000-0005-0000-0000-000076250000}"/>
    <cellStyle name="Normal 53 5" xfId="7778" xr:uid="{00000000-0005-0000-0000-000077250000}"/>
    <cellStyle name="Normal 54" xfId="1136" xr:uid="{00000000-0005-0000-0000-000078250000}"/>
    <cellStyle name="Normal 54 2" xfId="5783" xr:uid="{00000000-0005-0000-0000-000079250000}"/>
    <cellStyle name="Normal 54 3" xfId="5782" xr:uid="{00000000-0005-0000-0000-00007A250000}"/>
    <cellStyle name="Normal 54 3 2" xfId="7679" xr:uid="{00000000-0005-0000-0000-00007B250000}"/>
    <cellStyle name="Normal 54 3 2 2" xfId="10360" xr:uid="{00000000-0005-0000-0000-00007C250000}"/>
    <cellStyle name="Normal 54 3 3" xfId="9020" xr:uid="{00000000-0005-0000-0000-00007D250000}"/>
    <cellStyle name="Normal 55" xfId="819" xr:uid="{00000000-0005-0000-0000-00007E250000}"/>
    <cellStyle name="Normal 55 2" xfId="5784" xr:uid="{00000000-0005-0000-0000-00007F250000}"/>
    <cellStyle name="Normal 55 3" xfId="6590" xr:uid="{00000000-0005-0000-0000-000080250000}"/>
    <cellStyle name="Normal 55 3 2" xfId="9300" xr:uid="{00000000-0005-0000-0000-000081250000}"/>
    <cellStyle name="Normal 55 4" xfId="7961" xr:uid="{00000000-0005-0000-0000-000082250000}"/>
    <cellStyle name="Normal 56" xfId="1345" xr:uid="{00000000-0005-0000-0000-000083250000}"/>
    <cellStyle name="Normal 56 2" xfId="5786" xr:uid="{00000000-0005-0000-0000-000084250000}"/>
    <cellStyle name="Normal 56 3" xfId="5787" xr:uid="{00000000-0005-0000-0000-000085250000}"/>
    <cellStyle name="Normal 56 4" xfId="5785" xr:uid="{00000000-0005-0000-0000-000086250000}"/>
    <cellStyle name="Normal 56 5" xfId="7050" xr:uid="{00000000-0005-0000-0000-000087250000}"/>
    <cellStyle name="Normal 56 5 2" xfId="9757" xr:uid="{00000000-0005-0000-0000-000088250000}"/>
    <cellStyle name="Normal 56 6" xfId="8418" xr:uid="{00000000-0005-0000-0000-000089250000}"/>
    <cellStyle name="Normal 57" xfId="1346" xr:uid="{00000000-0005-0000-0000-00008A250000}"/>
    <cellStyle name="Normal 57 2" xfId="5788" xr:uid="{00000000-0005-0000-0000-00008B250000}"/>
    <cellStyle name="Normal 57 3" xfId="7051" xr:uid="{00000000-0005-0000-0000-00008C250000}"/>
    <cellStyle name="Normal 57 3 2" xfId="9758" xr:uid="{00000000-0005-0000-0000-00008D250000}"/>
    <cellStyle name="Normal 57 4" xfId="8419" xr:uid="{00000000-0005-0000-0000-00008E250000}"/>
    <cellStyle name="Normal 58" xfId="1416" xr:uid="{00000000-0005-0000-0000-00008F250000}"/>
    <cellStyle name="Normal 58 2" xfId="5789" xr:uid="{00000000-0005-0000-0000-000090250000}"/>
    <cellStyle name="Normal 58 2 2" xfId="7680" xr:uid="{00000000-0005-0000-0000-000091250000}"/>
    <cellStyle name="Normal 58 2 2 2" xfId="10361" xr:uid="{00000000-0005-0000-0000-000092250000}"/>
    <cellStyle name="Normal 58 2 3" xfId="9021" xr:uid="{00000000-0005-0000-0000-000093250000}"/>
    <cellStyle name="Normal 59" xfId="5790" xr:uid="{00000000-0005-0000-0000-000094250000}"/>
    <cellStyle name="Normal 59 2" xfId="7681" xr:uid="{00000000-0005-0000-0000-000095250000}"/>
    <cellStyle name="Normal 59 2 2" xfId="10362" xr:uid="{00000000-0005-0000-0000-000096250000}"/>
    <cellStyle name="Normal 59 3" xfId="9022" xr:uid="{00000000-0005-0000-0000-000097250000}"/>
    <cellStyle name="Normal 6" xfId="205" xr:uid="{00000000-0005-0000-0000-000098250000}"/>
    <cellStyle name="Normal 6 10" xfId="35" xr:uid="{00000000-0005-0000-0000-000099250000}"/>
    <cellStyle name="Normal 6 10 2" xfId="10469" xr:uid="{00000000-0005-0000-0000-00009A250000}"/>
    <cellStyle name="Normal 6 10 2 2" xfId="10579" xr:uid="{00000000-0005-0000-0000-00009B250000}"/>
    <cellStyle name="Normal 6 2" xfId="58" xr:uid="{00000000-0005-0000-0000-00009C250000}"/>
    <cellStyle name="Normal 6 2 2" xfId="1263" xr:uid="{00000000-0005-0000-0000-00009D250000}"/>
    <cellStyle name="Normal 6 2 26" xfId="10510" xr:uid="{00000000-0005-0000-0000-00009E250000}"/>
    <cellStyle name="Normal 6 2 3" xfId="758" xr:uid="{00000000-0005-0000-0000-00009F250000}"/>
    <cellStyle name="Normal 6 2 3 2" xfId="1511" xr:uid="{00000000-0005-0000-0000-0000A0250000}"/>
    <cellStyle name="Normal 6 2 3 2 2" xfId="7201" xr:uid="{00000000-0005-0000-0000-0000A1250000}"/>
    <cellStyle name="Normal 6 2 3 2 2 2" xfId="9904" xr:uid="{00000000-0005-0000-0000-0000A2250000}"/>
    <cellStyle name="Normal 6 2 3 2 3" xfId="8564" xr:uid="{00000000-0005-0000-0000-0000A3250000}"/>
    <cellStyle name="Normal 6 2 3 3" xfId="6579" xr:uid="{00000000-0005-0000-0000-0000A4250000}"/>
    <cellStyle name="Normal 6 2 3 3 2" xfId="9293" xr:uid="{00000000-0005-0000-0000-0000A5250000}"/>
    <cellStyle name="Normal 6 2 3 4" xfId="7954" xr:uid="{00000000-0005-0000-0000-0000A6250000}"/>
    <cellStyle name="Normal 6 2 4" xfId="757" xr:uid="{00000000-0005-0000-0000-0000A7250000}"/>
    <cellStyle name="Normal 6 2 5" xfId="1401" xr:uid="{00000000-0005-0000-0000-0000A8250000}"/>
    <cellStyle name="Normal 6 2 5 2" xfId="7106" xr:uid="{00000000-0005-0000-0000-0000A9250000}"/>
    <cellStyle name="Normal 6 2 6" xfId="206" xr:uid="{00000000-0005-0000-0000-0000AA250000}"/>
    <cellStyle name="Normal 6 2 7" xfId="33" xr:uid="{00000000-0005-0000-0000-0000AB250000}"/>
    <cellStyle name="Normal 6 2 7 2" xfId="10467" xr:uid="{00000000-0005-0000-0000-0000AC250000}"/>
    <cellStyle name="Normal 6 3" xfId="124" xr:uid="{00000000-0005-0000-0000-0000AD250000}"/>
    <cellStyle name="Normal 6 3 2" xfId="1330" xr:uid="{00000000-0005-0000-0000-0000AE250000}"/>
    <cellStyle name="Normal 6 3 2 2" xfId="5792" xr:uid="{00000000-0005-0000-0000-0000AF250000}"/>
    <cellStyle name="Normal 6 3 2 3" xfId="5791" xr:uid="{00000000-0005-0000-0000-0000B0250000}"/>
    <cellStyle name="Normal 6 3 2 3 2" xfId="7682" xr:uid="{00000000-0005-0000-0000-0000B1250000}"/>
    <cellStyle name="Normal 6 3 2 3 2 2" xfId="10363" xr:uid="{00000000-0005-0000-0000-0000B2250000}"/>
    <cellStyle name="Normal 6 3 2 3 3" xfId="9023" xr:uid="{00000000-0005-0000-0000-0000B3250000}"/>
    <cellStyle name="Normal 6 3 2 4" xfId="7036" xr:uid="{00000000-0005-0000-0000-0000B4250000}"/>
    <cellStyle name="Normal 6 3 2 4 2" xfId="9743" xr:uid="{00000000-0005-0000-0000-0000B5250000}"/>
    <cellStyle name="Normal 6 3 2 5" xfId="8404" xr:uid="{00000000-0005-0000-0000-0000B6250000}"/>
    <cellStyle name="Normal 6 3 3" xfId="759" xr:uid="{00000000-0005-0000-0000-0000B7250000}"/>
    <cellStyle name="Normal 6 3 3 2" xfId="5793" xr:uid="{00000000-0005-0000-0000-0000B8250000}"/>
    <cellStyle name="Normal 6 3 3 2 2" xfId="7683" xr:uid="{00000000-0005-0000-0000-0000B9250000}"/>
    <cellStyle name="Normal 6 3 3 2 2 2" xfId="10364" xr:uid="{00000000-0005-0000-0000-0000BA250000}"/>
    <cellStyle name="Normal 6 3 3 2 3" xfId="9024" xr:uid="{00000000-0005-0000-0000-0000BB250000}"/>
    <cellStyle name="Normal 6 3 4" xfId="1349" xr:uid="{00000000-0005-0000-0000-0000BC250000}"/>
    <cellStyle name="Normal 6 3 4 2" xfId="5794" xr:uid="{00000000-0005-0000-0000-0000BD250000}"/>
    <cellStyle name="Normal 6 3 4 3" xfId="7054" xr:uid="{00000000-0005-0000-0000-0000BE250000}"/>
    <cellStyle name="Normal 6 3 4 3 2" xfId="9761" xr:uid="{00000000-0005-0000-0000-0000BF250000}"/>
    <cellStyle name="Normal 6 3 4 4" xfId="8422" xr:uid="{00000000-0005-0000-0000-0000C0250000}"/>
    <cellStyle name="Normal 6 3 5" xfId="6331" xr:uid="{00000000-0005-0000-0000-0000C1250000}"/>
    <cellStyle name="Normal 6 3 5 2" xfId="9050" xr:uid="{00000000-0005-0000-0000-0000C2250000}"/>
    <cellStyle name="Normal 6 3 6" xfId="7711" xr:uid="{00000000-0005-0000-0000-0000C3250000}"/>
    <cellStyle name="Normal 6 4" xfId="252" xr:uid="{00000000-0005-0000-0000-0000C4250000}"/>
    <cellStyle name="Normal 6 4 2" xfId="5796" xr:uid="{00000000-0005-0000-0000-0000C5250000}"/>
    <cellStyle name="Normal 6 4 3" xfId="5795" xr:uid="{00000000-0005-0000-0000-0000C6250000}"/>
    <cellStyle name="Normal 6 4 3 2" xfId="7684" xr:uid="{00000000-0005-0000-0000-0000C7250000}"/>
    <cellStyle name="Normal 6 4 3 2 2" xfId="10365" xr:uid="{00000000-0005-0000-0000-0000C8250000}"/>
    <cellStyle name="Normal 6 4 3 3" xfId="9025" xr:uid="{00000000-0005-0000-0000-0000C9250000}"/>
    <cellStyle name="Normal 6 5" xfId="756" xr:uid="{00000000-0005-0000-0000-0000CA250000}"/>
    <cellStyle name="Normal 6 5 2" xfId="5797" xr:uid="{00000000-0005-0000-0000-0000CB250000}"/>
    <cellStyle name="Normal 6 6" xfId="1400" xr:uid="{00000000-0005-0000-0000-0000CC250000}"/>
    <cellStyle name="Normal 6 6 2" xfId="5798" xr:uid="{00000000-0005-0000-0000-0000CD250000}"/>
    <cellStyle name="Normal 6 6 2 2" xfId="7685" xr:uid="{00000000-0005-0000-0000-0000CE250000}"/>
    <cellStyle name="Normal 6 6 2 2 2" xfId="10366" xr:uid="{00000000-0005-0000-0000-0000CF250000}"/>
    <cellStyle name="Normal 6 6 2 3" xfId="9026" xr:uid="{00000000-0005-0000-0000-0000D0250000}"/>
    <cellStyle name="Normal 6 6 3" xfId="7105" xr:uid="{00000000-0005-0000-0000-0000D1250000}"/>
    <cellStyle name="Normal 6 6 3 2" xfId="9809" xr:uid="{00000000-0005-0000-0000-0000D2250000}"/>
    <cellStyle name="Normal 6 6 4" xfId="8470" xr:uid="{00000000-0005-0000-0000-0000D3250000}"/>
    <cellStyle name="Normal 6 7" xfId="1417" xr:uid="{00000000-0005-0000-0000-0000D4250000}"/>
    <cellStyle name="Normal 6 7 2" xfId="5799" xr:uid="{00000000-0005-0000-0000-0000D5250000}"/>
    <cellStyle name="Normal 6 8" xfId="6379" xr:uid="{00000000-0005-0000-0000-0000D6250000}"/>
    <cellStyle name="Normal 6 8 2" xfId="9098" xr:uid="{00000000-0005-0000-0000-0000D7250000}"/>
    <cellStyle name="Normal 6 9" xfId="7759" xr:uid="{00000000-0005-0000-0000-0000D8250000}"/>
    <cellStyle name="Normal 60" xfId="5800" xr:uid="{00000000-0005-0000-0000-0000D9250000}"/>
    <cellStyle name="Normal 60 2" xfId="7686" xr:uid="{00000000-0005-0000-0000-0000DA250000}"/>
    <cellStyle name="Normal 60 2 2" xfId="10367" xr:uid="{00000000-0005-0000-0000-0000DB250000}"/>
    <cellStyle name="Normal 60 3" xfId="9027" xr:uid="{00000000-0005-0000-0000-0000DC250000}"/>
    <cellStyle name="Normal 60 6" xfId="10458" xr:uid="{00000000-0005-0000-0000-0000DD250000}"/>
    <cellStyle name="Normal 61" xfId="5801" xr:uid="{00000000-0005-0000-0000-0000DE250000}"/>
    <cellStyle name="Normal 61 2" xfId="7687" xr:uid="{00000000-0005-0000-0000-0000DF250000}"/>
    <cellStyle name="Normal 61 2 2" xfId="10368" xr:uid="{00000000-0005-0000-0000-0000E0250000}"/>
    <cellStyle name="Normal 61 3" xfId="9028" xr:uid="{00000000-0005-0000-0000-0000E1250000}"/>
    <cellStyle name="Normal 62" xfId="5802" xr:uid="{00000000-0005-0000-0000-0000E2250000}"/>
    <cellStyle name="Normal 62 2" xfId="7688" xr:uid="{00000000-0005-0000-0000-0000E3250000}"/>
    <cellStyle name="Normal 62 2 2" xfId="10369" xr:uid="{00000000-0005-0000-0000-0000E4250000}"/>
    <cellStyle name="Normal 62 3" xfId="9029" xr:uid="{00000000-0005-0000-0000-0000E5250000}"/>
    <cellStyle name="Normal 63" xfId="207" xr:uid="{00000000-0005-0000-0000-0000E6250000}"/>
    <cellStyle name="Normal 63 2" xfId="1262" xr:uid="{00000000-0005-0000-0000-0000E7250000}"/>
    <cellStyle name="Normal 63 2 2" xfId="6977" xr:uid="{00000000-0005-0000-0000-0000E8250000}"/>
    <cellStyle name="Normal 63 2 2 2" xfId="9684" xr:uid="{00000000-0005-0000-0000-0000E9250000}"/>
    <cellStyle name="Normal 63 2 3" xfId="8345" xr:uid="{00000000-0005-0000-0000-0000EA250000}"/>
    <cellStyle name="Normal 63 3" xfId="1402" xr:uid="{00000000-0005-0000-0000-0000EB250000}"/>
    <cellStyle name="Normal 63 3 2" xfId="7107" xr:uid="{00000000-0005-0000-0000-0000EC250000}"/>
    <cellStyle name="Normal 63 3 2 2" xfId="9810" xr:uid="{00000000-0005-0000-0000-0000ED250000}"/>
    <cellStyle name="Normal 63 3 3" xfId="8471" xr:uid="{00000000-0005-0000-0000-0000EE250000}"/>
    <cellStyle name="Normal 63 4" xfId="5803" xr:uid="{00000000-0005-0000-0000-0000EF250000}"/>
    <cellStyle name="Normal 63 4 2" xfId="7689" xr:uid="{00000000-0005-0000-0000-0000F0250000}"/>
    <cellStyle name="Normal 63 4 2 2" xfId="10370" xr:uid="{00000000-0005-0000-0000-0000F1250000}"/>
    <cellStyle name="Normal 63 4 3" xfId="9030" xr:uid="{00000000-0005-0000-0000-0000F2250000}"/>
    <cellStyle name="Normal 63 5" xfId="6380" xr:uid="{00000000-0005-0000-0000-0000F3250000}"/>
    <cellStyle name="Normal 63 5 2" xfId="9099" xr:uid="{00000000-0005-0000-0000-0000F4250000}"/>
    <cellStyle name="Normal 63 6" xfId="7760" xr:uid="{00000000-0005-0000-0000-0000F5250000}"/>
    <cellStyle name="Normal 64" xfId="5804" xr:uid="{00000000-0005-0000-0000-0000F6250000}"/>
    <cellStyle name="Normal 65" xfId="5805" xr:uid="{00000000-0005-0000-0000-0000F7250000}"/>
    <cellStyle name="Normal 66" xfId="5806" xr:uid="{00000000-0005-0000-0000-0000F8250000}"/>
    <cellStyle name="Normal 67" xfId="5807" xr:uid="{00000000-0005-0000-0000-0000F9250000}"/>
    <cellStyle name="Normal 68" xfId="5808" xr:uid="{00000000-0005-0000-0000-0000FA250000}"/>
    <cellStyle name="Normal 69" xfId="5809" xr:uid="{00000000-0005-0000-0000-0000FB250000}"/>
    <cellStyle name="Normal 7" xfId="77" xr:uid="{00000000-0005-0000-0000-0000FC250000}"/>
    <cellStyle name="Normal 7 11" xfId="10447" xr:uid="{00000000-0005-0000-0000-0000FD250000}"/>
    <cellStyle name="Normal 7 11 2" xfId="47" xr:uid="{00000000-0005-0000-0000-0000FE250000}"/>
    <cellStyle name="Normal 7 2" xfId="209" xr:uid="{00000000-0005-0000-0000-0000FF250000}"/>
    <cellStyle name="Normal 7 2 2" xfId="1260" xr:uid="{00000000-0005-0000-0000-000000260000}"/>
    <cellStyle name="Normal 7 2 2 2" xfId="5810" xr:uid="{00000000-0005-0000-0000-000001260000}"/>
    <cellStyle name="Normal 7 2 3" xfId="761" xr:uid="{00000000-0005-0000-0000-000002260000}"/>
    <cellStyle name="Normal 7 3" xfId="59" xr:uid="{00000000-0005-0000-0000-000003260000}"/>
    <cellStyle name="Normal 7 3 2" xfId="73" xr:uid="{00000000-0005-0000-0000-000004260000}"/>
    <cellStyle name="Normal 7 3 2 2" xfId="5811" xr:uid="{00000000-0005-0000-0000-000005260000}"/>
    <cellStyle name="Normal 7 3 3" xfId="160" xr:uid="{00000000-0005-0000-0000-000006260000}"/>
    <cellStyle name="Normal 7 4" xfId="1261" xr:uid="{00000000-0005-0000-0000-000007260000}"/>
    <cellStyle name="Normal 7 4 2" xfId="5812" xr:uid="{00000000-0005-0000-0000-000008260000}"/>
    <cellStyle name="Normal 7 5" xfId="760" xr:uid="{00000000-0005-0000-0000-000009260000}"/>
    <cellStyle name="Normal 7 6" xfId="208" xr:uid="{00000000-0005-0000-0000-00000A260000}"/>
    <cellStyle name="Normal 70" xfId="5813" xr:uid="{00000000-0005-0000-0000-00000B260000}"/>
    <cellStyle name="Normal 71" xfId="5814" xr:uid="{00000000-0005-0000-0000-00000C260000}"/>
    <cellStyle name="Normal 72" xfId="5815" xr:uid="{00000000-0005-0000-0000-00000D260000}"/>
    <cellStyle name="Normal 73" xfId="5816" xr:uid="{00000000-0005-0000-0000-00000E260000}"/>
    <cellStyle name="Normal 74" xfId="5817" xr:uid="{00000000-0005-0000-0000-00000F260000}"/>
    <cellStyle name="Normal 75" xfId="5818" xr:uid="{00000000-0005-0000-0000-000010260000}"/>
    <cellStyle name="Normal 76" xfId="5819" xr:uid="{00000000-0005-0000-0000-000011260000}"/>
    <cellStyle name="Normal 77" xfId="5820" xr:uid="{00000000-0005-0000-0000-000012260000}"/>
    <cellStyle name="Normal 78" xfId="1422" xr:uid="{00000000-0005-0000-0000-000013260000}"/>
    <cellStyle name="Normal 79" xfId="1482" xr:uid="{00000000-0005-0000-0000-000014260000}"/>
    <cellStyle name="Normal 8" xfId="113" xr:uid="{00000000-0005-0000-0000-000015260000}"/>
    <cellStyle name="Normal 8 2" xfId="172" xr:uid="{00000000-0005-0000-0000-000016260000}"/>
    <cellStyle name="Normal 8 2 2" xfId="1280" xr:uid="{00000000-0005-0000-0000-000017260000}"/>
    <cellStyle name="Normal 8 2 2 2" xfId="5822" xr:uid="{00000000-0005-0000-0000-000018260000}"/>
    <cellStyle name="Normal 8 2 2 3" xfId="5821" xr:uid="{00000000-0005-0000-0000-000019260000}"/>
    <cellStyle name="Normal 8 2 2 3 2" xfId="7690" xr:uid="{00000000-0005-0000-0000-00001A260000}"/>
    <cellStyle name="Normal 8 2 2 3 2 2" xfId="10371" xr:uid="{00000000-0005-0000-0000-00001B260000}"/>
    <cellStyle name="Normal 8 2 2 3 3" xfId="9031" xr:uid="{00000000-0005-0000-0000-00001C260000}"/>
    <cellStyle name="Normal 8 2 2 4" xfId="6990" xr:uid="{00000000-0005-0000-0000-00001D260000}"/>
    <cellStyle name="Normal 8 2 2 4 2" xfId="9697" xr:uid="{00000000-0005-0000-0000-00001E260000}"/>
    <cellStyle name="Normal 8 2 2 5" xfId="8358" xr:uid="{00000000-0005-0000-0000-00001F260000}"/>
    <cellStyle name="Normal 8 2 2 7 2 3" xfId="10611" xr:uid="{00000000-0005-0000-0000-000020260000}"/>
    <cellStyle name="Normal 8 2 2 9" xfId="10493" xr:uid="{00000000-0005-0000-0000-000021260000}"/>
    <cellStyle name="Normal 8 2 2 9 2" xfId="10535" xr:uid="{00000000-0005-0000-0000-000022260000}"/>
    <cellStyle name="Normal 8 2 2 9 2 2" xfId="10567" xr:uid="{00000000-0005-0000-0000-000023260000}"/>
    <cellStyle name="Normal 8 2 2 9 3" xfId="10613" xr:uid="{00000000-0005-0000-0000-000024260000}"/>
    <cellStyle name="Normal 8 2 3" xfId="763" xr:uid="{00000000-0005-0000-0000-000025260000}"/>
    <cellStyle name="Normal 8 2 3 2" xfId="5823" xr:uid="{00000000-0005-0000-0000-000026260000}"/>
    <cellStyle name="Normal 8 2 4" xfId="1384" xr:uid="{00000000-0005-0000-0000-000027260000}"/>
    <cellStyle name="Normal 8 2 4 2" xfId="7089" xr:uid="{00000000-0005-0000-0000-000028260000}"/>
    <cellStyle name="Normal 8 2 4 2 2" xfId="9794" xr:uid="{00000000-0005-0000-0000-000029260000}"/>
    <cellStyle name="Normal 8 2 4 3" xfId="8455" xr:uid="{00000000-0005-0000-0000-00002A260000}"/>
    <cellStyle name="Normal 8 2 5" xfId="6364" xr:uid="{00000000-0005-0000-0000-00002B260000}"/>
    <cellStyle name="Normal 8 2 5 2" xfId="9083" xr:uid="{00000000-0005-0000-0000-00002C260000}"/>
    <cellStyle name="Normal 8 2 6" xfId="7744" xr:uid="{00000000-0005-0000-0000-00002D260000}"/>
    <cellStyle name="Normal 8 3" xfId="1259" xr:uid="{00000000-0005-0000-0000-00002E260000}"/>
    <cellStyle name="Normal 8 3 2" xfId="5825" xr:uid="{00000000-0005-0000-0000-00002F260000}"/>
    <cellStyle name="Normal 8 3 3" xfId="5826" xr:uid="{00000000-0005-0000-0000-000030260000}"/>
    <cellStyle name="Normal 8 3 4" xfId="5824" xr:uid="{00000000-0005-0000-0000-000031260000}"/>
    <cellStyle name="Normal 8 3 4 2" xfId="7691" xr:uid="{00000000-0005-0000-0000-000032260000}"/>
    <cellStyle name="Normal 8 3 4 2 2" xfId="10372" xr:uid="{00000000-0005-0000-0000-000033260000}"/>
    <cellStyle name="Normal 8 3 4 3" xfId="9032" xr:uid="{00000000-0005-0000-0000-000034260000}"/>
    <cellStyle name="Normal 8 3 5" xfId="6976" xr:uid="{00000000-0005-0000-0000-000035260000}"/>
    <cellStyle name="Normal 8 3 5 2" xfId="9683" xr:uid="{00000000-0005-0000-0000-000036260000}"/>
    <cellStyle name="Normal 8 3 6" xfId="8344" xr:uid="{00000000-0005-0000-0000-000037260000}"/>
    <cellStyle name="Normal 8 4" xfId="762" xr:uid="{00000000-0005-0000-0000-000038260000}"/>
    <cellStyle name="Normal 8 5" xfId="1403" xr:uid="{00000000-0005-0000-0000-000039260000}"/>
    <cellStyle name="Normal 8 5 2" xfId="5827" xr:uid="{00000000-0005-0000-0000-00003A260000}"/>
    <cellStyle name="Normal 8 5 3" xfId="7108" xr:uid="{00000000-0005-0000-0000-00003B260000}"/>
    <cellStyle name="Normal 8 5 3 2" xfId="9811" xr:uid="{00000000-0005-0000-0000-00003C260000}"/>
    <cellStyle name="Normal 8 5 4" xfId="8472" xr:uid="{00000000-0005-0000-0000-00003D260000}"/>
    <cellStyle name="Normal 8 6" xfId="6381" xr:uid="{00000000-0005-0000-0000-00003E260000}"/>
    <cellStyle name="Normal 8 6 2" xfId="9100" xr:uid="{00000000-0005-0000-0000-00003F260000}"/>
    <cellStyle name="Normal 8 7" xfId="7761" xr:uid="{00000000-0005-0000-0000-000040260000}"/>
    <cellStyle name="Normal 8 8" xfId="210" xr:uid="{00000000-0005-0000-0000-000041260000}"/>
    <cellStyle name="Normal 8_LOW VOLTAGE SYSTEM BUDGETARY ESTIMATE 12 06 13" xfId="764" xr:uid="{00000000-0005-0000-0000-000042260000}"/>
    <cellStyle name="Normal 80" xfId="1427" xr:uid="{00000000-0005-0000-0000-000043260000}"/>
    <cellStyle name="Normal 81" xfId="6329" xr:uid="{00000000-0005-0000-0000-000044260000}"/>
    <cellStyle name="Normal 82" xfId="6236" xr:uid="{00000000-0005-0000-0000-000045260000}"/>
    <cellStyle name="Normal 83" xfId="5828" xr:uid="{00000000-0005-0000-0000-000046260000}"/>
    <cellStyle name="Normal 84" xfId="6326" xr:uid="{00000000-0005-0000-0000-000047260000}"/>
    <cellStyle name="Normal 85" xfId="63" xr:uid="{00000000-0005-0000-0000-000048260000}"/>
    <cellStyle name="Normal 85 2" xfId="5829" xr:uid="{00000000-0005-0000-0000-000049260000}"/>
    <cellStyle name="Normal 86" xfId="7708" xr:uid="{00000000-0005-0000-0000-00004A260000}"/>
    <cellStyle name="Normal 86 2" xfId="10421" xr:uid="{00000000-0005-0000-0000-00004B260000}"/>
    <cellStyle name="Normal 87" xfId="10389" xr:uid="{00000000-0005-0000-0000-00004C260000}"/>
    <cellStyle name="Normal 88" xfId="10391" xr:uid="{00000000-0005-0000-0000-00004D260000}"/>
    <cellStyle name="Normal 89" xfId="10394" xr:uid="{00000000-0005-0000-0000-00004E260000}"/>
    <cellStyle name="Normal 9" xfId="211" xr:uid="{00000000-0005-0000-0000-00004F260000}"/>
    <cellStyle name="Normal 9 10" xfId="10408" xr:uid="{00000000-0005-0000-0000-000050260000}"/>
    <cellStyle name="Normal 9 2" xfId="212" xr:uid="{00000000-0005-0000-0000-000051260000}"/>
    <cellStyle name="Normal 9 2 2" xfId="213" xr:uid="{00000000-0005-0000-0000-000052260000}"/>
    <cellStyle name="Normal 9 2 2 2" xfId="1258" xr:uid="{00000000-0005-0000-0000-000053260000}"/>
    <cellStyle name="Normal 9 2 2 2 2" xfId="6975" xr:uid="{00000000-0005-0000-0000-000054260000}"/>
    <cellStyle name="Normal 9 2 2 2 2 2" xfId="9682" xr:uid="{00000000-0005-0000-0000-000055260000}"/>
    <cellStyle name="Normal 9 2 2 2 3" xfId="8343" xr:uid="{00000000-0005-0000-0000-000056260000}"/>
    <cellStyle name="Normal 9 2 2 3" xfId="1406" xr:uid="{00000000-0005-0000-0000-000057260000}"/>
    <cellStyle name="Normal 9 2 2 3 2" xfId="7111" xr:uid="{00000000-0005-0000-0000-000058260000}"/>
    <cellStyle name="Normal 9 2 2 3 2 2" xfId="9814" xr:uid="{00000000-0005-0000-0000-000059260000}"/>
    <cellStyle name="Normal 9 2 2 3 3" xfId="8475" xr:uid="{00000000-0005-0000-0000-00005A260000}"/>
    <cellStyle name="Normal 9 2 2 4" xfId="5830" xr:uid="{00000000-0005-0000-0000-00005B260000}"/>
    <cellStyle name="Normal 9 2 2 5" xfId="6384" xr:uid="{00000000-0005-0000-0000-00005C260000}"/>
    <cellStyle name="Normal 9 2 2 5 2" xfId="9103" xr:uid="{00000000-0005-0000-0000-00005D260000}"/>
    <cellStyle name="Normal 9 2 2 6" xfId="7764" xr:uid="{00000000-0005-0000-0000-00005E260000}"/>
    <cellStyle name="Normal 9 2 3" xfId="766" xr:uid="{00000000-0005-0000-0000-00005F260000}"/>
    <cellStyle name="Normal 9 2 3 2" xfId="6580" xr:uid="{00000000-0005-0000-0000-000060260000}"/>
    <cellStyle name="Normal 9 2 3 2 2" xfId="9294" xr:uid="{00000000-0005-0000-0000-000061260000}"/>
    <cellStyle name="Normal 9 2 3 3" xfId="7955" xr:uid="{00000000-0005-0000-0000-000062260000}"/>
    <cellStyle name="Normal 9 2 4" xfId="1405" xr:uid="{00000000-0005-0000-0000-000063260000}"/>
    <cellStyle name="Normal 9 2 4 2" xfId="7110" xr:uid="{00000000-0005-0000-0000-000064260000}"/>
    <cellStyle name="Normal 9 2 4 2 2" xfId="9813" xr:uid="{00000000-0005-0000-0000-000065260000}"/>
    <cellStyle name="Normal 9 2 4 3" xfId="8474" xr:uid="{00000000-0005-0000-0000-000066260000}"/>
    <cellStyle name="Normal 9 2 5" xfId="1512" xr:uid="{00000000-0005-0000-0000-000067260000}"/>
    <cellStyle name="Normal 9 2 5 2" xfId="7202" xr:uid="{00000000-0005-0000-0000-000068260000}"/>
    <cellStyle name="Normal 9 2 5 2 2" xfId="9905" xr:uid="{00000000-0005-0000-0000-000069260000}"/>
    <cellStyle name="Normal 9 2 5 3" xfId="8565" xr:uid="{00000000-0005-0000-0000-00006A260000}"/>
    <cellStyle name="Normal 9 2 6" xfId="6383" xr:uid="{00000000-0005-0000-0000-00006B260000}"/>
    <cellStyle name="Normal 9 2 6 2" xfId="9102" xr:uid="{00000000-0005-0000-0000-00006C260000}"/>
    <cellStyle name="Normal 9 2 7" xfId="7763" xr:uid="{00000000-0005-0000-0000-00006D260000}"/>
    <cellStyle name="Normal 9 3" xfId="214" xr:uid="{00000000-0005-0000-0000-00006E260000}"/>
    <cellStyle name="Normal 9 3 2" xfId="768" xr:uid="{00000000-0005-0000-0000-00006F260000}"/>
    <cellStyle name="Normal 9 3 2 2" xfId="1514" xr:uid="{00000000-0005-0000-0000-000070260000}"/>
    <cellStyle name="Normal 9 3 2 2 2" xfId="7204" xr:uid="{00000000-0005-0000-0000-000071260000}"/>
    <cellStyle name="Normal 9 3 2 2 2 2" xfId="9907" xr:uid="{00000000-0005-0000-0000-000072260000}"/>
    <cellStyle name="Normal 9 3 2 2 3" xfId="8567" xr:uid="{00000000-0005-0000-0000-000073260000}"/>
    <cellStyle name="Normal 9 3 2 3" xfId="6582" xr:uid="{00000000-0005-0000-0000-000074260000}"/>
    <cellStyle name="Normal 9 3 2 3 2" xfId="9296" xr:uid="{00000000-0005-0000-0000-000075260000}"/>
    <cellStyle name="Normal 9 3 2 4" xfId="7957" xr:uid="{00000000-0005-0000-0000-000076260000}"/>
    <cellStyle name="Normal 9 3 3" xfId="767" xr:uid="{00000000-0005-0000-0000-000077260000}"/>
    <cellStyle name="Normal 9 3 3 2" xfId="6581" xr:uid="{00000000-0005-0000-0000-000078260000}"/>
    <cellStyle name="Normal 9 3 3 2 2" xfId="9295" xr:uid="{00000000-0005-0000-0000-000079260000}"/>
    <cellStyle name="Normal 9 3 3 3" xfId="7956" xr:uid="{00000000-0005-0000-0000-00007A260000}"/>
    <cellStyle name="Normal 9 3 4" xfId="1407" xr:uid="{00000000-0005-0000-0000-00007B260000}"/>
    <cellStyle name="Normal 9 3 4 2" xfId="7112" xr:uid="{00000000-0005-0000-0000-00007C260000}"/>
    <cellStyle name="Normal 9 3 4 2 2" xfId="9815" xr:uid="{00000000-0005-0000-0000-00007D260000}"/>
    <cellStyle name="Normal 9 3 4 3" xfId="8476" xr:uid="{00000000-0005-0000-0000-00007E260000}"/>
    <cellStyle name="Normal 9 3 5" xfId="1513" xr:uid="{00000000-0005-0000-0000-00007F260000}"/>
    <cellStyle name="Normal 9 3 5 2" xfId="7203" xr:uid="{00000000-0005-0000-0000-000080260000}"/>
    <cellStyle name="Normal 9 3 5 2 2" xfId="9906" xr:uid="{00000000-0005-0000-0000-000081260000}"/>
    <cellStyle name="Normal 9 3 5 3" xfId="8566" xr:uid="{00000000-0005-0000-0000-000082260000}"/>
    <cellStyle name="Normal 9 3 6" xfId="6385" xr:uid="{00000000-0005-0000-0000-000083260000}"/>
    <cellStyle name="Normal 9 3 6 2" xfId="9104" xr:uid="{00000000-0005-0000-0000-000084260000}"/>
    <cellStyle name="Normal 9 3 7" xfId="7765" xr:uid="{00000000-0005-0000-0000-000085260000}"/>
    <cellStyle name="Normal 9 4" xfId="765" xr:uid="{00000000-0005-0000-0000-000086260000}"/>
    <cellStyle name="Normal 9 4 2" xfId="5832" xr:uid="{00000000-0005-0000-0000-000087260000}"/>
    <cellStyle name="Normal 9 4 3" xfId="5831" xr:uid="{00000000-0005-0000-0000-000088260000}"/>
    <cellStyle name="Normal 9 4 3 2" xfId="7692" xr:uid="{00000000-0005-0000-0000-000089260000}"/>
    <cellStyle name="Normal 9 4 3 2 2" xfId="10373" xr:uid="{00000000-0005-0000-0000-00008A260000}"/>
    <cellStyle name="Normal 9 4 3 3" xfId="9033" xr:uid="{00000000-0005-0000-0000-00008B260000}"/>
    <cellStyle name="Normal 9 5" xfId="1404" xr:uid="{00000000-0005-0000-0000-00008C260000}"/>
    <cellStyle name="Normal 9 5 2" xfId="5833" xr:uid="{00000000-0005-0000-0000-00008D260000}"/>
    <cellStyle name="Normal 9 5 3" xfId="7109" xr:uid="{00000000-0005-0000-0000-00008E260000}"/>
    <cellStyle name="Normal 9 5 3 2" xfId="9812" xr:uid="{00000000-0005-0000-0000-00008F260000}"/>
    <cellStyle name="Normal 9 5 4" xfId="8473" xr:uid="{00000000-0005-0000-0000-000090260000}"/>
    <cellStyle name="Normal 9 6" xfId="5834" xr:uid="{00000000-0005-0000-0000-000091260000}"/>
    <cellStyle name="Normal 9 6 2" xfId="7693" xr:uid="{00000000-0005-0000-0000-000092260000}"/>
    <cellStyle name="Normal 9 6 2 2" xfId="10374" xr:uid="{00000000-0005-0000-0000-000093260000}"/>
    <cellStyle name="Normal 9 6 3" xfId="9034" xr:uid="{00000000-0005-0000-0000-000094260000}"/>
    <cellStyle name="Normal 9 7" xfId="5835" xr:uid="{00000000-0005-0000-0000-000095260000}"/>
    <cellStyle name="Normal 9 7 2" xfId="10445" xr:uid="{00000000-0005-0000-0000-000096260000}"/>
    <cellStyle name="Normal 9 8" xfId="6382" xr:uid="{00000000-0005-0000-0000-000097260000}"/>
    <cellStyle name="Normal 9 8 2" xfId="9101" xr:uid="{00000000-0005-0000-0000-000098260000}"/>
    <cellStyle name="Normal 9 9" xfId="7762" xr:uid="{00000000-0005-0000-0000-000099260000}"/>
    <cellStyle name="Normal 90" xfId="10393" xr:uid="{00000000-0005-0000-0000-00009A260000}"/>
    <cellStyle name="Normal 91" xfId="10395" xr:uid="{00000000-0005-0000-0000-00009B260000}"/>
    <cellStyle name="Normal 91 2" xfId="10512" xr:uid="{00000000-0005-0000-0000-00009C260000}"/>
    <cellStyle name="Normal 91 2 2" xfId="10515" xr:uid="{00000000-0005-0000-0000-00009D260000}"/>
    <cellStyle name="Normal 91 2 2 2" xfId="10546" xr:uid="{00000000-0005-0000-0000-00009E260000}"/>
    <cellStyle name="Normal 91 2 2 2 2" xfId="10575" xr:uid="{00000000-0005-0000-0000-00009F260000}"/>
    <cellStyle name="Normal 91 2 2 3" xfId="10595" xr:uid="{00000000-0005-0000-0000-0000A0260000}"/>
    <cellStyle name="Normal 91 2 3" xfId="10543" xr:uid="{00000000-0005-0000-0000-0000A1260000}"/>
    <cellStyle name="Normal 91 2 3 2" xfId="10571" xr:uid="{00000000-0005-0000-0000-0000A2260000}"/>
    <cellStyle name="Normal 91 2 4" xfId="10591" xr:uid="{00000000-0005-0000-0000-0000A3260000}"/>
    <cellStyle name="Normal 92" xfId="10396" xr:uid="{00000000-0005-0000-0000-0000A4260000}"/>
    <cellStyle name="Normal 92 2" xfId="215" xr:uid="{00000000-0005-0000-0000-0000A5260000}"/>
    <cellStyle name="Normal 92 2 2" xfId="216" xr:uid="{00000000-0005-0000-0000-0000A6260000}"/>
    <cellStyle name="Normal 92 2 2 2" xfId="233" xr:uid="{00000000-0005-0000-0000-0000A7260000}"/>
    <cellStyle name="Normal 92 2 2 2 2" xfId="6394" xr:uid="{00000000-0005-0000-0000-0000A8260000}"/>
    <cellStyle name="Normal 92 2 2 2 2 2" xfId="9113" xr:uid="{00000000-0005-0000-0000-0000A9260000}"/>
    <cellStyle name="Normal 92 2 2 2 3" xfId="7774" xr:uid="{00000000-0005-0000-0000-0000AA260000}"/>
    <cellStyle name="Normal 92 2 2 3" xfId="1256" xr:uid="{00000000-0005-0000-0000-0000AB260000}"/>
    <cellStyle name="Normal 92 2 2 3 2" xfId="6973" xr:uid="{00000000-0005-0000-0000-0000AC260000}"/>
    <cellStyle name="Normal 92 2 2 3 2 2" xfId="9680" xr:uid="{00000000-0005-0000-0000-0000AD260000}"/>
    <cellStyle name="Normal 92 2 2 3 3" xfId="8341" xr:uid="{00000000-0005-0000-0000-0000AE260000}"/>
    <cellStyle name="Normal 92 2 2 4" xfId="1409" xr:uid="{00000000-0005-0000-0000-0000AF260000}"/>
    <cellStyle name="Normal 92 2 2 4 2" xfId="7114" xr:uid="{00000000-0005-0000-0000-0000B0260000}"/>
    <cellStyle name="Normal 92 2 2 4 2 2" xfId="9817" xr:uid="{00000000-0005-0000-0000-0000B1260000}"/>
    <cellStyle name="Normal 92 2 2 4 3" xfId="8478" xr:uid="{00000000-0005-0000-0000-0000B2260000}"/>
    <cellStyle name="Normal 92 2 2 5" xfId="6227" xr:uid="{00000000-0005-0000-0000-0000B3260000}"/>
    <cellStyle name="Normal 92 2 2 5 2" xfId="7705" xr:uid="{00000000-0005-0000-0000-0000B4260000}"/>
    <cellStyle name="Normal 92 2 2 5 2 2" xfId="10386" xr:uid="{00000000-0005-0000-0000-0000B5260000}"/>
    <cellStyle name="Normal 92 2 2 5 3" xfId="9046" xr:uid="{00000000-0005-0000-0000-0000B6260000}"/>
    <cellStyle name="Normal 92 2 2 6" xfId="6387" xr:uid="{00000000-0005-0000-0000-0000B7260000}"/>
    <cellStyle name="Normal 92 2 2 6 2" xfId="9106" xr:uid="{00000000-0005-0000-0000-0000B8260000}"/>
    <cellStyle name="Normal 92 2 2 7" xfId="7767" xr:uid="{00000000-0005-0000-0000-0000B9260000}"/>
    <cellStyle name="Normal 92 2 3" xfId="217" xr:uid="{00000000-0005-0000-0000-0000BA260000}"/>
    <cellStyle name="Normal 92 2 3 2" xfId="235" xr:uid="{00000000-0005-0000-0000-0000BB260000}"/>
    <cellStyle name="Normal 92 2 3 2 2" xfId="6396" xr:uid="{00000000-0005-0000-0000-0000BC260000}"/>
    <cellStyle name="Normal 92 2 3 2 2 2" xfId="9115" xr:uid="{00000000-0005-0000-0000-0000BD260000}"/>
    <cellStyle name="Normal 92 2 3 2 3" xfId="7776" xr:uid="{00000000-0005-0000-0000-0000BE260000}"/>
    <cellStyle name="Normal 92 2 3 3" xfId="1255" xr:uid="{00000000-0005-0000-0000-0000BF260000}"/>
    <cellStyle name="Normal 92 2 3 3 2" xfId="6972" xr:uid="{00000000-0005-0000-0000-0000C0260000}"/>
    <cellStyle name="Normal 92 2 3 3 2 2" xfId="9679" xr:uid="{00000000-0005-0000-0000-0000C1260000}"/>
    <cellStyle name="Normal 92 2 3 3 3" xfId="8340" xr:uid="{00000000-0005-0000-0000-0000C2260000}"/>
    <cellStyle name="Normal 92 2 3 4" xfId="1410" xr:uid="{00000000-0005-0000-0000-0000C3260000}"/>
    <cellStyle name="Normal 92 2 3 4 2" xfId="7115" xr:uid="{00000000-0005-0000-0000-0000C4260000}"/>
    <cellStyle name="Normal 92 2 3 4 2 2" xfId="9818" xr:uid="{00000000-0005-0000-0000-0000C5260000}"/>
    <cellStyle name="Normal 92 2 3 4 3" xfId="8479" xr:uid="{00000000-0005-0000-0000-0000C6260000}"/>
    <cellStyle name="Normal 92 2 3 5" xfId="6228" xr:uid="{00000000-0005-0000-0000-0000C7260000}"/>
    <cellStyle name="Normal 92 2 3 5 2" xfId="7706" xr:uid="{00000000-0005-0000-0000-0000C8260000}"/>
    <cellStyle name="Normal 92 2 3 5 2 2" xfId="10387" xr:uid="{00000000-0005-0000-0000-0000C9260000}"/>
    <cellStyle name="Normal 92 2 3 5 3" xfId="9047" xr:uid="{00000000-0005-0000-0000-0000CA260000}"/>
    <cellStyle name="Normal 92 2 3 6" xfId="6388" xr:uid="{00000000-0005-0000-0000-0000CB260000}"/>
    <cellStyle name="Normal 92 2 3 6 2" xfId="9107" xr:uid="{00000000-0005-0000-0000-0000CC260000}"/>
    <cellStyle name="Normal 92 2 3 7" xfId="7768" xr:uid="{00000000-0005-0000-0000-0000CD260000}"/>
    <cellStyle name="Normal 92 2 4" xfId="1257" xr:uid="{00000000-0005-0000-0000-0000CE260000}"/>
    <cellStyle name="Normal 92 2 4 2" xfId="6974" xr:uid="{00000000-0005-0000-0000-0000CF260000}"/>
    <cellStyle name="Normal 92 2 4 2 2" xfId="9681" xr:uid="{00000000-0005-0000-0000-0000D0260000}"/>
    <cellStyle name="Normal 92 2 4 3" xfId="8342" xr:uid="{00000000-0005-0000-0000-0000D1260000}"/>
    <cellStyle name="Normal 92 2 5" xfId="1408" xr:uid="{00000000-0005-0000-0000-0000D2260000}"/>
    <cellStyle name="Normal 92 2 5 2" xfId="7113" xr:uid="{00000000-0005-0000-0000-0000D3260000}"/>
    <cellStyle name="Normal 92 2 5 2 2" xfId="9816" xr:uid="{00000000-0005-0000-0000-0000D4260000}"/>
    <cellStyle name="Normal 92 2 5 3" xfId="8477" xr:uid="{00000000-0005-0000-0000-0000D5260000}"/>
    <cellStyle name="Normal 92 2 6" xfId="6226" xr:uid="{00000000-0005-0000-0000-0000D6260000}"/>
    <cellStyle name="Normal 92 2 6 2" xfId="7704" xr:uid="{00000000-0005-0000-0000-0000D7260000}"/>
    <cellStyle name="Normal 92 2 6 2 2" xfId="10385" xr:uid="{00000000-0005-0000-0000-0000D8260000}"/>
    <cellStyle name="Normal 92 2 6 3" xfId="9045" xr:uid="{00000000-0005-0000-0000-0000D9260000}"/>
    <cellStyle name="Normal 92 2 7" xfId="6386" xr:uid="{00000000-0005-0000-0000-0000DA260000}"/>
    <cellStyle name="Normal 92 2 7 2" xfId="9105" xr:uid="{00000000-0005-0000-0000-0000DB260000}"/>
    <cellStyle name="Normal 92 2 8" xfId="7766" xr:uid="{00000000-0005-0000-0000-0000DC260000}"/>
    <cellStyle name="Normal 92 3" xfId="10503" xr:uid="{00000000-0005-0000-0000-0000DD260000}"/>
    <cellStyle name="Normal 92 4" xfId="10537" xr:uid="{00000000-0005-0000-0000-0000DE260000}"/>
    <cellStyle name="Normal 93" xfId="10397" xr:uid="{00000000-0005-0000-0000-0000DF260000}"/>
    <cellStyle name="Normal 94" xfId="10398" xr:uid="{00000000-0005-0000-0000-0000E0260000}"/>
    <cellStyle name="Normal 95" xfId="10399" xr:uid="{00000000-0005-0000-0000-0000E1260000}"/>
    <cellStyle name="Normal 95 2" xfId="10514" xr:uid="{00000000-0005-0000-0000-0000E2260000}"/>
    <cellStyle name="Normal 95 3" xfId="10545" xr:uid="{00000000-0005-0000-0000-0000E3260000}"/>
    <cellStyle name="Normal 95 3 2" xfId="10574" xr:uid="{00000000-0005-0000-0000-0000E4260000}"/>
    <cellStyle name="Normal 95 4" xfId="10594" xr:uid="{00000000-0005-0000-0000-0000E5260000}"/>
    <cellStyle name="Normal 96" xfId="10400" xr:uid="{00000000-0005-0000-0000-0000E6260000}"/>
    <cellStyle name="Normal 96 2" xfId="10491" xr:uid="{00000000-0005-0000-0000-0000E7260000}"/>
    <cellStyle name="Normal 97" xfId="10403" xr:uid="{00000000-0005-0000-0000-0000E8260000}"/>
    <cellStyle name="Normal 98" xfId="10406" xr:uid="{00000000-0005-0000-0000-0000E9260000}"/>
    <cellStyle name="Normal 99" xfId="10404" xr:uid="{00000000-0005-0000-0000-0000EA260000}"/>
    <cellStyle name="Normal_BOQ-30 08 (2)" xfId="10590" xr:uid="{00000000-0005-0000-0000-0000EB260000}"/>
    <cellStyle name="Normal_ele.boq.l.t" xfId="10620" xr:uid="{00000000-0005-0000-0000-0000EC260000}"/>
    <cellStyle name="Normal_Sheet1" xfId="10592" xr:uid="{00000000-0005-0000-0000-0000ED260000}"/>
    <cellStyle name="Note 10" xfId="5836" xr:uid="{00000000-0005-0000-0000-0000EE260000}"/>
    <cellStyle name="Note 10 2" xfId="5837" xr:uid="{00000000-0005-0000-0000-0000EF260000}"/>
    <cellStyle name="Note 10 2 2" xfId="5838" xr:uid="{00000000-0005-0000-0000-0000F0260000}"/>
    <cellStyle name="Note 10 2 2 2" xfId="5839" xr:uid="{00000000-0005-0000-0000-0000F1260000}"/>
    <cellStyle name="Note 10 2 3" xfId="5840" xr:uid="{00000000-0005-0000-0000-0000F2260000}"/>
    <cellStyle name="Note 10 3" xfId="5841" xr:uid="{00000000-0005-0000-0000-0000F3260000}"/>
    <cellStyle name="Note 10 3 2" xfId="5842" xr:uid="{00000000-0005-0000-0000-0000F4260000}"/>
    <cellStyle name="Note 10 4" xfId="5843" xr:uid="{00000000-0005-0000-0000-0000F5260000}"/>
    <cellStyle name="Note 11" xfId="5844" xr:uid="{00000000-0005-0000-0000-0000F6260000}"/>
    <cellStyle name="Note 11 2" xfId="5845" xr:uid="{00000000-0005-0000-0000-0000F7260000}"/>
    <cellStyle name="Note 11 2 2" xfId="5846" xr:uid="{00000000-0005-0000-0000-0000F8260000}"/>
    <cellStyle name="Note 11 3" xfId="5847" xr:uid="{00000000-0005-0000-0000-0000F9260000}"/>
    <cellStyle name="Note 12" xfId="5848" xr:uid="{00000000-0005-0000-0000-0000FA260000}"/>
    <cellStyle name="Note 13" xfId="5849" xr:uid="{00000000-0005-0000-0000-0000FB260000}"/>
    <cellStyle name="Note 2" xfId="769" xr:uid="{00000000-0005-0000-0000-0000FC260000}"/>
    <cellStyle name="Note 2 10" xfId="5850" xr:uid="{00000000-0005-0000-0000-0000FD260000}"/>
    <cellStyle name="Note 2 11" xfId="5851" xr:uid="{00000000-0005-0000-0000-0000FE260000}"/>
    <cellStyle name="Note 2 12" xfId="5852" xr:uid="{00000000-0005-0000-0000-0000FF260000}"/>
    <cellStyle name="Note 2 13" xfId="5853" xr:uid="{00000000-0005-0000-0000-000000270000}"/>
    <cellStyle name="Note 2 14" xfId="5854" xr:uid="{00000000-0005-0000-0000-000001270000}"/>
    <cellStyle name="Note 2 15" xfId="5855" xr:uid="{00000000-0005-0000-0000-000002270000}"/>
    <cellStyle name="Note 2 16" xfId="5856" xr:uid="{00000000-0005-0000-0000-000003270000}"/>
    <cellStyle name="Note 2 17" xfId="5857" xr:uid="{00000000-0005-0000-0000-000004270000}"/>
    <cellStyle name="Note 2 18" xfId="5858" xr:uid="{00000000-0005-0000-0000-000005270000}"/>
    <cellStyle name="Note 2 19" xfId="5859" xr:uid="{00000000-0005-0000-0000-000006270000}"/>
    <cellStyle name="Note 2 2" xfId="770" xr:uid="{00000000-0005-0000-0000-000007270000}"/>
    <cellStyle name="Note 2 2 2" xfId="771" xr:uid="{00000000-0005-0000-0000-000008270000}"/>
    <cellStyle name="Note 2 2 2 2" xfId="5861" xr:uid="{00000000-0005-0000-0000-000009270000}"/>
    <cellStyle name="Note 2 2 2 3" xfId="5860" xr:uid="{00000000-0005-0000-0000-00000A270000}"/>
    <cellStyle name="Note 2 2 2 4" xfId="6584" xr:uid="{00000000-0005-0000-0000-00000B270000}"/>
    <cellStyle name="Note 2 2 3" xfId="772" xr:uid="{00000000-0005-0000-0000-00000C270000}"/>
    <cellStyle name="Note 2 2 3 2" xfId="5862" xr:uid="{00000000-0005-0000-0000-00000D270000}"/>
    <cellStyle name="Note 2 2 4" xfId="5863" xr:uid="{00000000-0005-0000-0000-00000E270000}"/>
    <cellStyle name="Note 2 2 5" xfId="6583" xr:uid="{00000000-0005-0000-0000-00000F270000}"/>
    <cellStyle name="Note 2 20" xfId="5864" xr:uid="{00000000-0005-0000-0000-000010270000}"/>
    <cellStyle name="Note 2 21" xfId="5865" xr:uid="{00000000-0005-0000-0000-000011270000}"/>
    <cellStyle name="Note 2 22" xfId="5866" xr:uid="{00000000-0005-0000-0000-000012270000}"/>
    <cellStyle name="Note 2 23" xfId="5867" xr:uid="{00000000-0005-0000-0000-000013270000}"/>
    <cellStyle name="Note 2 24" xfId="5868" xr:uid="{00000000-0005-0000-0000-000014270000}"/>
    <cellStyle name="Note 2 25" xfId="5869" xr:uid="{00000000-0005-0000-0000-000015270000}"/>
    <cellStyle name="Note 2 26" xfId="5870" xr:uid="{00000000-0005-0000-0000-000016270000}"/>
    <cellStyle name="Note 2 27" xfId="5871" xr:uid="{00000000-0005-0000-0000-000017270000}"/>
    <cellStyle name="Note 2 28" xfId="5872" xr:uid="{00000000-0005-0000-0000-000018270000}"/>
    <cellStyle name="Note 2 29" xfId="5873" xr:uid="{00000000-0005-0000-0000-000019270000}"/>
    <cellStyle name="Note 2 3" xfId="773" xr:uid="{00000000-0005-0000-0000-00001A270000}"/>
    <cellStyle name="Note 2 3 2" xfId="5875" xr:uid="{00000000-0005-0000-0000-00001B270000}"/>
    <cellStyle name="Note 2 3 3" xfId="5876" xr:uid="{00000000-0005-0000-0000-00001C270000}"/>
    <cellStyle name="Note 2 3 4" xfId="5874" xr:uid="{00000000-0005-0000-0000-00001D270000}"/>
    <cellStyle name="Note 2 30" xfId="5877" xr:uid="{00000000-0005-0000-0000-00001E270000}"/>
    <cellStyle name="Note 2 31" xfId="5878" xr:uid="{00000000-0005-0000-0000-00001F270000}"/>
    <cellStyle name="Note 2 32" xfId="5879" xr:uid="{00000000-0005-0000-0000-000020270000}"/>
    <cellStyle name="Note 2 33" xfId="5880" xr:uid="{00000000-0005-0000-0000-000021270000}"/>
    <cellStyle name="Note 2 34" xfId="5881" xr:uid="{00000000-0005-0000-0000-000022270000}"/>
    <cellStyle name="Note 2 35" xfId="5882" xr:uid="{00000000-0005-0000-0000-000023270000}"/>
    <cellStyle name="Note 2 36" xfId="5883" xr:uid="{00000000-0005-0000-0000-000024270000}"/>
    <cellStyle name="Note 2 37" xfId="5884" xr:uid="{00000000-0005-0000-0000-000025270000}"/>
    <cellStyle name="Note 2 38" xfId="5885" xr:uid="{00000000-0005-0000-0000-000026270000}"/>
    <cellStyle name="Note 2 39" xfId="5886" xr:uid="{00000000-0005-0000-0000-000027270000}"/>
    <cellStyle name="Note 2 4" xfId="774" xr:uid="{00000000-0005-0000-0000-000028270000}"/>
    <cellStyle name="Note 2 4 2" xfId="5888" xr:uid="{00000000-0005-0000-0000-000029270000}"/>
    <cellStyle name="Note 2 4 3" xfId="5887" xr:uid="{00000000-0005-0000-0000-00002A270000}"/>
    <cellStyle name="Note 2 40" xfId="5889" xr:uid="{00000000-0005-0000-0000-00002B270000}"/>
    <cellStyle name="Note 2 41" xfId="5890" xr:uid="{00000000-0005-0000-0000-00002C270000}"/>
    <cellStyle name="Note 2 42" xfId="5891" xr:uid="{00000000-0005-0000-0000-00002D270000}"/>
    <cellStyle name="Note 2 43" xfId="5892" xr:uid="{00000000-0005-0000-0000-00002E270000}"/>
    <cellStyle name="Note 2 44" xfId="5893" xr:uid="{00000000-0005-0000-0000-00002F270000}"/>
    <cellStyle name="Note 2 45" xfId="5894" xr:uid="{00000000-0005-0000-0000-000030270000}"/>
    <cellStyle name="Note 2 46" xfId="5895" xr:uid="{00000000-0005-0000-0000-000031270000}"/>
    <cellStyle name="Note 2 47" xfId="5896" xr:uid="{00000000-0005-0000-0000-000032270000}"/>
    <cellStyle name="Note 2 48" xfId="5897" xr:uid="{00000000-0005-0000-0000-000033270000}"/>
    <cellStyle name="Note 2 49" xfId="5898" xr:uid="{00000000-0005-0000-0000-000034270000}"/>
    <cellStyle name="Note 2 5" xfId="5899" xr:uid="{00000000-0005-0000-0000-000035270000}"/>
    <cellStyle name="Note 2 50" xfId="5900" xr:uid="{00000000-0005-0000-0000-000036270000}"/>
    <cellStyle name="Note 2 51" xfId="5901" xr:uid="{00000000-0005-0000-0000-000037270000}"/>
    <cellStyle name="Note 2 52" xfId="1515" xr:uid="{00000000-0005-0000-0000-000038270000}"/>
    <cellStyle name="Note 2 6" xfId="5902" xr:uid="{00000000-0005-0000-0000-000039270000}"/>
    <cellStyle name="Note 2 7" xfId="5903" xr:uid="{00000000-0005-0000-0000-00003A270000}"/>
    <cellStyle name="Note 2 8" xfId="5904" xr:uid="{00000000-0005-0000-0000-00003B270000}"/>
    <cellStyle name="Note 2 9" xfId="5905" xr:uid="{00000000-0005-0000-0000-00003C270000}"/>
    <cellStyle name="Note 3" xfId="5906" xr:uid="{00000000-0005-0000-0000-00003D270000}"/>
    <cellStyle name="Note 3 2" xfId="5907" xr:uid="{00000000-0005-0000-0000-00003E270000}"/>
    <cellStyle name="Note 3 2 2" xfId="5908" xr:uid="{00000000-0005-0000-0000-00003F270000}"/>
    <cellStyle name="Note 3 2 2 2" xfId="5909" xr:uid="{00000000-0005-0000-0000-000040270000}"/>
    <cellStyle name="Note 3 2 3" xfId="5910" xr:uid="{00000000-0005-0000-0000-000041270000}"/>
    <cellStyle name="Note 3 3" xfId="5911" xr:uid="{00000000-0005-0000-0000-000042270000}"/>
    <cellStyle name="Note 3 3 2" xfId="5912" xr:uid="{00000000-0005-0000-0000-000043270000}"/>
    <cellStyle name="Note 3 4" xfId="5913" xr:uid="{00000000-0005-0000-0000-000044270000}"/>
    <cellStyle name="Note 3 5" xfId="5914" xr:uid="{00000000-0005-0000-0000-000045270000}"/>
    <cellStyle name="Note 4" xfId="5915" xr:uid="{00000000-0005-0000-0000-000046270000}"/>
    <cellStyle name="Note 4 2" xfId="5916" xr:uid="{00000000-0005-0000-0000-000047270000}"/>
    <cellStyle name="Note 4 2 2" xfId="5917" xr:uid="{00000000-0005-0000-0000-000048270000}"/>
    <cellStyle name="Note 4 2 2 2" xfId="5918" xr:uid="{00000000-0005-0000-0000-000049270000}"/>
    <cellStyle name="Note 4 2 3" xfId="5919" xr:uid="{00000000-0005-0000-0000-00004A270000}"/>
    <cellStyle name="Note 4 3" xfId="5920" xr:uid="{00000000-0005-0000-0000-00004B270000}"/>
    <cellStyle name="Note 4 3 2" xfId="5921" xr:uid="{00000000-0005-0000-0000-00004C270000}"/>
    <cellStyle name="Note 4 4" xfId="5922" xr:uid="{00000000-0005-0000-0000-00004D270000}"/>
    <cellStyle name="Note 4 5" xfId="5923" xr:uid="{00000000-0005-0000-0000-00004E270000}"/>
    <cellStyle name="Note 5" xfId="5924" xr:uid="{00000000-0005-0000-0000-00004F270000}"/>
    <cellStyle name="Note 5 2" xfId="5925" xr:uid="{00000000-0005-0000-0000-000050270000}"/>
    <cellStyle name="Note 5 2 2" xfId="5926" xr:uid="{00000000-0005-0000-0000-000051270000}"/>
    <cellStyle name="Note 5 2 2 2" xfId="5927" xr:uid="{00000000-0005-0000-0000-000052270000}"/>
    <cellStyle name="Note 5 2 3" xfId="5928" xr:uid="{00000000-0005-0000-0000-000053270000}"/>
    <cellStyle name="Note 5 3" xfId="5929" xr:uid="{00000000-0005-0000-0000-000054270000}"/>
    <cellStyle name="Note 5 3 2" xfId="5930" xr:uid="{00000000-0005-0000-0000-000055270000}"/>
    <cellStyle name="Note 5 4" xfId="5931" xr:uid="{00000000-0005-0000-0000-000056270000}"/>
    <cellStyle name="Note 5 5" xfId="5932" xr:uid="{00000000-0005-0000-0000-000057270000}"/>
    <cellStyle name="Note 6" xfId="5933" xr:uid="{00000000-0005-0000-0000-000058270000}"/>
    <cellStyle name="Note 6 2" xfId="5934" xr:uid="{00000000-0005-0000-0000-000059270000}"/>
    <cellStyle name="Note 6 2 2" xfId="5935" xr:uid="{00000000-0005-0000-0000-00005A270000}"/>
    <cellStyle name="Note 6 2 2 2" xfId="5936" xr:uid="{00000000-0005-0000-0000-00005B270000}"/>
    <cellStyle name="Note 6 2 3" xfId="5937" xr:uid="{00000000-0005-0000-0000-00005C270000}"/>
    <cellStyle name="Note 6 3" xfId="5938" xr:uid="{00000000-0005-0000-0000-00005D270000}"/>
    <cellStyle name="Note 6 3 2" xfId="5939" xr:uid="{00000000-0005-0000-0000-00005E270000}"/>
    <cellStyle name="Note 6 4" xfId="5940" xr:uid="{00000000-0005-0000-0000-00005F270000}"/>
    <cellStyle name="Note 7" xfId="5941" xr:uid="{00000000-0005-0000-0000-000060270000}"/>
    <cellStyle name="Note 7 2" xfId="5942" xr:uid="{00000000-0005-0000-0000-000061270000}"/>
    <cellStyle name="Note 7 2 2" xfId="5943" xr:uid="{00000000-0005-0000-0000-000062270000}"/>
    <cellStyle name="Note 7 2 2 2" xfId="5944" xr:uid="{00000000-0005-0000-0000-000063270000}"/>
    <cellStyle name="Note 7 2 3" xfId="5945" xr:uid="{00000000-0005-0000-0000-000064270000}"/>
    <cellStyle name="Note 7 3" xfId="5946" xr:uid="{00000000-0005-0000-0000-000065270000}"/>
    <cellStyle name="Note 7 3 2" xfId="5947" xr:uid="{00000000-0005-0000-0000-000066270000}"/>
    <cellStyle name="Note 7 4" xfId="5948" xr:uid="{00000000-0005-0000-0000-000067270000}"/>
    <cellStyle name="Note 8" xfId="5949" xr:uid="{00000000-0005-0000-0000-000068270000}"/>
    <cellStyle name="Note 8 2" xfId="5950" xr:uid="{00000000-0005-0000-0000-000069270000}"/>
    <cellStyle name="Note 8 2 2" xfId="5951" xr:uid="{00000000-0005-0000-0000-00006A270000}"/>
    <cellStyle name="Note 8 2 2 2" xfId="5952" xr:uid="{00000000-0005-0000-0000-00006B270000}"/>
    <cellStyle name="Note 8 2 3" xfId="5953" xr:uid="{00000000-0005-0000-0000-00006C270000}"/>
    <cellStyle name="Note 8 3" xfId="5954" xr:uid="{00000000-0005-0000-0000-00006D270000}"/>
    <cellStyle name="Note 8 3 2" xfId="5955" xr:uid="{00000000-0005-0000-0000-00006E270000}"/>
    <cellStyle name="Note 8 4" xfId="5956" xr:uid="{00000000-0005-0000-0000-00006F270000}"/>
    <cellStyle name="Note 9" xfId="5957" xr:uid="{00000000-0005-0000-0000-000070270000}"/>
    <cellStyle name="Note 9 2" xfId="5958" xr:uid="{00000000-0005-0000-0000-000071270000}"/>
    <cellStyle name="Note 9 2 2" xfId="5959" xr:uid="{00000000-0005-0000-0000-000072270000}"/>
    <cellStyle name="Note 9 2 2 2" xfId="5960" xr:uid="{00000000-0005-0000-0000-000073270000}"/>
    <cellStyle name="Note 9 2 3" xfId="5961" xr:uid="{00000000-0005-0000-0000-000074270000}"/>
    <cellStyle name="Note 9 3" xfId="5962" xr:uid="{00000000-0005-0000-0000-000075270000}"/>
    <cellStyle name="Note 9 3 2" xfId="5963" xr:uid="{00000000-0005-0000-0000-000076270000}"/>
    <cellStyle name="Note 9 4" xfId="5964" xr:uid="{00000000-0005-0000-0000-000077270000}"/>
    <cellStyle name="Nr" xfId="5965" xr:uid="{00000000-0005-0000-0000-000078270000}"/>
    <cellStyle name="Nr 2" xfId="5966" xr:uid="{00000000-0005-0000-0000-000079270000}"/>
    <cellStyle name="Œ…‹æØ‚è [0.00]_PRODUCT DETAIL Q1" xfId="775" xr:uid="{00000000-0005-0000-0000-00007A270000}"/>
    <cellStyle name="Œ…‹æØ‚è_PRODUCT DETAIL Q1" xfId="776" xr:uid="{00000000-0005-0000-0000-00007B270000}"/>
    <cellStyle name="Output 10" xfId="5967" xr:uid="{00000000-0005-0000-0000-00007C270000}"/>
    <cellStyle name="Output 10 2" xfId="5968" xr:uid="{00000000-0005-0000-0000-00007D270000}"/>
    <cellStyle name="Output 10 2 2" xfId="5969" xr:uid="{00000000-0005-0000-0000-00007E270000}"/>
    <cellStyle name="Output 10 3" xfId="5970" xr:uid="{00000000-0005-0000-0000-00007F270000}"/>
    <cellStyle name="Output 11" xfId="5971" xr:uid="{00000000-0005-0000-0000-000080270000}"/>
    <cellStyle name="Output 11 2" xfId="5972" xr:uid="{00000000-0005-0000-0000-000081270000}"/>
    <cellStyle name="Output 12" xfId="5973" xr:uid="{00000000-0005-0000-0000-000082270000}"/>
    <cellStyle name="Output 2" xfId="777" xr:uid="{00000000-0005-0000-0000-000083270000}"/>
    <cellStyle name="Output 2 10" xfId="5974" xr:uid="{00000000-0005-0000-0000-000084270000}"/>
    <cellStyle name="Output 2 11" xfId="5975" xr:uid="{00000000-0005-0000-0000-000085270000}"/>
    <cellStyle name="Output 2 12" xfId="5976" xr:uid="{00000000-0005-0000-0000-000086270000}"/>
    <cellStyle name="Output 2 13" xfId="5977" xr:uid="{00000000-0005-0000-0000-000087270000}"/>
    <cellStyle name="Output 2 14" xfId="5978" xr:uid="{00000000-0005-0000-0000-000088270000}"/>
    <cellStyle name="Output 2 15" xfId="5979" xr:uid="{00000000-0005-0000-0000-000089270000}"/>
    <cellStyle name="Output 2 16" xfId="5980" xr:uid="{00000000-0005-0000-0000-00008A270000}"/>
    <cellStyle name="Output 2 17" xfId="5981" xr:uid="{00000000-0005-0000-0000-00008B270000}"/>
    <cellStyle name="Output 2 18" xfId="5982" xr:uid="{00000000-0005-0000-0000-00008C270000}"/>
    <cellStyle name="Output 2 19" xfId="5983" xr:uid="{00000000-0005-0000-0000-00008D270000}"/>
    <cellStyle name="Output 2 2" xfId="778" xr:uid="{00000000-0005-0000-0000-00008E270000}"/>
    <cellStyle name="Output 2 2 2" xfId="779" xr:uid="{00000000-0005-0000-0000-00008F270000}"/>
    <cellStyle name="Output 2 2 2 2" xfId="5985" xr:uid="{00000000-0005-0000-0000-000090270000}"/>
    <cellStyle name="Output 2 2 2 3" xfId="6585" xr:uid="{00000000-0005-0000-0000-000091270000}"/>
    <cellStyle name="Output 2 2 2 4" xfId="10426" xr:uid="{00000000-0005-0000-0000-000092270000}"/>
    <cellStyle name="Output 2 2 3" xfId="5986" xr:uid="{00000000-0005-0000-0000-000093270000}"/>
    <cellStyle name="Output 2 2 4" xfId="5984" xr:uid="{00000000-0005-0000-0000-000094270000}"/>
    <cellStyle name="Output 2 2 5" xfId="10425" xr:uid="{00000000-0005-0000-0000-000095270000}"/>
    <cellStyle name="Output 2 20" xfId="5987" xr:uid="{00000000-0005-0000-0000-000096270000}"/>
    <cellStyle name="Output 2 21" xfId="5988" xr:uid="{00000000-0005-0000-0000-000097270000}"/>
    <cellStyle name="Output 2 22" xfId="5989" xr:uid="{00000000-0005-0000-0000-000098270000}"/>
    <cellStyle name="Output 2 23" xfId="5990" xr:uid="{00000000-0005-0000-0000-000099270000}"/>
    <cellStyle name="Output 2 24" xfId="5991" xr:uid="{00000000-0005-0000-0000-00009A270000}"/>
    <cellStyle name="Output 2 25" xfId="5992" xr:uid="{00000000-0005-0000-0000-00009B270000}"/>
    <cellStyle name="Output 2 26" xfId="5993" xr:uid="{00000000-0005-0000-0000-00009C270000}"/>
    <cellStyle name="Output 2 27" xfId="5994" xr:uid="{00000000-0005-0000-0000-00009D270000}"/>
    <cellStyle name="Output 2 28" xfId="5995" xr:uid="{00000000-0005-0000-0000-00009E270000}"/>
    <cellStyle name="Output 2 29" xfId="5996" xr:uid="{00000000-0005-0000-0000-00009F270000}"/>
    <cellStyle name="Output 2 3" xfId="780" xr:uid="{00000000-0005-0000-0000-0000A0270000}"/>
    <cellStyle name="Output 2 3 2" xfId="5998" xr:uid="{00000000-0005-0000-0000-0000A1270000}"/>
    <cellStyle name="Output 2 3 3" xfId="5997" xr:uid="{00000000-0005-0000-0000-0000A2270000}"/>
    <cellStyle name="Output 2 3 4" xfId="10427" xr:uid="{00000000-0005-0000-0000-0000A3270000}"/>
    <cellStyle name="Output 2 30" xfId="5999" xr:uid="{00000000-0005-0000-0000-0000A4270000}"/>
    <cellStyle name="Output 2 31" xfId="6000" xr:uid="{00000000-0005-0000-0000-0000A5270000}"/>
    <cellStyle name="Output 2 32" xfId="6001" xr:uid="{00000000-0005-0000-0000-0000A6270000}"/>
    <cellStyle name="Output 2 33" xfId="6002" xr:uid="{00000000-0005-0000-0000-0000A7270000}"/>
    <cellStyle name="Output 2 34" xfId="6003" xr:uid="{00000000-0005-0000-0000-0000A8270000}"/>
    <cellStyle name="Output 2 35" xfId="6004" xr:uid="{00000000-0005-0000-0000-0000A9270000}"/>
    <cellStyle name="Output 2 36" xfId="6005" xr:uid="{00000000-0005-0000-0000-0000AA270000}"/>
    <cellStyle name="Output 2 37" xfId="6006" xr:uid="{00000000-0005-0000-0000-0000AB270000}"/>
    <cellStyle name="Output 2 38" xfId="6007" xr:uid="{00000000-0005-0000-0000-0000AC270000}"/>
    <cellStyle name="Output 2 39" xfId="6008" xr:uid="{00000000-0005-0000-0000-0000AD270000}"/>
    <cellStyle name="Output 2 4" xfId="781" xr:uid="{00000000-0005-0000-0000-0000AE270000}"/>
    <cellStyle name="Output 2 4 2" xfId="6009" xr:uid="{00000000-0005-0000-0000-0000AF270000}"/>
    <cellStyle name="Output 2 4 3" xfId="6586" xr:uid="{00000000-0005-0000-0000-0000B0270000}"/>
    <cellStyle name="Output 2 4 4" xfId="10428" xr:uid="{00000000-0005-0000-0000-0000B1270000}"/>
    <cellStyle name="Output 2 40" xfId="6010" xr:uid="{00000000-0005-0000-0000-0000B2270000}"/>
    <cellStyle name="Output 2 41" xfId="6011" xr:uid="{00000000-0005-0000-0000-0000B3270000}"/>
    <cellStyle name="Output 2 42" xfId="6012" xr:uid="{00000000-0005-0000-0000-0000B4270000}"/>
    <cellStyle name="Output 2 43" xfId="6013" xr:uid="{00000000-0005-0000-0000-0000B5270000}"/>
    <cellStyle name="Output 2 44" xfId="6014" xr:uid="{00000000-0005-0000-0000-0000B6270000}"/>
    <cellStyle name="Output 2 45" xfId="6015" xr:uid="{00000000-0005-0000-0000-0000B7270000}"/>
    <cellStyle name="Output 2 46" xfId="6016" xr:uid="{00000000-0005-0000-0000-0000B8270000}"/>
    <cellStyle name="Output 2 47" xfId="6017" xr:uid="{00000000-0005-0000-0000-0000B9270000}"/>
    <cellStyle name="Output 2 48" xfId="6018" xr:uid="{00000000-0005-0000-0000-0000BA270000}"/>
    <cellStyle name="Output 2 49" xfId="6019" xr:uid="{00000000-0005-0000-0000-0000BB270000}"/>
    <cellStyle name="Output 2 5" xfId="6020" xr:uid="{00000000-0005-0000-0000-0000BC270000}"/>
    <cellStyle name="Output 2 50" xfId="1516" xr:uid="{00000000-0005-0000-0000-0000BD270000}"/>
    <cellStyle name="Output 2 51" xfId="10424" xr:uid="{00000000-0005-0000-0000-0000BE270000}"/>
    <cellStyle name="Output 2 6" xfId="6021" xr:uid="{00000000-0005-0000-0000-0000BF270000}"/>
    <cellStyle name="Output 2 7" xfId="6022" xr:uid="{00000000-0005-0000-0000-0000C0270000}"/>
    <cellStyle name="Output 2 8" xfId="6023" xr:uid="{00000000-0005-0000-0000-0000C1270000}"/>
    <cellStyle name="Output 2 9" xfId="6024" xr:uid="{00000000-0005-0000-0000-0000C2270000}"/>
    <cellStyle name="Output 3" xfId="6025" xr:uid="{00000000-0005-0000-0000-0000C3270000}"/>
    <cellStyle name="Output 3 2" xfId="6026" xr:uid="{00000000-0005-0000-0000-0000C4270000}"/>
    <cellStyle name="Output 3 2 2" xfId="6027" xr:uid="{00000000-0005-0000-0000-0000C5270000}"/>
    <cellStyle name="Output 3 3" xfId="6028" xr:uid="{00000000-0005-0000-0000-0000C6270000}"/>
    <cellStyle name="Output 4" xfId="6029" xr:uid="{00000000-0005-0000-0000-0000C7270000}"/>
    <cellStyle name="Output 4 2" xfId="6030" xr:uid="{00000000-0005-0000-0000-0000C8270000}"/>
    <cellStyle name="Output 4 2 2" xfId="6031" xr:uid="{00000000-0005-0000-0000-0000C9270000}"/>
    <cellStyle name="Output 4 3" xfId="6032" xr:uid="{00000000-0005-0000-0000-0000CA270000}"/>
    <cellStyle name="Output 5" xfId="6033" xr:uid="{00000000-0005-0000-0000-0000CB270000}"/>
    <cellStyle name="Output 5 2" xfId="6034" xr:uid="{00000000-0005-0000-0000-0000CC270000}"/>
    <cellStyle name="Output 5 2 2" xfId="6035" xr:uid="{00000000-0005-0000-0000-0000CD270000}"/>
    <cellStyle name="Output 5 3" xfId="6036" xr:uid="{00000000-0005-0000-0000-0000CE270000}"/>
    <cellStyle name="Output 6" xfId="6037" xr:uid="{00000000-0005-0000-0000-0000CF270000}"/>
    <cellStyle name="Output 6 2" xfId="6038" xr:uid="{00000000-0005-0000-0000-0000D0270000}"/>
    <cellStyle name="Output 6 2 2" xfId="6039" xr:uid="{00000000-0005-0000-0000-0000D1270000}"/>
    <cellStyle name="Output 6 3" xfId="6040" xr:uid="{00000000-0005-0000-0000-0000D2270000}"/>
    <cellStyle name="Output 7" xfId="6041" xr:uid="{00000000-0005-0000-0000-0000D3270000}"/>
    <cellStyle name="Output 7 2" xfId="6042" xr:uid="{00000000-0005-0000-0000-0000D4270000}"/>
    <cellStyle name="Output 7 2 2" xfId="6043" xr:uid="{00000000-0005-0000-0000-0000D5270000}"/>
    <cellStyle name="Output 7 3" xfId="6044" xr:uid="{00000000-0005-0000-0000-0000D6270000}"/>
    <cellStyle name="Output 8" xfId="6045" xr:uid="{00000000-0005-0000-0000-0000D7270000}"/>
    <cellStyle name="Output 8 2" xfId="6046" xr:uid="{00000000-0005-0000-0000-0000D8270000}"/>
    <cellStyle name="Output 8 2 2" xfId="6047" xr:uid="{00000000-0005-0000-0000-0000D9270000}"/>
    <cellStyle name="Output 8 3" xfId="6048" xr:uid="{00000000-0005-0000-0000-0000DA270000}"/>
    <cellStyle name="Output 9" xfId="6049" xr:uid="{00000000-0005-0000-0000-0000DB270000}"/>
    <cellStyle name="Output 9 2" xfId="6050" xr:uid="{00000000-0005-0000-0000-0000DC270000}"/>
    <cellStyle name="Output 9 2 2" xfId="6051" xr:uid="{00000000-0005-0000-0000-0000DD270000}"/>
    <cellStyle name="Output 9 3" xfId="6052" xr:uid="{00000000-0005-0000-0000-0000DE270000}"/>
    <cellStyle name="paint" xfId="782" xr:uid="{00000000-0005-0000-0000-0000DF270000}"/>
    <cellStyle name="Per cent 2" xfId="10528" xr:uid="{00000000-0005-0000-0000-0000E0270000}"/>
    <cellStyle name="Per cent 2 2" xfId="10556" xr:uid="{00000000-0005-0000-0000-0000E1270000}"/>
    <cellStyle name="Per cent 3" xfId="10531" xr:uid="{00000000-0005-0000-0000-0000E2270000}"/>
    <cellStyle name="Percent [0]" xfId="783" xr:uid="{00000000-0005-0000-0000-0000E3270000}"/>
    <cellStyle name="Percent [00]" xfId="784" xr:uid="{00000000-0005-0000-0000-0000E4270000}"/>
    <cellStyle name="Percent [2]" xfId="785" xr:uid="{00000000-0005-0000-0000-0000E5270000}"/>
    <cellStyle name="Percent [2] 2" xfId="6053" xr:uid="{00000000-0005-0000-0000-0000E6270000}"/>
    <cellStyle name="Percent [2] 3" xfId="6054" xr:uid="{00000000-0005-0000-0000-0000E7270000}"/>
    <cellStyle name="Percent 10" xfId="6055" xr:uid="{00000000-0005-0000-0000-0000E8270000}"/>
    <cellStyle name="Percent 10 2" xfId="10530" xr:uid="{00000000-0005-0000-0000-0000E9270000}"/>
    <cellStyle name="Percent 10 2 2" xfId="10558" xr:uid="{00000000-0005-0000-0000-0000EA270000}"/>
    <cellStyle name="Percent 107" xfId="6056" xr:uid="{00000000-0005-0000-0000-0000EB270000}"/>
    <cellStyle name="Percent 107 2" xfId="6057" xr:uid="{00000000-0005-0000-0000-0000EC270000}"/>
    <cellStyle name="Percent 107 2 2" xfId="7695" xr:uid="{00000000-0005-0000-0000-0000ED270000}"/>
    <cellStyle name="Percent 107 2 2 2" xfId="10376" xr:uid="{00000000-0005-0000-0000-0000EE270000}"/>
    <cellStyle name="Percent 107 2 3" xfId="9036" xr:uid="{00000000-0005-0000-0000-0000EF270000}"/>
    <cellStyle name="Percent 107 3" xfId="7694" xr:uid="{00000000-0005-0000-0000-0000F0270000}"/>
    <cellStyle name="Percent 107 3 2" xfId="10375" xr:uid="{00000000-0005-0000-0000-0000F1270000}"/>
    <cellStyle name="Percent 107 4" xfId="9035" xr:uid="{00000000-0005-0000-0000-0000F2270000}"/>
    <cellStyle name="Percent 11" xfId="6058" xr:uid="{00000000-0005-0000-0000-0000F3270000}"/>
    <cellStyle name="Percent 11 2" xfId="6059" xr:uid="{00000000-0005-0000-0000-0000F4270000}"/>
    <cellStyle name="Percent 11 3" xfId="6060" xr:uid="{00000000-0005-0000-0000-0000F5270000}"/>
    <cellStyle name="Percent 12" xfId="6061" xr:uid="{00000000-0005-0000-0000-0000F6270000}"/>
    <cellStyle name="Percent 12 2" xfId="6062" xr:uid="{00000000-0005-0000-0000-0000F7270000}"/>
    <cellStyle name="Percent 13" xfId="6063" xr:uid="{00000000-0005-0000-0000-0000F8270000}"/>
    <cellStyle name="Percent 13 2" xfId="6064" xr:uid="{00000000-0005-0000-0000-0000F9270000}"/>
    <cellStyle name="Percent 14" xfId="6065" xr:uid="{00000000-0005-0000-0000-0000FA270000}"/>
    <cellStyle name="Percent 14 2" xfId="6066" xr:uid="{00000000-0005-0000-0000-0000FB270000}"/>
    <cellStyle name="Percent 15" xfId="6067" xr:uid="{00000000-0005-0000-0000-0000FC270000}"/>
    <cellStyle name="Percent 15 2" xfId="6068" xr:uid="{00000000-0005-0000-0000-0000FD270000}"/>
    <cellStyle name="Percent 16" xfId="6069" xr:uid="{00000000-0005-0000-0000-0000FE270000}"/>
    <cellStyle name="Percent 17" xfId="6070" xr:uid="{00000000-0005-0000-0000-0000FF270000}"/>
    <cellStyle name="Percent 17 2" xfId="6071" xr:uid="{00000000-0005-0000-0000-000000280000}"/>
    <cellStyle name="Percent 18" xfId="1425" xr:uid="{00000000-0005-0000-0000-000001280000}"/>
    <cellStyle name="Percent 19" xfId="1520" xr:uid="{00000000-0005-0000-0000-000002280000}"/>
    <cellStyle name="Percent 2" xfId="7" xr:uid="{00000000-0005-0000-0000-000003280000}"/>
    <cellStyle name="Percent 2 10" xfId="10526" xr:uid="{00000000-0005-0000-0000-000004280000}"/>
    <cellStyle name="Percent 2 2" xfId="219" xr:uid="{00000000-0005-0000-0000-000005280000}"/>
    <cellStyle name="Percent 2 3" xfId="220" xr:uid="{00000000-0005-0000-0000-000006280000}"/>
    <cellStyle name="Percent 2 4" xfId="786" xr:uid="{00000000-0005-0000-0000-000007280000}"/>
    <cellStyle name="Percent 2 5" xfId="253" xr:uid="{00000000-0005-0000-0000-000008280000}"/>
    <cellStyle name="Percent 2 5 2" xfId="6072" xr:uid="{00000000-0005-0000-0000-000009280000}"/>
    <cellStyle name="Percent 2 6" xfId="218" xr:uid="{00000000-0005-0000-0000-00000A280000}"/>
    <cellStyle name="Percent 20" xfId="6233" xr:uid="{00000000-0005-0000-0000-00000B280000}"/>
    <cellStyle name="Percent 21" xfId="6235" xr:uid="{00000000-0005-0000-0000-00000C280000}"/>
    <cellStyle name="Percent 22" xfId="6237" xr:uid="{00000000-0005-0000-0000-00000D280000}"/>
    <cellStyle name="Percent 23" xfId="6325" xr:uid="{00000000-0005-0000-0000-00000E280000}"/>
    <cellStyle name="Percent 24" xfId="10459" xr:uid="{00000000-0005-0000-0000-00000F280000}"/>
    <cellStyle name="Percent 3" xfId="12" xr:uid="{00000000-0005-0000-0000-000010280000}"/>
    <cellStyle name="Percent 3 2" xfId="6073" xr:uid="{00000000-0005-0000-0000-000011280000}"/>
    <cellStyle name="Percent 3 3" xfId="6074" xr:uid="{00000000-0005-0000-0000-000012280000}"/>
    <cellStyle name="Percent 3 4" xfId="787" xr:uid="{00000000-0005-0000-0000-000013280000}"/>
    <cellStyle name="Percent 4" xfId="32" xr:uid="{00000000-0005-0000-0000-000014280000}"/>
    <cellStyle name="Percent 4 12 2" xfId="10583" xr:uid="{00000000-0005-0000-0000-000015280000}"/>
    <cellStyle name="Percent 4 2" xfId="789" xr:uid="{00000000-0005-0000-0000-000016280000}"/>
    <cellStyle name="Percent 4 2 2" xfId="6075" xr:uid="{00000000-0005-0000-0000-000017280000}"/>
    <cellStyle name="Percent 4 2 2 2" xfId="6076" xr:uid="{00000000-0005-0000-0000-000018280000}"/>
    <cellStyle name="Percent 4 2 3" xfId="6077" xr:uid="{00000000-0005-0000-0000-000019280000}"/>
    <cellStyle name="Percent 4 3" xfId="6078" xr:uid="{00000000-0005-0000-0000-00001A280000}"/>
    <cellStyle name="Percent 4 4" xfId="6079" xr:uid="{00000000-0005-0000-0000-00001B280000}"/>
    <cellStyle name="Percent 4 4 2" xfId="6080" xr:uid="{00000000-0005-0000-0000-00001C280000}"/>
    <cellStyle name="Percent 4 5" xfId="6081" xr:uid="{00000000-0005-0000-0000-00001D280000}"/>
    <cellStyle name="Percent 4 5 2" xfId="6082" xr:uid="{00000000-0005-0000-0000-00001E280000}"/>
    <cellStyle name="Percent 4 6" xfId="788" xr:uid="{00000000-0005-0000-0000-00001F280000}"/>
    <cellStyle name="Percent 5" xfId="790" xr:uid="{00000000-0005-0000-0000-000020280000}"/>
    <cellStyle name="Percent 5 2" xfId="791" xr:uid="{00000000-0005-0000-0000-000021280000}"/>
    <cellStyle name="Percent 5 2 2" xfId="1453" xr:uid="{00000000-0005-0000-0000-000022280000}"/>
    <cellStyle name="Percent 5 2 2 2" xfId="7148" xr:uid="{00000000-0005-0000-0000-000023280000}"/>
    <cellStyle name="Percent 5 2 2 2 2" xfId="9851" xr:uid="{00000000-0005-0000-0000-000024280000}"/>
    <cellStyle name="Percent 5 2 2 3" xfId="8511" xr:uid="{00000000-0005-0000-0000-000025280000}"/>
    <cellStyle name="Percent 5 2 3" xfId="6588" xr:uid="{00000000-0005-0000-0000-000026280000}"/>
    <cellStyle name="Percent 5 2 3 2" xfId="9298" xr:uid="{00000000-0005-0000-0000-000027280000}"/>
    <cellStyle name="Percent 5 2 4" xfId="7959" xr:uid="{00000000-0005-0000-0000-000028280000}"/>
    <cellStyle name="Percent 5 3" xfId="1452" xr:uid="{00000000-0005-0000-0000-000029280000}"/>
    <cellStyle name="Percent 5 3 2" xfId="7147" xr:uid="{00000000-0005-0000-0000-00002A280000}"/>
    <cellStyle name="Percent 5 3 2 2" xfId="9850" xr:uid="{00000000-0005-0000-0000-00002B280000}"/>
    <cellStyle name="Percent 5 3 3" xfId="8510" xr:uid="{00000000-0005-0000-0000-00002C280000}"/>
    <cellStyle name="Percent 5 4" xfId="6587" xr:uid="{00000000-0005-0000-0000-00002D280000}"/>
    <cellStyle name="Percent 5 4 2" xfId="9297" xr:uid="{00000000-0005-0000-0000-00002E280000}"/>
    <cellStyle name="Percent 5 5" xfId="7958" xr:uid="{00000000-0005-0000-0000-00002F280000}"/>
    <cellStyle name="Percent 6" xfId="792" xr:uid="{00000000-0005-0000-0000-000030280000}"/>
    <cellStyle name="Percent 6 2" xfId="6083" xr:uid="{00000000-0005-0000-0000-000031280000}"/>
    <cellStyle name="Percent 6 3" xfId="6084" xr:uid="{00000000-0005-0000-0000-000032280000}"/>
    <cellStyle name="Percent 7" xfId="793" xr:uid="{00000000-0005-0000-0000-000033280000}"/>
    <cellStyle name="Percent 7 2" xfId="6086" xr:uid="{00000000-0005-0000-0000-000034280000}"/>
    <cellStyle name="Percent 7 3" xfId="6085" xr:uid="{00000000-0005-0000-0000-000035280000}"/>
    <cellStyle name="Percent 8" xfId="6087" xr:uid="{00000000-0005-0000-0000-000036280000}"/>
    <cellStyle name="Percent 8 2" xfId="6088" xr:uid="{00000000-0005-0000-0000-000037280000}"/>
    <cellStyle name="Percent 9" xfId="6089" xr:uid="{00000000-0005-0000-0000-000038280000}"/>
    <cellStyle name="Popis" xfId="794" xr:uid="{00000000-0005-0000-0000-000039280000}"/>
    <cellStyle name="Pound" xfId="795" xr:uid="{00000000-0005-0000-0000-00003A280000}"/>
    <cellStyle name="PrePop Currency (0)" xfId="796" xr:uid="{00000000-0005-0000-0000-00003B280000}"/>
    <cellStyle name="PrePop Currency (2)" xfId="797" xr:uid="{00000000-0005-0000-0000-00003C280000}"/>
    <cellStyle name="PrePop Units (0)" xfId="798" xr:uid="{00000000-0005-0000-0000-00003D280000}"/>
    <cellStyle name="PrePop Units (1)" xfId="799" xr:uid="{00000000-0005-0000-0000-00003E280000}"/>
    <cellStyle name="PrePop Units (2)" xfId="800" xr:uid="{00000000-0005-0000-0000-00003F280000}"/>
    <cellStyle name="Price List Descr" xfId="801" xr:uid="{00000000-0005-0000-0000-000040280000}"/>
    <cellStyle name="Price List Descr Bold/Ital" xfId="802" xr:uid="{00000000-0005-0000-0000-000041280000}"/>
    <cellStyle name="Price List Descr Italic" xfId="803" xr:uid="{00000000-0005-0000-0000-000042280000}"/>
    <cellStyle name="Price List Disco Header" xfId="804" xr:uid="{00000000-0005-0000-0000-000043280000}"/>
    <cellStyle name="Price List Disco Header 2" xfId="1517" xr:uid="{00000000-0005-0000-0000-000044280000}"/>
    <cellStyle name="Price List Disco Header 2 2" xfId="10436" xr:uid="{00000000-0005-0000-0000-000045280000}"/>
    <cellStyle name="Price List Disco Header 3" xfId="6231" xr:uid="{00000000-0005-0000-0000-000046280000}"/>
    <cellStyle name="Price List Heading 1" xfId="805" xr:uid="{00000000-0005-0000-0000-000047280000}"/>
    <cellStyle name="Price List Heading-Main" xfId="806" xr:uid="{00000000-0005-0000-0000-000048280000}"/>
    <cellStyle name="Price List Heading-P/L" xfId="807" xr:uid="{00000000-0005-0000-0000-000049280000}"/>
    <cellStyle name="Price List Heading-P/L 2" xfId="1430" xr:uid="{00000000-0005-0000-0000-00004A280000}"/>
    <cellStyle name="Price List Heading-P/L 2 2" xfId="10434" xr:uid="{00000000-0005-0000-0000-00004B280000}"/>
    <cellStyle name="Price List Heading-P/L 3" xfId="1518" xr:uid="{00000000-0005-0000-0000-00004C280000}"/>
    <cellStyle name="Price List P/N" xfId="808" xr:uid="{00000000-0005-0000-0000-00004D280000}"/>
    <cellStyle name="Price List Price" xfId="809" xr:uid="{00000000-0005-0000-0000-00004E280000}"/>
    <cellStyle name="Price List Repl Product" xfId="810" xr:uid="{00000000-0005-0000-0000-00004F280000}"/>
    <cellStyle name="Rate" xfId="6090" xr:uid="{00000000-0005-0000-0000-000050280000}"/>
    <cellStyle name="Rate 2" xfId="6091" xr:uid="{00000000-0005-0000-0000-000051280000}"/>
    <cellStyle name="RateBold" xfId="6092" xr:uid="{00000000-0005-0000-0000-000052280000}"/>
    <cellStyle name="RateBold 2" xfId="6093" xr:uid="{00000000-0005-0000-0000-000053280000}"/>
    <cellStyle name="RevList" xfId="811" xr:uid="{00000000-0005-0000-0000-000054280000}"/>
    <cellStyle name="Section Title" xfId="6094" xr:uid="{00000000-0005-0000-0000-000055280000}"/>
    <cellStyle name="Section Title 2" xfId="6095" xr:uid="{00000000-0005-0000-0000-000056280000}"/>
    <cellStyle name="Sledovaný hypertextový odkaz" xfId="812" xr:uid="{00000000-0005-0000-0000-000057280000}"/>
    <cellStyle name="SPOl" xfId="813" xr:uid="{00000000-0005-0000-0000-000058280000}"/>
    <cellStyle name="Standard_aktuell" xfId="814" xr:uid="{00000000-0005-0000-0000-000059280000}"/>
    <cellStyle name="Style 1" xfId="110" xr:uid="{00000000-0005-0000-0000-00005A280000}"/>
    <cellStyle name="Style 1 10" xfId="6096" xr:uid="{00000000-0005-0000-0000-00005B280000}"/>
    <cellStyle name="Style 1 10 2" xfId="10597" xr:uid="{00000000-0005-0000-0000-00005C280000}"/>
    <cellStyle name="Style 1 11" xfId="6097" xr:uid="{00000000-0005-0000-0000-00005D280000}"/>
    <cellStyle name="Style 1 12" xfId="6098" xr:uid="{00000000-0005-0000-0000-00005E280000}"/>
    <cellStyle name="Style 1 13" xfId="6099" xr:uid="{00000000-0005-0000-0000-00005F280000}"/>
    <cellStyle name="Style 1 14" xfId="6100" xr:uid="{00000000-0005-0000-0000-000060280000}"/>
    <cellStyle name="Style 1 15" xfId="6101" xr:uid="{00000000-0005-0000-0000-000061280000}"/>
    <cellStyle name="Style 1 16" xfId="6102" xr:uid="{00000000-0005-0000-0000-000062280000}"/>
    <cellStyle name="Style 1 17" xfId="6103" xr:uid="{00000000-0005-0000-0000-000063280000}"/>
    <cellStyle name="Style 1 18" xfId="6104" xr:uid="{00000000-0005-0000-0000-000064280000}"/>
    <cellStyle name="Style 1 19" xfId="6105" xr:uid="{00000000-0005-0000-0000-000065280000}"/>
    <cellStyle name="Style 1 2" xfId="221" xr:uid="{00000000-0005-0000-0000-000066280000}"/>
    <cellStyle name="Style 1 2 2" xfId="222" xr:uid="{00000000-0005-0000-0000-000067280000}"/>
    <cellStyle name="Style 1 2 2 2" xfId="815" xr:uid="{00000000-0005-0000-0000-000068280000}"/>
    <cellStyle name="Style 1 2 2 2 2" xfId="6106" xr:uid="{00000000-0005-0000-0000-000069280000}"/>
    <cellStyle name="Style 1 2 2 3" xfId="255" xr:uid="{00000000-0005-0000-0000-00006A280000}"/>
    <cellStyle name="Style 1 2 2 3 2" xfId="6107" xr:uid="{00000000-0005-0000-0000-00006B280000}"/>
    <cellStyle name="Style 1 2 2 4" xfId="6108" xr:uid="{00000000-0005-0000-0000-00006C280000}"/>
    <cellStyle name="Style 1 2 2 5" xfId="6109" xr:uid="{00000000-0005-0000-0000-00006D280000}"/>
    <cellStyle name="Style 1 2 2 6" xfId="6110" xr:uid="{00000000-0005-0000-0000-00006E280000}"/>
    <cellStyle name="Style 1 2 3" xfId="223" xr:uid="{00000000-0005-0000-0000-00006F280000}"/>
    <cellStyle name="Style 1 2 3 2" xfId="817" xr:uid="{00000000-0005-0000-0000-000070280000}"/>
    <cellStyle name="Style 1 2 3 2 2" xfId="996" xr:uid="{00000000-0005-0000-0000-000071280000}"/>
    <cellStyle name="Style 1 2 3 2 3" xfId="974" xr:uid="{00000000-0005-0000-0000-000072280000}"/>
    <cellStyle name="Style 1 2 3 2 3 2" xfId="1293" xr:uid="{00000000-0005-0000-0000-000073280000}"/>
    <cellStyle name="Style 1 2 3 2 3 2 2" xfId="7003" xr:uid="{00000000-0005-0000-0000-000074280000}"/>
    <cellStyle name="Style 1 2 3 2 3 2 2 2" xfId="9710" xr:uid="{00000000-0005-0000-0000-000075280000}"/>
    <cellStyle name="Style 1 2 3 2 3 2 3" xfId="8371" xr:uid="{00000000-0005-0000-0000-000076280000}"/>
    <cellStyle name="Style 1 2 3 2 3 3" xfId="6706" xr:uid="{00000000-0005-0000-0000-000077280000}"/>
    <cellStyle name="Style 1 2 3 2 3 3 2" xfId="9413" xr:uid="{00000000-0005-0000-0000-000078280000}"/>
    <cellStyle name="Style 1 2 3 2 3 4" xfId="8074" xr:uid="{00000000-0005-0000-0000-000079280000}"/>
    <cellStyle name="Style 1 2 3 2 4" xfId="1047" xr:uid="{00000000-0005-0000-0000-00007A280000}"/>
    <cellStyle name="Style 1 2 3 2 4 2" xfId="6778" xr:uid="{00000000-0005-0000-0000-00007B280000}"/>
    <cellStyle name="Style 1 2 3 2 4 2 2" xfId="9485" xr:uid="{00000000-0005-0000-0000-00007C280000}"/>
    <cellStyle name="Style 1 2 3 2 4 3" xfId="8146" xr:uid="{00000000-0005-0000-0000-00007D280000}"/>
    <cellStyle name="Style 1 2 3 3" xfId="816" xr:uid="{00000000-0005-0000-0000-00007E280000}"/>
    <cellStyle name="Style 1 2 3 3 2" xfId="1317" xr:uid="{00000000-0005-0000-0000-00007F280000}"/>
    <cellStyle name="Style 1 2 3 3 2 2" xfId="7023" xr:uid="{00000000-0005-0000-0000-000080280000}"/>
    <cellStyle name="Style 1 2 3 3 2 2 2" xfId="9730" xr:uid="{00000000-0005-0000-0000-000081280000}"/>
    <cellStyle name="Style 1 2 3 3 2 3" xfId="8391" xr:uid="{00000000-0005-0000-0000-000082280000}"/>
    <cellStyle name="Style 1 2 3 3 3" xfId="6589" xr:uid="{00000000-0005-0000-0000-000083280000}"/>
    <cellStyle name="Style 1 2 3 3 3 2" xfId="9299" xr:uid="{00000000-0005-0000-0000-000084280000}"/>
    <cellStyle name="Style 1 2 3 3 4" xfId="7960" xr:uid="{00000000-0005-0000-0000-000085280000}"/>
    <cellStyle name="Style 1 2 3 4" xfId="991" xr:uid="{00000000-0005-0000-0000-000086280000}"/>
    <cellStyle name="Style 1 2 3 4 2" xfId="1253" xr:uid="{00000000-0005-0000-0000-000087280000}"/>
    <cellStyle name="Style 1 2 3 4 2 2" xfId="6970" xr:uid="{00000000-0005-0000-0000-000088280000}"/>
    <cellStyle name="Style 1 2 3 4 2 2 2" xfId="9677" xr:uid="{00000000-0005-0000-0000-000089280000}"/>
    <cellStyle name="Style 1 2 3 4 2 3" xfId="8338" xr:uid="{00000000-0005-0000-0000-00008A280000}"/>
    <cellStyle name="Style 1 2 3 4 3" xfId="6723" xr:uid="{00000000-0005-0000-0000-00008B280000}"/>
    <cellStyle name="Style 1 2 3 4 3 2" xfId="9430" xr:uid="{00000000-0005-0000-0000-00008C280000}"/>
    <cellStyle name="Style 1 2 3 4 4" xfId="8091" xr:uid="{00000000-0005-0000-0000-00008D280000}"/>
    <cellStyle name="Style 1 2 3 5" xfId="1019" xr:uid="{00000000-0005-0000-0000-00008E280000}"/>
    <cellStyle name="Style 1 2 3 5 2" xfId="6750" xr:uid="{00000000-0005-0000-0000-00008F280000}"/>
    <cellStyle name="Style 1 2 3 5 2 2" xfId="9457" xr:uid="{00000000-0005-0000-0000-000090280000}"/>
    <cellStyle name="Style 1 2 3 5 3" xfId="8118" xr:uid="{00000000-0005-0000-0000-000091280000}"/>
    <cellStyle name="Style 1 2 3 6" xfId="273" xr:uid="{00000000-0005-0000-0000-000092280000}"/>
    <cellStyle name="Style 1 2 3 6 2" xfId="6424" xr:uid="{00000000-0005-0000-0000-000093280000}"/>
    <cellStyle name="Style 1 2 3 6 2 2" xfId="9143" xr:uid="{00000000-0005-0000-0000-000094280000}"/>
    <cellStyle name="Style 1 2 3 6 3" xfId="7804" xr:uid="{00000000-0005-0000-0000-000095280000}"/>
    <cellStyle name="Style 1 2 3 7" xfId="1412" xr:uid="{00000000-0005-0000-0000-000096280000}"/>
    <cellStyle name="Style 1 2 3 7 2" xfId="7117" xr:uid="{00000000-0005-0000-0000-000097280000}"/>
    <cellStyle name="Style 1 2 3 7 2 2" xfId="9820" xr:uid="{00000000-0005-0000-0000-000098280000}"/>
    <cellStyle name="Style 1 2 3 7 3" xfId="8481" xr:uid="{00000000-0005-0000-0000-000099280000}"/>
    <cellStyle name="Style 1 2 3 8" xfId="6390" xr:uid="{00000000-0005-0000-0000-00009A280000}"/>
    <cellStyle name="Style 1 2 3 8 2" xfId="9109" xr:uid="{00000000-0005-0000-0000-00009B280000}"/>
    <cellStyle name="Style 1 2 3 9" xfId="7770" xr:uid="{00000000-0005-0000-0000-00009C280000}"/>
    <cellStyle name="Style 1 2 4" xfId="818" xr:uid="{00000000-0005-0000-0000-00009D280000}"/>
    <cellStyle name="Style 1 2 4 2" xfId="6111" xr:uid="{00000000-0005-0000-0000-00009E280000}"/>
    <cellStyle name="Style 1 2 5" xfId="1254" xr:uid="{00000000-0005-0000-0000-00009F280000}"/>
    <cellStyle name="Style 1 2 5 2" xfId="6112" xr:uid="{00000000-0005-0000-0000-0000A0280000}"/>
    <cellStyle name="Style 1 2 5 3" xfId="6971" xr:uid="{00000000-0005-0000-0000-0000A1280000}"/>
    <cellStyle name="Style 1 2 5 3 2" xfId="9678" xr:uid="{00000000-0005-0000-0000-0000A2280000}"/>
    <cellStyle name="Style 1 2 5 4" xfId="8339" xr:uid="{00000000-0005-0000-0000-0000A3280000}"/>
    <cellStyle name="Style 1 2 6" xfId="254" xr:uid="{00000000-0005-0000-0000-0000A4280000}"/>
    <cellStyle name="Style 1 2 6 2" xfId="6113" xr:uid="{00000000-0005-0000-0000-0000A5280000}"/>
    <cellStyle name="Style 1 2 6 3" xfId="6409" xr:uid="{00000000-0005-0000-0000-0000A6280000}"/>
    <cellStyle name="Style 1 2 6 3 2" xfId="9128" xr:uid="{00000000-0005-0000-0000-0000A7280000}"/>
    <cellStyle name="Style 1 2 6 4" xfId="7789" xr:uid="{00000000-0005-0000-0000-0000A8280000}"/>
    <cellStyle name="Style 1 2 7" xfId="1411" xr:uid="{00000000-0005-0000-0000-0000A9280000}"/>
    <cellStyle name="Style 1 2 7 2" xfId="7116" xr:uid="{00000000-0005-0000-0000-0000AA280000}"/>
    <cellStyle name="Style 1 2 7 2 2" xfId="9819" xr:uid="{00000000-0005-0000-0000-0000AB280000}"/>
    <cellStyle name="Style 1 2 7 3" xfId="8480" xr:uid="{00000000-0005-0000-0000-0000AC280000}"/>
    <cellStyle name="Style 1 2 8" xfId="6389" xr:uid="{00000000-0005-0000-0000-0000AD280000}"/>
    <cellStyle name="Style 1 2 8 2" xfId="9108" xr:uid="{00000000-0005-0000-0000-0000AE280000}"/>
    <cellStyle name="Style 1 2 9" xfId="7769" xr:uid="{00000000-0005-0000-0000-0000AF280000}"/>
    <cellStyle name="Style 1 20" xfId="6114" xr:uid="{00000000-0005-0000-0000-0000B0280000}"/>
    <cellStyle name="Style 1 21" xfId="6115" xr:uid="{00000000-0005-0000-0000-0000B1280000}"/>
    <cellStyle name="Style 1 22" xfId="6116" xr:uid="{00000000-0005-0000-0000-0000B2280000}"/>
    <cellStyle name="Style 1 23" xfId="6117" xr:uid="{00000000-0005-0000-0000-0000B3280000}"/>
    <cellStyle name="Style 1 24" xfId="6118" xr:uid="{00000000-0005-0000-0000-0000B4280000}"/>
    <cellStyle name="Style 1 25" xfId="52" xr:uid="{00000000-0005-0000-0000-0000B5280000}"/>
    <cellStyle name="Style 1 25 2" xfId="10566" xr:uid="{00000000-0005-0000-0000-0000B6280000}"/>
    <cellStyle name="Style 1 3" xfId="224" xr:uid="{00000000-0005-0000-0000-0000B7280000}"/>
    <cellStyle name="Style 1 3 2" xfId="6119" xr:uid="{00000000-0005-0000-0000-0000B8280000}"/>
    <cellStyle name="Style 1 3 3" xfId="6120" xr:uid="{00000000-0005-0000-0000-0000B9280000}"/>
    <cellStyle name="Style 1 4" xfId="60" xr:uid="{00000000-0005-0000-0000-0000BA280000}"/>
    <cellStyle name="Style 1 4 2" xfId="820" xr:uid="{00000000-0005-0000-0000-0000BB280000}"/>
    <cellStyle name="Style 1 4 2 2" xfId="6121" xr:uid="{00000000-0005-0000-0000-0000BC280000}"/>
    <cellStyle name="Style 1 4 3" xfId="228" xr:uid="{00000000-0005-0000-0000-0000BD280000}"/>
    <cellStyle name="Style 1 5" xfId="821" xr:uid="{00000000-0005-0000-0000-0000BE280000}"/>
    <cellStyle name="Style 1 5 2" xfId="822" xr:uid="{00000000-0005-0000-0000-0000BF280000}"/>
    <cellStyle name="Style 1 5 2 2" xfId="992" xr:uid="{00000000-0005-0000-0000-0000C0280000}"/>
    <cellStyle name="Style 1 5 2 2 2" xfId="1318" xr:uid="{00000000-0005-0000-0000-0000C1280000}"/>
    <cellStyle name="Style 1 5 2 2 2 2" xfId="7024" xr:uid="{00000000-0005-0000-0000-0000C2280000}"/>
    <cellStyle name="Style 1 5 2 2 2 2 2" xfId="9731" xr:uid="{00000000-0005-0000-0000-0000C3280000}"/>
    <cellStyle name="Style 1 5 2 2 2 3" xfId="8392" xr:uid="{00000000-0005-0000-0000-0000C4280000}"/>
    <cellStyle name="Style 1 5 2 2 3" xfId="6724" xr:uid="{00000000-0005-0000-0000-0000C5280000}"/>
    <cellStyle name="Style 1 5 2 2 3 2" xfId="9431" xr:uid="{00000000-0005-0000-0000-0000C6280000}"/>
    <cellStyle name="Style 1 5 2 2 4" xfId="8092" xr:uid="{00000000-0005-0000-0000-0000C7280000}"/>
    <cellStyle name="Style 1 5 2 3" xfId="1133" xr:uid="{00000000-0005-0000-0000-0000C8280000}"/>
    <cellStyle name="Style 1 5 2 3 2" xfId="6852" xr:uid="{00000000-0005-0000-0000-0000C9280000}"/>
    <cellStyle name="Style 1 5 2 3 2 2" xfId="9559" xr:uid="{00000000-0005-0000-0000-0000CA280000}"/>
    <cellStyle name="Style 1 5 2 3 3" xfId="8220" xr:uid="{00000000-0005-0000-0000-0000CB280000}"/>
    <cellStyle name="Style 1 5 2 4" xfId="6122" xr:uid="{00000000-0005-0000-0000-0000CC280000}"/>
    <cellStyle name="Style 1 5 2 5" xfId="6591" xr:uid="{00000000-0005-0000-0000-0000CD280000}"/>
    <cellStyle name="Style 1 5 2 5 2" xfId="9301" xr:uid="{00000000-0005-0000-0000-0000CE280000}"/>
    <cellStyle name="Style 1 5 2 6" xfId="7962" xr:uid="{00000000-0005-0000-0000-0000CF280000}"/>
    <cellStyle name="Style 1 6" xfId="6123" xr:uid="{00000000-0005-0000-0000-0000D0280000}"/>
    <cellStyle name="Style 1 7" xfId="6124" xr:uid="{00000000-0005-0000-0000-0000D1280000}"/>
    <cellStyle name="Style 1 8" xfId="6125" xr:uid="{00000000-0005-0000-0000-0000D2280000}"/>
    <cellStyle name="Style 1 9" xfId="6126" xr:uid="{00000000-0005-0000-0000-0000D3280000}"/>
    <cellStyle name="Style 1_Bloom Energy - BOQ" xfId="6127" xr:uid="{00000000-0005-0000-0000-0000D4280000}"/>
    <cellStyle name="Style 2" xfId="256" xr:uid="{00000000-0005-0000-0000-0000D5280000}"/>
    <cellStyle name="Style 3" xfId="257" xr:uid="{00000000-0005-0000-0000-0000D6280000}"/>
    <cellStyle name="Style 5" xfId="258" xr:uid="{00000000-0005-0000-0000-0000D7280000}"/>
    <cellStyle name="Subtitle" xfId="6128" xr:uid="{00000000-0005-0000-0000-0000D8280000}"/>
    <cellStyle name="Subtotal" xfId="823" xr:uid="{00000000-0005-0000-0000-0000D9280000}"/>
    <cellStyle name="sum" xfId="6129" xr:uid="{00000000-0005-0000-0000-0000DA280000}"/>
    <cellStyle name="sum 2" xfId="6130" xr:uid="{00000000-0005-0000-0000-0000DB280000}"/>
    <cellStyle name="sum8" xfId="6131" xr:uid="{00000000-0005-0000-0000-0000DC280000}"/>
    <cellStyle name="Summary_back" xfId="6132" xr:uid="{00000000-0005-0000-0000-0000DD280000}"/>
    <cellStyle name="TableStyleLight1" xfId="6133" xr:uid="{00000000-0005-0000-0000-0000DE280000}"/>
    <cellStyle name="TableStyleLight1 7" xfId="6134" xr:uid="{00000000-0005-0000-0000-0000DF280000}"/>
    <cellStyle name="Text Indent A" xfId="824" xr:uid="{00000000-0005-0000-0000-0000E0280000}"/>
    <cellStyle name="Text Indent B" xfId="825" xr:uid="{00000000-0005-0000-0000-0000E1280000}"/>
    <cellStyle name="Text Indent C" xfId="826" xr:uid="{00000000-0005-0000-0000-0000E2280000}"/>
    <cellStyle name="Times New Roman" xfId="827" xr:uid="{00000000-0005-0000-0000-0000E3280000}"/>
    <cellStyle name="title [1]" xfId="828" xr:uid="{00000000-0005-0000-0000-0000E4280000}"/>
    <cellStyle name="title [2]" xfId="829" xr:uid="{00000000-0005-0000-0000-0000E5280000}"/>
    <cellStyle name="Title 10" xfId="6135" xr:uid="{00000000-0005-0000-0000-0000E6280000}"/>
    <cellStyle name="Title 10 2" xfId="6136" xr:uid="{00000000-0005-0000-0000-0000E7280000}"/>
    <cellStyle name="Title 10 2 2" xfId="6137" xr:uid="{00000000-0005-0000-0000-0000E8280000}"/>
    <cellStyle name="Title 10 3" xfId="6138" xr:uid="{00000000-0005-0000-0000-0000E9280000}"/>
    <cellStyle name="Title 11" xfId="6139" xr:uid="{00000000-0005-0000-0000-0000EA280000}"/>
    <cellStyle name="Title 11 2" xfId="6140" xr:uid="{00000000-0005-0000-0000-0000EB280000}"/>
    <cellStyle name="Title 12" xfId="6141" xr:uid="{00000000-0005-0000-0000-0000EC280000}"/>
    <cellStyle name="Title 2" xfId="830" xr:uid="{00000000-0005-0000-0000-0000ED280000}"/>
    <cellStyle name="Title 2 2" xfId="6142" xr:uid="{00000000-0005-0000-0000-0000EE280000}"/>
    <cellStyle name="Title 2 2 2" xfId="6143" xr:uid="{00000000-0005-0000-0000-0000EF280000}"/>
    <cellStyle name="Title 2 3" xfId="6144" xr:uid="{00000000-0005-0000-0000-0000F0280000}"/>
    <cellStyle name="Title 3" xfId="6145" xr:uid="{00000000-0005-0000-0000-0000F1280000}"/>
    <cellStyle name="Title 3 2" xfId="6146" xr:uid="{00000000-0005-0000-0000-0000F2280000}"/>
    <cellStyle name="Title 3 2 2" xfId="6147" xr:uid="{00000000-0005-0000-0000-0000F3280000}"/>
    <cellStyle name="Title 3 3" xfId="6148" xr:uid="{00000000-0005-0000-0000-0000F4280000}"/>
    <cellStyle name="Title 4" xfId="6149" xr:uid="{00000000-0005-0000-0000-0000F5280000}"/>
    <cellStyle name="Title 4 2" xfId="6150" xr:uid="{00000000-0005-0000-0000-0000F6280000}"/>
    <cellStyle name="Title 4 2 2" xfId="6151" xr:uid="{00000000-0005-0000-0000-0000F7280000}"/>
    <cellStyle name="Title 4 3" xfId="6152" xr:uid="{00000000-0005-0000-0000-0000F8280000}"/>
    <cellStyle name="Title 5" xfId="6153" xr:uid="{00000000-0005-0000-0000-0000F9280000}"/>
    <cellStyle name="Title 5 2" xfId="6154" xr:uid="{00000000-0005-0000-0000-0000FA280000}"/>
    <cellStyle name="Title 5 2 2" xfId="6155" xr:uid="{00000000-0005-0000-0000-0000FB280000}"/>
    <cellStyle name="Title 5 3" xfId="6156" xr:uid="{00000000-0005-0000-0000-0000FC280000}"/>
    <cellStyle name="Title 6" xfId="6157" xr:uid="{00000000-0005-0000-0000-0000FD280000}"/>
    <cellStyle name="Title 6 2" xfId="6158" xr:uid="{00000000-0005-0000-0000-0000FE280000}"/>
    <cellStyle name="Title 6 2 2" xfId="6159" xr:uid="{00000000-0005-0000-0000-0000FF280000}"/>
    <cellStyle name="Title 6 3" xfId="6160" xr:uid="{00000000-0005-0000-0000-000000290000}"/>
    <cellStyle name="Title 7" xfId="6161" xr:uid="{00000000-0005-0000-0000-000001290000}"/>
    <cellStyle name="Title 7 2" xfId="6162" xr:uid="{00000000-0005-0000-0000-000002290000}"/>
    <cellStyle name="Title 7 2 2" xfId="6163" xr:uid="{00000000-0005-0000-0000-000003290000}"/>
    <cellStyle name="Title 7 3" xfId="6164" xr:uid="{00000000-0005-0000-0000-000004290000}"/>
    <cellStyle name="Title 8" xfId="6165" xr:uid="{00000000-0005-0000-0000-000005290000}"/>
    <cellStyle name="Title 8 2" xfId="6166" xr:uid="{00000000-0005-0000-0000-000006290000}"/>
    <cellStyle name="Title 8 2 2" xfId="6167" xr:uid="{00000000-0005-0000-0000-000007290000}"/>
    <cellStyle name="Title 8 3" xfId="6168" xr:uid="{00000000-0005-0000-0000-000008290000}"/>
    <cellStyle name="Title 9" xfId="6169" xr:uid="{00000000-0005-0000-0000-000009290000}"/>
    <cellStyle name="Title 9 2" xfId="6170" xr:uid="{00000000-0005-0000-0000-00000A290000}"/>
    <cellStyle name="Title 9 2 2" xfId="6171" xr:uid="{00000000-0005-0000-0000-00000B290000}"/>
    <cellStyle name="Title 9 3" xfId="6172" xr:uid="{00000000-0005-0000-0000-00000C290000}"/>
    <cellStyle name="Title Row" xfId="6173" xr:uid="{00000000-0005-0000-0000-00000D290000}"/>
    <cellStyle name="Title Row 2" xfId="6174" xr:uid="{00000000-0005-0000-0000-00000E290000}"/>
    <cellStyle name="Total 10" xfId="6175" xr:uid="{00000000-0005-0000-0000-00000F290000}"/>
    <cellStyle name="Total 10 2" xfId="6176" xr:uid="{00000000-0005-0000-0000-000010290000}"/>
    <cellStyle name="Total 11" xfId="6177" xr:uid="{00000000-0005-0000-0000-000011290000}"/>
    <cellStyle name="Total 2" xfId="831" xr:uid="{00000000-0005-0000-0000-000012290000}"/>
    <cellStyle name="Total 2 2" xfId="832" xr:uid="{00000000-0005-0000-0000-000013290000}"/>
    <cellStyle name="Total 2 2 2" xfId="833" xr:uid="{00000000-0005-0000-0000-000014290000}"/>
    <cellStyle name="Total 2 2 2 2" xfId="6592" xr:uid="{00000000-0005-0000-0000-000015290000}"/>
    <cellStyle name="Total 2 2 2 3" xfId="10431" xr:uid="{00000000-0005-0000-0000-000016290000}"/>
    <cellStyle name="Total 2 2 3" xfId="6178" xr:uid="{00000000-0005-0000-0000-000017290000}"/>
    <cellStyle name="Total 2 2 4" xfId="10430" xr:uid="{00000000-0005-0000-0000-000018290000}"/>
    <cellStyle name="Total 2 3" xfId="834" xr:uid="{00000000-0005-0000-0000-000019290000}"/>
    <cellStyle name="Total 2 3 2" xfId="6593" xr:uid="{00000000-0005-0000-0000-00001A290000}"/>
    <cellStyle name="Total 2 3 3" xfId="10432" xr:uid="{00000000-0005-0000-0000-00001B290000}"/>
    <cellStyle name="Total 2 4" xfId="835" xr:uid="{00000000-0005-0000-0000-00001C290000}"/>
    <cellStyle name="Total 2 4 2" xfId="6594" xr:uid="{00000000-0005-0000-0000-00001D290000}"/>
    <cellStyle name="Total 2 4 3" xfId="10433" xr:uid="{00000000-0005-0000-0000-00001E290000}"/>
    <cellStyle name="Total 2 5" xfId="1519" xr:uid="{00000000-0005-0000-0000-00001F290000}"/>
    <cellStyle name="Total 2 6" xfId="10429" xr:uid="{00000000-0005-0000-0000-000020290000}"/>
    <cellStyle name="Total 3" xfId="6179" xr:uid="{00000000-0005-0000-0000-000021290000}"/>
    <cellStyle name="Total 3 2" xfId="6180" xr:uid="{00000000-0005-0000-0000-000022290000}"/>
    <cellStyle name="Total 4" xfId="6181" xr:uid="{00000000-0005-0000-0000-000023290000}"/>
    <cellStyle name="Total 4 2" xfId="6182" xr:uid="{00000000-0005-0000-0000-000024290000}"/>
    <cellStyle name="Total 5" xfId="6183" xr:uid="{00000000-0005-0000-0000-000025290000}"/>
    <cellStyle name="Total 5 2" xfId="6184" xr:uid="{00000000-0005-0000-0000-000026290000}"/>
    <cellStyle name="Total 6" xfId="6185" xr:uid="{00000000-0005-0000-0000-000027290000}"/>
    <cellStyle name="Total 6 2" xfId="6186" xr:uid="{00000000-0005-0000-0000-000028290000}"/>
    <cellStyle name="Total 7" xfId="6187" xr:uid="{00000000-0005-0000-0000-000029290000}"/>
    <cellStyle name="Total 7 2" xfId="6188" xr:uid="{00000000-0005-0000-0000-00002A290000}"/>
    <cellStyle name="Total 8" xfId="6189" xr:uid="{00000000-0005-0000-0000-00002B290000}"/>
    <cellStyle name="Total 8 2" xfId="6190" xr:uid="{00000000-0005-0000-0000-00002C290000}"/>
    <cellStyle name="Total 9" xfId="6191" xr:uid="{00000000-0005-0000-0000-00002D290000}"/>
    <cellStyle name="Total 9 2" xfId="6192" xr:uid="{00000000-0005-0000-0000-00002E290000}"/>
    <cellStyle name="totalbold" xfId="6193" xr:uid="{00000000-0005-0000-0000-00002F290000}"/>
    <cellStyle name="Tusental (0)_pldt" xfId="836" xr:uid="{00000000-0005-0000-0000-000030290000}"/>
    <cellStyle name="Tusental_pldt" xfId="837" xr:uid="{00000000-0005-0000-0000-000031290000}"/>
    <cellStyle name="uni" xfId="6194" xr:uid="{00000000-0005-0000-0000-000032290000}"/>
    <cellStyle name="Unit" xfId="6195" xr:uid="{00000000-0005-0000-0000-000033290000}"/>
    <cellStyle name="Unit 2" xfId="6196" xr:uid="{00000000-0005-0000-0000-000034290000}"/>
    <cellStyle name="Valuta (0)_pldt" xfId="838" xr:uid="{00000000-0005-0000-0000-000035290000}"/>
    <cellStyle name="Valuta_pldt" xfId="839" xr:uid="{00000000-0005-0000-0000-000036290000}"/>
    <cellStyle name="version" xfId="840" xr:uid="{00000000-0005-0000-0000-000037290000}"/>
    <cellStyle name="Warning Text 10" xfId="6197" xr:uid="{00000000-0005-0000-0000-000038290000}"/>
    <cellStyle name="Warning Text 10 2" xfId="6198" xr:uid="{00000000-0005-0000-0000-000039290000}"/>
    <cellStyle name="Warning Text 11" xfId="6199" xr:uid="{00000000-0005-0000-0000-00003A290000}"/>
    <cellStyle name="Warning Text 2" xfId="841" xr:uid="{00000000-0005-0000-0000-00003B290000}"/>
    <cellStyle name="Warning Text 2 2" xfId="6200" xr:uid="{00000000-0005-0000-0000-00003C290000}"/>
    <cellStyle name="Warning Text 3" xfId="6201" xr:uid="{00000000-0005-0000-0000-00003D290000}"/>
    <cellStyle name="Warning Text 3 2" xfId="6202" xr:uid="{00000000-0005-0000-0000-00003E290000}"/>
    <cellStyle name="Warning Text 4" xfId="6203" xr:uid="{00000000-0005-0000-0000-00003F290000}"/>
    <cellStyle name="Warning Text 4 2" xfId="6204" xr:uid="{00000000-0005-0000-0000-000040290000}"/>
    <cellStyle name="Warning Text 5" xfId="6205" xr:uid="{00000000-0005-0000-0000-000041290000}"/>
    <cellStyle name="Warning Text 5 2" xfId="6206" xr:uid="{00000000-0005-0000-0000-000042290000}"/>
    <cellStyle name="Warning Text 6" xfId="6207" xr:uid="{00000000-0005-0000-0000-000043290000}"/>
    <cellStyle name="Warning Text 6 2" xfId="6208" xr:uid="{00000000-0005-0000-0000-000044290000}"/>
    <cellStyle name="Warning Text 7" xfId="6209" xr:uid="{00000000-0005-0000-0000-000045290000}"/>
    <cellStyle name="Warning Text 7 2" xfId="6210" xr:uid="{00000000-0005-0000-0000-000046290000}"/>
    <cellStyle name="Warning Text 8" xfId="6211" xr:uid="{00000000-0005-0000-0000-000047290000}"/>
    <cellStyle name="Warning Text 8 2" xfId="6212" xr:uid="{00000000-0005-0000-0000-000048290000}"/>
    <cellStyle name="Warning Text 9" xfId="6213" xr:uid="{00000000-0005-0000-0000-000049290000}"/>
    <cellStyle name="Warning Text 9 2" xfId="6214" xr:uid="{00000000-0005-0000-0000-00004A290000}"/>
    <cellStyle name="뒤에 오는 하이퍼링크_건인회임금복지조사자료(풍림,2001.01.31)" xfId="842" xr:uid="{00000000-0005-0000-0000-00004B290000}"/>
    <cellStyle name="믅됞џPRODUCT DETAIL Q1TA" xfId="843" xr:uid="{00000000-0005-0000-0000-00004C290000}"/>
    <cellStyle name="백분율 [0]" xfId="844" xr:uid="{00000000-0005-0000-0000-00004D290000}"/>
    <cellStyle name="백분율 [2]" xfId="845" xr:uid="{00000000-0005-0000-0000-00004E290000}"/>
    <cellStyle name="백분율 2" xfId="846" xr:uid="{00000000-0005-0000-0000-00004F290000}"/>
    <cellStyle name="뷭?_BOOKSHIP" xfId="847" xr:uid="{00000000-0005-0000-0000-000050290000}"/>
    <cellStyle name="쉼표 [0] 2" xfId="848" xr:uid="{00000000-0005-0000-0000-000051290000}"/>
    <cellStyle name="쉼표 [0] 2 2" xfId="849" xr:uid="{00000000-0005-0000-0000-000052290000}"/>
    <cellStyle name="쉼표 [0] 3" xfId="850" xr:uid="{00000000-0005-0000-0000-000053290000}"/>
    <cellStyle name="쉼표 2" xfId="851" xr:uid="{00000000-0005-0000-0000-000054290000}"/>
    <cellStyle name="쉼표 2 2" xfId="852" xr:uid="{00000000-0005-0000-0000-000055290000}"/>
    <cellStyle name="쉼표 2 2 2" xfId="995" xr:uid="{00000000-0005-0000-0000-000056290000}"/>
    <cellStyle name="쉼표 2 2 2 2" xfId="1321" xr:uid="{00000000-0005-0000-0000-000057290000}"/>
    <cellStyle name="쉼표 2 2 2 2 2" xfId="7027" xr:uid="{00000000-0005-0000-0000-000058290000}"/>
    <cellStyle name="쉼표 2 2 2 2 2 2" xfId="9734" xr:uid="{00000000-0005-0000-0000-000059290000}"/>
    <cellStyle name="쉼표 2 2 2 2 3" xfId="8395" xr:uid="{00000000-0005-0000-0000-00005A290000}"/>
    <cellStyle name="쉼표 2 2 2 3" xfId="6727" xr:uid="{00000000-0005-0000-0000-00005B290000}"/>
    <cellStyle name="쉼표 2 2 2 3 2" xfId="9434" xr:uid="{00000000-0005-0000-0000-00005C290000}"/>
    <cellStyle name="쉼표 2 2 2 4" xfId="8095" xr:uid="{00000000-0005-0000-0000-00005D290000}"/>
    <cellStyle name="쉼표 2 2 3" xfId="1135" xr:uid="{00000000-0005-0000-0000-00005E290000}"/>
    <cellStyle name="쉼표 2 2 3 2" xfId="6854" xr:uid="{00000000-0005-0000-0000-00005F290000}"/>
    <cellStyle name="쉼표 2 2 3 2 2" xfId="9561" xr:uid="{00000000-0005-0000-0000-000060290000}"/>
    <cellStyle name="쉼표 2 2 3 3" xfId="8222" xr:uid="{00000000-0005-0000-0000-000061290000}"/>
    <cellStyle name="쉼표 2 2 4" xfId="6596" xr:uid="{00000000-0005-0000-0000-000062290000}"/>
    <cellStyle name="쉼표 2 2 4 2" xfId="9303" xr:uid="{00000000-0005-0000-0000-000063290000}"/>
    <cellStyle name="쉼표 2 2 5" xfId="7964" xr:uid="{00000000-0005-0000-0000-000064290000}"/>
    <cellStyle name="쉼표 2 3" xfId="994" xr:uid="{00000000-0005-0000-0000-000065290000}"/>
    <cellStyle name="쉼표 2 3 2" xfId="1320" xr:uid="{00000000-0005-0000-0000-000066290000}"/>
    <cellStyle name="쉼표 2 3 2 2" xfId="7026" xr:uid="{00000000-0005-0000-0000-000067290000}"/>
    <cellStyle name="쉼표 2 3 2 2 2" xfId="9733" xr:uid="{00000000-0005-0000-0000-000068290000}"/>
    <cellStyle name="쉼표 2 3 2 3" xfId="8394" xr:uid="{00000000-0005-0000-0000-000069290000}"/>
    <cellStyle name="쉼표 2 3 3" xfId="6726" xr:uid="{00000000-0005-0000-0000-00006A290000}"/>
    <cellStyle name="쉼표 2 3 3 2" xfId="9433" xr:uid="{00000000-0005-0000-0000-00006B290000}"/>
    <cellStyle name="쉼표 2 3 4" xfId="8094" xr:uid="{00000000-0005-0000-0000-00006C290000}"/>
    <cellStyle name="쉼표 2 4" xfId="1134" xr:uid="{00000000-0005-0000-0000-00006D290000}"/>
    <cellStyle name="쉼표 2 4 2" xfId="6853" xr:uid="{00000000-0005-0000-0000-00006E290000}"/>
    <cellStyle name="쉼표 2 4 2 2" xfId="9560" xr:uid="{00000000-0005-0000-0000-00006F290000}"/>
    <cellStyle name="쉼표 2 4 3" xfId="8221" xr:uid="{00000000-0005-0000-0000-000070290000}"/>
    <cellStyle name="쉼표 2 5" xfId="6595" xr:uid="{00000000-0005-0000-0000-000071290000}"/>
    <cellStyle name="쉼표 2 5 2" xfId="9302" xr:uid="{00000000-0005-0000-0000-000072290000}"/>
    <cellStyle name="쉼표 2 6" xfId="7963" xr:uid="{00000000-0005-0000-0000-000073290000}"/>
    <cellStyle name="스타일 1" xfId="853" xr:uid="{00000000-0005-0000-0000-000074290000}"/>
    <cellStyle name="콤마 [0]_ 비목별 월별기술 " xfId="854" xr:uid="{00000000-0005-0000-0000-000075290000}"/>
    <cellStyle name="콤마 [2]" xfId="855" xr:uid="{00000000-0005-0000-0000-000076290000}"/>
    <cellStyle name="콤마_ 비목별 월별기술 " xfId="856" xr:uid="{00000000-0005-0000-0000-000077290000}"/>
    <cellStyle name="통화 [0]_9634매출 " xfId="857" xr:uid="{00000000-0005-0000-0000-000078290000}"/>
    <cellStyle name="통화_9634매출 " xfId="858" xr:uid="{00000000-0005-0000-0000-000079290000}"/>
    <cellStyle name="표준 2" xfId="859" xr:uid="{00000000-0005-0000-0000-00007A290000}"/>
    <cellStyle name="표준 3" xfId="860" xr:uid="{00000000-0005-0000-0000-00007B290000}"/>
    <cellStyle name="표준_0N-HANDLING " xfId="861" xr:uid="{00000000-0005-0000-0000-00007C290000}"/>
    <cellStyle name="一般_MAIN FAB (87.06.01)" xfId="862" xr:uid="{00000000-0005-0000-0000-00007D290000}"/>
    <cellStyle name="常规_Projects using 2007 pricing_GZ_karl" xfId="863" xr:uid="{00000000-0005-0000-0000-00007E290000}"/>
  </cellStyles>
  <dxfs count="1">
    <dxf>
      <font>
        <color rgb="FF9C0006"/>
      </font>
      <fill>
        <patternFill>
          <bgColor rgb="FFFFC7CE"/>
        </patternFill>
      </fill>
    </dxf>
  </dxfs>
  <tableStyles count="0" defaultTableStyle="TableStyleMedium2" defaultPivotStyle="PivotStyleLight16"/>
  <colors>
    <mruColors>
      <color rgb="FFFFE5E5"/>
      <color rgb="FFEFFFFA"/>
      <color rgb="FFFFE7E7"/>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3</xdr:row>
      <xdr:rowOff>0</xdr:rowOff>
    </xdr:from>
    <xdr:to>
      <xdr:col>3</xdr:col>
      <xdr:colOff>9525</xdr:colOff>
      <xdr:row>3</xdr:row>
      <xdr:rowOff>9525</xdr:rowOff>
    </xdr:to>
    <xdr:pic>
      <xdr:nvPicPr>
        <xdr:cNvPr id="2" name="Picture 16" descr="C:\1Akila Ramani-26July2013\1 AKILA\RENDERINGS\MEETING TABLES\Planes discussion table - 1.png">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72200" y="54864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28575</xdr:rowOff>
    </xdr:to>
    <xdr:pic>
      <xdr:nvPicPr>
        <xdr:cNvPr id="3" name="Picture 12" descr="C:\1Akila Ramani-26July2013\1 AKILA\RENDERINGS\MEETING TABLES\infinity 8pax meeting tables.jpg">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72200" y="548640"/>
          <a:ext cx="95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9525</xdr:rowOff>
    </xdr:to>
    <xdr:pic>
      <xdr:nvPicPr>
        <xdr:cNvPr id="4" name="Picture 12" descr="C:\1Akila Ramani-26July2013\1 AKILA\RENDERINGS\MEETING TABLES\infinity 8pax meeting tables.jpg">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72200" y="54864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28575</xdr:rowOff>
    </xdr:to>
    <xdr:pic>
      <xdr:nvPicPr>
        <xdr:cNvPr id="5" name="Picture 12" descr="C:\1Akila Ramani-26July2013\1 AKILA\RENDERINGS\MEETING TABLES\infinity 8pax meeting tables.jpg">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72200" y="548640"/>
          <a:ext cx="95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38100</xdr:rowOff>
    </xdr:to>
    <xdr:pic>
      <xdr:nvPicPr>
        <xdr:cNvPr id="6" name="Picture 9" descr="C:\1Akila Ramani-26July2013\1 AKILA\RENDERINGS\MEETING TABLES\infinity 8pax meeting tables.jpg">
          <a:extLst>
            <a:ext uri="{FF2B5EF4-FFF2-40B4-BE49-F238E27FC236}">
              <a16:creationId xmlns:a16="http://schemas.microsoft.com/office/drawing/2014/main" id="{00000000-0008-0000-03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72200" y="548640"/>
          <a:ext cx="95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9525</xdr:rowOff>
    </xdr:to>
    <xdr:pic>
      <xdr:nvPicPr>
        <xdr:cNvPr id="7" name="Picture 16" descr="C:\1Akila Ramani-26July2013\1 AKILA\RENDERINGS\MEETING TABLES\Planes discussion table - 1.png">
          <a:extLst>
            <a:ext uri="{FF2B5EF4-FFF2-40B4-BE49-F238E27FC236}">
              <a16:creationId xmlns:a16="http://schemas.microsoft.com/office/drawing/2014/main" id="{00000000-0008-0000-03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72200" y="54864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28575</xdr:rowOff>
    </xdr:to>
    <xdr:pic>
      <xdr:nvPicPr>
        <xdr:cNvPr id="8" name="Picture 12" descr="C:\1Akila Ramani-26July2013\1 AKILA\RENDERINGS\MEETING TABLES\infinity 8pax meeting tables.jpg">
          <a:extLst>
            <a:ext uri="{FF2B5EF4-FFF2-40B4-BE49-F238E27FC236}">
              <a16:creationId xmlns:a16="http://schemas.microsoft.com/office/drawing/2014/main" id="{00000000-0008-0000-0300-000008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72200" y="548640"/>
          <a:ext cx="95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9525</xdr:rowOff>
    </xdr:to>
    <xdr:pic>
      <xdr:nvPicPr>
        <xdr:cNvPr id="9" name="Picture 12" descr="C:\1Akila Ramani-26July2013\1 AKILA\RENDERINGS\MEETING TABLES\infinity 8pax meeting tables.jpg">
          <a:extLst>
            <a:ext uri="{FF2B5EF4-FFF2-40B4-BE49-F238E27FC236}">
              <a16:creationId xmlns:a16="http://schemas.microsoft.com/office/drawing/2014/main" id="{00000000-0008-0000-0300-000009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72200" y="54864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28575</xdr:rowOff>
    </xdr:to>
    <xdr:pic>
      <xdr:nvPicPr>
        <xdr:cNvPr id="10" name="Picture 12" descr="C:\1Akila Ramani-26July2013\1 AKILA\RENDERINGS\MEETING TABLES\infinity 8pax meeting tables.jpg">
          <a:extLst>
            <a:ext uri="{FF2B5EF4-FFF2-40B4-BE49-F238E27FC236}">
              <a16:creationId xmlns:a16="http://schemas.microsoft.com/office/drawing/2014/main" id="{00000000-0008-0000-0300-00000A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72200" y="548640"/>
          <a:ext cx="95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38100</xdr:rowOff>
    </xdr:to>
    <xdr:pic>
      <xdr:nvPicPr>
        <xdr:cNvPr id="11" name="Picture 9" descr="C:\1Akila Ramani-26July2013\1 AKILA\RENDERINGS\MEETING TABLES\infinity 8pax meeting tables.jpg">
          <a:extLst>
            <a:ext uri="{FF2B5EF4-FFF2-40B4-BE49-F238E27FC236}">
              <a16:creationId xmlns:a16="http://schemas.microsoft.com/office/drawing/2014/main" id="{00000000-0008-0000-0300-00000B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72200" y="548640"/>
          <a:ext cx="95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9525</xdr:rowOff>
    </xdr:to>
    <xdr:pic>
      <xdr:nvPicPr>
        <xdr:cNvPr id="12" name="Picture 16" descr="C:\1Akila Ramani-26July2013\1 AKILA\RENDERINGS\MEETING TABLES\Planes discussion table - 1.png">
          <a:extLst>
            <a:ext uri="{FF2B5EF4-FFF2-40B4-BE49-F238E27FC236}">
              <a16:creationId xmlns:a16="http://schemas.microsoft.com/office/drawing/2014/main" id="{00000000-0008-0000-0300-00000C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72200" y="54864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28575</xdr:rowOff>
    </xdr:to>
    <xdr:pic>
      <xdr:nvPicPr>
        <xdr:cNvPr id="13" name="Picture 12" descr="C:\1Akila Ramani-26July2013\1 AKILA\RENDERINGS\MEETING TABLES\infinity 8pax meeting tables.jpg">
          <a:extLst>
            <a:ext uri="{FF2B5EF4-FFF2-40B4-BE49-F238E27FC236}">
              <a16:creationId xmlns:a16="http://schemas.microsoft.com/office/drawing/2014/main" id="{00000000-0008-0000-0300-00000D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72200" y="548640"/>
          <a:ext cx="95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9525</xdr:rowOff>
    </xdr:to>
    <xdr:pic>
      <xdr:nvPicPr>
        <xdr:cNvPr id="14" name="Picture 12" descr="C:\1Akila Ramani-26July2013\1 AKILA\RENDERINGS\MEETING TABLES\infinity 8pax meeting tables.jpg">
          <a:extLst>
            <a:ext uri="{FF2B5EF4-FFF2-40B4-BE49-F238E27FC236}">
              <a16:creationId xmlns:a16="http://schemas.microsoft.com/office/drawing/2014/main" id="{00000000-0008-0000-0300-00000E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72200" y="54864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28575</xdr:rowOff>
    </xdr:to>
    <xdr:pic>
      <xdr:nvPicPr>
        <xdr:cNvPr id="15" name="Picture 12" descr="C:\1Akila Ramani-26July2013\1 AKILA\RENDERINGS\MEETING TABLES\infinity 8pax meeting tables.jpg">
          <a:extLst>
            <a:ext uri="{FF2B5EF4-FFF2-40B4-BE49-F238E27FC236}">
              <a16:creationId xmlns:a16="http://schemas.microsoft.com/office/drawing/2014/main" id="{00000000-0008-0000-0300-00000F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72200" y="548640"/>
          <a:ext cx="95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38100</xdr:rowOff>
    </xdr:to>
    <xdr:pic>
      <xdr:nvPicPr>
        <xdr:cNvPr id="16" name="Picture 9" descr="C:\1Akila Ramani-26July2013\1 AKILA\RENDERINGS\MEETING TABLES\infinity 8pax meeting tables.jpg">
          <a:extLst>
            <a:ext uri="{FF2B5EF4-FFF2-40B4-BE49-F238E27FC236}">
              <a16:creationId xmlns:a16="http://schemas.microsoft.com/office/drawing/2014/main" id="{00000000-0008-0000-0300-000010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72200" y="548640"/>
          <a:ext cx="95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9525</xdr:rowOff>
    </xdr:to>
    <xdr:pic>
      <xdr:nvPicPr>
        <xdr:cNvPr id="17" name="Picture 16" descr="C:\1Akila Ramani-26July2013\1 AKILA\RENDERINGS\MEETING TABLES\Planes discussion table - 1.png">
          <a:extLst>
            <a:ext uri="{FF2B5EF4-FFF2-40B4-BE49-F238E27FC236}">
              <a16:creationId xmlns:a16="http://schemas.microsoft.com/office/drawing/2014/main" id="{00000000-0008-0000-0300-00001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72200" y="54864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28575</xdr:rowOff>
    </xdr:to>
    <xdr:pic>
      <xdr:nvPicPr>
        <xdr:cNvPr id="18" name="Picture 12" descr="C:\1Akila Ramani-26July2013\1 AKILA\RENDERINGS\MEETING TABLES\infinity 8pax meeting tables.jpg">
          <a:extLst>
            <a:ext uri="{FF2B5EF4-FFF2-40B4-BE49-F238E27FC236}">
              <a16:creationId xmlns:a16="http://schemas.microsoft.com/office/drawing/2014/main" id="{00000000-0008-0000-0300-00001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72200" y="548640"/>
          <a:ext cx="95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9525</xdr:rowOff>
    </xdr:to>
    <xdr:pic>
      <xdr:nvPicPr>
        <xdr:cNvPr id="19" name="Picture 12" descr="C:\1Akila Ramani-26July2013\1 AKILA\RENDERINGS\MEETING TABLES\infinity 8pax meeting tables.jpg">
          <a:extLst>
            <a:ext uri="{FF2B5EF4-FFF2-40B4-BE49-F238E27FC236}">
              <a16:creationId xmlns:a16="http://schemas.microsoft.com/office/drawing/2014/main" id="{00000000-0008-0000-0300-00001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72200" y="54864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28575</xdr:rowOff>
    </xdr:to>
    <xdr:pic>
      <xdr:nvPicPr>
        <xdr:cNvPr id="20" name="Picture 12" descr="C:\1Akila Ramani-26July2013\1 AKILA\RENDERINGS\MEETING TABLES\infinity 8pax meeting tables.jpg">
          <a:extLst>
            <a:ext uri="{FF2B5EF4-FFF2-40B4-BE49-F238E27FC236}">
              <a16:creationId xmlns:a16="http://schemas.microsoft.com/office/drawing/2014/main" id="{00000000-0008-0000-0300-00001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72200" y="548640"/>
          <a:ext cx="95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38100</xdr:rowOff>
    </xdr:to>
    <xdr:pic>
      <xdr:nvPicPr>
        <xdr:cNvPr id="21" name="Picture 9" descr="C:\1Akila Ramani-26July2013\1 AKILA\RENDERINGS\MEETING TABLES\infinity 8pax meeting tables.jpg">
          <a:extLst>
            <a:ext uri="{FF2B5EF4-FFF2-40B4-BE49-F238E27FC236}">
              <a16:creationId xmlns:a16="http://schemas.microsoft.com/office/drawing/2014/main" id="{00000000-0008-0000-0300-00001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72200" y="548640"/>
          <a:ext cx="95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9525</xdr:rowOff>
    </xdr:to>
    <xdr:pic>
      <xdr:nvPicPr>
        <xdr:cNvPr id="22" name="Picture 16" descr="C:\1Akila Ramani-26July2013\1 AKILA\RENDERINGS\MEETING TABLES\Planes discussion table - 1.png">
          <a:extLst>
            <a:ext uri="{FF2B5EF4-FFF2-40B4-BE49-F238E27FC236}">
              <a16:creationId xmlns:a16="http://schemas.microsoft.com/office/drawing/2014/main" id="{00000000-0008-0000-0300-00001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72200" y="54864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28575</xdr:rowOff>
    </xdr:to>
    <xdr:pic>
      <xdr:nvPicPr>
        <xdr:cNvPr id="23" name="Picture 12" descr="C:\1Akila Ramani-26July2013\1 AKILA\RENDERINGS\MEETING TABLES\infinity 8pax meeting tables.jpg">
          <a:extLst>
            <a:ext uri="{FF2B5EF4-FFF2-40B4-BE49-F238E27FC236}">
              <a16:creationId xmlns:a16="http://schemas.microsoft.com/office/drawing/2014/main" id="{00000000-0008-0000-0300-000017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72200" y="548640"/>
          <a:ext cx="95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9525</xdr:rowOff>
    </xdr:to>
    <xdr:pic>
      <xdr:nvPicPr>
        <xdr:cNvPr id="24" name="Picture 12" descr="C:\1Akila Ramani-26July2013\1 AKILA\RENDERINGS\MEETING TABLES\infinity 8pax meeting tables.jpg">
          <a:extLst>
            <a:ext uri="{FF2B5EF4-FFF2-40B4-BE49-F238E27FC236}">
              <a16:creationId xmlns:a16="http://schemas.microsoft.com/office/drawing/2014/main" id="{00000000-0008-0000-0300-000018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72200" y="54864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28575</xdr:rowOff>
    </xdr:to>
    <xdr:pic>
      <xdr:nvPicPr>
        <xdr:cNvPr id="25" name="Picture 12" descr="C:\1Akila Ramani-26July2013\1 AKILA\RENDERINGS\MEETING TABLES\infinity 8pax meeting tables.jpg">
          <a:extLst>
            <a:ext uri="{FF2B5EF4-FFF2-40B4-BE49-F238E27FC236}">
              <a16:creationId xmlns:a16="http://schemas.microsoft.com/office/drawing/2014/main" id="{00000000-0008-0000-0300-000019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72200" y="548640"/>
          <a:ext cx="95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38100</xdr:rowOff>
    </xdr:to>
    <xdr:pic>
      <xdr:nvPicPr>
        <xdr:cNvPr id="26" name="Picture 9" descr="C:\1Akila Ramani-26July2013\1 AKILA\RENDERINGS\MEETING TABLES\infinity 8pax meeting tables.jpg">
          <a:extLst>
            <a:ext uri="{FF2B5EF4-FFF2-40B4-BE49-F238E27FC236}">
              <a16:creationId xmlns:a16="http://schemas.microsoft.com/office/drawing/2014/main" id="{00000000-0008-0000-0300-00001A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72200" y="548640"/>
          <a:ext cx="95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9525</xdr:rowOff>
    </xdr:to>
    <xdr:pic>
      <xdr:nvPicPr>
        <xdr:cNvPr id="27" name="Picture 16" descr="C:\1Akila Ramani-26July2013\1 AKILA\RENDERINGS\MEETING TABLES\Planes discussion table - 1.png">
          <a:extLst>
            <a:ext uri="{FF2B5EF4-FFF2-40B4-BE49-F238E27FC236}">
              <a16:creationId xmlns:a16="http://schemas.microsoft.com/office/drawing/2014/main" id="{00000000-0008-0000-0300-00001B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72200" y="54864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28575</xdr:rowOff>
    </xdr:to>
    <xdr:pic>
      <xdr:nvPicPr>
        <xdr:cNvPr id="28" name="Picture 12" descr="C:\1Akila Ramani-26July2013\1 AKILA\RENDERINGS\MEETING TABLES\infinity 8pax meeting tables.jpg">
          <a:extLst>
            <a:ext uri="{FF2B5EF4-FFF2-40B4-BE49-F238E27FC236}">
              <a16:creationId xmlns:a16="http://schemas.microsoft.com/office/drawing/2014/main" id="{00000000-0008-0000-0300-00001C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72200" y="548640"/>
          <a:ext cx="95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9525</xdr:rowOff>
    </xdr:to>
    <xdr:pic>
      <xdr:nvPicPr>
        <xdr:cNvPr id="29" name="Picture 12" descr="C:\1Akila Ramani-26July2013\1 AKILA\RENDERINGS\MEETING TABLES\infinity 8pax meeting tables.jpg">
          <a:extLst>
            <a:ext uri="{FF2B5EF4-FFF2-40B4-BE49-F238E27FC236}">
              <a16:creationId xmlns:a16="http://schemas.microsoft.com/office/drawing/2014/main" id="{00000000-0008-0000-0300-00001D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72200" y="54864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28575</xdr:rowOff>
    </xdr:to>
    <xdr:pic>
      <xdr:nvPicPr>
        <xdr:cNvPr id="30" name="Picture 12" descr="C:\1Akila Ramani-26July2013\1 AKILA\RENDERINGS\MEETING TABLES\infinity 8pax meeting tables.jpg">
          <a:extLst>
            <a:ext uri="{FF2B5EF4-FFF2-40B4-BE49-F238E27FC236}">
              <a16:creationId xmlns:a16="http://schemas.microsoft.com/office/drawing/2014/main" id="{00000000-0008-0000-0300-00001E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72200" y="548640"/>
          <a:ext cx="95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38100</xdr:rowOff>
    </xdr:to>
    <xdr:pic>
      <xdr:nvPicPr>
        <xdr:cNvPr id="31" name="Picture 9" descr="C:\1Akila Ramani-26July2013\1 AKILA\RENDERINGS\MEETING TABLES\infinity 8pax meeting tables.jpg">
          <a:extLst>
            <a:ext uri="{FF2B5EF4-FFF2-40B4-BE49-F238E27FC236}">
              <a16:creationId xmlns:a16="http://schemas.microsoft.com/office/drawing/2014/main" id="{00000000-0008-0000-0300-00001F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72200" y="548640"/>
          <a:ext cx="95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9525</xdr:rowOff>
    </xdr:to>
    <xdr:pic>
      <xdr:nvPicPr>
        <xdr:cNvPr id="32" name="Picture 16" descr="C:\1Akila Ramani-26July2013\1 AKILA\RENDERINGS\MEETING TABLES\Planes discussion table - 1.png">
          <a:extLst>
            <a:ext uri="{FF2B5EF4-FFF2-40B4-BE49-F238E27FC236}">
              <a16:creationId xmlns:a16="http://schemas.microsoft.com/office/drawing/2014/main" id="{00000000-0008-0000-0300-000020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72200" y="54864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28575</xdr:rowOff>
    </xdr:to>
    <xdr:pic>
      <xdr:nvPicPr>
        <xdr:cNvPr id="33" name="Picture 12" descr="C:\1Akila Ramani-26July2013\1 AKILA\RENDERINGS\MEETING TABLES\infinity 8pax meeting tables.jpg">
          <a:extLst>
            <a:ext uri="{FF2B5EF4-FFF2-40B4-BE49-F238E27FC236}">
              <a16:creationId xmlns:a16="http://schemas.microsoft.com/office/drawing/2014/main" id="{00000000-0008-0000-0300-000021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72200" y="548640"/>
          <a:ext cx="95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9525</xdr:rowOff>
    </xdr:to>
    <xdr:pic>
      <xdr:nvPicPr>
        <xdr:cNvPr id="34" name="Picture 12" descr="C:\1Akila Ramani-26July2013\1 AKILA\RENDERINGS\MEETING TABLES\infinity 8pax meeting tables.jpg">
          <a:extLst>
            <a:ext uri="{FF2B5EF4-FFF2-40B4-BE49-F238E27FC236}">
              <a16:creationId xmlns:a16="http://schemas.microsoft.com/office/drawing/2014/main" id="{00000000-0008-0000-0300-00002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72200" y="54864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28575</xdr:rowOff>
    </xdr:to>
    <xdr:pic>
      <xdr:nvPicPr>
        <xdr:cNvPr id="35" name="Picture 12" descr="C:\1Akila Ramani-26July2013\1 AKILA\RENDERINGS\MEETING TABLES\infinity 8pax meeting tables.jpg">
          <a:extLst>
            <a:ext uri="{FF2B5EF4-FFF2-40B4-BE49-F238E27FC236}">
              <a16:creationId xmlns:a16="http://schemas.microsoft.com/office/drawing/2014/main" id="{00000000-0008-0000-0300-00002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72200" y="548640"/>
          <a:ext cx="95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38100</xdr:rowOff>
    </xdr:to>
    <xdr:pic>
      <xdr:nvPicPr>
        <xdr:cNvPr id="36" name="Picture 9" descr="C:\1Akila Ramani-26July2013\1 AKILA\RENDERINGS\MEETING TABLES\infinity 8pax meeting tables.jpg">
          <a:extLst>
            <a:ext uri="{FF2B5EF4-FFF2-40B4-BE49-F238E27FC236}">
              <a16:creationId xmlns:a16="http://schemas.microsoft.com/office/drawing/2014/main" id="{00000000-0008-0000-0300-00002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72200" y="548640"/>
          <a:ext cx="95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9525</xdr:rowOff>
    </xdr:to>
    <xdr:pic>
      <xdr:nvPicPr>
        <xdr:cNvPr id="37" name="Picture 16" descr="C:\1Akila Ramani-26July2013\1 AKILA\RENDERINGS\MEETING TABLES\Planes discussion table - 1.png">
          <a:extLst>
            <a:ext uri="{FF2B5EF4-FFF2-40B4-BE49-F238E27FC236}">
              <a16:creationId xmlns:a16="http://schemas.microsoft.com/office/drawing/2014/main" id="{00000000-0008-0000-0300-00002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72200" y="54864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28575</xdr:rowOff>
    </xdr:to>
    <xdr:pic>
      <xdr:nvPicPr>
        <xdr:cNvPr id="38" name="Picture 12" descr="C:\1Akila Ramani-26July2013\1 AKILA\RENDERINGS\MEETING TABLES\infinity 8pax meeting tables.jpg">
          <a:extLst>
            <a:ext uri="{FF2B5EF4-FFF2-40B4-BE49-F238E27FC236}">
              <a16:creationId xmlns:a16="http://schemas.microsoft.com/office/drawing/2014/main" id="{00000000-0008-0000-0300-00002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72200" y="548640"/>
          <a:ext cx="95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9525</xdr:rowOff>
    </xdr:to>
    <xdr:pic>
      <xdr:nvPicPr>
        <xdr:cNvPr id="39" name="Picture 12" descr="C:\1Akila Ramani-26July2013\1 AKILA\RENDERINGS\MEETING TABLES\infinity 8pax meeting tables.jpg">
          <a:extLst>
            <a:ext uri="{FF2B5EF4-FFF2-40B4-BE49-F238E27FC236}">
              <a16:creationId xmlns:a16="http://schemas.microsoft.com/office/drawing/2014/main" id="{00000000-0008-0000-0300-000027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72200" y="54864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28575</xdr:rowOff>
    </xdr:to>
    <xdr:pic>
      <xdr:nvPicPr>
        <xdr:cNvPr id="40" name="Picture 12" descr="C:\1Akila Ramani-26July2013\1 AKILA\RENDERINGS\MEETING TABLES\infinity 8pax meeting tables.jpg">
          <a:extLst>
            <a:ext uri="{FF2B5EF4-FFF2-40B4-BE49-F238E27FC236}">
              <a16:creationId xmlns:a16="http://schemas.microsoft.com/office/drawing/2014/main" id="{00000000-0008-0000-0300-000028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72200" y="548640"/>
          <a:ext cx="95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38100</xdr:rowOff>
    </xdr:to>
    <xdr:pic>
      <xdr:nvPicPr>
        <xdr:cNvPr id="41" name="Picture 9" descr="C:\1Akila Ramani-26July2013\1 AKILA\RENDERINGS\MEETING TABLES\infinity 8pax meeting tables.jpg">
          <a:extLst>
            <a:ext uri="{FF2B5EF4-FFF2-40B4-BE49-F238E27FC236}">
              <a16:creationId xmlns:a16="http://schemas.microsoft.com/office/drawing/2014/main" id="{00000000-0008-0000-0300-000029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72200" y="548640"/>
          <a:ext cx="95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9525</xdr:rowOff>
    </xdr:to>
    <xdr:pic>
      <xdr:nvPicPr>
        <xdr:cNvPr id="42" name="Picture 16" descr="C:\1Akila Ramani-26July2013\1 AKILA\RENDERINGS\MEETING TABLES\Planes discussion table - 1.png">
          <a:extLst>
            <a:ext uri="{FF2B5EF4-FFF2-40B4-BE49-F238E27FC236}">
              <a16:creationId xmlns:a16="http://schemas.microsoft.com/office/drawing/2014/main" id="{00000000-0008-0000-0300-00002A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72200" y="54864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28575</xdr:rowOff>
    </xdr:to>
    <xdr:pic>
      <xdr:nvPicPr>
        <xdr:cNvPr id="43" name="Picture 12" descr="C:\1Akila Ramani-26July2013\1 AKILA\RENDERINGS\MEETING TABLES\infinity 8pax meeting tables.jpg">
          <a:extLst>
            <a:ext uri="{FF2B5EF4-FFF2-40B4-BE49-F238E27FC236}">
              <a16:creationId xmlns:a16="http://schemas.microsoft.com/office/drawing/2014/main" id="{00000000-0008-0000-0300-00002B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72200" y="548640"/>
          <a:ext cx="95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9525</xdr:rowOff>
    </xdr:to>
    <xdr:pic>
      <xdr:nvPicPr>
        <xdr:cNvPr id="44" name="Picture 12" descr="C:\1Akila Ramani-26July2013\1 AKILA\RENDERINGS\MEETING TABLES\infinity 8pax meeting tables.jpg">
          <a:extLst>
            <a:ext uri="{FF2B5EF4-FFF2-40B4-BE49-F238E27FC236}">
              <a16:creationId xmlns:a16="http://schemas.microsoft.com/office/drawing/2014/main" id="{00000000-0008-0000-0300-00002C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72200" y="54864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28575</xdr:rowOff>
    </xdr:to>
    <xdr:pic>
      <xdr:nvPicPr>
        <xdr:cNvPr id="45" name="Picture 12" descr="C:\1Akila Ramani-26July2013\1 AKILA\RENDERINGS\MEETING TABLES\infinity 8pax meeting tables.jpg">
          <a:extLst>
            <a:ext uri="{FF2B5EF4-FFF2-40B4-BE49-F238E27FC236}">
              <a16:creationId xmlns:a16="http://schemas.microsoft.com/office/drawing/2014/main" id="{00000000-0008-0000-0300-00002D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72200" y="548640"/>
          <a:ext cx="95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38100</xdr:rowOff>
    </xdr:to>
    <xdr:pic>
      <xdr:nvPicPr>
        <xdr:cNvPr id="46" name="Picture 9" descr="C:\1Akila Ramani-26July2013\1 AKILA\RENDERINGS\MEETING TABLES\infinity 8pax meeting tables.jpg">
          <a:extLst>
            <a:ext uri="{FF2B5EF4-FFF2-40B4-BE49-F238E27FC236}">
              <a16:creationId xmlns:a16="http://schemas.microsoft.com/office/drawing/2014/main" id="{00000000-0008-0000-0300-00002E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72200" y="548640"/>
          <a:ext cx="95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9525</xdr:rowOff>
    </xdr:to>
    <xdr:pic>
      <xdr:nvPicPr>
        <xdr:cNvPr id="47" name="Picture 16" descr="C:\1Akila Ramani-26July2013\1 AKILA\RENDERINGS\MEETING TABLES\Planes discussion table - 1.png">
          <a:extLst>
            <a:ext uri="{FF2B5EF4-FFF2-40B4-BE49-F238E27FC236}">
              <a16:creationId xmlns:a16="http://schemas.microsoft.com/office/drawing/2014/main" id="{00000000-0008-0000-0300-00002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72200" y="54864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28575</xdr:rowOff>
    </xdr:to>
    <xdr:pic>
      <xdr:nvPicPr>
        <xdr:cNvPr id="48" name="Picture 12" descr="C:\1Akila Ramani-26July2013\1 AKILA\RENDERINGS\MEETING TABLES\infinity 8pax meeting tables.jpg">
          <a:extLst>
            <a:ext uri="{FF2B5EF4-FFF2-40B4-BE49-F238E27FC236}">
              <a16:creationId xmlns:a16="http://schemas.microsoft.com/office/drawing/2014/main" id="{00000000-0008-0000-0300-000030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72200" y="548640"/>
          <a:ext cx="95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9525</xdr:rowOff>
    </xdr:to>
    <xdr:pic>
      <xdr:nvPicPr>
        <xdr:cNvPr id="49" name="Picture 12" descr="C:\1Akila Ramani-26July2013\1 AKILA\RENDERINGS\MEETING TABLES\infinity 8pax meeting tables.jpg">
          <a:extLst>
            <a:ext uri="{FF2B5EF4-FFF2-40B4-BE49-F238E27FC236}">
              <a16:creationId xmlns:a16="http://schemas.microsoft.com/office/drawing/2014/main" id="{00000000-0008-0000-0300-000031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72200" y="54864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28575</xdr:rowOff>
    </xdr:to>
    <xdr:pic>
      <xdr:nvPicPr>
        <xdr:cNvPr id="50" name="Picture 12" descr="C:\1Akila Ramani-26July2013\1 AKILA\RENDERINGS\MEETING TABLES\infinity 8pax meeting tables.jpg">
          <a:extLst>
            <a:ext uri="{FF2B5EF4-FFF2-40B4-BE49-F238E27FC236}">
              <a16:creationId xmlns:a16="http://schemas.microsoft.com/office/drawing/2014/main" id="{00000000-0008-0000-0300-00003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72200" y="548640"/>
          <a:ext cx="95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xdr:row>
      <xdr:rowOff>0</xdr:rowOff>
    </xdr:from>
    <xdr:to>
      <xdr:col>3</xdr:col>
      <xdr:colOff>9525</xdr:colOff>
      <xdr:row>3</xdr:row>
      <xdr:rowOff>38100</xdr:rowOff>
    </xdr:to>
    <xdr:pic>
      <xdr:nvPicPr>
        <xdr:cNvPr id="51" name="Picture 9" descr="C:\1Akila Ramani-26July2013\1 AKILA\RENDERINGS\MEETING TABLES\infinity 8pax meeting tables.jpg">
          <a:extLst>
            <a:ext uri="{FF2B5EF4-FFF2-40B4-BE49-F238E27FC236}">
              <a16:creationId xmlns:a16="http://schemas.microsoft.com/office/drawing/2014/main" id="{00000000-0008-0000-0300-00003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72200" y="548640"/>
          <a:ext cx="95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 Id="rId6" Type="http://schemas.openxmlformats.org/officeDocument/2006/relationships/printerSettings" Target="../printerSettings/printerSettings12.bin"/><Relationship Id="rId5" Type="http://schemas.openxmlformats.org/officeDocument/2006/relationships/printerSettings" Target="../printerSettings/printerSettings11.bin"/><Relationship Id="rId4" Type="http://schemas.openxmlformats.org/officeDocument/2006/relationships/printerSettings" Target="../printerSettings/printerSettings10.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
  <sheetViews>
    <sheetView view="pageBreakPreview" zoomScaleNormal="100" zoomScaleSheetLayoutView="100" workbookViewId="0">
      <selection activeCell="H19" sqref="H19"/>
    </sheetView>
  </sheetViews>
  <sheetFormatPr defaultColWidth="9" defaultRowHeight="13"/>
  <cols>
    <col min="1" max="1" width="6.90625" style="10" bestFit="1" customWidth="1"/>
    <col min="2" max="2" width="57.08984375" style="1" bestFit="1" customWidth="1"/>
    <col min="3" max="3" width="12.08984375" style="1" bestFit="1" customWidth="1"/>
    <col min="4" max="4" width="10.90625" style="1" bestFit="1" customWidth="1"/>
    <col min="5" max="5" width="12.90625" style="1" bestFit="1" customWidth="1"/>
    <col min="6" max="6" width="0.90625" style="1" customWidth="1"/>
    <col min="7" max="226" width="9" style="1"/>
    <col min="227" max="227" width="41.54296875" style="1" customWidth="1"/>
    <col min="228" max="228" width="14.54296875" style="1" customWidth="1"/>
    <col min="229" max="229" width="16" style="1" customWidth="1"/>
    <col min="230" max="231" width="15.90625" style="1" customWidth="1"/>
    <col min="232" max="232" width="19.08984375" style="1" customWidth="1"/>
    <col min="233" max="236" width="24.08984375" style="1" customWidth="1"/>
    <col min="237" max="237" width="9" style="1" customWidth="1"/>
    <col min="238" max="482" width="9" style="1"/>
    <col min="483" max="483" width="41.54296875" style="1" customWidth="1"/>
    <col min="484" max="484" width="14.54296875" style="1" customWidth="1"/>
    <col min="485" max="485" width="16" style="1" customWidth="1"/>
    <col min="486" max="487" width="15.90625" style="1" customWidth="1"/>
    <col min="488" max="488" width="19.08984375" style="1" customWidth="1"/>
    <col min="489" max="492" width="24.08984375" style="1" customWidth="1"/>
    <col min="493" max="493" width="9" style="1" customWidth="1"/>
    <col min="494" max="738" width="9" style="1"/>
    <col min="739" max="739" width="41.54296875" style="1" customWidth="1"/>
    <col min="740" max="740" width="14.54296875" style="1" customWidth="1"/>
    <col min="741" max="741" width="16" style="1" customWidth="1"/>
    <col min="742" max="743" width="15.90625" style="1" customWidth="1"/>
    <col min="744" max="744" width="19.08984375" style="1" customWidth="1"/>
    <col min="745" max="748" width="24.08984375" style="1" customWidth="1"/>
    <col min="749" max="749" width="9" style="1" customWidth="1"/>
    <col min="750" max="994" width="9" style="1"/>
    <col min="995" max="995" width="41.54296875" style="1" customWidth="1"/>
    <col min="996" max="996" width="14.54296875" style="1" customWidth="1"/>
    <col min="997" max="997" width="16" style="1" customWidth="1"/>
    <col min="998" max="999" width="15.90625" style="1" customWidth="1"/>
    <col min="1000" max="1000" width="19.08984375" style="1" customWidth="1"/>
    <col min="1001" max="1004" width="24.08984375" style="1" customWidth="1"/>
    <col min="1005" max="1005" width="9" style="1" customWidth="1"/>
    <col min="1006" max="1250" width="9" style="1"/>
    <col min="1251" max="1251" width="41.54296875" style="1" customWidth="1"/>
    <col min="1252" max="1252" width="14.54296875" style="1" customWidth="1"/>
    <col min="1253" max="1253" width="16" style="1" customWidth="1"/>
    <col min="1254" max="1255" width="15.90625" style="1" customWidth="1"/>
    <col min="1256" max="1256" width="19.08984375" style="1" customWidth="1"/>
    <col min="1257" max="1260" width="24.08984375" style="1" customWidth="1"/>
    <col min="1261" max="1261" width="9" style="1" customWidth="1"/>
    <col min="1262" max="1506" width="9" style="1"/>
    <col min="1507" max="1507" width="41.54296875" style="1" customWidth="1"/>
    <col min="1508" max="1508" width="14.54296875" style="1" customWidth="1"/>
    <col min="1509" max="1509" width="16" style="1" customWidth="1"/>
    <col min="1510" max="1511" width="15.90625" style="1" customWidth="1"/>
    <col min="1512" max="1512" width="19.08984375" style="1" customWidth="1"/>
    <col min="1513" max="1516" width="24.08984375" style="1" customWidth="1"/>
    <col min="1517" max="1517" width="9" style="1" customWidth="1"/>
    <col min="1518" max="1762" width="9" style="1"/>
    <col min="1763" max="1763" width="41.54296875" style="1" customWidth="1"/>
    <col min="1764" max="1764" width="14.54296875" style="1" customWidth="1"/>
    <col min="1765" max="1765" width="16" style="1" customWidth="1"/>
    <col min="1766" max="1767" width="15.90625" style="1" customWidth="1"/>
    <col min="1768" max="1768" width="19.08984375" style="1" customWidth="1"/>
    <col min="1769" max="1772" width="24.08984375" style="1" customWidth="1"/>
    <col min="1773" max="1773" width="9" style="1" customWidth="1"/>
    <col min="1774" max="2018" width="9" style="1"/>
    <col min="2019" max="2019" width="41.54296875" style="1" customWidth="1"/>
    <col min="2020" max="2020" width="14.54296875" style="1" customWidth="1"/>
    <col min="2021" max="2021" width="16" style="1" customWidth="1"/>
    <col min="2022" max="2023" width="15.90625" style="1" customWidth="1"/>
    <col min="2024" max="2024" width="19.08984375" style="1" customWidth="1"/>
    <col min="2025" max="2028" width="24.08984375" style="1" customWidth="1"/>
    <col min="2029" max="2029" width="9" style="1" customWidth="1"/>
    <col min="2030" max="2274" width="9" style="1"/>
    <col min="2275" max="2275" width="41.54296875" style="1" customWidth="1"/>
    <col min="2276" max="2276" width="14.54296875" style="1" customWidth="1"/>
    <col min="2277" max="2277" width="16" style="1" customWidth="1"/>
    <col min="2278" max="2279" width="15.90625" style="1" customWidth="1"/>
    <col min="2280" max="2280" width="19.08984375" style="1" customWidth="1"/>
    <col min="2281" max="2284" width="24.08984375" style="1" customWidth="1"/>
    <col min="2285" max="2285" width="9" style="1" customWidth="1"/>
    <col min="2286" max="2530" width="9" style="1"/>
    <col min="2531" max="2531" width="41.54296875" style="1" customWidth="1"/>
    <col min="2532" max="2532" width="14.54296875" style="1" customWidth="1"/>
    <col min="2533" max="2533" width="16" style="1" customWidth="1"/>
    <col min="2534" max="2535" width="15.90625" style="1" customWidth="1"/>
    <col min="2536" max="2536" width="19.08984375" style="1" customWidth="1"/>
    <col min="2537" max="2540" width="24.08984375" style="1" customWidth="1"/>
    <col min="2541" max="2541" width="9" style="1" customWidth="1"/>
    <col min="2542" max="2786" width="9" style="1"/>
    <col min="2787" max="2787" width="41.54296875" style="1" customWidth="1"/>
    <col min="2788" max="2788" width="14.54296875" style="1" customWidth="1"/>
    <col min="2789" max="2789" width="16" style="1" customWidth="1"/>
    <col min="2790" max="2791" width="15.90625" style="1" customWidth="1"/>
    <col min="2792" max="2792" width="19.08984375" style="1" customWidth="1"/>
    <col min="2793" max="2796" width="24.08984375" style="1" customWidth="1"/>
    <col min="2797" max="2797" width="9" style="1" customWidth="1"/>
    <col min="2798" max="3042" width="9" style="1"/>
    <col min="3043" max="3043" width="41.54296875" style="1" customWidth="1"/>
    <col min="3044" max="3044" width="14.54296875" style="1" customWidth="1"/>
    <col min="3045" max="3045" width="16" style="1" customWidth="1"/>
    <col min="3046" max="3047" width="15.90625" style="1" customWidth="1"/>
    <col min="3048" max="3048" width="19.08984375" style="1" customWidth="1"/>
    <col min="3049" max="3052" width="24.08984375" style="1" customWidth="1"/>
    <col min="3053" max="3053" width="9" style="1" customWidth="1"/>
    <col min="3054" max="3298" width="9" style="1"/>
    <col min="3299" max="3299" width="41.54296875" style="1" customWidth="1"/>
    <col min="3300" max="3300" width="14.54296875" style="1" customWidth="1"/>
    <col min="3301" max="3301" width="16" style="1" customWidth="1"/>
    <col min="3302" max="3303" width="15.90625" style="1" customWidth="1"/>
    <col min="3304" max="3304" width="19.08984375" style="1" customWidth="1"/>
    <col min="3305" max="3308" width="24.08984375" style="1" customWidth="1"/>
    <col min="3309" max="3309" width="9" style="1" customWidth="1"/>
    <col min="3310" max="3554" width="9" style="1"/>
    <col min="3555" max="3555" width="41.54296875" style="1" customWidth="1"/>
    <col min="3556" max="3556" width="14.54296875" style="1" customWidth="1"/>
    <col min="3557" max="3557" width="16" style="1" customWidth="1"/>
    <col min="3558" max="3559" width="15.90625" style="1" customWidth="1"/>
    <col min="3560" max="3560" width="19.08984375" style="1" customWidth="1"/>
    <col min="3561" max="3564" width="24.08984375" style="1" customWidth="1"/>
    <col min="3565" max="3565" width="9" style="1" customWidth="1"/>
    <col min="3566" max="3810" width="9" style="1"/>
    <col min="3811" max="3811" width="41.54296875" style="1" customWidth="1"/>
    <col min="3812" max="3812" width="14.54296875" style="1" customWidth="1"/>
    <col min="3813" max="3813" width="16" style="1" customWidth="1"/>
    <col min="3814" max="3815" width="15.90625" style="1" customWidth="1"/>
    <col min="3816" max="3816" width="19.08984375" style="1" customWidth="1"/>
    <col min="3817" max="3820" width="24.08984375" style="1" customWidth="1"/>
    <col min="3821" max="3821" width="9" style="1" customWidth="1"/>
    <col min="3822" max="4066" width="9" style="1"/>
    <col min="4067" max="4067" width="41.54296875" style="1" customWidth="1"/>
    <col min="4068" max="4068" width="14.54296875" style="1" customWidth="1"/>
    <col min="4069" max="4069" width="16" style="1" customWidth="1"/>
    <col min="4070" max="4071" width="15.90625" style="1" customWidth="1"/>
    <col min="4072" max="4072" width="19.08984375" style="1" customWidth="1"/>
    <col min="4073" max="4076" width="24.08984375" style="1" customWidth="1"/>
    <col min="4077" max="4077" width="9" style="1" customWidth="1"/>
    <col min="4078" max="4322" width="9" style="1"/>
    <col min="4323" max="4323" width="41.54296875" style="1" customWidth="1"/>
    <col min="4324" max="4324" width="14.54296875" style="1" customWidth="1"/>
    <col min="4325" max="4325" width="16" style="1" customWidth="1"/>
    <col min="4326" max="4327" width="15.90625" style="1" customWidth="1"/>
    <col min="4328" max="4328" width="19.08984375" style="1" customWidth="1"/>
    <col min="4329" max="4332" width="24.08984375" style="1" customWidth="1"/>
    <col min="4333" max="4333" width="9" style="1" customWidth="1"/>
    <col min="4334" max="4578" width="9" style="1"/>
    <col min="4579" max="4579" width="41.54296875" style="1" customWidth="1"/>
    <col min="4580" max="4580" width="14.54296875" style="1" customWidth="1"/>
    <col min="4581" max="4581" width="16" style="1" customWidth="1"/>
    <col min="4582" max="4583" width="15.90625" style="1" customWidth="1"/>
    <col min="4584" max="4584" width="19.08984375" style="1" customWidth="1"/>
    <col min="4585" max="4588" width="24.08984375" style="1" customWidth="1"/>
    <col min="4589" max="4589" width="9" style="1" customWidth="1"/>
    <col min="4590" max="4834" width="9" style="1"/>
    <col min="4835" max="4835" width="41.54296875" style="1" customWidth="1"/>
    <col min="4836" max="4836" width="14.54296875" style="1" customWidth="1"/>
    <col min="4837" max="4837" width="16" style="1" customWidth="1"/>
    <col min="4838" max="4839" width="15.90625" style="1" customWidth="1"/>
    <col min="4840" max="4840" width="19.08984375" style="1" customWidth="1"/>
    <col min="4841" max="4844" width="24.08984375" style="1" customWidth="1"/>
    <col min="4845" max="4845" width="9" style="1" customWidth="1"/>
    <col min="4846" max="5090" width="9" style="1"/>
    <col min="5091" max="5091" width="41.54296875" style="1" customWidth="1"/>
    <col min="5092" max="5092" width="14.54296875" style="1" customWidth="1"/>
    <col min="5093" max="5093" width="16" style="1" customWidth="1"/>
    <col min="5094" max="5095" width="15.90625" style="1" customWidth="1"/>
    <col min="5096" max="5096" width="19.08984375" style="1" customWidth="1"/>
    <col min="5097" max="5100" width="24.08984375" style="1" customWidth="1"/>
    <col min="5101" max="5101" width="9" style="1" customWidth="1"/>
    <col min="5102" max="5346" width="9" style="1"/>
    <col min="5347" max="5347" width="41.54296875" style="1" customWidth="1"/>
    <col min="5348" max="5348" width="14.54296875" style="1" customWidth="1"/>
    <col min="5349" max="5349" width="16" style="1" customWidth="1"/>
    <col min="5350" max="5351" width="15.90625" style="1" customWidth="1"/>
    <col min="5352" max="5352" width="19.08984375" style="1" customWidth="1"/>
    <col min="5353" max="5356" width="24.08984375" style="1" customWidth="1"/>
    <col min="5357" max="5357" width="9" style="1" customWidth="1"/>
    <col min="5358" max="5602" width="9" style="1"/>
    <col min="5603" max="5603" width="41.54296875" style="1" customWidth="1"/>
    <col min="5604" max="5604" width="14.54296875" style="1" customWidth="1"/>
    <col min="5605" max="5605" width="16" style="1" customWidth="1"/>
    <col min="5606" max="5607" width="15.90625" style="1" customWidth="1"/>
    <col min="5608" max="5608" width="19.08984375" style="1" customWidth="1"/>
    <col min="5609" max="5612" width="24.08984375" style="1" customWidth="1"/>
    <col min="5613" max="5613" width="9" style="1" customWidth="1"/>
    <col min="5614" max="5858" width="9" style="1"/>
    <col min="5859" max="5859" width="41.54296875" style="1" customWidth="1"/>
    <col min="5860" max="5860" width="14.54296875" style="1" customWidth="1"/>
    <col min="5861" max="5861" width="16" style="1" customWidth="1"/>
    <col min="5862" max="5863" width="15.90625" style="1" customWidth="1"/>
    <col min="5864" max="5864" width="19.08984375" style="1" customWidth="1"/>
    <col min="5865" max="5868" width="24.08984375" style="1" customWidth="1"/>
    <col min="5869" max="5869" width="9" style="1" customWidth="1"/>
    <col min="5870" max="6114" width="9" style="1"/>
    <col min="6115" max="6115" width="41.54296875" style="1" customWidth="1"/>
    <col min="6116" max="6116" width="14.54296875" style="1" customWidth="1"/>
    <col min="6117" max="6117" width="16" style="1" customWidth="1"/>
    <col min="6118" max="6119" width="15.90625" style="1" customWidth="1"/>
    <col min="6120" max="6120" width="19.08984375" style="1" customWidth="1"/>
    <col min="6121" max="6124" width="24.08984375" style="1" customWidth="1"/>
    <col min="6125" max="6125" width="9" style="1" customWidth="1"/>
    <col min="6126" max="6370" width="9" style="1"/>
    <col min="6371" max="6371" width="41.54296875" style="1" customWidth="1"/>
    <col min="6372" max="6372" width="14.54296875" style="1" customWidth="1"/>
    <col min="6373" max="6373" width="16" style="1" customWidth="1"/>
    <col min="6374" max="6375" width="15.90625" style="1" customWidth="1"/>
    <col min="6376" max="6376" width="19.08984375" style="1" customWidth="1"/>
    <col min="6377" max="6380" width="24.08984375" style="1" customWidth="1"/>
    <col min="6381" max="6381" width="9" style="1" customWidth="1"/>
    <col min="6382" max="6626" width="9" style="1"/>
    <col min="6627" max="6627" width="41.54296875" style="1" customWidth="1"/>
    <col min="6628" max="6628" width="14.54296875" style="1" customWidth="1"/>
    <col min="6629" max="6629" width="16" style="1" customWidth="1"/>
    <col min="6630" max="6631" width="15.90625" style="1" customWidth="1"/>
    <col min="6632" max="6632" width="19.08984375" style="1" customWidth="1"/>
    <col min="6633" max="6636" width="24.08984375" style="1" customWidth="1"/>
    <col min="6637" max="6637" width="9" style="1" customWidth="1"/>
    <col min="6638" max="6882" width="9" style="1"/>
    <col min="6883" max="6883" width="41.54296875" style="1" customWidth="1"/>
    <col min="6884" max="6884" width="14.54296875" style="1" customWidth="1"/>
    <col min="6885" max="6885" width="16" style="1" customWidth="1"/>
    <col min="6886" max="6887" width="15.90625" style="1" customWidth="1"/>
    <col min="6888" max="6888" width="19.08984375" style="1" customWidth="1"/>
    <col min="6889" max="6892" width="24.08984375" style="1" customWidth="1"/>
    <col min="6893" max="6893" width="9" style="1" customWidth="1"/>
    <col min="6894" max="7138" width="9" style="1"/>
    <col min="7139" max="7139" width="41.54296875" style="1" customWidth="1"/>
    <col min="7140" max="7140" width="14.54296875" style="1" customWidth="1"/>
    <col min="7141" max="7141" width="16" style="1" customWidth="1"/>
    <col min="7142" max="7143" width="15.90625" style="1" customWidth="1"/>
    <col min="7144" max="7144" width="19.08984375" style="1" customWidth="1"/>
    <col min="7145" max="7148" width="24.08984375" style="1" customWidth="1"/>
    <col min="7149" max="7149" width="9" style="1" customWidth="1"/>
    <col min="7150" max="7394" width="9" style="1"/>
    <col min="7395" max="7395" width="41.54296875" style="1" customWidth="1"/>
    <col min="7396" max="7396" width="14.54296875" style="1" customWidth="1"/>
    <col min="7397" max="7397" width="16" style="1" customWidth="1"/>
    <col min="7398" max="7399" width="15.90625" style="1" customWidth="1"/>
    <col min="7400" max="7400" width="19.08984375" style="1" customWidth="1"/>
    <col min="7401" max="7404" width="24.08984375" style="1" customWidth="1"/>
    <col min="7405" max="7405" width="9" style="1" customWidth="1"/>
    <col min="7406" max="7650" width="9" style="1"/>
    <col min="7651" max="7651" width="41.54296875" style="1" customWidth="1"/>
    <col min="7652" max="7652" width="14.54296875" style="1" customWidth="1"/>
    <col min="7653" max="7653" width="16" style="1" customWidth="1"/>
    <col min="7654" max="7655" width="15.90625" style="1" customWidth="1"/>
    <col min="7656" max="7656" width="19.08984375" style="1" customWidth="1"/>
    <col min="7657" max="7660" width="24.08984375" style="1" customWidth="1"/>
    <col min="7661" max="7661" width="9" style="1" customWidth="1"/>
    <col min="7662" max="7906" width="9" style="1"/>
    <col min="7907" max="7907" width="41.54296875" style="1" customWidth="1"/>
    <col min="7908" max="7908" width="14.54296875" style="1" customWidth="1"/>
    <col min="7909" max="7909" width="16" style="1" customWidth="1"/>
    <col min="7910" max="7911" width="15.90625" style="1" customWidth="1"/>
    <col min="7912" max="7912" width="19.08984375" style="1" customWidth="1"/>
    <col min="7913" max="7916" width="24.08984375" style="1" customWidth="1"/>
    <col min="7917" max="7917" width="9" style="1" customWidth="1"/>
    <col min="7918" max="8162" width="9" style="1"/>
    <col min="8163" max="8163" width="41.54296875" style="1" customWidth="1"/>
    <col min="8164" max="8164" width="14.54296875" style="1" customWidth="1"/>
    <col min="8165" max="8165" width="16" style="1" customWidth="1"/>
    <col min="8166" max="8167" width="15.90625" style="1" customWidth="1"/>
    <col min="8168" max="8168" width="19.08984375" style="1" customWidth="1"/>
    <col min="8169" max="8172" width="24.08984375" style="1" customWidth="1"/>
    <col min="8173" max="8173" width="9" style="1" customWidth="1"/>
    <col min="8174" max="8418" width="9" style="1"/>
    <col min="8419" max="8419" width="41.54296875" style="1" customWidth="1"/>
    <col min="8420" max="8420" width="14.54296875" style="1" customWidth="1"/>
    <col min="8421" max="8421" width="16" style="1" customWidth="1"/>
    <col min="8422" max="8423" width="15.90625" style="1" customWidth="1"/>
    <col min="8424" max="8424" width="19.08984375" style="1" customWidth="1"/>
    <col min="8425" max="8428" width="24.08984375" style="1" customWidth="1"/>
    <col min="8429" max="8429" width="9" style="1" customWidth="1"/>
    <col min="8430" max="8674" width="9" style="1"/>
    <col min="8675" max="8675" width="41.54296875" style="1" customWidth="1"/>
    <col min="8676" max="8676" width="14.54296875" style="1" customWidth="1"/>
    <col min="8677" max="8677" width="16" style="1" customWidth="1"/>
    <col min="8678" max="8679" width="15.90625" style="1" customWidth="1"/>
    <col min="8680" max="8680" width="19.08984375" style="1" customWidth="1"/>
    <col min="8681" max="8684" width="24.08984375" style="1" customWidth="1"/>
    <col min="8685" max="8685" width="9" style="1" customWidth="1"/>
    <col min="8686" max="8930" width="9" style="1"/>
    <col min="8931" max="8931" width="41.54296875" style="1" customWidth="1"/>
    <col min="8932" max="8932" width="14.54296875" style="1" customWidth="1"/>
    <col min="8933" max="8933" width="16" style="1" customWidth="1"/>
    <col min="8934" max="8935" width="15.90625" style="1" customWidth="1"/>
    <col min="8936" max="8936" width="19.08984375" style="1" customWidth="1"/>
    <col min="8937" max="8940" width="24.08984375" style="1" customWidth="1"/>
    <col min="8941" max="8941" width="9" style="1" customWidth="1"/>
    <col min="8942" max="9186" width="9" style="1"/>
    <col min="9187" max="9187" width="41.54296875" style="1" customWidth="1"/>
    <col min="9188" max="9188" width="14.54296875" style="1" customWidth="1"/>
    <col min="9189" max="9189" width="16" style="1" customWidth="1"/>
    <col min="9190" max="9191" width="15.90625" style="1" customWidth="1"/>
    <col min="9192" max="9192" width="19.08984375" style="1" customWidth="1"/>
    <col min="9193" max="9196" width="24.08984375" style="1" customWidth="1"/>
    <col min="9197" max="9197" width="9" style="1" customWidth="1"/>
    <col min="9198" max="9442" width="9" style="1"/>
    <col min="9443" max="9443" width="41.54296875" style="1" customWidth="1"/>
    <col min="9444" max="9444" width="14.54296875" style="1" customWidth="1"/>
    <col min="9445" max="9445" width="16" style="1" customWidth="1"/>
    <col min="9446" max="9447" width="15.90625" style="1" customWidth="1"/>
    <col min="9448" max="9448" width="19.08984375" style="1" customWidth="1"/>
    <col min="9449" max="9452" width="24.08984375" style="1" customWidth="1"/>
    <col min="9453" max="9453" width="9" style="1" customWidth="1"/>
    <col min="9454" max="9698" width="9" style="1"/>
    <col min="9699" max="9699" width="41.54296875" style="1" customWidth="1"/>
    <col min="9700" max="9700" width="14.54296875" style="1" customWidth="1"/>
    <col min="9701" max="9701" width="16" style="1" customWidth="1"/>
    <col min="9702" max="9703" width="15.90625" style="1" customWidth="1"/>
    <col min="9704" max="9704" width="19.08984375" style="1" customWidth="1"/>
    <col min="9705" max="9708" width="24.08984375" style="1" customWidth="1"/>
    <col min="9709" max="9709" width="9" style="1" customWidth="1"/>
    <col min="9710" max="9954" width="9" style="1"/>
    <col min="9955" max="9955" width="41.54296875" style="1" customWidth="1"/>
    <col min="9956" max="9956" width="14.54296875" style="1" customWidth="1"/>
    <col min="9957" max="9957" width="16" style="1" customWidth="1"/>
    <col min="9958" max="9959" width="15.90625" style="1" customWidth="1"/>
    <col min="9960" max="9960" width="19.08984375" style="1" customWidth="1"/>
    <col min="9961" max="9964" width="24.08984375" style="1" customWidth="1"/>
    <col min="9965" max="9965" width="9" style="1" customWidth="1"/>
    <col min="9966" max="10210" width="9" style="1"/>
    <col min="10211" max="10211" width="41.54296875" style="1" customWidth="1"/>
    <col min="10212" max="10212" width="14.54296875" style="1" customWidth="1"/>
    <col min="10213" max="10213" width="16" style="1" customWidth="1"/>
    <col min="10214" max="10215" width="15.90625" style="1" customWidth="1"/>
    <col min="10216" max="10216" width="19.08984375" style="1" customWidth="1"/>
    <col min="10217" max="10220" width="24.08984375" style="1" customWidth="1"/>
    <col min="10221" max="10221" width="9" style="1" customWidth="1"/>
    <col min="10222" max="10466" width="9" style="1"/>
    <col min="10467" max="10467" width="41.54296875" style="1" customWidth="1"/>
    <col min="10468" max="10468" width="14.54296875" style="1" customWidth="1"/>
    <col min="10469" max="10469" width="16" style="1" customWidth="1"/>
    <col min="10470" max="10471" width="15.90625" style="1" customWidth="1"/>
    <col min="10472" max="10472" width="19.08984375" style="1" customWidth="1"/>
    <col min="10473" max="10476" width="24.08984375" style="1" customWidth="1"/>
    <col min="10477" max="10477" width="9" style="1" customWidth="1"/>
    <col min="10478" max="10722" width="9" style="1"/>
    <col min="10723" max="10723" width="41.54296875" style="1" customWidth="1"/>
    <col min="10724" max="10724" width="14.54296875" style="1" customWidth="1"/>
    <col min="10725" max="10725" width="16" style="1" customWidth="1"/>
    <col min="10726" max="10727" width="15.90625" style="1" customWidth="1"/>
    <col min="10728" max="10728" width="19.08984375" style="1" customWidth="1"/>
    <col min="10729" max="10732" width="24.08984375" style="1" customWidth="1"/>
    <col min="10733" max="10733" width="9" style="1" customWidth="1"/>
    <col min="10734" max="10978" width="9" style="1"/>
    <col min="10979" max="10979" width="41.54296875" style="1" customWidth="1"/>
    <col min="10980" max="10980" width="14.54296875" style="1" customWidth="1"/>
    <col min="10981" max="10981" width="16" style="1" customWidth="1"/>
    <col min="10982" max="10983" width="15.90625" style="1" customWidth="1"/>
    <col min="10984" max="10984" width="19.08984375" style="1" customWidth="1"/>
    <col min="10985" max="10988" width="24.08984375" style="1" customWidth="1"/>
    <col min="10989" max="10989" width="9" style="1" customWidth="1"/>
    <col min="10990" max="11234" width="9" style="1"/>
    <col min="11235" max="11235" width="41.54296875" style="1" customWidth="1"/>
    <col min="11236" max="11236" width="14.54296875" style="1" customWidth="1"/>
    <col min="11237" max="11237" width="16" style="1" customWidth="1"/>
    <col min="11238" max="11239" width="15.90625" style="1" customWidth="1"/>
    <col min="11240" max="11240" width="19.08984375" style="1" customWidth="1"/>
    <col min="11241" max="11244" width="24.08984375" style="1" customWidth="1"/>
    <col min="11245" max="11245" width="9" style="1" customWidth="1"/>
    <col min="11246" max="11490" width="9" style="1"/>
    <col min="11491" max="11491" width="41.54296875" style="1" customWidth="1"/>
    <col min="11492" max="11492" width="14.54296875" style="1" customWidth="1"/>
    <col min="11493" max="11493" width="16" style="1" customWidth="1"/>
    <col min="11494" max="11495" width="15.90625" style="1" customWidth="1"/>
    <col min="11496" max="11496" width="19.08984375" style="1" customWidth="1"/>
    <col min="11497" max="11500" width="24.08984375" style="1" customWidth="1"/>
    <col min="11501" max="11501" width="9" style="1" customWidth="1"/>
    <col min="11502" max="11746" width="9" style="1"/>
    <col min="11747" max="11747" width="41.54296875" style="1" customWidth="1"/>
    <col min="11748" max="11748" width="14.54296875" style="1" customWidth="1"/>
    <col min="11749" max="11749" width="16" style="1" customWidth="1"/>
    <col min="11750" max="11751" width="15.90625" style="1" customWidth="1"/>
    <col min="11752" max="11752" width="19.08984375" style="1" customWidth="1"/>
    <col min="11753" max="11756" width="24.08984375" style="1" customWidth="1"/>
    <col min="11757" max="11757" width="9" style="1" customWidth="1"/>
    <col min="11758" max="12002" width="9" style="1"/>
    <col min="12003" max="12003" width="41.54296875" style="1" customWidth="1"/>
    <col min="12004" max="12004" width="14.54296875" style="1" customWidth="1"/>
    <col min="12005" max="12005" width="16" style="1" customWidth="1"/>
    <col min="12006" max="12007" width="15.90625" style="1" customWidth="1"/>
    <col min="12008" max="12008" width="19.08984375" style="1" customWidth="1"/>
    <col min="12009" max="12012" width="24.08984375" style="1" customWidth="1"/>
    <col min="12013" max="12013" width="9" style="1" customWidth="1"/>
    <col min="12014" max="12258" width="9" style="1"/>
    <col min="12259" max="12259" width="41.54296875" style="1" customWidth="1"/>
    <col min="12260" max="12260" width="14.54296875" style="1" customWidth="1"/>
    <col min="12261" max="12261" width="16" style="1" customWidth="1"/>
    <col min="12262" max="12263" width="15.90625" style="1" customWidth="1"/>
    <col min="12264" max="12264" width="19.08984375" style="1" customWidth="1"/>
    <col min="12265" max="12268" width="24.08984375" style="1" customWidth="1"/>
    <col min="12269" max="12269" width="9" style="1" customWidth="1"/>
    <col min="12270" max="12514" width="9" style="1"/>
    <col min="12515" max="12515" width="41.54296875" style="1" customWidth="1"/>
    <col min="12516" max="12516" width="14.54296875" style="1" customWidth="1"/>
    <col min="12517" max="12517" width="16" style="1" customWidth="1"/>
    <col min="12518" max="12519" width="15.90625" style="1" customWidth="1"/>
    <col min="12520" max="12520" width="19.08984375" style="1" customWidth="1"/>
    <col min="12521" max="12524" width="24.08984375" style="1" customWidth="1"/>
    <col min="12525" max="12525" width="9" style="1" customWidth="1"/>
    <col min="12526" max="12770" width="9" style="1"/>
    <col min="12771" max="12771" width="41.54296875" style="1" customWidth="1"/>
    <col min="12772" max="12772" width="14.54296875" style="1" customWidth="1"/>
    <col min="12773" max="12773" width="16" style="1" customWidth="1"/>
    <col min="12774" max="12775" width="15.90625" style="1" customWidth="1"/>
    <col min="12776" max="12776" width="19.08984375" style="1" customWidth="1"/>
    <col min="12777" max="12780" width="24.08984375" style="1" customWidth="1"/>
    <col min="12781" max="12781" width="9" style="1" customWidth="1"/>
    <col min="12782" max="13026" width="9" style="1"/>
    <col min="13027" max="13027" width="41.54296875" style="1" customWidth="1"/>
    <col min="13028" max="13028" width="14.54296875" style="1" customWidth="1"/>
    <col min="13029" max="13029" width="16" style="1" customWidth="1"/>
    <col min="13030" max="13031" width="15.90625" style="1" customWidth="1"/>
    <col min="13032" max="13032" width="19.08984375" style="1" customWidth="1"/>
    <col min="13033" max="13036" width="24.08984375" style="1" customWidth="1"/>
    <col min="13037" max="13037" width="9" style="1" customWidth="1"/>
    <col min="13038" max="13282" width="9" style="1"/>
    <col min="13283" max="13283" width="41.54296875" style="1" customWidth="1"/>
    <col min="13284" max="13284" width="14.54296875" style="1" customWidth="1"/>
    <col min="13285" max="13285" width="16" style="1" customWidth="1"/>
    <col min="13286" max="13287" width="15.90625" style="1" customWidth="1"/>
    <col min="13288" max="13288" width="19.08984375" style="1" customWidth="1"/>
    <col min="13289" max="13292" width="24.08984375" style="1" customWidth="1"/>
    <col min="13293" max="13293" width="9" style="1" customWidth="1"/>
    <col min="13294" max="13538" width="9" style="1"/>
    <col min="13539" max="13539" width="41.54296875" style="1" customWidth="1"/>
    <col min="13540" max="13540" width="14.54296875" style="1" customWidth="1"/>
    <col min="13541" max="13541" width="16" style="1" customWidth="1"/>
    <col min="13542" max="13543" width="15.90625" style="1" customWidth="1"/>
    <col min="13544" max="13544" width="19.08984375" style="1" customWidth="1"/>
    <col min="13545" max="13548" width="24.08984375" style="1" customWidth="1"/>
    <col min="13549" max="13549" width="9" style="1" customWidth="1"/>
    <col min="13550" max="13794" width="9" style="1"/>
    <col min="13795" max="13795" width="41.54296875" style="1" customWidth="1"/>
    <col min="13796" max="13796" width="14.54296875" style="1" customWidth="1"/>
    <col min="13797" max="13797" width="16" style="1" customWidth="1"/>
    <col min="13798" max="13799" width="15.90625" style="1" customWidth="1"/>
    <col min="13800" max="13800" width="19.08984375" style="1" customWidth="1"/>
    <col min="13801" max="13804" width="24.08984375" style="1" customWidth="1"/>
    <col min="13805" max="13805" width="9" style="1" customWidth="1"/>
    <col min="13806" max="14050" width="9" style="1"/>
    <col min="14051" max="14051" width="41.54296875" style="1" customWidth="1"/>
    <col min="14052" max="14052" width="14.54296875" style="1" customWidth="1"/>
    <col min="14053" max="14053" width="16" style="1" customWidth="1"/>
    <col min="14054" max="14055" width="15.90625" style="1" customWidth="1"/>
    <col min="14056" max="14056" width="19.08984375" style="1" customWidth="1"/>
    <col min="14057" max="14060" width="24.08984375" style="1" customWidth="1"/>
    <col min="14061" max="14061" width="9" style="1" customWidth="1"/>
    <col min="14062" max="14306" width="9" style="1"/>
    <col min="14307" max="14307" width="41.54296875" style="1" customWidth="1"/>
    <col min="14308" max="14308" width="14.54296875" style="1" customWidth="1"/>
    <col min="14309" max="14309" width="16" style="1" customWidth="1"/>
    <col min="14310" max="14311" width="15.90625" style="1" customWidth="1"/>
    <col min="14312" max="14312" width="19.08984375" style="1" customWidth="1"/>
    <col min="14313" max="14316" width="24.08984375" style="1" customWidth="1"/>
    <col min="14317" max="14317" width="9" style="1" customWidth="1"/>
    <col min="14318" max="14562" width="9" style="1"/>
    <col min="14563" max="14563" width="41.54296875" style="1" customWidth="1"/>
    <col min="14564" max="14564" width="14.54296875" style="1" customWidth="1"/>
    <col min="14565" max="14565" width="16" style="1" customWidth="1"/>
    <col min="14566" max="14567" width="15.90625" style="1" customWidth="1"/>
    <col min="14568" max="14568" width="19.08984375" style="1" customWidth="1"/>
    <col min="14569" max="14572" width="24.08984375" style="1" customWidth="1"/>
    <col min="14573" max="14573" width="9" style="1" customWidth="1"/>
    <col min="14574" max="14818" width="9" style="1"/>
    <col min="14819" max="14819" width="41.54296875" style="1" customWidth="1"/>
    <col min="14820" max="14820" width="14.54296875" style="1" customWidth="1"/>
    <col min="14821" max="14821" width="16" style="1" customWidth="1"/>
    <col min="14822" max="14823" width="15.90625" style="1" customWidth="1"/>
    <col min="14824" max="14824" width="19.08984375" style="1" customWidth="1"/>
    <col min="14825" max="14828" width="24.08984375" style="1" customWidth="1"/>
    <col min="14829" max="14829" width="9" style="1" customWidth="1"/>
    <col min="14830" max="15074" width="9" style="1"/>
    <col min="15075" max="15075" width="41.54296875" style="1" customWidth="1"/>
    <col min="15076" max="15076" width="14.54296875" style="1" customWidth="1"/>
    <col min="15077" max="15077" width="16" style="1" customWidth="1"/>
    <col min="15078" max="15079" width="15.90625" style="1" customWidth="1"/>
    <col min="15080" max="15080" width="19.08984375" style="1" customWidth="1"/>
    <col min="15081" max="15084" width="24.08984375" style="1" customWidth="1"/>
    <col min="15085" max="15085" width="9" style="1" customWidth="1"/>
    <col min="15086" max="15330" width="9" style="1"/>
    <col min="15331" max="15331" width="41.54296875" style="1" customWidth="1"/>
    <col min="15332" max="15332" width="14.54296875" style="1" customWidth="1"/>
    <col min="15333" max="15333" width="16" style="1" customWidth="1"/>
    <col min="15334" max="15335" width="15.90625" style="1" customWidth="1"/>
    <col min="15336" max="15336" width="19.08984375" style="1" customWidth="1"/>
    <col min="15337" max="15340" width="24.08984375" style="1" customWidth="1"/>
    <col min="15341" max="15341" width="9" style="1" customWidth="1"/>
    <col min="15342" max="15586" width="9" style="1"/>
    <col min="15587" max="15587" width="41.54296875" style="1" customWidth="1"/>
    <col min="15588" max="15588" width="14.54296875" style="1" customWidth="1"/>
    <col min="15589" max="15589" width="16" style="1" customWidth="1"/>
    <col min="15590" max="15591" width="15.90625" style="1" customWidth="1"/>
    <col min="15592" max="15592" width="19.08984375" style="1" customWidth="1"/>
    <col min="15593" max="15596" width="24.08984375" style="1" customWidth="1"/>
    <col min="15597" max="15597" width="9" style="1" customWidth="1"/>
    <col min="15598" max="15842" width="9" style="1"/>
    <col min="15843" max="15843" width="41.54296875" style="1" customWidth="1"/>
    <col min="15844" max="15844" width="14.54296875" style="1" customWidth="1"/>
    <col min="15845" max="15845" width="16" style="1" customWidth="1"/>
    <col min="15846" max="15847" width="15.90625" style="1" customWidth="1"/>
    <col min="15848" max="15848" width="19.08984375" style="1" customWidth="1"/>
    <col min="15849" max="15852" width="24.08984375" style="1" customWidth="1"/>
    <col min="15853" max="15853" width="9" style="1" customWidth="1"/>
    <col min="15854" max="16098" width="9" style="1"/>
    <col min="16099" max="16099" width="41.54296875" style="1" customWidth="1"/>
    <col min="16100" max="16100" width="14.54296875" style="1" customWidth="1"/>
    <col min="16101" max="16101" width="16" style="1" customWidth="1"/>
    <col min="16102" max="16103" width="15.90625" style="1" customWidth="1"/>
    <col min="16104" max="16104" width="19.08984375" style="1" customWidth="1"/>
    <col min="16105" max="16108" width="24.08984375" style="1" customWidth="1"/>
    <col min="16109" max="16109" width="9" style="1" customWidth="1"/>
    <col min="16110" max="16384" width="9" style="1"/>
  </cols>
  <sheetData>
    <row r="1" spans="1:5" ht="15" customHeight="1">
      <c r="A1" s="241" t="s">
        <v>303</v>
      </c>
      <c r="B1" s="241"/>
      <c r="C1" s="241"/>
      <c r="D1" s="241"/>
      <c r="E1" s="241"/>
    </row>
    <row r="2" spans="1:5" s="4" customFormat="1">
      <c r="A2" s="2" t="s">
        <v>15</v>
      </c>
      <c r="B2" s="2" t="s">
        <v>4</v>
      </c>
      <c r="C2" s="3" t="s">
        <v>14</v>
      </c>
      <c r="D2" s="3" t="s">
        <v>35</v>
      </c>
      <c r="E2" s="3" t="s">
        <v>262</v>
      </c>
    </row>
    <row r="3" spans="1:5">
      <c r="A3" s="5"/>
      <c r="B3" s="6"/>
      <c r="C3" s="6"/>
      <c r="D3" s="6"/>
      <c r="E3" s="6"/>
    </row>
    <row r="4" spans="1:5" s="4" customFormat="1">
      <c r="A4" s="7" t="s">
        <v>9</v>
      </c>
      <c r="B4" s="8" t="s">
        <v>16</v>
      </c>
      <c r="C4" s="8">
        <f>'ELEC '!I60</f>
        <v>0</v>
      </c>
      <c r="D4" s="8">
        <f>'ELEC '!J60</f>
        <v>0</v>
      </c>
      <c r="E4" s="8">
        <f t="shared" ref="E4:E18" si="0">C4+D4</f>
        <v>0</v>
      </c>
    </row>
    <row r="5" spans="1:5" s="4" customFormat="1">
      <c r="A5" s="7"/>
      <c r="B5" s="8"/>
      <c r="C5" s="8"/>
      <c r="D5" s="8"/>
      <c r="E5" s="8">
        <f t="shared" si="0"/>
        <v>0</v>
      </c>
    </row>
    <row r="6" spans="1:5" s="4" customFormat="1">
      <c r="A6" s="7" t="s">
        <v>10</v>
      </c>
      <c r="B6" s="8" t="s">
        <v>17</v>
      </c>
      <c r="C6" s="8">
        <f>'ELEC '!I107</f>
        <v>0</v>
      </c>
      <c r="D6" s="8">
        <f>'ELEC '!J107</f>
        <v>0</v>
      </c>
      <c r="E6" s="8">
        <f t="shared" si="0"/>
        <v>0</v>
      </c>
    </row>
    <row r="7" spans="1:5" s="4" customFormat="1">
      <c r="A7" s="7"/>
      <c r="B7" s="8"/>
      <c r="C7" s="8"/>
      <c r="D7" s="8"/>
      <c r="E7" s="8">
        <f t="shared" si="0"/>
        <v>0</v>
      </c>
    </row>
    <row r="8" spans="1:5" s="4" customFormat="1">
      <c r="A8" s="7" t="s">
        <v>18</v>
      </c>
      <c r="B8" s="8" t="s">
        <v>19</v>
      </c>
      <c r="C8" s="8">
        <f>'ELEC '!I133</f>
        <v>0</v>
      </c>
      <c r="D8" s="8">
        <f>'ELEC '!J133</f>
        <v>0</v>
      </c>
      <c r="E8" s="8">
        <f t="shared" si="0"/>
        <v>0</v>
      </c>
    </row>
    <row r="9" spans="1:5" s="4" customFormat="1">
      <c r="A9" s="7"/>
      <c r="B9" s="8"/>
      <c r="C9" s="8"/>
      <c r="D9" s="8"/>
      <c r="E9" s="8">
        <f t="shared" si="0"/>
        <v>0</v>
      </c>
    </row>
    <row r="10" spans="1:5" s="4" customFormat="1">
      <c r="A10" s="7" t="s">
        <v>12</v>
      </c>
      <c r="B10" s="8" t="s">
        <v>20</v>
      </c>
      <c r="C10" s="8">
        <f>'ELEC '!I234</f>
        <v>0</v>
      </c>
      <c r="D10" s="8">
        <f>'ELEC '!J234</f>
        <v>0</v>
      </c>
      <c r="E10" s="8">
        <f t="shared" si="0"/>
        <v>0</v>
      </c>
    </row>
    <row r="11" spans="1:5" s="4" customFormat="1">
      <c r="A11" s="7"/>
      <c r="B11" s="8"/>
      <c r="C11" s="8"/>
      <c r="D11" s="8"/>
      <c r="E11" s="8">
        <f t="shared" si="0"/>
        <v>0</v>
      </c>
    </row>
    <row r="12" spans="1:5" s="4" customFormat="1">
      <c r="A12" s="7" t="s">
        <v>21</v>
      </c>
      <c r="B12" s="8" t="s">
        <v>22</v>
      </c>
      <c r="C12" s="8">
        <f>'ELEC '!I318</f>
        <v>0</v>
      </c>
      <c r="D12" s="8">
        <f>'ELEC '!J318</f>
        <v>0</v>
      </c>
      <c r="E12" s="8">
        <f t="shared" si="0"/>
        <v>0</v>
      </c>
    </row>
    <row r="13" spans="1:5" s="4" customFormat="1">
      <c r="A13" s="7"/>
      <c r="B13" s="8"/>
      <c r="C13" s="8"/>
      <c r="D13" s="8"/>
      <c r="E13" s="8">
        <f t="shared" si="0"/>
        <v>0</v>
      </c>
    </row>
    <row r="14" spans="1:5" s="4" customFormat="1">
      <c r="A14" s="7" t="s">
        <v>13</v>
      </c>
      <c r="B14" s="9" t="s">
        <v>23</v>
      </c>
      <c r="C14" s="8">
        <f>'ELEC '!I389</f>
        <v>0</v>
      </c>
      <c r="D14" s="8">
        <f>'ELEC '!J389</f>
        <v>0</v>
      </c>
      <c r="E14" s="8">
        <f t="shared" si="0"/>
        <v>0</v>
      </c>
    </row>
    <row r="15" spans="1:5" s="4" customFormat="1">
      <c r="A15" s="7"/>
      <c r="B15" s="8"/>
      <c r="C15" s="8"/>
      <c r="D15" s="8"/>
      <c r="E15" s="8">
        <f t="shared" si="0"/>
        <v>0</v>
      </c>
    </row>
    <row r="16" spans="1:5" s="4" customFormat="1">
      <c r="A16" s="7" t="s">
        <v>24</v>
      </c>
      <c r="B16" s="8" t="s">
        <v>25</v>
      </c>
      <c r="C16" s="8">
        <f>'ELEC '!I431</f>
        <v>0</v>
      </c>
      <c r="D16" s="8">
        <f>'ELEC '!J431</f>
        <v>0</v>
      </c>
      <c r="E16" s="8">
        <f t="shared" si="0"/>
        <v>0</v>
      </c>
    </row>
    <row r="17" spans="1:6" s="4" customFormat="1">
      <c r="A17" s="7"/>
      <c r="B17" s="8"/>
      <c r="C17" s="8"/>
      <c r="D17" s="8"/>
      <c r="E17" s="8">
        <f t="shared" si="0"/>
        <v>0</v>
      </c>
    </row>
    <row r="18" spans="1:6" s="4" customFormat="1">
      <c r="A18" s="7" t="s">
        <v>3</v>
      </c>
      <c r="B18" s="8" t="s">
        <v>26</v>
      </c>
      <c r="C18" s="8">
        <f>'ELEC '!I459</f>
        <v>0</v>
      </c>
      <c r="D18" s="8">
        <f>'ELEC '!J459</f>
        <v>0</v>
      </c>
      <c r="E18" s="8">
        <f t="shared" si="0"/>
        <v>0</v>
      </c>
    </row>
    <row r="19" spans="1:6" s="4" customFormat="1">
      <c r="A19" s="7"/>
      <c r="B19" s="8"/>
      <c r="C19" s="8"/>
      <c r="D19" s="8"/>
      <c r="E19" s="8"/>
    </row>
    <row r="20" spans="1:6" s="4" customFormat="1">
      <c r="A20" s="7"/>
      <c r="B20" s="9" t="s">
        <v>8</v>
      </c>
      <c r="C20" s="8">
        <f>SUM(C4:C19)</f>
        <v>0</v>
      </c>
      <c r="D20" s="8">
        <f>SUM(D4:D19)</f>
        <v>0</v>
      </c>
      <c r="E20" s="8">
        <f>SUM(E4:E19)</f>
        <v>0</v>
      </c>
    </row>
    <row r="21" spans="1:6">
      <c r="A21" s="7"/>
      <c r="B21" s="8"/>
      <c r="C21" s="8"/>
      <c r="D21" s="8"/>
      <c r="E21" s="8"/>
      <c r="F21" s="4"/>
    </row>
    <row r="22" spans="1:6" s="4" customFormat="1">
      <c r="A22" s="7" t="s">
        <v>357</v>
      </c>
      <c r="B22" s="8" t="s">
        <v>358</v>
      </c>
      <c r="C22" s="8"/>
      <c r="D22" s="8"/>
      <c r="E22" s="8">
        <f t="shared" ref="E22" si="1">C22+D22</f>
        <v>0</v>
      </c>
    </row>
    <row r="23" spans="1:6">
      <c r="A23" s="7"/>
      <c r="B23" s="8"/>
      <c r="C23" s="8"/>
      <c r="D23" s="8"/>
      <c r="E23" s="8"/>
      <c r="F23" s="4"/>
    </row>
  </sheetData>
  <customSheetViews>
    <customSheetView guid="{F4A7CA8E-98F3-454B-9E7A-4BC18859A193}" scale="80" showPageBreaks="1" printArea="1" view="pageBreakPreview" topLeftCell="E1">
      <selection activeCell="AF29" sqref="AF29"/>
      <pageMargins left="0.7" right="0.7" top="0.75" bottom="0.75" header="0.3" footer="0.3"/>
      <pageSetup paperSize="9" scale="24" orientation="portrait" horizontalDpi="1200" verticalDpi="1200" r:id="rId1"/>
    </customSheetView>
    <customSheetView guid="{80C18858-2264-40D8-89B1-43CC91AE6872}" scale="80" showPageBreaks="1" printArea="1" view="pageBreakPreview" topLeftCell="E1">
      <selection activeCell="AF29" sqref="AF29"/>
      <pageMargins left="0.7" right="0.7" top="0.75" bottom="0.75" header="0.3" footer="0.3"/>
      <pageSetup paperSize="9" scale="24" orientation="portrait" horizontalDpi="1200" verticalDpi="1200" r:id="rId2"/>
    </customSheetView>
    <customSheetView guid="{F44FFE0D-EF1F-43C0-ACC8-2B26582A55BA}" scale="80" showPageBreaks="1" printArea="1" view="pageBreakPreview">
      <selection activeCell="M49" sqref="M49"/>
      <pageMargins left="0.7" right="0.7" top="0.75" bottom="0.75" header="0.3" footer="0.3"/>
      <pageSetup paperSize="9" scale="24" orientation="portrait" horizontalDpi="1200" verticalDpi="1200" r:id="rId3"/>
    </customSheetView>
    <customSheetView guid="{4C187252-7A52-4DAC-BB2D-0644DF2E09B0}" scale="80" showPageBreaks="1" printArea="1" view="pageBreakPreview" topLeftCell="E1">
      <selection activeCell="AF29" sqref="AF29"/>
      <pageMargins left="0.7" right="0.7" top="0.75" bottom="0.75" header="0.3" footer="0.3"/>
      <pageSetup paperSize="9" scale="24" orientation="portrait" horizontalDpi="1200" verticalDpi="1200" r:id="rId4"/>
    </customSheetView>
    <customSheetView guid="{5ADA983C-1EDC-4645-AD8A-3535C65F44D6}" scale="80" showPageBreaks="1" printArea="1" view="pageBreakPreview">
      <selection activeCell="T11" sqref="T11"/>
      <pageMargins left="0.7" right="0.7" top="0.75" bottom="0.75" header="0.3" footer="0.3"/>
      <pageSetup paperSize="9" scale="24" orientation="portrait" horizontalDpi="1200" verticalDpi="1200" r:id="rId5"/>
    </customSheetView>
  </customSheetViews>
  <mergeCells count="1">
    <mergeCell ref="A1:E1"/>
  </mergeCells>
  <pageMargins left="0.7" right="0.7" top="0.75" bottom="0.75" header="0.3" footer="0.3"/>
  <pageSetup paperSize="9" scale="24" orientation="portrait" horizontalDpi="1200" verticalDpi="120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XCS460"/>
  <sheetViews>
    <sheetView view="pageBreakPreview" zoomScale="85" zoomScaleNormal="82" zoomScaleSheetLayoutView="85" workbookViewId="0">
      <pane ySplit="5" topLeftCell="A360" activePane="bottomLeft" state="frozen"/>
      <selection activeCell="O1" sqref="O1"/>
      <selection pane="bottomLeft" activeCell="E227" sqref="E227"/>
    </sheetView>
  </sheetViews>
  <sheetFormatPr defaultColWidth="8.90625" defaultRowHeight="15.5"/>
  <cols>
    <col min="1" max="1" width="8.54296875" style="202" bestFit="1" customWidth="1"/>
    <col min="2" max="2" width="82.453125" style="98" customWidth="1"/>
    <col min="3" max="3" width="6" style="74" bestFit="1" customWidth="1"/>
    <col min="4" max="4" width="12.453125" style="74" customWidth="1"/>
    <col min="5" max="5" width="7.90625" style="74" bestFit="1" customWidth="1"/>
    <col min="6" max="6" width="8.90625" style="203" bestFit="1" customWidth="1"/>
    <col min="7" max="7" width="10.90625" style="204" bestFit="1" customWidth="1"/>
    <col min="8" max="8" width="18.08984375" style="204" customWidth="1"/>
    <col min="9" max="9" width="12.90625" style="203" bestFit="1" customWidth="1"/>
    <col min="10" max="10" width="15.453125" style="203" customWidth="1"/>
    <col min="11" max="11" width="12.90625" style="203" bestFit="1" customWidth="1"/>
    <col min="12" max="12" width="3" style="98" customWidth="1"/>
    <col min="13" max="13" width="14.08984375" style="98" customWidth="1"/>
    <col min="14" max="200" width="8.90625" style="98"/>
    <col min="201" max="201" width="6.54296875" style="98" customWidth="1"/>
    <col min="202" max="202" width="81.90625" style="98" customWidth="1"/>
    <col min="203" max="203" width="6.90625" style="98" customWidth="1"/>
    <col min="204" max="204" width="9" style="98" customWidth="1"/>
    <col min="205" max="205" width="8.90625" style="98" customWidth="1"/>
    <col min="206" max="206" width="12.08984375" style="98" customWidth="1"/>
    <col min="207" max="207" width="8.54296875" style="98" customWidth="1"/>
    <col min="208" max="208" width="13.08984375" style="98" customWidth="1"/>
    <col min="209" max="209" width="11.90625" style="98" customWidth="1"/>
    <col min="210" max="210" width="13.08984375" style="98" customWidth="1"/>
    <col min="211" max="212" width="9.08984375" style="98" customWidth="1"/>
    <col min="213" max="213" width="9.90625" style="98" customWidth="1"/>
    <col min="214" max="456" width="8.90625" style="98"/>
    <col min="457" max="457" width="6.54296875" style="98" customWidth="1"/>
    <col min="458" max="458" width="81.90625" style="98" customWidth="1"/>
    <col min="459" max="459" width="6.90625" style="98" customWidth="1"/>
    <col min="460" max="460" width="9" style="98" customWidth="1"/>
    <col min="461" max="461" width="8.90625" style="98" customWidth="1"/>
    <col min="462" max="462" width="12.08984375" style="98" customWidth="1"/>
    <col min="463" max="463" width="8.54296875" style="98" customWidth="1"/>
    <col min="464" max="464" width="13.08984375" style="98" customWidth="1"/>
    <col min="465" max="465" width="11.90625" style="98" customWidth="1"/>
    <col min="466" max="466" width="13.08984375" style="98" customWidth="1"/>
    <col min="467" max="468" width="9.08984375" style="98" customWidth="1"/>
    <col min="469" max="469" width="9.90625" style="98" customWidth="1"/>
    <col min="470" max="712" width="8.90625" style="98"/>
    <col min="713" max="713" width="6.54296875" style="98" customWidth="1"/>
    <col min="714" max="714" width="81.90625" style="98" customWidth="1"/>
    <col min="715" max="715" width="6.90625" style="98" customWidth="1"/>
    <col min="716" max="716" width="9" style="98" customWidth="1"/>
    <col min="717" max="717" width="8.90625" style="98" customWidth="1"/>
    <col min="718" max="718" width="12.08984375" style="98" customWidth="1"/>
    <col min="719" max="719" width="8.54296875" style="98" customWidth="1"/>
    <col min="720" max="720" width="13.08984375" style="98" customWidth="1"/>
    <col min="721" max="721" width="11.90625" style="98" customWidth="1"/>
    <col min="722" max="722" width="13.08984375" style="98" customWidth="1"/>
    <col min="723" max="724" width="9.08984375" style="98" customWidth="1"/>
    <col min="725" max="725" width="9.90625" style="98" customWidth="1"/>
    <col min="726" max="968" width="8.90625" style="98"/>
    <col min="969" max="969" width="6.54296875" style="98" customWidth="1"/>
    <col min="970" max="970" width="81.90625" style="98" customWidth="1"/>
    <col min="971" max="971" width="6.90625" style="98" customWidth="1"/>
    <col min="972" max="972" width="9" style="98" customWidth="1"/>
    <col min="973" max="973" width="8.90625" style="98" customWidth="1"/>
    <col min="974" max="974" width="12.08984375" style="98" customWidth="1"/>
    <col min="975" max="975" width="8.54296875" style="98" customWidth="1"/>
    <col min="976" max="976" width="13.08984375" style="98" customWidth="1"/>
    <col min="977" max="977" width="11.90625" style="98" customWidth="1"/>
    <col min="978" max="978" width="13.08984375" style="98" customWidth="1"/>
    <col min="979" max="980" width="9.08984375" style="98" customWidth="1"/>
    <col min="981" max="981" width="9.90625" style="98" customWidth="1"/>
    <col min="982" max="1224" width="8.90625" style="98"/>
    <col min="1225" max="1225" width="6.54296875" style="98" customWidth="1"/>
    <col min="1226" max="1226" width="81.90625" style="98" customWidth="1"/>
    <col min="1227" max="1227" width="6.90625" style="98" customWidth="1"/>
    <col min="1228" max="1228" width="9" style="98" customWidth="1"/>
    <col min="1229" max="1229" width="8.90625" style="98" customWidth="1"/>
    <col min="1230" max="1230" width="12.08984375" style="98" customWidth="1"/>
    <col min="1231" max="1231" width="8.54296875" style="98" customWidth="1"/>
    <col min="1232" max="1232" width="13.08984375" style="98" customWidth="1"/>
    <col min="1233" max="1233" width="11.90625" style="98" customWidth="1"/>
    <col min="1234" max="1234" width="13.08984375" style="98" customWidth="1"/>
    <col min="1235" max="1236" width="9.08984375" style="98" customWidth="1"/>
    <col min="1237" max="1237" width="9.90625" style="98" customWidth="1"/>
    <col min="1238" max="1480" width="8.90625" style="98"/>
    <col min="1481" max="1481" width="6.54296875" style="98" customWidth="1"/>
    <col min="1482" max="1482" width="81.90625" style="98" customWidth="1"/>
    <col min="1483" max="1483" width="6.90625" style="98" customWidth="1"/>
    <col min="1484" max="1484" width="9" style="98" customWidth="1"/>
    <col min="1485" max="1485" width="8.90625" style="98" customWidth="1"/>
    <col min="1486" max="1486" width="12.08984375" style="98" customWidth="1"/>
    <col min="1487" max="1487" width="8.54296875" style="98" customWidth="1"/>
    <col min="1488" max="1488" width="13.08984375" style="98" customWidth="1"/>
    <col min="1489" max="1489" width="11.90625" style="98" customWidth="1"/>
    <col min="1490" max="1490" width="13.08984375" style="98" customWidth="1"/>
    <col min="1491" max="1492" width="9.08984375" style="98" customWidth="1"/>
    <col min="1493" max="1493" width="9.90625" style="98" customWidth="1"/>
    <col min="1494" max="1736" width="8.90625" style="98"/>
    <col min="1737" max="1737" width="6.54296875" style="98" customWidth="1"/>
    <col min="1738" max="1738" width="81.90625" style="98" customWidth="1"/>
    <col min="1739" max="1739" width="6.90625" style="98" customWidth="1"/>
    <col min="1740" max="1740" width="9" style="98" customWidth="1"/>
    <col min="1741" max="1741" width="8.90625" style="98" customWidth="1"/>
    <col min="1742" max="1742" width="12.08984375" style="98" customWidth="1"/>
    <col min="1743" max="1743" width="8.54296875" style="98" customWidth="1"/>
    <col min="1744" max="1744" width="13.08984375" style="98" customWidth="1"/>
    <col min="1745" max="1745" width="11.90625" style="98" customWidth="1"/>
    <col min="1746" max="1746" width="13.08984375" style="98" customWidth="1"/>
    <col min="1747" max="1748" width="9.08984375" style="98" customWidth="1"/>
    <col min="1749" max="1749" width="9.90625" style="98" customWidth="1"/>
    <col min="1750" max="1992" width="8.90625" style="98"/>
    <col min="1993" max="1993" width="6.54296875" style="98" customWidth="1"/>
    <col min="1994" max="1994" width="81.90625" style="98" customWidth="1"/>
    <col min="1995" max="1995" width="6.90625" style="98" customWidth="1"/>
    <col min="1996" max="1996" width="9" style="98" customWidth="1"/>
    <col min="1997" max="1997" width="8.90625" style="98" customWidth="1"/>
    <col min="1998" max="1998" width="12.08984375" style="98" customWidth="1"/>
    <col min="1999" max="1999" width="8.54296875" style="98" customWidth="1"/>
    <col min="2000" max="2000" width="13.08984375" style="98" customWidth="1"/>
    <col min="2001" max="2001" width="11.90625" style="98" customWidth="1"/>
    <col min="2002" max="2002" width="13.08984375" style="98" customWidth="1"/>
    <col min="2003" max="2004" width="9.08984375" style="98" customWidth="1"/>
    <col min="2005" max="2005" width="9.90625" style="98" customWidth="1"/>
    <col min="2006" max="2248" width="8.90625" style="98"/>
    <col min="2249" max="2249" width="6.54296875" style="98" customWidth="1"/>
    <col min="2250" max="2250" width="81.90625" style="98" customWidth="1"/>
    <col min="2251" max="2251" width="6.90625" style="98" customWidth="1"/>
    <col min="2252" max="2252" width="9" style="98" customWidth="1"/>
    <col min="2253" max="2253" width="8.90625" style="98" customWidth="1"/>
    <col min="2254" max="2254" width="12.08984375" style="98" customWidth="1"/>
    <col min="2255" max="2255" width="8.54296875" style="98" customWidth="1"/>
    <col min="2256" max="2256" width="13.08984375" style="98" customWidth="1"/>
    <col min="2257" max="2257" width="11.90625" style="98" customWidth="1"/>
    <col min="2258" max="2258" width="13.08984375" style="98" customWidth="1"/>
    <col min="2259" max="2260" width="9.08984375" style="98" customWidth="1"/>
    <col min="2261" max="2261" width="9.90625" style="98" customWidth="1"/>
    <col min="2262" max="2504" width="8.90625" style="98"/>
    <col min="2505" max="2505" width="6.54296875" style="98" customWidth="1"/>
    <col min="2506" max="2506" width="81.90625" style="98" customWidth="1"/>
    <col min="2507" max="2507" width="6.90625" style="98" customWidth="1"/>
    <col min="2508" max="2508" width="9" style="98" customWidth="1"/>
    <col min="2509" max="2509" width="8.90625" style="98" customWidth="1"/>
    <col min="2510" max="2510" width="12.08984375" style="98" customWidth="1"/>
    <col min="2511" max="2511" width="8.54296875" style="98" customWidth="1"/>
    <col min="2512" max="2512" width="13.08984375" style="98" customWidth="1"/>
    <col min="2513" max="2513" width="11.90625" style="98" customWidth="1"/>
    <col min="2514" max="2514" width="13.08984375" style="98" customWidth="1"/>
    <col min="2515" max="2516" width="9.08984375" style="98" customWidth="1"/>
    <col min="2517" max="2517" width="9.90625" style="98" customWidth="1"/>
    <col min="2518" max="2760" width="8.90625" style="98"/>
    <col min="2761" max="2761" width="6.54296875" style="98" customWidth="1"/>
    <col min="2762" max="2762" width="81.90625" style="98" customWidth="1"/>
    <col min="2763" max="2763" width="6.90625" style="98" customWidth="1"/>
    <col min="2764" max="2764" width="9" style="98" customWidth="1"/>
    <col min="2765" max="2765" width="8.90625" style="98" customWidth="1"/>
    <col min="2766" max="2766" width="12.08984375" style="98" customWidth="1"/>
    <col min="2767" max="2767" width="8.54296875" style="98" customWidth="1"/>
    <col min="2768" max="2768" width="13.08984375" style="98" customWidth="1"/>
    <col min="2769" max="2769" width="11.90625" style="98" customWidth="1"/>
    <col min="2770" max="2770" width="13.08984375" style="98" customWidth="1"/>
    <col min="2771" max="2772" width="9.08984375" style="98" customWidth="1"/>
    <col min="2773" max="2773" width="9.90625" style="98" customWidth="1"/>
    <col min="2774" max="3016" width="8.90625" style="98"/>
    <col min="3017" max="3017" width="6.54296875" style="98" customWidth="1"/>
    <col min="3018" max="3018" width="81.90625" style="98" customWidth="1"/>
    <col min="3019" max="3019" width="6.90625" style="98" customWidth="1"/>
    <col min="3020" max="3020" width="9" style="98" customWidth="1"/>
    <col min="3021" max="3021" width="8.90625" style="98" customWidth="1"/>
    <col min="3022" max="3022" width="12.08984375" style="98" customWidth="1"/>
    <col min="3023" max="3023" width="8.54296875" style="98" customWidth="1"/>
    <col min="3024" max="3024" width="13.08984375" style="98" customWidth="1"/>
    <col min="3025" max="3025" width="11.90625" style="98" customWidth="1"/>
    <col min="3026" max="3026" width="13.08984375" style="98" customWidth="1"/>
    <col min="3027" max="3028" width="9.08984375" style="98" customWidth="1"/>
    <col min="3029" max="3029" width="9.90625" style="98" customWidth="1"/>
    <col min="3030" max="3272" width="8.90625" style="98"/>
    <col min="3273" max="3273" width="6.54296875" style="98" customWidth="1"/>
    <col min="3274" max="3274" width="81.90625" style="98" customWidth="1"/>
    <col min="3275" max="3275" width="6.90625" style="98" customWidth="1"/>
    <col min="3276" max="3276" width="9" style="98" customWidth="1"/>
    <col min="3277" max="3277" width="8.90625" style="98" customWidth="1"/>
    <col min="3278" max="3278" width="12.08984375" style="98" customWidth="1"/>
    <col min="3279" max="3279" width="8.54296875" style="98" customWidth="1"/>
    <col min="3280" max="3280" width="13.08984375" style="98" customWidth="1"/>
    <col min="3281" max="3281" width="11.90625" style="98" customWidth="1"/>
    <col min="3282" max="3282" width="13.08984375" style="98" customWidth="1"/>
    <col min="3283" max="3284" width="9.08984375" style="98" customWidth="1"/>
    <col min="3285" max="3285" width="9.90625" style="98" customWidth="1"/>
    <col min="3286" max="3528" width="8.90625" style="98"/>
    <col min="3529" max="3529" width="6.54296875" style="98" customWidth="1"/>
    <col min="3530" max="3530" width="81.90625" style="98" customWidth="1"/>
    <col min="3531" max="3531" width="6.90625" style="98" customWidth="1"/>
    <col min="3532" max="3532" width="9" style="98" customWidth="1"/>
    <col min="3533" max="3533" width="8.90625" style="98" customWidth="1"/>
    <col min="3534" max="3534" width="12.08984375" style="98" customWidth="1"/>
    <col min="3535" max="3535" width="8.54296875" style="98" customWidth="1"/>
    <col min="3536" max="3536" width="13.08984375" style="98" customWidth="1"/>
    <col min="3537" max="3537" width="11.90625" style="98" customWidth="1"/>
    <col min="3538" max="3538" width="13.08984375" style="98" customWidth="1"/>
    <col min="3539" max="3540" width="9.08984375" style="98" customWidth="1"/>
    <col min="3541" max="3541" width="9.90625" style="98" customWidth="1"/>
    <col min="3542" max="3784" width="8.90625" style="98"/>
    <col min="3785" max="3785" width="6.54296875" style="98" customWidth="1"/>
    <col min="3786" max="3786" width="81.90625" style="98" customWidth="1"/>
    <col min="3787" max="3787" width="6.90625" style="98" customWidth="1"/>
    <col min="3788" max="3788" width="9" style="98" customWidth="1"/>
    <col min="3789" max="3789" width="8.90625" style="98" customWidth="1"/>
    <col min="3790" max="3790" width="12.08984375" style="98" customWidth="1"/>
    <col min="3791" max="3791" width="8.54296875" style="98" customWidth="1"/>
    <col min="3792" max="3792" width="13.08984375" style="98" customWidth="1"/>
    <col min="3793" max="3793" width="11.90625" style="98" customWidth="1"/>
    <col min="3794" max="3794" width="13.08984375" style="98" customWidth="1"/>
    <col min="3795" max="3796" width="9.08984375" style="98" customWidth="1"/>
    <col min="3797" max="3797" width="9.90625" style="98" customWidth="1"/>
    <col min="3798" max="4040" width="8.90625" style="98"/>
    <col min="4041" max="4041" width="6.54296875" style="98" customWidth="1"/>
    <col min="4042" max="4042" width="81.90625" style="98" customWidth="1"/>
    <col min="4043" max="4043" width="6.90625" style="98" customWidth="1"/>
    <col min="4044" max="4044" width="9" style="98" customWidth="1"/>
    <col min="4045" max="4045" width="8.90625" style="98" customWidth="1"/>
    <col min="4046" max="4046" width="12.08984375" style="98" customWidth="1"/>
    <col min="4047" max="4047" width="8.54296875" style="98" customWidth="1"/>
    <col min="4048" max="4048" width="13.08984375" style="98" customWidth="1"/>
    <col min="4049" max="4049" width="11.90625" style="98" customWidth="1"/>
    <col min="4050" max="4050" width="13.08984375" style="98" customWidth="1"/>
    <col min="4051" max="4052" width="9.08984375" style="98" customWidth="1"/>
    <col min="4053" max="4053" width="9.90625" style="98" customWidth="1"/>
    <col min="4054" max="4296" width="8.90625" style="98"/>
    <col min="4297" max="4297" width="6.54296875" style="98" customWidth="1"/>
    <col min="4298" max="4298" width="81.90625" style="98" customWidth="1"/>
    <col min="4299" max="4299" width="6.90625" style="98" customWidth="1"/>
    <col min="4300" max="4300" width="9" style="98" customWidth="1"/>
    <col min="4301" max="4301" width="8.90625" style="98" customWidth="1"/>
    <col min="4302" max="4302" width="12.08984375" style="98" customWidth="1"/>
    <col min="4303" max="4303" width="8.54296875" style="98" customWidth="1"/>
    <col min="4304" max="4304" width="13.08984375" style="98" customWidth="1"/>
    <col min="4305" max="4305" width="11.90625" style="98" customWidth="1"/>
    <col min="4306" max="4306" width="13.08984375" style="98" customWidth="1"/>
    <col min="4307" max="4308" width="9.08984375" style="98" customWidth="1"/>
    <col min="4309" max="4309" width="9.90625" style="98" customWidth="1"/>
    <col min="4310" max="4552" width="8.90625" style="98"/>
    <col min="4553" max="4553" width="6.54296875" style="98" customWidth="1"/>
    <col min="4554" max="4554" width="81.90625" style="98" customWidth="1"/>
    <col min="4555" max="4555" width="6.90625" style="98" customWidth="1"/>
    <col min="4556" max="4556" width="9" style="98" customWidth="1"/>
    <col min="4557" max="4557" width="8.90625" style="98" customWidth="1"/>
    <col min="4558" max="4558" width="12.08984375" style="98" customWidth="1"/>
    <col min="4559" max="4559" width="8.54296875" style="98" customWidth="1"/>
    <col min="4560" max="4560" width="13.08984375" style="98" customWidth="1"/>
    <col min="4561" max="4561" width="11.90625" style="98" customWidth="1"/>
    <col min="4562" max="4562" width="13.08984375" style="98" customWidth="1"/>
    <col min="4563" max="4564" width="9.08984375" style="98" customWidth="1"/>
    <col min="4565" max="4565" width="9.90625" style="98" customWidth="1"/>
    <col min="4566" max="4808" width="8.90625" style="98"/>
    <col min="4809" max="4809" width="6.54296875" style="98" customWidth="1"/>
    <col min="4810" max="4810" width="81.90625" style="98" customWidth="1"/>
    <col min="4811" max="4811" width="6.90625" style="98" customWidth="1"/>
    <col min="4812" max="4812" width="9" style="98" customWidth="1"/>
    <col min="4813" max="4813" width="8.90625" style="98" customWidth="1"/>
    <col min="4814" max="4814" width="12.08984375" style="98" customWidth="1"/>
    <col min="4815" max="4815" width="8.54296875" style="98" customWidth="1"/>
    <col min="4816" max="4816" width="13.08984375" style="98" customWidth="1"/>
    <col min="4817" max="4817" width="11.90625" style="98" customWidth="1"/>
    <col min="4818" max="4818" width="13.08984375" style="98" customWidth="1"/>
    <col min="4819" max="4820" width="9.08984375" style="98" customWidth="1"/>
    <col min="4821" max="4821" width="9.90625" style="98" customWidth="1"/>
    <col min="4822" max="5064" width="8.90625" style="98"/>
    <col min="5065" max="5065" width="6.54296875" style="98" customWidth="1"/>
    <col min="5066" max="5066" width="81.90625" style="98" customWidth="1"/>
    <col min="5067" max="5067" width="6.90625" style="98" customWidth="1"/>
    <col min="5068" max="5068" width="9" style="98" customWidth="1"/>
    <col min="5069" max="5069" width="8.90625" style="98" customWidth="1"/>
    <col min="5070" max="5070" width="12.08984375" style="98" customWidth="1"/>
    <col min="5071" max="5071" width="8.54296875" style="98" customWidth="1"/>
    <col min="5072" max="5072" width="13.08984375" style="98" customWidth="1"/>
    <col min="5073" max="5073" width="11.90625" style="98" customWidth="1"/>
    <col min="5074" max="5074" width="13.08984375" style="98" customWidth="1"/>
    <col min="5075" max="5076" width="9.08984375" style="98" customWidth="1"/>
    <col min="5077" max="5077" width="9.90625" style="98" customWidth="1"/>
    <col min="5078" max="5320" width="8.90625" style="98"/>
    <col min="5321" max="5321" width="6.54296875" style="98" customWidth="1"/>
    <col min="5322" max="5322" width="81.90625" style="98" customWidth="1"/>
    <col min="5323" max="5323" width="6.90625" style="98" customWidth="1"/>
    <col min="5324" max="5324" width="9" style="98" customWidth="1"/>
    <col min="5325" max="5325" width="8.90625" style="98" customWidth="1"/>
    <col min="5326" max="5326" width="12.08984375" style="98" customWidth="1"/>
    <col min="5327" max="5327" width="8.54296875" style="98" customWidth="1"/>
    <col min="5328" max="5328" width="13.08984375" style="98" customWidth="1"/>
    <col min="5329" max="5329" width="11.90625" style="98" customWidth="1"/>
    <col min="5330" max="5330" width="13.08984375" style="98" customWidth="1"/>
    <col min="5331" max="5332" width="9.08984375" style="98" customWidth="1"/>
    <col min="5333" max="5333" width="9.90625" style="98" customWidth="1"/>
    <col min="5334" max="5576" width="8.90625" style="98"/>
    <col min="5577" max="5577" width="6.54296875" style="98" customWidth="1"/>
    <col min="5578" max="5578" width="81.90625" style="98" customWidth="1"/>
    <col min="5579" max="5579" width="6.90625" style="98" customWidth="1"/>
    <col min="5580" max="5580" width="9" style="98" customWidth="1"/>
    <col min="5581" max="5581" width="8.90625" style="98" customWidth="1"/>
    <col min="5582" max="5582" width="12.08984375" style="98" customWidth="1"/>
    <col min="5583" max="5583" width="8.54296875" style="98" customWidth="1"/>
    <col min="5584" max="5584" width="13.08984375" style="98" customWidth="1"/>
    <col min="5585" max="5585" width="11.90625" style="98" customWidth="1"/>
    <col min="5586" max="5586" width="13.08984375" style="98" customWidth="1"/>
    <col min="5587" max="5588" width="9.08984375" style="98" customWidth="1"/>
    <col min="5589" max="5589" width="9.90625" style="98" customWidth="1"/>
    <col min="5590" max="5832" width="8.90625" style="98"/>
    <col min="5833" max="5833" width="6.54296875" style="98" customWidth="1"/>
    <col min="5834" max="5834" width="81.90625" style="98" customWidth="1"/>
    <col min="5835" max="5835" width="6.90625" style="98" customWidth="1"/>
    <col min="5836" max="5836" width="9" style="98" customWidth="1"/>
    <col min="5837" max="5837" width="8.90625" style="98" customWidth="1"/>
    <col min="5838" max="5838" width="12.08984375" style="98" customWidth="1"/>
    <col min="5839" max="5839" width="8.54296875" style="98" customWidth="1"/>
    <col min="5840" max="5840" width="13.08984375" style="98" customWidth="1"/>
    <col min="5841" max="5841" width="11.90625" style="98" customWidth="1"/>
    <col min="5842" max="5842" width="13.08984375" style="98" customWidth="1"/>
    <col min="5843" max="5844" width="9.08984375" style="98" customWidth="1"/>
    <col min="5845" max="5845" width="9.90625" style="98" customWidth="1"/>
    <col min="5846" max="6088" width="8.90625" style="98"/>
    <col min="6089" max="6089" width="6.54296875" style="98" customWidth="1"/>
    <col min="6090" max="6090" width="81.90625" style="98" customWidth="1"/>
    <col min="6091" max="6091" width="6.90625" style="98" customWidth="1"/>
    <col min="6092" max="6092" width="9" style="98" customWidth="1"/>
    <col min="6093" max="6093" width="8.90625" style="98" customWidth="1"/>
    <col min="6094" max="6094" width="12.08984375" style="98" customWidth="1"/>
    <col min="6095" max="6095" width="8.54296875" style="98" customWidth="1"/>
    <col min="6096" max="6096" width="13.08984375" style="98" customWidth="1"/>
    <col min="6097" max="6097" width="11.90625" style="98" customWidth="1"/>
    <col min="6098" max="6098" width="13.08984375" style="98" customWidth="1"/>
    <col min="6099" max="6100" width="9.08984375" style="98" customWidth="1"/>
    <col min="6101" max="6101" width="9.90625" style="98" customWidth="1"/>
    <col min="6102" max="6344" width="8.90625" style="98"/>
    <col min="6345" max="6345" width="6.54296875" style="98" customWidth="1"/>
    <col min="6346" max="6346" width="81.90625" style="98" customWidth="1"/>
    <col min="6347" max="6347" width="6.90625" style="98" customWidth="1"/>
    <col min="6348" max="6348" width="9" style="98" customWidth="1"/>
    <col min="6349" max="6349" width="8.90625" style="98" customWidth="1"/>
    <col min="6350" max="6350" width="12.08984375" style="98" customWidth="1"/>
    <col min="6351" max="6351" width="8.54296875" style="98" customWidth="1"/>
    <col min="6352" max="6352" width="13.08984375" style="98" customWidth="1"/>
    <col min="6353" max="6353" width="11.90625" style="98" customWidth="1"/>
    <col min="6354" max="6354" width="13.08984375" style="98" customWidth="1"/>
    <col min="6355" max="6356" width="9.08984375" style="98" customWidth="1"/>
    <col min="6357" max="6357" width="9.90625" style="98" customWidth="1"/>
    <col min="6358" max="6600" width="8.90625" style="98"/>
    <col min="6601" max="6601" width="6.54296875" style="98" customWidth="1"/>
    <col min="6602" max="6602" width="81.90625" style="98" customWidth="1"/>
    <col min="6603" max="6603" width="6.90625" style="98" customWidth="1"/>
    <col min="6604" max="6604" width="9" style="98" customWidth="1"/>
    <col min="6605" max="6605" width="8.90625" style="98" customWidth="1"/>
    <col min="6606" max="6606" width="12.08984375" style="98" customWidth="1"/>
    <col min="6607" max="6607" width="8.54296875" style="98" customWidth="1"/>
    <col min="6608" max="6608" width="13.08984375" style="98" customWidth="1"/>
    <col min="6609" max="6609" width="11.90625" style="98" customWidth="1"/>
    <col min="6610" max="6610" width="13.08984375" style="98" customWidth="1"/>
    <col min="6611" max="6612" width="9.08984375" style="98" customWidth="1"/>
    <col min="6613" max="6613" width="9.90625" style="98" customWidth="1"/>
    <col min="6614" max="6856" width="8.90625" style="98"/>
    <col min="6857" max="6857" width="6.54296875" style="98" customWidth="1"/>
    <col min="6858" max="6858" width="81.90625" style="98" customWidth="1"/>
    <col min="6859" max="6859" width="6.90625" style="98" customWidth="1"/>
    <col min="6860" max="6860" width="9" style="98" customWidth="1"/>
    <col min="6861" max="6861" width="8.90625" style="98" customWidth="1"/>
    <col min="6862" max="6862" width="12.08984375" style="98" customWidth="1"/>
    <col min="6863" max="6863" width="8.54296875" style="98" customWidth="1"/>
    <col min="6864" max="6864" width="13.08984375" style="98" customWidth="1"/>
    <col min="6865" max="6865" width="11.90625" style="98" customWidth="1"/>
    <col min="6866" max="6866" width="13.08984375" style="98" customWidth="1"/>
    <col min="6867" max="6868" width="9.08984375" style="98" customWidth="1"/>
    <col min="6869" max="6869" width="9.90625" style="98" customWidth="1"/>
    <col min="6870" max="7112" width="8.90625" style="98"/>
    <col min="7113" max="7113" width="6.54296875" style="98" customWidth="1"/>
    <col min="7114" max="7114" width="81.90625" style="98" customWidth="1"/>
    <col min="7115" max="7115" width="6.90625" style="98" customWidth="1"/>
    <col min="7116" max="7116" width="9" style="98" customWidth="1"/>
    <col min="7117" max="7117" width="8.90625" style="98" customWidth="1"/>
    <col min="7118" max="7118" width="12.08984375" style="98" customWidth="1"/>
    <col min="7119" max="7119" width="8.54296875" style="98" customWidth="1"/>
    <col min="7120" max="7120" width="13.08984375" style="98" customWidth="1"/>
    <col min="7121" max="7121" width="11.90625" style="98" customWidth="1"/>
    <col min="7122" max="7122" width="13.08984375" style="98" customWidth="1"/>
    <col min="7123" max="7124" width="9.08984375" style="98" customWidth="1"/>
    <col min="7125" max="7125" width="9.90625" style="98" customWidth="1"/>
    <col min="7126" max="7368" width="8.90625" style="98"/>
    <col min="7369" max="7369" width="6.54296875" style="98" customWidth="1"/>
    <col min="7370" max="7370" width="81.90625" style="98" customWidth="1"/>
    <col min="7371" max="7371" width="6.90625" style="98" customWidth="1"/>
    <col min="7372" max="7372" width="9" style="98" customWidth="1"/>
    <col min="7373" max="7373" width="8.90625" style="98" customWidth="1"/>
    <col min="7374" max="7374" width="12.08984375" style="98" customWidth="1"/>
    <col min="7375" max="7375" width="8.54296875" style="98" customWidth="1"/>
    <col min="7376" max="7376" width="13.08984375" style="98" customWidth="1"/>
    <col min="7377" max="7377" width="11.90625" style="98" customWidth="1"/>
    <col min="7378" max="7378" width="13.08984375" style="98" customWidth="1"/>
    <col min="7379" max="7380" width="9.08984375" style="98" customWidth="1"/>
    <col min="7381" max="7381" width="9.90625" style="98" customWidth="1"/>
    <col min="7382" max="7624" width="8.90625" style="98"/>
    <col min="7625" max="7625" width="6.54296875" style="98" customWidth="1"/>
    <col min="7626" max="7626" width="81.90625" style="98" customWidth="1"/>
    <col min="7627" max="7627" width="6.90625" style="98" customWidth="1"/>
    <col min="7628" max="7628" width="9" style="98" customWidth="1"/>
    <col min="7629" max="7629" width="8.90625" style="98" customWidth="1"/>
    <col min="7630" max="7630" width="12.08984375" style="98" customWidth="1"/>
    <col min="7631" max="7631" width="8.54296875" style="98" customWidth="1"/>
    <col min="7632" max="7632" width="13.08984375" style="98" customWidth="1"/>
    <col min="7633" max="7633" width="11.90625" style="98" customWidth="1"/>
    <col min="7634" max="7634" width="13.08984375" style="98" customWidth="1"/>
    <col min="7635" max="7636" width="9.08984375" style="98" customWidth="1"/>
    <col min="7637" max="7637" width="9.90625" style="98" customWidth="1"/>
    <col min="7638" max="7880" width="8.90625" style="98"/>
    <col min="7881" max="7881" width="6.54296875" style="98" customWidth="1"/>
    <col min="7882" max="7882" width="81.90625" style="98" customWidth="1"/>
    <col min="7883" max="7883" width="6.90625" style="98" customWidth="1"/>
    <col min="7884" max="7884" width="9" style="98" customWidth="1"/>
    <col min="7885" max="7885" width="8.90625" style="98" customWidth="1"/>
    <col min="7886" max="7886" width="12.08984375" style="98" customWidth="1"/>
    <col min="7887" max="7887" width="8.54296875" style="98" customWidth="1"/>
    <col min="7888" max="7888" width="13.08984375" style="98" customWidth="1"/>
    <col min="7889" max="7889" width="11.90625" style="98" customWidth="1"/>
    <col min="7890" max="7890" width="13.08984375" style="98" customWidth="1"/>
    <col min="7891" max="7892" width="9.08984375" style="98" customWidth="1"/>
    <col min="7893" max="7893" width="9.90625" style="98" customWidth="1"/>
    <col min="7894" max="8136" width="8.90625" style="98"/>
    <col min="8137" max="8137" width="6.54296875" style="98" customWidth="1"/>
    <col min="8138" max="8138" width="81.90625" style="98" customWidth="1"/>
    <col min="8139" max="8139" width="6.90625" style="98" customWidth="1"/>
    <col min="8140" max="8140" width="9" style="98" customWidth="1"/>
    <col min="8141" max="8141" width="8.90625" style="98" customWidth="1"/>
    <col min="8142" max="8142" width="12.08984375" style="98" customWidth="1"/>
    <col min="8143" max="8143" width="8.54296875" style="98" customWidth="1"/>
    <col min="8144" max="8144" width="13.08984375" style="98" customWidth="1"/>
    <col min="8145" max="8145" width="11.90625" style="98" customWidth="1"/>
    <col min="8146" max="8146" width="13.08984375" style="98" customWidth="1"/>
    <col min="8147" max="8148" width="9.08984375" style="98" customWidth="1"/>
    <col min="8149" max="8149" width="9.90625" style="98" customWidth="1"/>
    <col min="8150" max="8392" width="8.90625" style="98"/>
    <col min="8393" max="8393" width="6.54296875" style="98" customWidth="1"/>
    <col min="8394" max="8394" width="81.90625" style="98" customWidth="1"/>
    <col min="8395" max="8395" width="6.90625" style="98" customWidth="1"/>
    <col min="8396" max="8396" width="9" style="98" customWidth="1"/>
    <col min="8397" max="8397" width="8.90625" style="98" customWidth="1"/>
    <col min="8398" max="8398" width="12.08984375" style="98" customWidth="1"/>
    <col min="8399" max="8399" width="8.54296875" style="98" customWidth="1"/>
    <col min="8400" max="8400" width="13.08984375" style="98" customWidth="1"/>
    <col min="8401" max="8401" width="11.90625" style="98" customWidth="1"/>
    <col min="8402" max="8402" width="13.08984375" style="98" customWidth="1"/>
    <col min="8403" max="8404" width="9.08984375" style="98" customWidth="1"/>
    <col min="8405" max="8405" width="9.90625" style="98" customWidth="1"/>
    <col min="8406" max="8648" width="8.90625" style="98"/>
    <col min="8649" max="8649" width="6.54296875" style="98" customWidth="1"/>
    <col min="8650" max="8650" width="81.90625" style="98" customWidth="1"/>
    <col min="8651" max="8651" width="6.90625" style="98" customWidth="1"/>
    <col min="8652" max="8652" width="9" style="98" customWidth="1"/>
    <col min="8653" max="8653" width="8.90625" style="98" customWidth="1"/>
    <col min="8654" max="8654" width="12.08984375" style="98" customWidth="1"/>
    <col min="8655" max="8655" width="8.54296875" style="98" customWidth="1"/>
    <col min="8656" max="8656" width="13.08984375" style="98" customWidth="1"/>
    <col min="8657" max="8657" width="11.90625" style="98" customWidth="1"/>
    <col min="8658" max="8658" width="13.08984375" style="98" customWidth="1"/>
    <col min="8659" max="8660" width="9.08984375" style="98" customWidth="1"/>
    <col min="8661" max="8661" width="9.90625" style="98" customWidth="1"/>
    <col min="8662" max="8904" width="8.90625" style="98"/>
    <col min="8905" max="8905" width="6.54296875" style="98" customWidth="1"/>
    <col min="8906" max="8906" width="81.90625" style="98" customWidth="1"/>
    <col min="8907" max="8907" width="6.90625" style="98" customWidth="1"/>
    <col min="8908" max="8908" width="9" style="98" customWidth="1"/>
    <col min="8909" max="8909" width="8.90625" style="98" customWidth="1"/>
    <col min="8910" max="8910" width="12.08984375" style="98" customWidth="1"/>
    <col min="8911" max="8911" width="8.54296875" style="98" customWidth="1"/>
    <col min="8912" max="8912" width="13.08984375" style="98" customWidth="1"/>
    <col min="8913" max="8913" width="11.90625" style="98" customWidth="1"/>
    <col min="8914" max="8914" width="13.08984375" style="98" customWidth="1"/>
    <col min="8915" max="8916" width="9.08984375" style="98" customWidth="1"/>
    <col min="8917" max="8917" width="9.90625" style="98" customWidth="1"/>
    <col min="8918" max="9160" width="8.90625" style="98"/>
    <col min="9161" max="9161" width="6.54296875" style="98" customWidth="1"/>
    <col min="9162" max="9162" width="81.90625" style="98" customWidth="1"/>
    <col min="9163" max="9163" width="6.90625" style="98" customWidth="1"/>
    <col min="9164" max="9164" width="9" style="98" customWidth="1"/>
    <col min="9165" max="9165" width="8.90625" style="98" customWidth="1"/>
    <col min="9166" max="9166" width="12.08984375" style="98" customWidth="1"/>
    <col min="9167" max="9167" width="8.54296875" style="98" customWidth="1"/>
    <col min="9168" max="9168" width="13.08984375" style="98" customWidth="1"/>
    <col min="9169" max="9169" width="11.90625" style="98" customWidth="1"/>
    <col min="9170" max="9170" width="13.08984375" style="98" customWidth="1"/>
    <col min="9171" max="9172" width="9.08984375" style="98" customWidth="1"/>
    <col min="9173" max="9173" width="9.90625" style="98" customWidth="1"/>
    <col min="9174" max="9416" width="8.90625" style="98"/>
    <col min="9417" max="9417" width="6.54296875" style="98" customWidth="1"/>
    <col min="9418" max="9418" width="81.90625" style="98" customWidth="1"/>
    <col min="9419" max="9419" width="6.90625" style="98" customWidth="1"/>
    <col min="9420" max="9420" width="9" style="98" customWidth="1"/>
    <col min="9421" max="9421" width="8.90625" style="98" customWidth="1"/>
    <col min="9422" max="9422" width="12.08984375" style="98" customWidth="1"/>
    <col min="9423" max="9423" width="8.54296875" style="98" customWidth="1"/>
    <col min="9424" max="9424" width="13.08984375" style="98" customWidth="1"/>
    <col min="9425" max="9425" width="11.90625" style="98" customWidth="1"/>
    <col min="9426" max="9426" width="13.08984375" style="98" customWidth="1"/>
    <col min="9427" max="9428" width="9.08984375" style="98" customWidth="1"/>
    <col min="9429" max="9429" width="9.90625" style="98" customWidth="1"/>
    <col min="9430" max="9672" width="8.90625" style="98"/>
    <col min="9673" max="9673" width="6.54296875" style="98" customWidth="1"/>
    <col min="9674" max="9674" width="81.90625" style="98" customWidth="1"/>
    <col min="9675" max="9675" width="6.90625" style="98" customWidth="1"/>
    <col min="9676" max="9676" width="9" style="98" customWidth="1"/>
    <col min="9677" max="9677" width="8.90625" style="98" customWidth="1"/>
    <col min="9678" max="9678" width="12.08984375" style="98" customWidth="1"/>
    <col min="9679" max="9679" width="8.54296875" style="98" customWidth="1"/>
    <col min="9680" max="9680" width="13.08984375" style="98" customWidth="1"/>
    <col min="9681" max="9681" width="11.90625" style="98" customWidth="1"/>
    <col min="9682" max="9682" width="13.08984375" style="98" customWidth="1"/>
    <col min="9683" max="9684" width="9.08984375" style="98" customWidth="1"/>
    <col min="9685" max="9685" width="9.90625" style="98" customWidth="1"/>
    <col min="9686" max="9928" width="8.90625" style="98"/>
    <col min="9929" max="9929" width="6.54296875" style="98" customWidth="1"/>
    <col min="9930" max="9930" width="81.90625" style="98" customWidth="1"/>
    <col min="9931" max="9931" width="6.90625" style="98" customWidth="1"/>
    <col min="9932" max="9932" width="9" style="98" customWidth="1"/>
    <col min="9933" max="9933" width="8.90625" style="98" customWidth="1"/>
    <col min="9934" max="9934" width="12.08984375" style="98" customWidth="1"/>
    <col min="9935" max="9935" width="8.54296875" style="98" customWidth="1"/>
    <col min="9936" max="9936" width="13.08984375" style="98" customWidth="1"/>
    <col min="9937" max="9937" width="11.90625" style="98" customWidth="1"/>
    <col min="9938" max="9938" width="13.08984375" style="98" customWidth="1"/>
    <col min="9939" max="9940" width="9.08984375" style="98" customWidth="1"/>
    <col min="9941" max="9941" width="9.90625" style="98" customWidth="1"/>
    <col min="9942" max="10184" width="8.90625" style="98"/>
    <col min="10185" max="10185" width="6.54296875" style="98" customWidth="1"/>
    <col min="10186" max="10186" width="81.90625" style="98" customWidth="1"/>
    <col min="10187" max="10187" width="6.90625" style="98" customWidth="1"/>
    <col min="10188" max="10188" width="9" style="98" customWidth="1"/>
    <col min="10189" max="10189" width="8.90625" style="98" customWidth="1"/>
    <col min="10190" max="10190" width="12.08984375" style="98" customWidth="1"/>
    <col min="10191" max="10191" width="8.54296875" style="98" customWidth="1"/>
    <col min="10192" max="10192" width="13.08984375" style="98" customWidth="1"/>
    <col min="10193" max="10193" width="11.90625" style="98" customWidth="1"/>
    <col min="10194" max="10194" width="13.08984375" style="98" customWidth="1"/>
    <col min="10195" max="10196" width="9.08984375" style="98" customWidth="1"/>
    <col min="10197" max="10197" width="9.90625" style="98" customWidth="1"/>
    <col min="10198" max="10440" width="8.90625" style="98"/>
    <col min="10441" max="10441" width="6.54296875" style="98" customWidth="1"/>
    <col min="10442" max="10442" width="81.90625" style="98" customWidth="1"/>
    <col min="10443" max="10443" width="6.90625" style="98" customWidth="1"/>
    <col min="10444" max="10444" width="9" style="98" customWidth="1"/>
    <col min="10445" max="10445" width="8.90625" style="98" customWidth="1"/>
    <col min="10446" max="10446" width="12.08984375" style="98" customWidth="1"/>
    <col min="10447" max="10447" width="8.54296875" style="98" customWidth="1"/>
    <col min="10448" max="10448" width="13.08984375" style="98" customWidth="1"/>
    <col min="10449" max="10449" width="11.90625" style="98" customWidth="1"/>
    <col min="10450" max="10450" width="13.08984375" style="98" customWidth="1"/>
    <col min="10451" max="10452" width="9.08984375" style="98" customWidth="1"/>
    <col min="10453" max="10453" width="9.90625" style="98" customWidth="1"/>
    <col min="10454" max="10696" width="8.90625" style="98"/>
    <col min="10697" max="10697" width="6.54296875" style="98" customWidth="1"/>
    <col min="10698" max="10698" width="81.90625" style="98" customWidth="1"/>
    <col min="10699" max="10699" width="6.90625" style="98" customWidth="1"/>
    <col min="10700" max="10700" width="9" style="98" customWidth="1"/>
    <col min="10701" max="10701" width="8.90625" style="98" customWidth="1"/>
    <col min="10702" max="10702" width="12.08984375" style="98" customWidth="1"/>
    <col min="10703" max="10703" width="8.54296875" style="98" customWidth="1"/>
    <col min="10704" max="10704" width="13.08984375" style="98" customWidth="1"/>
    <col min="10705" max="10705" width="11.90625" style="98" customWidth="1"/>
    <col min="10706" max="10706" width="13.08984375" style="98" customWidth="1"/>
    <col min="10707" max="10708" width="9.08984375" style="98" customWidth="1"/>
    <col min="10709" max="10709" width="9.90625" style="98" customWidth="1"/>
    <col min="10710" max="10952" width="8.90625" style="98"/>
    <col min="10953" max="10953" width="6.54296875" style="98" customWidth="1"/>
    <col min="10954" max="10954" width="81.90625" style="98" customWidth="1"/>
    <col min="10955" max="10955" width="6.90625" style="98" customWidth="1"/>
    <col min="10956" max="10956" width="9" style="98" customWidth="1"/>
    <col min="10957" max="10957" width="8.90625" style="98" customWidth="1"/>
    <col min="10958" max="10958" width="12.08984375" style="98" customWidth="1"/>
    <col min="10959" max="10959" width="8.54296875" style="98" customWidth="1"/>
    <col min="10960" max="10960" width="13.08984375" style="98" customWidth="1"/>
    <col min="10961" max="10961" width="11.90625" style="98" customWidth="1"/>
    <col min="10962" max="10962" width="13.08984375" style="98" customWidth="1"/>
    <col min="10963" max="10964" width="9.08984375" style="98" customWidth="1"/>
    <col min="10965" max="10965" width="9.90625" style="98" customWidth="1"/>
    <col min="10966" max="11208" width="8.90625" style="98"/>
    <col min="11209" max="11209" width="6.54296875" style="98" customWidth="1"/>
    <col min="11210" max="11210" width="81.90625" style="98" customWidth="1"/>
    <col min="11211" max="11211" width="6.90625" style="98" customWidth="1"/>
    <col min="11212" max="11212" width="9" style="98" customWidth="1"/>
    <col min="11213" max="11213" width="8.90625" style="98" customWidth="1"/>
    <col min="11214" max="11214" width="12.08984375" style="98" customWidth="1"/>
    <col min="11215" max="11215" width="8.54296875" style="98" customWidth="1"/>
    <col min="11216" max="11216" width="13.08984375" style="98" customWidth="1"/>
    <col min="11217" max="11217" width="11.90625" style="98" customWidth="1"/>
    <col min="11218" max="11218" width="13.08984375" style="98" customWidth="1"/>
    <col min="11219" max="11220" width="9.08984375" style="98" customWidth="1"/>
    <col min="11221" max="11221" width="9.90625" style="98" customWidth="1"/>
    <col min="11222" max="11464" width="8.90625" style="98"/>
    <col min="11465" max="11465" width="6.54296875" style="98" customWidth="1"/>
    <col min="11466" max="11466" width="81.90625" style="98" customWidth="1"/>
    <col min="11467" max="11467" width="6.90625" style="98" customWidth="1"/>
    <col min="11468" max="11468" width="9" style="98" customWidth="1"/>
    <col min="11469" max="11469" width="8.90625" style="98" customWidth="1"/>
    <col min="11470" max="11470" width="12.08984375" style="98" customWidth="1"/>
    <col min="11471" max="11471" width="8.54296875" style="98" customWidth="1"/>
    <col min="11472" max="11472" width="13.08984375" style="98" customWidth="1"/>
    <col min="11473" max="11473" width="11.90625" style="98" customWidth="1"/>
    <col min="11474" max="11474" width="13.08984375" style="98" customWidth="1"/>
    <col min="11475" max="11476" width="9.08984375" style="98" customWidth="1"/>
    <col min="11477" max="11477" width="9.90625" style="98" customWidth="1"/>
    <col min="11478" max="11720" width="8.90625" style="98"/>
    <col min="11721" max="11721" width="6.54296875" style="98" customWidth="1"/>
    <col min="11722" max="11722" width="81.90625" style="98" customWidth="1"/>
    <col min="11723" max="11723" width="6.90625" style="98" customWidth="1"/>
    <col min="11724" max="11724" width="9" style="98" customWidth="1"/>
    <col min="11725" max="11725" width="8.90625" style="98" customWidth="1"/>
    <col min="11726" max="11726" width="12.08984375" style="98" customWidth="1"/>
    <col min="11727" max="11727" width="8.54296875" style="98" customWidth="1"/>
    <col min="11728" max="11728" width="13.08984375" style="98" customWidth="1"/>
    <col min="11729" max="11729" width="11.90625" style="98" customWidth="1"/>
    <col min="11730" max="11730" width="13.08984375" style="98" customWidth="1"/>
    <col min="11731" max="11732" width="9.08984375" style="98" customWidth="1"/>
    <col min="11733" max="11733" width="9.90625" style="98" customWidth="1"/>
    <col min="11734" max="11976" width="8.90625" style="98"/>
    <col min="11977" max="11977" width="6.54296875" style="98" customWidth="1"/>
    <col min="11978" max="11978" width="81.90625" style="98" customWidth="1"/>
    <col min="11979" max="11979" width="6.90625" style="98" customWidth="1"/>
    <col min="11980" max="11980" width="9" style="98" customWidth="1"/>
    <col min="11981" max="11981" width="8.90625" style="98" customWidth="1"/>
    <col min="11982" max="11982" width="12.08984375" style="98" customWidth="1"/>
    <col min="11983" max="11983" width="8.54296875" style="98" customWidth="1"/>
    <col min="11984" max="11984" width="13.08984375" style="98" customWidth="1"/>
    <col min="11985" max="11985" width="11.90625" style="98" customWidth="1"/>
    <col min="11986" max="11986" width="13.08984375" style="98" customWidth="1"/>
    <col min="11987" max="11988" width="9.08984375" style="98" customWidth="1"/>
    <col min="11989" max="11989" width="9.90625" style="98" customWidth="1"/>
    <col min="11990" max="12232" width="8.90625" style="98"/>
    <col min="12233" max="12233" width="6.54296875" style="98" customWidth="1"/>
    <col min="12234" max="12234" width="81.90625" style="98" customWidth="1"/>
    <col min="12235" max="12235" width="6.90625" style="98" customWidth="1"/>
    <col min="12236" max="12236" width="9" style="98" customWidth="1"/>
    <col min="12237" max="12237" width="8.90625" style="98" customWidth="1"/>
    <col min="12238" max="12238" width="12.08984375" style="98" customWidth="1"/>
    <col min="12239" max="12239" width="8.54296875" style="98" customWidth="1"/>
    <col min="12240" max="12240" width="13.08984375" style="98" customWidth="1"/>
    <col min="12241" max="12241" width="11.90625" style="98" customWidth="1"/>
    <col min="12242" max="12242" width="13.08984375" style="98" customWidth="1"/>
    <col min="12243" max="12244" width="9.08984375" style="98" customWidth="1"/>
    <col min="12245" max="12245" width="9.90625" style="98" customWidth="1"/>
    <col min="12246" max="12488" width="8.90625" style="98"/>
    <col min="12489" max="12489" width="6.54296875" style="98" customWidth="1"/>
    <col min="12490" max="12490" width="81.90625" style="98" customWidth="1"/>
    <col min="12491" max="12491" width="6.90625" style="98" customWidth="1"/>
    <col min="12492" max="12492" width="9" style="98" customWidth="1"/>
    <col min="12493" max="12493" width="8.90625" style="98" customWidth="1"/>
    <col min="12494" max="12494" width="12.08984375" style="98" customWidth="1"/>
    <col min="12495" max="12495" width="8.54296875" style="98" customWidth="1"/>
    <col min="12496" max="12496" width="13.08984375" style="98" customWidth="1"/>
    <col min="12497" max="12497" width="11.90625" style="98" customWidth="1"/>
    <col min="12498" max="12498" width="13.08984375" style="98" customWidth="1"/>
    <col min="12499" max="12500" width="9.08984375" style="98" customWidth="1"/>
    <col min="12501" max="12501" width="9.90625" style="98" customWidth="1"/>
    <col min="12502" max="12744" width="8.90625" style="98"/>
    <col min="12745" max="12745" width="6.54296875" style="98" customWidth="1"/>
    <col min="12746" max="12746" width="81.90625" style="98" customWidth="1"/>
    <col min="12747" max="12747" width="6.90625" style="98" customWidth="1"/>
    <col min="12748" max="12748" width="9" style="98" customWidth="1"/>
    <col min="12749" max="12749" width="8.90625" style="98" customWidth="1"/>
    <col min="12750" max="12750" width="12.08984375" style="98" customWidth="1"/>
    <col min="12751" max="12751" width="8.54296875" style="98" customWidth="1"/>
    <col min="12752" max="12752" width="13.08984375" style="98" customWidth="1"/>
    <col min="12753" max="12753" width="11.90625" style="98" customWidth="1"/>
    <col min="12754" max="12754" width="13.08984375" style="98" customWidth="1"/>
    <col min="12755" max="12756" width="9.08984375" style="98" customWidth="1"/>
    <col min="12757" max="12757" width="9.90625" style="98" customWidth="1"/>
    <col min="12758" max="13000" width="8.90625" style="98"/>
    <col min="13001" max="13001" width="6.54296875" style="98" customWidth="1"/>
    <col min="13002" max="13002" width="81.90625" style="98" customWidth="1"/>
    <col min="13003" max="13003" width="6.90625" style="98" customWidth="1"/>
    <col min="13004" max="13004" width="9" style="98" customWidth="1"/>
    <col min="13005" max="13005" width="8.90625" style="98" customWidth="1"/>
    <col min="13006" max="13006" width="12.08984375" style="98" customWidth="1"/>
    <col min="13007" max="13007" width="8.54296875" style="98" customWidth="1"/>
    <col min="13008" max="13008" width="13.08984375" style="98" customWidth="1"/>
    <col min="13009" max="13009" width="11.90625" style="98" customWidth="1"/>
    <col min="13010" max="13010" width="13.08984375" style="98" customWidth="1"/>
    <col min="13011" max="13012" width="9.08984375" style="98" customWidth="1"/>
    <col min="13013" max="13013" width="9.90625" style="98" customWidth="1"/>
    <col min="13014" max="13256" width="8.90625" style="98"/>
    <col min="13257" max="13257" width="6.54296875" style="98" customWidth="1"/>
    <col min="13258" max="13258" width="81.90625" style="98" customWidth="1"/>
    <col min="13259" max="13259" width="6.90625" style="98" customWidth="1"/>
    <col min="13260" max="13260" width="9" style="98" customWidth="1"/>
    <col min="13261" max="13261" width="8.90625" style="98" customWidth="1"/>
    <col min="13262" max="13262" width="12.08984375" style="98" customWidth="1"/>
    <col min="13263" max="13263" width="8.54296875" style="98" customWidth="1"/>
    <col min="13264" max="13264" width="13.08984375" style="98" customWidth="1"/>
    <col min="13265" max="13265" width="11.90625" style="98" customWidth="1"/>
    <col min="13266" max="13266" width="13.08984375" style="98" customWidth="1"/>
    <col min="13267" max="13268" width="9.08984375" style="98" customWidth="1"/>
    <col min="13269" max="13269" width="9.90625" style="98" customWidth="1"/>
    <col min="13270" max="13512" width="8.90625" style="98"/>
    <col min="13513" max="13513" width="6.54296875" style="98" customWidth="1"/>
    <col min="13514" max="13514" width="81.90625" style="98" customWidth="1"/>
    <col min="13515" max="13515" width="6.90625" style="98" customWidth="1"/>
    <col min="13516" max="13516" width="9" style="98" customWidth="1"/>
    <col min="13517" max="13517" width="8.90625" style="98" customWidth="1"/>
    <col min="13518" max="13518" width="12.08984375" style="98" customWidth="1"/>
    <col min="13519" max="13519" width="8.54296875" style="98" customWidth="1"/>
    <col min="13520" max="13520" width="13.08984375" style="98" customWidth="1"/>
    <col min="13521" max="13521" width="11.90625" style="98" customWidth="1"/>
    <col min="13522" max="13522" width="13.08984375" style="98" customWidth="1"/>
    <col min="13523" max="13524" width="9.08984375" style="98" customWidth="1"/>
    <col min="13525" max="13525" width="9.90625" style="98" customWidth="1"/>
    <col min="13526" max="13768" width="8.90625" style="98"/>
    <col min="13769" max="13769" width="6.54296875" style="98" customWidth="1"/>
    <col min="13770" max="13770" width="81.90625" style="98" customWidth="1"/>
    <col min="13771" max="13771" width="6.90625" style="98" customWidth="1"/>
    <col min="13772" max="13772" width="9" style="98" customWidth="1"/>
    <col min="13773" max="13773" width="8.90625" style="98" customWidth="1"/>
    <col min="13774" max="13774" width="12.08984375" style="98" customWidth="1"/>
    <col min="13775" max="13775" width="8.54296875" style="98" customWidth="1"/>
    <col min="13776" max="13776" width="13.08984375" style="98" customWidth="1"/>
    <col min="13777" max="13777" width="11.90625" style="98" customWidth="1"/>
    <col min="13778" max="13778" width="13.08984375" style="98" customWidth="1"/>
    <col min="13779" max="13780" width="9.08984375" style="98" customWidth="1"/>
    <col min="13781" max="13781" width="9.90625" style="98" customWidth="1"/>
    <col min="13782" max="14024" width="8.90625" style="98"/>
    <col min="14025" max="14025" width="6.54296875" style="98" customWidth="1"/>
    <col min="14026" max="14026" width="81.90625" style="98" customWidth="1"/>
    <col min="14027" max="14027" width="6.90625" style="98" customWidth="1"/>
    <col min="14028" max="14028" width="9" style="98" customWidth="1"/>
    <col min="14029" max="14029" width="8.90625" style="98" customWidth="1"/>
    <col min="14030" max="14030" width="12.08984375" style="98" customWidth="1"/>
    <col min="14031" max="14031" width="8.54296875" style="98" customWidth="1"/>
    <col min="14032" max="14032" width="13.08984375" style="98" customWidth="1"/>
    <col min="14033" max="14033" width="11.90625" style="98" customWidth="1"/>
    <col min="14034" max="14034" width="13.08984375" style="98" customWidth="1"/>
    <col min="14035" max="14036" width="9.08984375" style="98" customWidth="1"/>
    <col min="14037" max="14037" width="9.90625" style="98" customWidth="1"/>
    <col min="14038" max="14280" width="8.90625" style="98"/>
    <col min="14281" max="14281" width="6.54296875" style="98" customWidth="1"/>
    <col min="14282" max="14282" width="81.90625" style="98" customWidth="1"/>
    <col min="14283" max="14283" width="6.90625" style="98" customWidth="1"/>
    <col min="14284" max="14284" width="9" style="98" customWidth="1"/>
    <col min="14285" max="14285" width="8.90625" style="98" customWidth="1"/>
    <col min="14286" max="14286" width="12.08984375" style="98" customWidth="1"/>
    <col min="14287" max="14287" width="8.54296875" style="98" customWidth="1"/>
    <col min="14288" max="14288" width="13.08984375" style="98" customWidth="1"/>
    <col min="14289" max="14289" width="11.90625" style="98" customWidth="1"/>
    <col min="14290" max="14290" width="13.08984375" style="98" customWidth="1"/>
    <col min="14291" max="14292" width="9.08984375" style="98" customWidth="1"/>
    <col min="14293" max="14293" width="9.90625" style="98" customWidth="1"/>
    <col min="14294" max="14536" width="8.90625" style="98"/>
    <col min="14537" max="14537" width="6.54296875" style="98" customWidth="1"/>
    <col min="14538" max="14538" width="81.90625" style="98" customWidth="1"/>
    <col min="14539" max="14539" width="6.90625" style="98" customWidth="1"/>
    <col min="14540" max="14540" width="9" style="98" customWidth="1"/>
    <col min="14541" max="14541" width="8.90625" style="98" customWidth="1"/>
    <col min="14542" max="14542" width="12.08984375" style="98" customWidth="1"/>
    <col min="14543" max="14543" width="8.54296875" style="98" customWidth="1"/>
    <col min="14544" max="14544" width="13.08984375" style="98" customWidth="1"/>
    <col min="14545" max="14545" width="11.90625" style="98" customWidth="1"/>
    <col min="14546" max="14546" width="13.08984375" style="98" customWidth="1"/>
    <col min="14547" max="14548" width="9.08984375" style="98" customWidth="1"/>
    <col min="14549" max="14549" width="9.90625" style="98" customWidth="1"/>
    <col min="14550" max="14792" width="8.90625" style="98"/>
    <col min="14793" max="14793" width="6.54296875" style="98" customWidth="1"/>
    <col min="14794" max="14794" width="81.90625" style="98" customWidth="1"/>
    <col min="14795" max="14795" width="6.90625" style="98" customWidth="1"/>
    <col min="14796" max="14796" width="9" style="98" customWidth="1"/>
    <col min="14797" max="14797" width="8.90625" style="98" customWidth="1"/>
    <col min="14798" max="14798" width="12.08984375" style="98" customWidth="1"/>
    <col min="14799" max="14799" width="8.54296875" style="98" customWidth="1"/>
    <col min="14800" max="14800" width="13.08984375" style="98" customWidth="1"/>
    <col min="14801" max="14801" width="11.90625" style="98" customWidth="1"/>
    <col min="14802" max="14802" width="13.08984375" style="98" customWidth="1"/>
    <col min="14803" max="14804" width="9.08984375" style="98" customWidth="1"/>
    <col min="14805" max="14805" width="9.90625" style="98" customWidth="1"/>
    <col min="14806" max="15048" width="8.90625" style="98"/>
    <col min="15049" max="15049" width="6.54296875" style="98" customWidth="1"/>
    <col min="15050" max="15050" width="81.90625" style="98" customWidth="1"/>
    <col min="15051" max="15051" width="6.90625" style="98" customWidth="1"/>
    <col min="15052" max="15052" width="9" style="98" customWidth="1"/>
    <col min="15053" max="15053" width="8.90625" style="98" customWidth="1"/>
    <col min="15054" max="15054" width="12.08984375" style="98" customWidth="1"/>
    <col min="15055" max="15055" width="8.54296875" style="98" customWidth="1"/>
    <col min="15056" max="15056" width="13.08984375" style="98" customWidth="1"/>
    <col min="15057" max="15057" width="11.90625" style="98" customWidth="1"/>
    <col min="15058" max="15058" width="13.08984375" style="98" customWidth="1"/>
    <col min="15059" max="15060" width="9.08984375" style="98" customWidth="1"/>
    <col min="15061" max="15061" width="9.90625" style="98" customWidth="1"/>
    <col min="15062" max="15304" width="8.90625" style="98"/>
    <col min="15305" max="15305" width="6.54296875" style="98" customWidth="1"/>
    <col min="15306" max="15306" width="81.90625" style="98" customWidth="1"/>
    <col min="15307" max="15307" width="6.90625" style="98" customWidth="1"/>
    <col min="15308" max="15308" width="9" style="98" customWidth="1"/>
    <col min="15309" max="15309" width="8.90625" style="98" customWidth="1"/>
    <col min="15310" max="15310" width="12.08984375" style="98" customWidth="1"/>
    <col min="15311" max="15311" width="8.54296875" style="98" customWidth="1"/>
    <col min="15312" max="15312" width="13.08984375" style="98" customWidth="1"/>
    <col min="15313" max="15313" width="11.90625" style="98" customWidth="1"/>
    <col min="15314" max="15314" width="13.08984375" style="98" customWidth="1"/>
    <col min="15315" max="15316" width="9.08984375" style="98" customWidth="1"/>
    <col min="15317" max="15317" width="9.90625" style="98" customWidth="1"/>
    <col min="15318" max="15560" width="8.90625" style="98"/>
    <col min="15561" max="15561" width="6.54296875" style="98" customWidth="1"/>
    <col min="15562" max="15562" width="81.90625" style="98" customWidth="1"/>
    <col min="15563" max="15563" width="6.90625" style="98" customWidth="1"/>
    <col min="15564" max="15564" width="9" style="98" customWidth="1"/>
    <col min="15565" max="15565" width="8.90625" style="98" customWidth="1"/>
    <col min="15566" max="15566" width="12.08984375" style="98" customWidth="1"/>
    <col min="15567" max="15567" width="8.54296875" style="98" customWidth="1"/>
    <col min="15568" max="15568" width="13.08984375" style="98" customWidth="1"/>
    <col min="15569" max="15569" width="11.90625" style="98" customWidth="1"/>
    <col min="15570" max="15570" width="13.08984375" style="98" customWidth="1"/>
    <col min="15571" max="15572" width="9.08984375" style="98" customWidth="1"/>
    <col min="15573" max="15573" width="9.90625" style="98" customWidth="1"/>
    <col min="15574" max="15816" width="8.90625" style="98"/>
    <col min="15817" max="15817" width="6.54296875" style="98" customWidth="1"/>
    <col min="15818" max="15818" width="81.90625" style="98" customWidth="1"/>
    <col min="15819" max="15819" width="6.90625" style="98" customWidth="1"/>
    <col min="15820" max="15820" width="9" style="98" customWidth="1"/>
    <col min="15821" max="15821" width="8.90625" style="98" customWidth="1"/>
    <col min="15822" max="15822" width="12.08984375" style="98" customWidth="1"/>
    <col min="15823" max="15823" width="8.54296875" style="98" customWidth="1"/>
    <col min="15824" max="15824" width="13.08984375" style="98" customWidth="1"/>
    <col min="15825" max="15825" width="11.90625" style="98" customWidth="1"/>
    <col min="15826" max="15826" width="13.08984375" style="98" customWidth="1"/>
    <col min="15827" max="15828" width="9.08984375" style="98" customWidth="1"/>
    <col min="15829" max="15829" width="9.90625" style="98" customWidth="1"/>
    <col min="15830" max="16072" width="8.90625" style="98"/>
    <col min="16073" max="16073" width="6.54296875" style="98" customWidth="1"/>
    <col min="16074" max="16074" width="81.90625" style="98" customWidth="1"/>
    <col min="16075" max="16075" width="6.90625" style="98" customWidth="1"/>
    <col min="16076" max="16076" width="9" style="98" customWidth="1"/>
    <col min="16077" max="16077" width="8.90625" style="98" customWidth="1"/>
    <col min="16078" max="16078" width="12.08984375" style="98" customWidth="1"/>
    <col min="16079" max="16079" width="8.54296875" style="98" customWidth="1"/>
    <col min="16080" max="16080" width="13.08984375" style="98" customWidth="1"/>
    <col min="16081" max="16081" width="11.90625" style="98" customWidth="1"/>
    <col min="16082" max="16082" width="13.08984375" style="98" customWidth="1"/>
    <col min="16083" max="16084" width="9.08984375" style="98" customWidth="1"/>
    <col min="16085" max="16085" width="9.90625" style="98" customWidth="1"/>
    <col min="16086" max="16321" width="8.90625" style="98"/>
    <col min="16322" max="16384" width="8.90625" style="99"/>
  </cols>
  <sheetData>
    <row r="1" spans="1:13" s="74" customFormat="1">
      <c r="A1" s="69"/>
      <c r="B1" s="70" t="s">
        <v>318</v>
      </c>
      <c r="C1" s="71"/>
      <c r="D1" s="71"/>
      <c r="E1" s="71"/>
      <c r="F1" s="72"/>
      <c r="G1" s="73"/>
      <c r="H1" s="73"/>
      <c r="I1" s="72"/>
      <c r="J1" s="239"/>
      <c r="K1" s="239"/>
    </row>
    <row r="2" spans="1:13" s="80" customFormat="1" ht="15.75" customHeight="1">
      <c r="A2" s="75"/>
      <c r="B2" s="75" t="s">
        <v>29</v>
      </c>
      <c r="C2" s="76"/>
      <c r="D2" s="76"/>
      <c r="E2" s="76"/>
      <c r="F2" s="77"/>
      <c r="G2" s="78"/>
      <c r="H2" s="78"/>
      <c r="I2" s="79" t="s">
        <v>313</v>
      </c>
      <c r="J2" s="79"/>
      <c r="K2" s="79"/>
    </row>
    <row r="3" spans="1:13" s="83" customFormat="1" ht="15.75" customHeight="1">
      <c r="A3" s="81" t="s">
        <v>30</v>
      </c>
      <c r="B3" s="82" t="s">
        <v>4</v>
      </c>
      <c r="C3" s="82"/>
      <c r="D3" s="82"/>
      <c r="E3" s="82"/>
      <c r="F3" s="79"/>
      <c r="G3" s="235" t="s">
        <v>31</v>
      </c>
      <c r="H3" s="235"/>
      <c r="I3" s="236" t="s">
        <v>32</v>
      </c>
      <c r="J3" s="237"/>
      <c r="K3" s="238"/>
    </row>
    <row r="4" spans="1:13" s="74" customFormat="1" ht="31">
      <c r="A4" s="84"/>
      <c r="B4" s="82"/>
      <c r="C4" s="82" t="s">
        <v>5</v>
      </c>
      <c r="D4" s="76" t="s">
        <v>376</v>
      </c>
      <c r="E4" s="82" t="s">
        <v>380</v>
      </c>
      <c r="F4" s="77" t="s">
        <v>11</v>
      </c>
      <c r="G4" s="85" t="s">
        <v>33</v>
      </c>
      <c r="H4" s="85" t="s">
        <v>34</v>
      </c>
      <c r="I4" s="77" t="s">
        <v>33</v>
      </c>
      <c r="J4" s="77" t="s">
        <v>34</v>
      </c>
      <c r="K4" s="79" t="s">
        <v>0</v>
      </c>
      <c r="M4" s="74" t="s">
        <v>363</v>
      </c>
    </row>
    <row r="5" spans="1:13" s="92" customFormat="1">
      <c r="A5" s="86" t="s">
        <v>9</v>
      </c>
      <c r="B5" s="87" t="s">
        <v>16</v>
      </c>
      <c r="C5" s="88"/>
      <c r="D5" s="88"/>
      <c r="E5" s="88"/>
      <c r="F5" s="89"/>
      <c r="G5" s="90"/>
      <c r="H5" s="90"/>
      <c r="I5" s="89"/>
      <c r="J5" s="89"/>
      <c r="K5" s="89"/>
      <c r="L5" s="91"/>
    </row>
    <row r="6" spans="1:13">
      <c r="A6" s="93"/>
      <c r="B6" s="94"/>
      <c r="C6" s="95"/>
      <c r="D6" s="95"/>
      <c r="E6" s="95"/>
      <c r="F6" s="96"/>
      <c r="G6" s="97"/>
      <c r="H6" s="97"/>
      <c r="I6" s="96"/>
      <c r="J6" s="96"/>
      <c r="K6" s="96"/>
    </row>
    <row r="7" spans="1:13">
      <c r="A7" s="100" t="s">
        <v>1</v>
      </c>
      <c r="B7" s="101" t="s">
        <v>36</v>
      </c>
      <c r="C7" s="95"/>
      <c r="D7" s="95"/>
      <c r="E7" s="95"/>
      <c r="F7" s="96"/>
      <c r="G7" s="97"/>
      <c r="H7" s="97"/>
      <c r="I7" s="96"/>
      <c r="J7" s="96"/>
      <c r="K7" s="96"/>
    </row>
    <row r="8" spans="1:13">
      <c r="A8" s="102"/>
      <c r="B8" s="103"/>
      <c r="C8" s="95"/>
      <c r="D8" s="95"/>
      <c r="E8" s="95"/>
      <c r="F8" s="96"/>
      <c r="G8" s="97"/>
      <c r="H8" s="97"/>
      <c r="I8" s="96"/>
      <c r="J8" s="96"/>
      <c r="K8" s="96"/>
    </row>
    <row r="9" spans="1:13" ht="124">
      <c r="A9" s="102"/>
      <c r="B9" s="104" t="s">
        <v>369</v>
      </c>
      <c r="C9" s="95"/>
      <c r="D9" s="95"/>
      <c r="E9" s="95"/>
      <c r="F9" s="96"/>
      <c r="G9" s="97"/>
      <c r="H9" s="97"/>
      <c r="I9" s="96"/>
      <c r="J9" s="96"/>
      <c r="K9" s="96"/>
    </row>
    <row r="10" spans="1:13">
      <c r="A10" s="102"/>
      <c r="B10" s="103"/>
      <c r="C10" s="95"/>
      <c r="D10" s="95"/>
      <c r="E10" s="95"/>
      <c r="F10" s="96"/>
      <c r="G10" s="97"/>
      <c r="H10" s="97"/>
      <c r="I10" s="96"/>
      <c r="J10" s="96"/>
      <c r="K10" s="96"/>
    </row>
    <row r="11" spans="1:13">
      <c r="A11" s="102"/>
      <c r="B11" s="101" t="s">
        <v>37</v>
      </c>
      <c r="C11" s="95"/>
      <c r="D11" s="95"/>
      <c r="E11" s="95"/>
      <c r="F11" s="96"/>
      <c r="G11" s="97"/>
      <c r="H11" s="97"/>
      <c r="I11" s="96"/>
      <c r="J11" s="96"/>
      <c r="K11" s="96"/>
    </row>
    <row r="12" spans="1:13" ht="31">
      <c r="A12" s="102"/>
      <c r="B12" s="105" t="s">
        <v>38</v>
      </c>
      <c r="C12" s="95"/>
      <c r="D12" s="95"/>
      <c r="E12" s="95"/>
      <c r="F12" s="96"/>
      <c r="G12" s="97"/>
      <c r="H12" s="97"/>
      <c r="I12" s="96"/>
      <c r="J12" s="96"/>
      <c r="K12" s="96"/>
    </row>
    <row r="13" spans="1:13" ht="31">
      <c r="A13" s="102"/>
      <c r="B13" s="104" t="s">
        <v>39</v>
      </c>
      <c r="C13" s="95"/>
      <c r="D13" s="95"/>
      <c r="E13" s="95"/>
      <c r="F13" s="96"/>
      <c r="G13" s="97"/>
      <c r="H13" s="97"/>
      <c r="I13" s="96"/>
      <c r="J13" s="96"/>
      <c r="K13" s="96"/>
    </row>
    <row r="14" spans="1:13">
      <c r="A14" s="102"/>
      <c r="B14" s="104" t="s">
        <v>40</v>
      </c>
      <c r="C14" s="95"/>
      <c r="D14" s="95"/>
      <c r="E14" s="95"/>
      <c r="F14" s="96"/>
      <c r="G14" s="97"/>
      <c r="H14" s="97"/>
      <c r="I14" s="96"/>
      <c r="J14" s="96"/>
      <c r="K14" s="96"/>
    </row>
    <row r="15" spans="1:13">
      <c r="A15" s="102"/>
      <c r="B15" s="105" t="s">
        <v>41</v>
      </c>
      <c r="C15" s="95"/>
      <c r="D15" s="95"/>
      <c r="E15" s="95"/>
      <c r="F15" s="96"/>
      <c r="G15" s="97"/>
      <c r="H15" s="97"/>
      <c r="I15" s="96"/>
      <c r="J15" s="96"/>
      <c r="K15" s="96"/>
    </row>
    <row r="16" spans="1:13">
      <c r="A16" s="102"/>
      <c r="B16" s="104" t="s">
        <v>42</v>
      </c>
      <c r="C16" s="95"/>
      <c r="D16" s="95"/>
      <c r="E16" s="95"/>
      <c r="F16" s="96"/>
      <c r="G16" s="97"/>
      <c r="H16" s="97"/>
      <c r="I16" s="96"/>
      <c r="J16" s="96"/>
      <c r="K16" s="96"/>
    </row>
    <row r="17" spans="1:13">
      <c r="A17" s="102"/>
      <c r="B17" s="105" t="s">
        <v>43</v>
      </c>
      <c r="C17" s="95"/>
      <c r="D17" s="95"/>
      <c r="E17" s="95"/>
      <c r="F17" s="96"/>
      <c r="G17" s="97"/>
      <c r="H17" s="97"/>
      <c r="I17" s="96"/>
      <c r="J17" s="96"/>
      <c r="K17" s="96"/>
    </row>
    <row r="18" spans="1:13">
      <c r="A18" s="102"/>
      <c r="B18" s="105" t="s">
        <v>44</v>
      </c>
      <c r="C18" s="95"/>
      <c r="D18" s="95"/>
      <c r="E18" s="95"/>
      <c r="F18" s="96"/>
      <c r="G18" s="97"/>
      <c r="H18" s="97"/>
      <c r="I18" s="96"/>
      <c r="J18" s="96"/>
      <c r="K18" s="96"/>
    </row>
    <row r="19" spans="1:13">
      <c r="A19" s="102"/>
      <c r="B19" s="105" t="s">
        <v>45</v>
      </c>
      <c r="C19" s="95"/>
      <c r="D19" s="95"/>
      <c r="E19" s="95"/>
      <c r="F19" s="96"/>
      <c r="G19" s="97"/>
      <c r="H19" s="97"/>
      <c r="I19" s="96"/>
      <c r="J19" s="96"/>
      <c r="K19" s="96"/>
    </row>
    <row r="20" spans="1:13">
      <c r="A20" s="102"/>
      <c r="B20" s="103"/>
      <c r="C20" s="95"/>
      <c r="D20" s="95"/>
      <c r="E20" s="95"/>
      <c r="F20" s="96"/>
      <c r="G20" s="97"/>
      <c r="H20" s="97"/>
      <c r="I20" s="96"/>
      <c r="J20" s="96"/>
      <c r="K20" s="96"/>
    </row>
    <row r="21" spans="1:13">
      <c r="A21" s="106">
        <v>1.1000000000000001</v>
      </c>
      <c r="B21" s="101" t="s">
        <v>46</v>
      </c>
      <c r="C21" s="95"/>
      <c r="D21" s="95"/>
      <c r="E21" s="95"/>
      <c r="F21" s="96"/>
      <c r="G21" s="97"/>
      <c r="H21" s="97"/>
      <c r="I21" s="96"/>
      <c r="J21" s="96"/>
      <c r="K21" s="96"/>
    </row>
    <row r="22" spans="1:13" ht="77.5">
      <c r="A22" s="102"/>
      <c r="B22" s="212" t="s">
        <v>377</v>
      </c>
      <c r="C22" s="95" t="s">
        <v>47</v>
      </c>
      <c r="D22" s="107">
        <f>(3+3)*45*1.1</f>
        <v>297</v>
      </c>
      <c r="E22" s="107">
        <f>(21+21)*45*1.1</f>
        <v>2079</v>
      </c>
      <c r="F22" s="107">
        <f>SUM(D22:E22)</f>
        <v>2376</v>
      </c>
      <c r="G22" s="139"/>
      <c r="H22" s="139"/>
      <c r="I22" s="107">
        <f>+N($F22)*N(G22)</f>
        <v>0</v>
      </c>
      <c r="J22" s="107">
        <f>+N($F22)*N(H22)</f>
        <v>0</v>
      </c>
      <c r="K22" s="107">
        <f>J22+I22</f>
        <v>0</v>
      </c>
      <c r="M22" s="240" t="s">
        <v>362</v>
      </c>
    </row>
    <row r="23" spans="1:13">
      <c r="A23" s="102"/>
      <c r="B23" s="108"/>
      <c r="C23" s="95"/>
      <c r="D23" s="95"/>
      <c r="E23" s="107"/>
      <c r="F23" s="107">
        <f t="shared" ref="F23:F54" si="0">SUM(D23:E23)</f>
        <v>0</v>
      </c>
      <c r="G23" s="109"/>
      <c r="H23" s="109"/>
      <c r="I23" s="107">
        <f t="shared" ref="I23:J59" si="1">+N($F23)*N(G23)</f>
        <v>0</v>
      </c>
      <c r="J23" s="107">
        <f t="shared" si="1"/>
        <v>0</v>
      </c>
      <c r="K23" s="107">
        <f t="shared" ref="K23:K59" si="2">J23+I23</f>
        <v>0</v>
      </c>
      <c r="M23" s="240"/>
    </row>
    <row r="24" spans="1:13">
      <c r="A24" s="106">
        <v>1.2</v>
      </c>
      <c r="B24" s="101" t="s">
        <v>48</v>
      </c>
      <c r="C24" s="95"/>
      <c r="D24" s="95"/>
      <c r="E24" s="107"/>
      <c r="F24" s="107">
        <f t="shared" si="0"/>
        <v>0</v>
      </c>
      <c r="G24" s="109"/>
      <c r="H24" s="109"/>
      <c r="I24" s="107">
        <f t="shared" si="1"/>
        <v>0</v>
      </c>
      <c r="J24" s="107">
        <f t="shared" si="1"/>
        <v>0</v>
      </c>
      <c r="K24" s="107">
        <f t="shared" si="2"/>
        <v>0</v>
      </c>
      <c r="M24" s="240"/>
    </row>
    <row r="25" spans="1:13" ht="77.5">
      <c r="A25" s="102"/>
      <c r="B25" s="213" t="s">
        <v>378</v>
      </c>
      <c r="C25" s="95" t="s">
        <v>47</v>
      </c>
      <c r="D25" s="107">
        <f>3*45*1.1</f>
        <v>148.5</v>
      </c>
      <c r="E25" s="107">
        <f>8*45*1.1</f>
        <v>396.00000000000006</v>
      </c>
      <c r="F25" s="107">
        <f t="shared" si="0"/>
        <v>544.5</v>
      </c>
      <c r="G25" s="139"/>
      <c r="H25" s="139"/>
      <c r="I25" s="107">
        <f t="shared" si="1"/>
        <v>0</v>
      </c>
      <c r="J25" s="107">
        <f t="shared" si="1"/>
        <v>0</v>
      </c>
      <c r="K25" s="107">
        <f t="shared" si="2"/>
        <v>0</v>
      </c>
      <c r="M25" s="240"/>
    </row>
    <row r="26" spans="1:13">
      <c r="A26" s="102"/>
      <c r="B26" s="108"/>
      <c r="C26" s="95"/>
      <c r="D26" s="95"/>
      <c r="E26" s="95"/>
      <c r="F26" s="107">
        <f t="shared" si="0"/>
        <v>0</v>
      </c>
      <c r="G26" s="109"/>
      <c r="H26" s="109"/>
      <c r="I26" s="96">
        <f t="shared" si="1"/>
        <v>0</v>
      </c>
      <c r="J26" s="96">
        <f t="shared" si="1"/>
        <v>0</v>
      </c>
      <c r="K26" s="96">
        <f t="shared" si="2"/>
        <v>0</v>
      </c>
      <c r="M26" s="240"/>
    </row>
    <row r="27" spans="1:13">
      <c r="A27" s="106">
        <v>1.3</v>
      </c>
      <c r="B27" s="101" t="s">
        <v>49</v>
      </c>
      <c r="C27" s="95"/>
      <c r="D27" s="95"/>
      <c r="E27" s="95"/>
      <c r="F27" s="107">
        <f t="shared" si="0"/>
        <v>0</v>
      </c>
      <c r="G27" s="109"/>
      <c r="H27" s="109"/>
      <c r="I27" s="96">
        <f t="shared" si="1"/>
        <v>0</v>
      </c>
      <c r="J27" s="96">
        <f t="shared" si="1"/>
        <v>0</v>
      </c>
      <c r="K27" s="96">
        <f t="shared" si="2"/>
        <v>0</v>
      </c>
      <c r="M27" s="240"/>
    </row>
    <row r="28" spans="1:13" ht="42" customHeight="1">
      <c r="A28" s="102"/>
      <c r="B28" s="213" t="s">
        <v>379</v>
      </c>
      <c r="C28" s="95" t="s">
        <v>47</v>
      </c>
      <c r="D28" s="107">
        <f>3*45*1.1</f>
        <v>148.5</v>
      </c>
      <c r="E28" s="107">
        <f>8*45*1.1</f>
        <v>396.00000000000006</v>
      </c>
      <c r="F28" s="107">
        <f t="shared" si="0"/>
        <v>544.5</v>
      </c>
      <c r="G28" s="139"/>
      <c r="H28" s="139"/>
      <c r="I28" s="107">
        <f t="shared" si="1"/>
        <v>0</v>
      </c>
      <c r="J28" s="107">
        <f t="shared" si="1"/>
        <v>0</v>
      </c>
      <c r="K28" s="107">
        <f t="shared" si="2"/>
        <v>0</v>
      </c>
      <c r="M28" s="240"/>
    </row>
    <row r="29" spans="1:13">
      <c r="A29" s="102"/>
      <c r="B29" s="105" t="s">
        <v>2</v>
      </c>
      <c r="C29" s="95"/>
      <c r="D29" s="95"/>
      <c r="E29" s="95"/>
      <c r="F29" s="107">
        <f t="shared" si="0"/>
        <v>0</v>
      </c>
      <c r="G29" s="109"/>
      <c r="H29" s="109"/>
      <c r="I29" s="107">
        <f t="shared" si="1"/>
        <v>0</v>
      </c>
      <c r="J29" s="107">
        <f t="shared" si="1"/>
        <v>0</v>
      </c>
      <c r="K29" s="107">
        <f t="shared" si="2"/>
        <v>0</v>
      </c>
    </row>
    <row r="30" spans="1:13">
      <c r="A30" s="106">
        <v>1.4</v>
      </c>
      <c r="B30" s="101" t="s">
        <v>50</v>
      </c>
      <c r="C30" s="95"/>
      <c r="D30" s="95"/>
      <c r="E30" s="95"/>
      <c r="F30" s="107">
        <f t="shared" si="0"/>
        <v>0</v>
      </c>
      <c r="G30" s="109"/>
      <c r="H30" s="109"/>
      <c r="I30" s="107">
        <f t="shared" si="1"/>
        <v>0</v>
      </c>
      <c r="J30" s="107">
        <f t="shared" si="1"/>
        <v>0</v>
      </c>
      <c r="K30" s="107">
        <f t="shared" si="2"/>
        <v>0</v>
      </c>
    </row>
    <row r="31" spans="1:13" ht="46.5">
      <c r="A31" s="102"/>
      <c r="B31" s="104" t="s">
        <v>359</v>
      </c>
      <c r="C31" s="95" t="s">
        <v>47</v>
      </c>
      <c r="D31" s="107">
        <v>200</v>
      </c>
      <c r="E31" s="107">
        <f>(28+28)*40*1.1</f>
        <v>2464</v>
      </c>
      <c r="F31" s="107">
        <f t="shared" si="0"/>
        <v>2664</v>
      </c>
      <c r="G31" s="139"/>
      <c r="H31" s="139"/>
      <c r="I31" s="107">
        <f t="shared" si="1"/>
        <v>0</v>
      </c>
      <c r="J31" s="107">
        <f t="shared" si="1"/>
        <v>0</v>
      </c>
      <c r="K31" s="107">
        <f t="shared" si="2"/>
        <v>0</v>
      </c>
    </row>
    <row r="32" spans="1:13">
      <c r="A32" s="102"/>
      <c r="B32" s="110"/>
      <c r="C32" s="95"/>
      <c r="D32" s="95"/>
      <c r="E32" s="107"/>
      <c r="F32" s="107">
        <f t="shared" si="0"/>
        <v>0</v>
      </c>
      <c r="G32" s="109"/>
      <c r="H32" s="109"/>
      <c r="I32" s="107">
        <f t="shared" si="1"/>
        <v>0</v>
      </c>
      <c r="J32" s="107">
        <f t="shared" si="1"/>
        <v>0</v>
      </c>
      <c r="K32" s="107">
        <f t="shared" si="2"/>
        <v>0</v>
      </c>
    </row>
    <row r="33" spans="1:13">
      <c r="A33" s="106">
        <v>1.5</v>
      </c>
      <c r="B33" s="101" t="s">
        <v>51</v>
      </c>
      <c r="C33" s="95"/>
      <c r="D33" s="95"/>
      <c r="E33" s="107"/>
      <c r="F33" s="107">
        <f t="shared" si="0"/>
        <v>0</v>
      </c>
      <c r="G33" s="109"/>
      <c r="H33" s="109"/>
      <c r="I33" s="107">
        <f t="shared" si="1"/>
        <v>0</v>
      </c>
      <c r="J33" s="107">
        <f t="shared" si="1"/>
        <v>0</v>
      </c>
      <c r="K33" s="107">
        <f t="shared" si="2"/>
        <v>0</v>
      </c>
    </row>
    <row r="34" spans="1:13" ht="69" customHeight="1">
      <c r="A34" s="102"/>
      <c r="B34" s="104" t="s">
        <v>359</v>
      </c>
      <c r="C34" s="95" t="s">
        <v>47</v>
      </c>
      <c r="D34" s="107">
        <v>200</v>
      </c>
      <c r="E34" s="107">
        <f>(28+28)*40*1.1</f>
        <v>2464</v>
      </c>
      <c r="F34" s="107">
        <f t="shared" si="0"/>
        <v>2664</v>
      </c>
      <c r="G34" s="139"/>
      <c r="H34" s="139"/>
      <c r="I34" s="107">
        <f t="shared" si="1"/>
        <v>0</v>
      </c>
      <c r="J34" s="107">
        <f t="shared" si="1"/>
        <v>0</v>
      </c>
      <c r="K34" s="107">
        <f t="shared" si="2"/>
        <v>0</v>
      </c>
    </row>
    <row r="35" spans="1:13">
      <c r="A35" s="102"/>
      <c r="B35" s="108"/>
      <c r="C35" s="95"/>
      <c r="D35" s="95"/>
      <c r="E35" s="95"/>
      <c r="F35" s="107">
        <f t="shared" si="0"/>
        <v>0</v>
      </c>
      <c r="G35" s="109"/>
      <c r="H35" s="109"/>
      <c r="I35" s="96">
        <f t="shared" si="1"/>
        <v>0</v>
      </c>
      <c r="J35" s="96">
        <f t="shared" si="1"/>
        <v>0</v>
      </c>
      <c r="K35" s="96">
        <f t="shared" si="2"/>
        <v>0</v>
      </c>
    </row>
    <row r="36" spans="1:13">
      <c r="A36" s="106">
        <v>1.6</v>
      </c>
      <c r="B36" s="111" t="s">
        <v>52</v>
      </c>
      <c r="C36" s="95"/>
      <c r="D36" s="95"/>
      <c r="E36" s="95"/>
      <c r="F36" s="107">
        <f t="shared" si="0"/>
        <v>0</v>
      </c>
      <c r="G36" s="109"/>
      <c r="H36" s="109"/>
      <c r="I36" s="96">
        <f t="shared" si="1"/>
        <v>0</v>
      </c>
      <c r="J36" s="96">
        <f t="shared" si="1"/>
        <v>0</v>
      </c>
      <c r="K36" s="96">
        <f t="shared" si="2"/>
        <v>0</v>
      </c>
    </row>
    <row r="37" spans="1:13" ht="46.5">
      <c r="A37" s="102"/>
      <c r="B37" s="104" t="s">
        <v>360</v>
      </c>
      <c r="C37" s="95" t="s">
        <v>47</v>
      </c>
      <c r="D37" s="95"/>
      <c r="E37" s="95"/>
      <c r="F37" s="107">
        <f t="shared" si="0"/>
        <v>0</v>
      </c>
      <c r="G37" s="139"/>
      <c r="H37" s="139"/>
      <c r="I37" s="107">
        <f t="shared" si="1"/>
        <v>0</v>
      </c>
      <c r="J37" s="107">
        <f t="shared" si="1"/>
        <v>0</v>
      </c>
      <c r="K37" s="107">
        <f t="shared" si="2"/>
        <v>0</v>
      </c>
    </row>
    <row r="38" spans="1:13">
      <c r="A38" s="102"/>
      <c r="B38" s="103"/>
      <c r="C38" s="95"/>
      <c r="D38" s="95"/>
      <c r="E38" s="95"/>
      <c r="F38" s="107">
        <f t="shared" si="0"/>
        <v>0</v>
      </c>
      <c r="G38" s="109"/>
      <c r="H38" s="109"/>
      <c r="I38" s="107">
        <f t="shared" si="1"/>
        <v>0</v>
      </c>
      <c r="J38" s="107">
        <f t="shared" si="1"/>
        <v>0</v>
      </c>
      <c r="K38" s="107">
        <f t="shared" si="2"/>
        <v>0</v>
      </c>
    </row>
    <row r="39" spans="1:13">
      <c r="A39" s="106">
        <v>1.7</v>
      </c>
      <c r="B39" s="111" t="s">
        <v>53</v>
      </c>
      <c r="C39" s="95"/>
      <c r="D39" s="95"/>
      <c r="E39" s="95"/>
      <c r="F39" s="107">
        <f t="shared" si="0"/>
        <v>0</v>
      </c>
      <c r="G39" s="109"/>
      <c r="H39" s="109"/>
      <c r="I39" s="107">
        <f t="shared" si="1"/>
        <v>0</v>
      </c>
      <c r="J39" s="107">
        <f t="shared" si="1"/>
        <v>0</v>
      </c>
      <c r="K39" s="107">
        <f t="shared" si="2"/>
        <v>0</v>
      </c>
    </row>
    <row r="40" spans="1:13" ht="46.5">
      <c r="A40" s="102"/>
      <c r="B40" s="104" t="s">
        <v>361</v>
      </c>
      <c r="C40" s="95" t="s">
        <v>47</v>
      </c>
      <c r="D40" s="107"/>
      <c r="E40" s="107">
        <f>4*4*15*1.1</f>
        <v>264</v>
      </c>
      <c r="F40" s="107">
        <f t="shared" si="0"/>
        <v>264</v>
      </c>
      <c r="G40" s="139"/>
      <c r="H40" s="139"/>
      <c r="I40" s="107">
        <f t="shared" si="1"/>
        <v>0</v>
      </c>
      <c r="J40" s="107">
        <f t="shared" si="1"/>
        <v>0</v>
      </c>
      <c r="K40" s="107">
        <f t="shared" si="2"/>
        <v>0</v>
      </c>
    </row>
    <row r="41" spans="1:13">
      <c r="A41" s="102"/>
      <c r="B41" s="103"/>
      <c r="C41" s="95"/>
      <c r="D41" s="95"/>
      <c r="E41" s="95"/>
      <c r="F41" s="107">
        <f t="shared" si="0"/>
        <v>0</v>
      </c>
      <c r="G41" s="109"/>
      <c r="H41" s="109"/>
      <c r="I41" s="107">
        <f t="shared" ref="I41:I55" si="3">+N($F41)*N(G41)</f>
        <v>0</v>
      </c>
      <c r="J41" s="107">
        <f t="shared" ref="J41:J55" si="4">+N($F41)*N(H41)</f>
        <v>0</v>
      </c>
      <c r="K41" s="96">
        <f t="shared" si="2"/>
        <v>0</v>
      </c>
    </row>
    <row r="42" spans="1:13">
      <c r="A42" s="100" t="s">
        <v>54</v>
      </c>
      <c r="B42" s="101" t="s">
        <v>55</v>
      </c>
      <c r="C42" s="102"/>
      <c r="D42" s="102"/>
      <c r="E42" s="102"/>
      <c r="F42" s="107">
        <f t="shared" si="0"/>
        <v>0</v>
      </c>
      <c r="G42" s="109"/>
      <c r="H42" s="109"/>
      <c r="I42" s="107">
        <f t="shared" si="3"/>
        <v>0</v>
      </c>
      <c r="J42" s="107">
        <f t="shared" si="4"/>
        <v>0</v>
      </c>
      <c r="K42" s="96">
        <f t="shared" si="2"/>
        <v>0</v>
      </c>
    </row>
    <row r="43" spans="1:13">
      <c r="A43" s="106" t="s">
        <v>56</v>
      </c>
      <c r="B43" s="101" t="s">
        <v>57</v>
      </c>
      <c r="C43" s="102"/>
      <c r="D43" s="102"/>
      <c r="E43" s="102"/>
      <c r="F43" s="107">
        <f t="shared" si="0"/>
        <v>0</v>
      </c>
      <c r="G43" s="109"/>
      <c r="H43" s="109"/>
      <c r="I43" s="107">
        <f t="shared" si="3"/>
        <v>0</v>
      </c>
      <c r="J43" s="107">
        <f t="shared" si="4"/>
        <v>0</v>
      </c>
      <c r="K43" s="96">
        <f t="shared" si="2"/>
        <v>0</v>
      </c>
    </row>
    <row r="44" spans="1:13">
      <c r="A44" s="102"/>
      <c r="B44" s="103"/>
      <c r="C44" s="102"/>
      <c r="D44" s="102"/>
      <c r="E44" s="102"/>
      <c r="F44" s="107">
        <f t="shared" si="0"/>
        <v>0</v>
      </c>
      <c r="G44" s="109"/>
      <c r="H44" s="109"/>
      <c r="I44" s="107">
        <f t="shared" si="3"/>
        <v>0</v>
      </c>
      <c r="J44" s="107">
        <f t="shared" si="4"/>
        <v>0</v>
      </c>
      <c r="K44" s="96">
        <f t="shared" si="2"/>
        <v>0</v>
      </c>
    </row>
    <row r="45" spans="1:13" ht="108.5">
      <c r="A45" s="103"/>
      <c r="B45" s="104" t="s">
        <v>398</v>
      </c>
      <c r="C45" s="102"/>
      <c r="D45" s="102"/>
      <c r="E45" s="102"/>
      <c r="F45" s="107">
        <f t="shared" si="0"/>
        <v>0</v>
      </c>
      <c r="G45" s="109"/>
      <c r="H45" s="109"/>
      <c r="I45" s="107">
        <f t="shared" si="3"/>
        <v>0</v>
      </c>
      <c r="J45" s="107">
        <f t="shared" si="4"/>
        <v>0</v>
      </c>
      <c r="K45" s="107">
        <f t="shared" si="2"/>
        <v>0</v>
      </c>
    </row>
    <row r="46" spans="1:13">
      <c r="A46" s="103"/>
      <c r="B46" s="112" t="s">
        <v>58</v>
      </c>
      <c r="C46" s="102"/>
      <c r="D46" s="102"/>
      <c r="E46" s="102"/>
      <c r="F46" s="107">
        <f t="shared" si="0"/>
        <v>0</v>
      </c>
      <c r="G46" s="109"/>
      <c r="H46" s="109"/>
      <c r="I46" s="107">
        <f t="shared" si="3"/>
        <v>0</v>
      </c>
      <c r="J46" s="107">
        <f t="shared" si="4"/>
        <v>0</v>
      </c>
      <c r="K46" s="107">
        <f t="shared" si="2"/>
        <v>0</v>
      </c>
    </row>
    <row r="47" spans="1:13">
      <c r="A47" s="103"/>
      <c r="B47" s="112"/>
      <c r="C47" s="102"/>
      <c r="D47" s="102"/>
      <c r="E47" s="102"/>
      <c r="F47" s="107">
        <f t="shared" si="0"/>
        <v>0</v>
      </c>
      <c r="G47" s="109"/>
      <c r="H47" s="109"/>
      <c r="I47" s="107">
        <f t="shared" si="3"/>
        <v>0</v>
      </c>
      <c r="J47" s="107">
        <f t="shared" si="4"/>
        <v>0</v>
      </c>
      <c r="K47" s="107">
        <f t="shared" si="2"/>
        <v>0</v>
      </c>
    </row>
    <row r="48" spans="1:13">
      <c r="A48" s="106" t="s">
        <v>59</v>
      </c>
      <c r="B48" s="101" t="s">
        <v>60</v>
      </c>
      <c r="C48" s="113" t="s">
        <v>61</v>
      </c>
      <c r="D48" s="232" t="s">
        <v>399</v>
      </c>
      <c r="E48" s="232" t="s">
        <v>401</v>
      </c>
      <c r="F48" s="250">
        <f>D48+E48</f>
        <v>130</v>
      </c>
      <c r="G48" s="139"/>
      <c r="H48" s="139"/>
      <c r="I48" s="107">
        <f>+G48*E48</f>
        <v>0</v>
      </c>
      <c r="J48" s="107">
        <f>+H48*F48</f>
        <v>0</v>
      </c>
      <c r="K48" s="107">
        <f t="shared" si="2"/>
        <v>0</v>
      </c>
      <c r="M48" s="240" t="s">
        <v>364</v>
      </c>
    </row>
    <row r="49" spans="1:13" ht="31">
      <c r="A49" s="103"/>
      <c r="B49" s="104" t="s">
        <v>62</v>
      </c>
      <c r="C49" s="102"/>
      <c r="D49" s="234"/>
      <c r="E49" s="234"/>
      <c r="F49" s="233">
        <f t="shared" si="0"/>
        <v>0</v>
      </c>
      <c r="G49" s="109"/>
      <c r="H49" s="109"/>
      <c r="I49" s="107">
        <f t="shared" si="3"/>
        <v>0</v>
      </c>
      <c r="J49" s="107">
        <f t="shared" si="4"/>
        <v>0</v>
      </c>
      <c r="K49" s="107">
        <f t="shared" si="2"/>
        <v>0</v>
      </c>
      <c r="M49" s="240"/>
    </row>
    <row r="50" spans="1:13">
      <c r="A50" s="103"/>
      <c r="B50" s="105" t="s">
        <v>63</v>
      </c>
      <c r="C50" s="102"/>
      <c r="D50" s="234"/>
      <c r="E50" s="234"/>
      <c r="F50" s="233">
        <f t="shared" si="0"/>
        <v>0</v>
      </c>
      <c r="G50" s="109"/>
      <c r="H50" s="109"/>
      <c r="I50" s="107">
        <f t="shared" si="3"/>
        <v>0</v>
      </c>
      <c r="J50" s="107">
        <f t="shared" si="4"/>
        <v>0</v>
      </c>
      <c r="K50" s="107">
        <f t="shared" si="2"/>
        <v>0</v>
      </c>
      <c r="M50" s="240"/>
    </row>
    <row r="51" spans="1:13">
      <c r="A51" s="103"/>
      <c r="B51" s="105" t="s">
        <v>64</v>
      </c>
      <c r="C51" s="102"/>
      <c r="D51" s="234"/>
      <c r="E51" s="234"/>
      <c r="F51" s="233">
        <f t="shared" si="0"/>
        <v>0</v>
      </c>
      <c r="G51" s="109"/>
      <c r="H51" s="109"/>
      <c r="I51" s="107">
        <f t="shared" si="3"/>
        <v>0</v>
      </c>
      <c r="J51" s="107">
        <f t="shared" si="4"/>
        <v>0</v>
      </c>
      <c r="K51" s="107">
        <f t="shared" si="2"/>
        <v>0</v>
      </c>
      <c r="M51" s="240"/>
    </row>
    <row r="52" spans="1:13" ht="46.5">
      <c r="A52" s="103"/>
      <c r="B52" s="114" t="s">
        <v>65</v>
      </c>
      <c r="C52" s="102"/>
      <c r="D52" s="234"/>
      <c r="E52" s="234"/>
      <c r="F52" s="233">
        <f t="shared" si="0"/>
        <v>0</v>
      </c>
      <c r="G52" s="109"/>
      <c r="H52" s="109"/>
      <c r="I52" s="107">
        <f t="shared" si="3"/>
        <v>0</v>
      </c>
      <c r="J52" s="107">
        <f t="shared" si="4"/>
        <v>0</v>
      </c>
      <c r="K52" s="107">
        <f t="shared" si="2"/>
        <v>0</v>
      </c>
      <c r="M52" s="240"/>
    </row>
    <row r="53" spans="1:13">
      <c r="A53" s="103"/>
      <c r="B53" s="105" t="s">
        <v>2</v>
      </c>
      <c r="C53" s="102"/>
      <c r="D53" s="234"/>
      <c r="E53" s="234"/>
      <c r="F53" s="233">
        <f t="shared" si="0"/>
        <v>0</v>
      </c>
      <c r="G53" s="109"/>
      <c r="H53" s="109"/>
      <c r="I53" s="107">
        <f t="shared" si="3"/>
        <v>0</v>
      </c>
      <c r="J53" s="107">
        <f t="shared" si="4"/>
        <v>0</v>
      </c>
      <c r="K53" s="107">
        <f t="shared" si="2"/>
        <v>0</v>
      </c>
      <c r="M53" s="240"/>
    </row>
    <row r="54" spans="1:13">
      <c r="A54" s="106" t="s">
        <v>66</v>
      </c>
      <c r="B54" s="101" t="s">
        <v>67</v>
      </c>
      <c r="C54" s="113" t="s">
        <v>61</v>
      </c>
      <c r="D54" s="232" t="s">
        <v>400</v>
      </c>
      <c r="E54" s="232" t="s">
        <v>402</v>
      </c>
      <c r="F54" s="107">
        <f>D54+E54</f>
        <v>509</v>
      </c>
      <c r="G54" s="139"/>
      <c r="H54" s="139"/>
      <c r="I54" s="107">
        <f>+G54*E54</f>
        <v>0</v>
      </c>
      <c r="J54" s="107">
        <f>+H54*F54</f>
        <v>0</v>
      </c>
      <c r="K54" s="107">
        <f t="shared" si="2"/>
        <v>0</v>
      </c>
      <c r="M54" s="240"/>
    </row>
    <row r="55" spans="1:13">
      <c r="A55" s="102"/>
      <c r="B55" s="103"/>
      <c r="C55" s="102"/>
      <c r="D55" s="102"/>
      <c r="E55" s="102"/>
      <c r="F55" s="107"/>
      <c r="G55" s="109"/>
      <c r="H55" s="109"/>
      <c r="I55" s="107">
        <f t="shared" si="3"/>
        <v>0</v>
      </c>
      <c r="J55" s="107">
        <f t="shared" si="4"/>
        <v>0</v>
      </c>
      <c r="K55" s="107">
        <f t="shared" si="2"/>
        <v>0</v>
      </c>
      <c r="M55" s="240"/>
    </row>
    <row r="56" spans="1:13" ht="31">
      <c r="A56" s="102"/>
      <c r="B56" s="104" t="s">
        <v>68</v>
      </c>
      <c r="C56" s="102"/>
      <c r="D56" s="102"/>
      <c r="E56" s="102"/>
      <c r="F56" s="107"/>
      <c r="G56" s="109"/>
      <c r="H56" s="109"/>
      <c r="I56" s="107">
        <f t="shared" si="1"/>
        <v>0</v>
      </c>
      <c r="J56" s="107">
        <f t="shared" si="1"/>
        <v>0</v>
      </c>
      <c r="K56" s="107">
        <f t="shared" si="2"/>
        <v>0</v>
      </c>
    </row>
    <row r="57" spans="1:13" ht="46.5">
      <c r="A57" s="102"/>
      <c r="B57" s="104" t="s">
        <v>69</v>
      </c>
      <c r="C57" s="102"/>
      <c r="D57" s="102"/>
      <c r="E57" s="102"/>
      <c r="F57" s="107"/>
      <c r="G57" s="109"/>
      <c r="H57" s="109"/>
      <c r="I57" s="107">
        <f t="shared" si="1"/>
        <v>0</v>
      </c>
      <c r="J57" s="107">
        <f t="shared" si="1"/>
        <v>0</v>
      </c>
      <c r="K57" s="107">
        <f t="shared" si="2"/>
        <v>0</v>
      </c>
    </row>
    <row r="58" spans="1:13">
      <c r="A58" s="102"/>
      <c r="B58" s="115" t="s">
        <v>70</v>
      </c>
      <c r="C58" s="102"/>
      <c r="D58" s="102"/>
      <c r="E58" s="102"/>
      <c r="F58" s="107"/>
      <c r="G58" s="97"/>
      <c r="H58" s="97"/>
      <c r="I58" s="96">
        <f t="shared" si="1"/>
        <v>0</v>
      </c>
      <c r="J58" s="96">
        <f t="shared" si="1"/>
        <v>0</v>
      </c>
      <c r="K58" s="96">
        <f t="shared" si="2"/>
        <v>0</v>
      </c>
    </row>
    <row r="59" spans="1:13">
      <c r="A59" s="93"/>
      <c r="B59" s="116"/>
      <c r="C59" s="95"/>
      <c r="D59" s="95"/>
      <c r="E59" s="95"/>
      <c r="F59" s="107"/>
      <c r="G59" s="97"/>
      <c r="H59" s="97"/>
      <c r="I59" s="96">
        <f t="shared" si="1"/>
        <v>0</v>
      </c>
      <c r="J59" s="96">
        <f t="shared" si="1"/>
        <v>0</v>
      </c>
      <c r="K59" s="96">
        <f t="shared" si="2"/>
        <v>0</v>
      </c>
    </row>
    <row r="60" spans="1:13" s="91" customFormat="1">
      <c r="A60" s="117"/>
      <c r="B60" s="118" t="s">
        <v>71</v>
      </c>
      <c r="C60" s="117"/>
      <c r="D60" s="117"/>
      <c r="E60" s="117"/>
      <c r="F60" s="119"/>
      <c r="G60" s="120"/>
      <c r="H60" s="120"/>
      <c r="I60" s="119">
        <f>SUM(I22:I59)</f>
        <v>0</v>
      </c>
      <c r="J60" s="119">
        <f>SUM(J22:J59)</f>
        <v>0</v>
      </c>
      <c r="K60" s="119">
        <f>SUM(K22:K59)</f>
        <v>0</v>
      </c>
      <c r="L60" s="98"/>
    </row>
    <row r="61" spans="1:13">
      <c r="A61" s="93"/>
      <c r="B61" s="116"/>
      <c r="C61" s="95"/>
      <c r="D61" s="95"/>
      <c r="E61" s="95"/>
      <c r="F61" s="96"/>
      <c r="G61" s="97"/>
      <c r="H61" s="97"/>
      <c r="I61" s="96"/>
      <c r="J61" s="96"/>
      <c r="K61" s="96"/>
    </row>
    <row r="62" spans="1:13" s="92" customFormat="1">
      <c r="A62" s="86" t="s">
        <v>10</v>
      </c>
      <c r="B62" s="87" t="s">
        <v>17</v>
      </c>
      <c r="C62" s="88"/>
      <c r="D62" s="88"/>
      <c r="E62" s="88"/>
      <c r="F62" s="88"/>
      <c r="G62" s="90"/>
      <c r="H62" s="90"/>
      <c r="I62" s="89"/>
      <c r="J62" s="89"/>
      <c r="K62" s="89"/>
      <c r="L62" s="98"/>
    </row>
    <row r="63" spans="1:13">
      <c r="A63" s="93">
        <v>1</v>
      </c>
      <c r="B63" s="121" t="s">
        <v>72</v>
      </c>
      <c r="C63" s="95"/>
      <c r="D63" s="95"/>
      <c r="E63" s="95"/>
      <c r="F63" s="96"/>
      <c r="G63" s="97"/>
      <c r="H63" s="97"/>
      <c r="I63" s="96"/>
      <c r="J63" s="96"/>
      <c r="K63" s="96"/>
    </row>
    <row r="64" spans="1:13">
      <c r="A64" s="93"/>
      <c r="B64" s="122" t="s">
        <v>73</v>
      </c>
      <c r="C64" s="95"/>
      <c r="D64" s="95"/>
      <c r="E64" s="95"/>
      <c r="F64" s="96"/>
      <c r="G64" s="97"/>
      <c r="H64" s="97"/>
      <c r="I64" s="96"/>
      <c r="J64" s="96"/>
      <c r="K64" s="96"/>
    </row>
    <row r="65" spans="1:13" ht="31">
      <c r="A65" s="93"/>
      <c r="B65" s="122" t="s">
        <v>74</v>
      </c>
      <c r="C65" s="95"/>
      <c r="D65" s="95"/>
      <c r="E65" s="95"/>
      <c r="F65" s="96"/>
      <c r="G65" s="97"/>
      <c r="H65" s="97"/>
      <c r="I65" s="96"/>
      <c r="J65" s="96"/>
      <c r="K65" s="96"/>
    </row>
    <row r="66" spans="1:13">
      <c r="A66" s="93"/>
      <c r="B66" s="122" t="s">
        <v>75</v>
      </c>
      <c r="C66" s="95"/>
      <c r="D66" s="95"/>
      <c r="E66" s="95"/>
      <c r="F66" s="96"/>
      <c r="G66" s="97"/>
      <c r="H66" s="97"/>
      <c r="I66" s="96"/>
      <c r="J66" s="96"/>
      <c r="K66" s="96"/>
    </row>
    <row r="67" spans="1:13" ht="31">
      <c r="A67" s="93"/>
      <c r="B67" s="122" t="s">
        <v>76</v>
      </c>
      <c r="C67" s="95"/>
      <c r="D67" s="95"/>
      <c r="E67" s="95"/>
      <c r="F67" s="107"/>
      <c r="G67" s="109"/>
      <c r="H67" s="109"/>
      <c r="I67" s="96"/>
      <c r="J67" s="96"/>
      <c r="K67" s="96"/>
    </row>
    <row r="68" spans="1:13">
      <c r="A68" s="93"/>
      <c r="B68" s="122"/>
      <c r="C68" s="95"/>
      <c r="D68" s="95"/>
      <c r="E68" s="95"/>
      <c r="F68" s="107"/>
      <c r="G68" s="109"/>
      <c r="H68" s="109"/>
      <c r="I68" s="96"/>
      <c r="J68" s="96"/>
      <c r="K68" s="96"/>
    </row>
    <row r="69" spans="1:13" ht="31">
      <c r="A69" s="93">
        <f>+A63+0.1</f>
        <v>1.1000000000000001</v>
      </c>
      <c r="B69" s="116" t="s">
        <v>77</v>
      </c>
      <c r="C69" s="95" t="s">
        <v>78</v>
      </c>
      <c r="D69" s="95">
        <v>10</v>
      </c>
      <c r="E69" s="95">
        <v>40</v>
      </c>
      <c r="F69" s="107">
        <f>SUM(D69:E69)</f>
        <v>50</v>
      </c>
      <c r="G69" s="139"/>
      <c r="H69" s="139"/>
      <c r="I69" s="96">
        <f t="shared" ref="I69:J86" si="5">+N($F69)*N(G69)</f>
        <v>0</v>
      </c>
      <c r="J69" s="96">
        <f t="shared" si="5"/>
        <v>0</v>
      </c>
      <c r="K69" s="96">
        <f t="shared" ref="K69:K105" si="6">J69+I69</f>
        <v>0</v>
      </c>
    </row>
    <row r="70" spans="1:13">
      <c r="A70" s="93"/>
      <c r="B70" s="116"/>
      <c r="C70" s="95"/>
      <c r="D70" s="95"/>
      <c r="E70" s="95"/>
      <c r="F70" s="107">
        <f t="shared" ref="F70:F105" si="7">SUM(D70:E70)</f>
        <v>0</v>
      </c>
      <c r="G70" s="139"/>
      <c r="H70" s="139"/>
      <c r="I70" s="107">
        <f t="shared" si="5"/>
        <v>0</v>
      </c>
      <c r="J70" s="107">
        <f t="shared" si="5"/>
        <v>0</v>
      </c>
      <c r="K70" s="107">
        <f t="shared" si="6"/>
        <v>0</v>
      </c>
    </row>
    <row r="71" spans="1:13" ht="62">
      <c r="A71" s="93">
        <v>1.2</v>
      </c>
      <c r="B71" s="116" t="s">
        <v>323</v>
      </c>
      <c r="C71" s="95" t="s">
        <v>78</v>
      </c>
      <c r="D71" s="95">
        <f>10+5</f>
        <v>15</v>
      </c>
      <c r="E71" s="95">
        <f>284+12</f>
        <v>296</v>
      </c>
      <c r="F71" s="107">
        <f t="shared" si="7"/>
        <v>311</v>
      </c>
      <c r="G71" s="139"/>
      <c r="H71" s="139"/>
      <c r="I71" s="107">
        <f t="shared" si="5"/>
        <v>0</v>
      </c>
      <c r="J71" s="107">
        <f t="shared" si="5"/>
        <v>0</v>
      </c>
      <c r="K71" s="107">
        <f t="shared" si="6"/>
        <v>0</v>
      </c>
      <c r="M71" s="227" t="s">
        <v>375</v>
      </c>
    </row>
    <row r="72" spans="1:13">
      <c r="A72" s="93"/>
      <c r="B72" s="116"/>
      <c r="C72" s="95"/>
      <c r="D72" s="95"/>
      <c r="E72" s="95"/>
      <c r="F72" s="107">
        <f t="shared" si="7"/>
        <v>0</v>
      </c>
      <c r="G72" s="139"/>
      <c r="H72" s="139"/>
      <c r="I72" s="107">
        <f t="shared" si="5"/>
        <v>0</v>
      </c>
      <c r="J72" s="107">
        <f t="shared" si="5"/>
        <v>0</v>
      </c>
      <c r="K72" s="107">
        <f t="shared" si="6"/>
        <v>0</v>
      </c>
    </row>
    <row r="73" spans="1:13" ht="31">
      <c r="A73" s="93">
        <v>1.3</v>
      </c>
      <c r="B73" s="116" t="s">
        <v>79</v>
      </c>
      <c r="C73" s="95" t="s">
        <v>78</v>
      </c>
      <c r="D73" s="95"/>
      <c r="E73" s="95"/>
      <c r="F73" s="107">
        <f t="shared" si="7"/>
        <v>0</v>
      </c>
      <c r="G73" s="139"/>
      <c r="H73" s="139"/>
      <c r="I73" s="107">
        <f t="shared" si="5"/>
        <v>0</v>
      </c>
      <c r="J73" s="107">
        <f t="shared" si="5"/>
        <v>0</v>
      </c>
      <c r="K73" s="107">
        <f t="shared" si="6"/>
        <v>0</v>
      </c>
    </row>
    <row r="74" spans="1:13">
      <c r="A74" s="93"/>
      <c r="B74" s="116"/>
      <c r="C74" s="95"/>
      <c r="D74" s="95"/>
      <c r="E74" s="95"/>
      <c r="F74" s="107">
        <f t="shared" si="7"/>
        <v>0</v>
      </c>
      <c r="G74" s="139"/>
      <c r="H74" s="139"/>
      <c r="I74" s="107">
        <f t="shared" si="5"/>
        <v>0</v>
      </c>
      <c r="J74" s="107">
        <f t="shared" si="5"/>
        <v>0</v>
      </c>
      <c r="K74" s="107">
        <f t="shared" si="6"/>
        <v>0</v>
      </c>
    </row>
    <row r="75" spans="1:13" ht="46.5">
      <c r="A75" s="93">
        <v>1.4</v>
      </c>
      <c r="B75" s="124" t="s">
        <v>372</v>
      </c>
      <c r="C75" s="95" t="s">
        <v>78</v>
      </c>
      <c r="D75" s="95">
        <v>5</v>
      </c>
      <c r="E75" s="95">
        <f>27+3</f>
        <v>30</v>
      </c>
      <c r="F75" s="107">
        <f t="shared" si="7"/>
        <v>35</v>
      </c>
      <c r="G75" s="139"/>
      <c r="H75" s="139"/>
      <c r="I75" s="107">
        <f t="shared" si="5"/>
        <v>0</v>
      </c>
      <c r="J75" s="107">
        <f t="shared" si="5"/>
        <v>0</v>
      </c>
      <c r="K75" s="107">
        <f t="shared" si="6"/>
        <v>0</v>
      </c>
      <c r="M75" s="98" t="s">
        <v>365</v>
      </c>
    </row>
    <row r="76" spans="1:13">
      <c r="A76" s="93"/>
      <c r="B76" s="116"/>
      <c r="C76" s="95"/>
      <c r="D76" s="95"/>
      <c r="E76" s="95"/>
      <c r="F76" s="107">
        <f t="shared" si="7"/>
        <v>0</v>
      </c>
      <c r="G76" s="139"/>
      <c r="H76" s="139"/>
      <c r="I76" s="107">
        <f t="shared" si="5"/>
        <v>0</v>
      </c>
      <c r="J76" s="107">
        <f t="shared" si="5"/>
        <v>0</v>
      </c>
      <c r="K76" s="107">
        <f t="shared" si="6"/>
        <v>0</v>
      </c>
    </row>
    <row r="77" spans="1:13" ht="46.5">
      <c r="A77" s="93">
        <v>1.5</v>
      </c>
      <c r="B77" s="124" t="s">
        <v>373</v>
      </c>
      <c r="C77" s="95" t="s">
        <v>78</v>
      </c>
      <c r="D77" s="95"/>
      <c r="E77" s="95">
        <f>3+3</f>
        <v>6</v>
      </c>
      <c r="F77" s="107">
        <f t="shared" si="7"/>
        <v>6</v>
      </c>
      <c r="G77" s="139"/>
      <c r="H77" s="139"/>
      <c r="I77" s="107">
        <f t="shared" si="5"/>
        <v>0</v>
      </c>
      <c r="J77" s="107">
        <f t="shared" si="5"/>
        <v>0</v>
      </c>
      <c r="K77" s="107">
        <f t="shared" si="6"/>
        <v>0</v>
      </c>
      <c r="M77" s="98" t="s">
        <v>365</v>
      </c>
    </row>
    <row r="78" spans="1:13">
      <c r="A78" s="93"/>
      <c r="B78" s="116"/>
      <c r="C78" s="95"/>
      <c r="D78" s="95"/>
      <c r="E78" s="95"/>
      <c r="F78" s="107">
        <f t="shared" si="7"/>
        <v>0</v>
      </c>
      <c r="G78" s="139"/>
      <c r="H78" s="139"/>
      <c r="I78" s="107">
        <f t="shared" si="5"/>
        <v>0</v>
      </c>
      <c r="J78" s="107">
        <f t="shared" si="5"/>
        <v>0</v>
      </c>
      <c r="K78" s="107">
        <f t="shared" si="6"/>
        <v>0</v>
      </c>
    </row>
    <row r="79" spans="1:13" ht="46.5">
      <c r="A79" s="93">
        <v>1.5</v>
      </c>
      <c r="B79" s="124" t="s">
        <v>371</v>
      </c>
      <c r="C79" s="95" t="s">
        <v>78</v>
      </c>
      <c r="D79" s="95"/>
      <c r="E79" s="95">
        <f>201+21+10</f>
        <v>232</v>
      </c>
      <c r="F79" s="107">
        <f t="shared" si="7"/>
        <v>232</v>
      </c>
      <c r="G79" s="139"/>
      <c r="H79" s="139"/>
      <c r="I79" s="107">
        <f t="shared" ref="I79:I80" si="8">+N($F79)*N(G79)</f>
        <v>0</v>
      </c>
      <c r="J79" s="107">
        <f t="shared" ref="J79:J80" si="9">+N($F79)*N(H79)</f>
        <v>0</v>
      </c>
      <c r="K79" s="107">
        <f t="shared" ref="K79:K80" si="10">J79+I79</f>
        <v>0</v>
      </c>
      <c r="M79" s="98" t="s">
        <v>365</v>
      </c>
    </row>
    <row r="80" spans="1:13">
      <c r="A80" s="93"/>
      <c r="B80" s="116"/>
      <c r="C80" s="95"/>
      <c r="D80" s="95"/>
      <c r="E80" s="95"/>
      <c r="F80" s="107">
        <f t="shared" si="7"/>
        <v>0</v>
      </c>
      <c r="G80" s="139"/>
      <c r="H80" s="139"/>
      <c r="I80" s="107">
        <f t="shared" si="8"/>
        <v>0</v>
      </c>
      <c r="J80" s="107">
        <f t="shared" si="9"/>
        <v>0</v>
      </c>
      <c r="K80" s="107">
        <f t="shared" si="10"/>
        <v>0</v>
      </c>
    </row>
    <row r="81" spans="1:13" ht="31">
      <c r="A81" s="93">
        <v>1.6</v>
      </c>
      <c r="B81" s="116" t="s">
        <v>324</v>
      </c>
      <c r="C81" s="95" t="s">
        <v>78</v>
      </c>
      <c r="D81" s="95"/>
      <c r="E81" s="95">
        <f>24+5</f>
        <v>29</v>
      </c>
      <c r="F81" s="107">
        <f t="shared" si="7"/>
        <v>29</v>
      </c>
      <c r="G81" s="139"/>
      <c r="H81" s="139"/>
      <c r="I81" s="107">
        <f t="shared" si="5"/>
        <v>0</v>
      </c>
      <c r="J81" s="107">
        <f t="shared" si="5"/>
        <v>0</v>
      </c>
      <c r="K81" s="107">
        <f t="shared" si="6"/>
        <v>0</v>
      </c>
    </row>
    <row r="82" spans="1:13">
      <c r="A82" s="93"/>
      <c r="B82" s="116"/>
      <c r="C82" s="95"/>
      <c r="D82" s="95"/>
      <c r="E82" s="95"/>
      <c r="F82" s="107">
        <f t="shared" si="7"/>
        <v>0</v>
      </c>
      <c r="G82" s="139"/>
      <c r="H82" s="139"/>
      <c r="I82" s="107">
        <f t="shared" si="5"/>
        <v>0</v>
      </c>
      <c r="J82" s="107">
        <f t="shared" si="5"/>
        <v>0</v>
      </c>
      <c r="K82" s="107">
        <f t="shared" si="6"/>
        <v>0</v>
      </c>
    </row>
    <row r="83" spans="1:13" ht="31">
      <c r="A83" s="93">
        <f>+A75+0.1</f>
        <v>1.5</v>
      </c>
      <c r="B83" s="116" t="s">
        <v>80</v>
      </c>
      <c r="C83" s="95" t="s">
        <v>78</v>
      </c>
      <c r="D83" s="95"/>
      <c r="E83" s="95"/>
      <c r="F83" s="107">
        <f t="shared" si="7"/>
        <v>0</v>
      </c>
      <c r="G83" s="139"/>
      <c r="H83" s="139"/>
      <c r="I83" s="107">
        <f t="shared" si="5"/>
        <v>0</v>
      </c>
      <c r="J83" s="107">
        <f t="shared" si="5"/>
        <v>0</v>
      </c>
      <c r="K83" s="107">
        <f t="shared" si="6"/>
        <v>0</v>
      </c>
    </row>
    <row r="84" spans="1:13">
      <c r="A84" s="93"/>
      <c r="B84" s="116"/>
      <c r="C84" s="95"/>
      <c r="D84" s="95"/>
      <c r="E84" s="95"/>
      <c r="F84" s="107">
        <f t="shared" si="7"/>
        <v>0</v>
      </c>
      <c r="G84" s="139"/>
      <c r="H84" s="139"/>
      <c r="I84" s="107">
        <f t="shared" si="5"/>
        <v>0</v>
      </c>
      <c r="J84" s="107">
        <f t="shared" si="5"/>
        <v>0</v>
      </c>
      <c r="K84" s="107">
        <f t="shared" si="6"/>
        <v>0</v>
      </c>
    </row>
    <row r="85" spans="1:13" ht="31">
      <c r="A85" s="93">
        <v>1.7</v>
      </c>
      <c r="B85" s="116" t="s">
        <v>81</v>
      </c>
      <c r="C85" s="95" t="s">
        <v>78</v>
      </c>
      <c r="D85" s="95">
        <v>1</v>
      </c>
      <c r="E85" s="95">
        <v>1</v>
      </c>
      <c r="F85" s="107">
        <f t="shared" si="7"/>
        <v>2</v>
      </c>
      <c r="G85" s="139"/>
      <c r="H85" s="139"/>
      <c r="I85" s="107">
        <f t="shared" si="5"/>
        <v>0</v>
      </c>
      <c r="J85" s="107">
        <f t="shared" si="5"/>
        <v>0</v>
      </c>
      <c r="K85" s="107">
        <f t="shared" si="6"/>
        <v>0</v>
      </c>
    </row>
    <row r="86" spans="1:13">
      <c r="A86" s="93"/>
      <c r="B86" s="116"/>
      <c r="C86" s="95"/>
      <c r="D86" s="95"/>
      <c r="E86" s="95"/>
      <c r="F86" s="107">
        <f t="shared" si="7"/>
        <v>0</v>
      </c>
      <c r="G86" s="139"/>
      <c r="H86" s="139"/>
      <c r="I86" s="107">
        <f t="shared" si="5"/>
        <v>0</v>
      </c>
      <c r="J86" s="107">
        <f t="shared" si="5"/>
        <v>0</v>
      </c>
      <c r="K86" s="107">
        <f t="shared" si="6"/>
        <v>0</v>
      </c>
    </row>
    <row r="87" spans="1:13" ht="31">
      <c r="A87" s="93">
        <v>1.8</v>
      </c>
      <c r="B87" s="116" t="s">
        <v>319</v>
      </c>
      <c r="C87" s="95" t="s">
        <v>78</v>
      </c>
      <c r="D87" s="95">
        <v>1</v>
      </c>
      <c r="E87" s="95">
        <v>2</v>
      </c>
      <c r="F87" s="107">
        <f t="shared" si="7"/>
        <v>3</v>
      </c>
      <c r="G87" s="139"/>
      <c r="H87" s="139"/>
      <c r="I87" s="107">
        <f t="shared" ref="I87:J105" si="11">+N($F87)*N(G87)</f>
        <v>0</v>
      </c>
      <c r="J87" s="107">
        <f t="shared" si="11"/>
        <v>0</v>
      </c>
      <c r="K87" s="107">
        <f t="shared" si="6"/>
        <v>0</v>
      </c>
    </row>
    <row r="88" spans="1:13">
      <c r="A88" s="93"/>
      <c r="B88" s="116"/>
      <c r="C88" s="95"/>
      <c r="D88" s="95"/>
      <c r="E88" s="95"/>
      <c r="F88" s="107">
        <f t="shared" si="7"/>
        <v>0</v>
      </c>
      <c r="G88" s="139"/>
      <c r="H88" s="139"/>
      <c r="I88" s="107">
        <f t="shared" si="11"/>
        <v>0</v>
      </c>
      <c r="J88" s="107">
        <f t="shared" si="11"/>
        <v>0</v>
      </c>
      <c r="K88" s="107">
        <f t="shared" si="6"/>
        <v>0</v>
      </c>
    </row>
    <row r="89" spans="1:13">
      <c r="A89" s="93">
        <v>1.9</v>
      </c>
      <c r="B89" s="116" t="s">
        <v>321</v>
      </c>
      <c r="C89" s="95" t="s">
        <v>78</v>
      </c>
      <c r="D89" s="95">
        <v>1</v>
      </c>
      <c r="E89" s="95">
        <v>2</v>
      </c>
      <c r="F89" s="107">
        <f t="shared" si="7"/>
        <v>3</v>
      </c>
      <c r="G89" s="139"/>
      <c r="H89" s="139"/>
      <c r="I89" s="107">
        <f t="shared" si="11"/>
        <v>0</v>
      </c>
      <c r="J89" s="107">
        <f t="shared" si="11"/>
        <v>0</v>
      </c>
      <c r="K89" s="107">
        <f t="shared" si="6"/>
        <v>0</v>
      </c>
    </row>
    <row r="90" spans="1:13">
      <c r="A90" s="93"/>
      <c r="B90" s="116"/>
      <c r="C90" s="95"/>
      <c r="D90" s="95"/>
      <c r="E90" s="95"/>
      <c r="F90" s="107">
        <f t="shared" si="7"/>
        <v>0</v>
      </c>
      <c r="G90" s="139"/>
      <c r="H90" s="139"/>
      <c r="I90" s="107">
        <f t="shared" si="11"/>
        <v>0</v>
      </c>
      <c r="J90" s="107">
        <f t="shared" si="11"/>
        <v>0</v>
      </c>
      <c r="K90" s="107">
        <f t="shared" si="6"/>
        <v>0</v>
      </c>
    </row>
    <row r="91" spans="1:13">
      <c r="A91" s="123">
        <v>1.1000000000000001</v>
      </c>
      <c r="B91" s="116" t="s">
        <v>322</v>
      </c>
      <c r="C91" s="95" t="s">
        <v>78</v>
      </c>
      <c r="D91" s="95">
        <v>1</v>
      </c>
      <c r="E91" s="95">
        <v>2</v>
      </c>
      <c r="F91" s="107">
        <f t="shared" si="7"/>
        <v>3</v>
      </c>
      <c r="G91" s="139"/>
      <c r="H91" s="139"/>
      <c r="I91" s="107">
        <f t="shared" si="11"/>
        <v>0</v>
      </c>
      <c r="J91" s="107">
        <f t="shared" si="11"/>
        <v>0</v>
      </c>
      <c r="K91" s="107">
        <f t="shared" si="6"/>
        <v>0</v>
      </c>
    </row>
    <row r="92" spans="1:13">
      <c r="A92" s="93"/>
      <c r="B92" s="116"/>
      <c r="C92" s="95"/>
      <c r="D92" s="95"/>
      <c r="E92" s="95"/>
      <c r="F92" s="107">
        <f t="shared" si="7"/>
        <v>0</v>
      </c>
      <c r="G92" s="139"/>
      <c r="H92" s="139"/>
      <c r="I92" s="107">
        <f t="shared" si="11"/>
        <v>0</v>
      </c>
      <c r="J92" s="107">
        <f t="shared" si="11"/>
        <v>0</v>
      </c>
      <c r="K92" s="107">
        <f t="shared" si="6"/>
        <v>0</v>
      </c>
    </row>
    <row r="93" spans="1:13">
      <c r="A93" s="123">
        <v>1.1100000000000001</v>
      </c>
      <c r="B93" s="116" t="s">
        <v>320</v>
      </c>
      <c r="C93" s="95" t="s">
        <v>78</v>
      </c>
      <c r="D93" s="95"/>
      <c r="E93" s="95">
        <v>1</v>
      </c>
      <c r="F93" s="107">
        <f t="shared" si="7"/>
        <v>1</v>
      </c>
      <c r="G93" s="139"/>
      <c r="H93" s="139"/>
      <c r="I93" s="107">
        <f t="shared" si="11"/>
        <v>0</v>
      </c>
      <c r="J93" s="107">
        <f t="shared" si="11"/>
        <v>0</v>
      </c>
      <c r="K93" s="107">
        <f t="shared" si="6"/>
        <v>0</v>
      </c>
    </row>
    <row r="94" spans="1:13">
      <c r="A94" s="123"/>
      <c r="B94" s="116"/>
      <c r="C94" s="95"/>
      <c r="D94" s="95"/>
      <c r="E94" s="95"/>
      <c r="F94" s="107">
        <f t="shared" si="7"/>
        <v>0</v>
      </c>
      <c r="G94" s="139"/>
      <c r="H94" s="139"/>
      <c r="I94" s="107"/>
      <c r="J94" s="107"/>
      <c r="K94" s="107"/>
    </row>
    <row r="95" spans="1:13">
      <c r="A95" s="123">
        <v>1.1200000000000001</v>
      </c>
      <c r="B95" s="124" t="s">
        <v>325</v>
      </c>
      <c r="C95" s="95" t="s">
        <v>78</v>
      </c>
      <c r="D95" s="95">
        <v>5</v>
      </c>
      <c r="E95" s="95">
        <v>5</v>
      </c>
      <c r="F95" s="107">
        <f t="shared" si="7"/>
        <v>10</v>
      </c>
      <c r="G95" s="139"/>
      <c r="H95" s="139"/>
      <c r="I95" s="107">
        <f t="shared" ref="I95" si="12">+N($F95)*N(G95)</f>
        <v>0</v>
      </c>
      <c r="J95" s="107">
        <f t="shared" ref="J95" si="13">+N($F95)*N(H95)</f>
        <v>0</v>
      </c>
      <c r="K95" s="107">
        <f t="shared" ref="K95" si="14">J95+I95</f>
        <v>0</v>
      </c>
      <c r="M95" s="214" t="s">
        <v>366</v>
      </c>
    </row>
    <row r="96" spans="1:13">
      <c r="A96" s="123"/>
      <c r="B96" s="116"/>
      <c r="C96" s="95"/>
      <c r="D96" s="95"/>
      <c r="E96" s="95"/>
      <c r="F96" s="107">
        <f t="shared" si="7"/>
        <v>0</v>
      </c>
      <c r="G96" s="139"/>
      <c r="H96" s="139"/>
      <c r="I96" s="107"/>
      <c r="J96" s="107"/>
      <c r="K96" s="107"/>
    </row>
    <row r="97" spans="1:13">
      <c r="A97" s="123">
        <v>1.1399999999999999</v>
      </c>
      <c r="B97" s="124" t="s">
        <v>326</v>
      </c>
      <c r="C97" s="95" t="s">
        <v>78</v>
      </c>
      <c r="D97" s="95"/>
      <c r="E97" s="95">
        <f>8+2</f>
        <v>10</v>
      </c>
      <c r="F97" s="107">
        <f t="shared" si="7"/>
        <v>10</v>
      </c>
      <c r="G97" s="139"/>
      <c r="H97" s="139"/>
      <c r="I97" s="107">
        <f t="shared" ref="I97" si="15">+N($F97)*N(G97)</f>
        <v>0</v>
      </c>
      <c r="J97" s="107">
        <f t="shared" ref="J97" si="16">+N($F97)*N(H97)</f>
        <v>0</v>
      </c>
      <c r="K97" s="107">
        <f t="shared" ref="K97" si="17">J97+I97</f>
        <v>0</v>
      </c>
      <c r="M97" s="214" t="s">
        <v>365</v>
      </c>
    </row>
    <row r="98" spans="1:13">
      <c r="A98" s="123"/>
      <c r="B98" s="116"/>
      <c r="C98" s="95"/>
      <c r="D98" s="95"/>
      <c r="E98" s="95"/>
      <c r="F98" s="107">
        <f t="shared" si="7"/>
        <v>0</v>
      </c>
      <c r="G98" s="139"/>
      <c r="H98" s="139"/>
      <c r="I98" s="107"/>
      <c r="J98" s="107"/>
      <c r="K98" s="107"/>
    </row>
    <row r="99" spans="1:13">
      <c r="A99" s="123">
        <v>1.1499999999999999</v>
      </c>
      <c r="B99" s="116" t="s">
        <v>82</v>
      </c>
      <c r="C99" s="95" t="s">
        <v>78</v>
      </c>
      <c r="D99" s="95">
        <v>10</v>
      </c>
      <c r="E99" s="95">
        <v>190</v>
      </c>
      <c r="F99" s="107">
        <f t="shared" si="7"/>
        <v>200</v>
      </c>
      <c r="G99" s="139"/>
      <c r="H99" s="139"/>
      <c r="I99" s="107">
        <f t="shared" si="11"/>
        <v>0</v>
      </c>
      <c r="J99" s="107">
        <f t="shared" si="11"/>
        <v>0</v>
      </c>
      <c r="K99" s="107">
        <f t="shared" si="6"/>
        <v>0</v>
      </c>
    </row>
    <row r="100" spans="1:13">
      <c r="A100" s="123"/>
      <c r="B100" s="116"/>
      <c r="C100" s="95"/>
      <c r="D100" s="95"/>
      <c r="E100" s="95"/>
      <c r="F100" s="107">
        <f t="shared" si="7"/>
        <v>0</v>
      </c>
      <c r="G100" s="139"/>
      <c r="H100" s="139"/>
      <c r="I100" s="107">
        <f t="shared" si="11"/>
        <v>0</v>
      </c>
      <c r="J100" s="107">
        <f t="shared" si="11"/>
        <v>0</v>
      </c>
      <c r="K100" s="107">
        <f t="shared" si="6"/>
        <v>0</v>
      </c>
    </row>
    <row r="101" spans="1:13">
      <c r="A101" s="123">
        <v>1.1599999999999999</v>
      </c>
      <c r="B101" s="116" t="s">
        <v>83</v>
      </c>
      <c r="C101" s="95" t="s">
        <v>78</v>
      </c>
      <c r="D101" s="95">
        <v>2</v>
      </c>
      <c r="E101" s="95">
        <v>38</v>
      </c>
      <c r="F101" s="107">
        <f t="shared" si="7"/>
        <v>40</v>
      </c>
      <c r="G101" s="139"/>
      <c r="H101" s="139"/>
      <c r="I101" s="107">
        <f t="shared" si="11"/>
        <v>0</v>
      </c>
      <c r="J101" s="107">
        <f t="shared" si="11"/>
        <v>0</v>
      </c>
      <c r="K101" s="107">
        <f t="shared" si="6"/>
        <v>0</v>
      </c>
    </row>
    <row r="102" spans="1:13">
      <c r="A102" s="123"/>
      <c r="B102" s="116"/>
      <c r="C102" s="95"/>
      <c r="D102" s="95"/>
      <c r="E102" s="95"/>
      <c r="F102" s="107">
        <f t="shared" si="7"/>
        <v>0</v>
      </c>
      <c r="G102" s="139"/>
      <c r="H102" s="139"/>
      <c r="I102" s="107">
        <f t="shared" si="11"/>
        <v>0</v>
      </c>
      <c r="J102" s="107">
        <f t="shared" si="11"/>
        <v>0</v>
      </c>
      <c r="K102" s="107">
        <f t="shared" si="6"/>
        <v>0</v>
      </c>
    </row>
    <row r="103" spans="1:13">
      <c r="A103" s="123">
        <v>1.17</v>
      </c>
      <c r="B103" s="116" t="s">
        <v>84</v>
      </c>
      <c r="C103" s="95" t="s">
        <v>78</v>
      </c>
      <c r="D103" s="95">
        <v>2</v>
      </c>
      <c r="E103" s="95">
        <v>38</v>
      </c>
      <c r="F103" s="107">
        <f t="shared" si="7"/>
        <v>40</v>
      </c>
      <c r="G103" s="139"/>
      <c r="H103" s="139"/>
      <c r="I103" s="107">
        <f t="shared" si="11"/>
        <v>0</v>
      </c>
      <c r="J103" s="107">
        <f t="shared" si="11"/>
        <v>0</v>
      </c>
      <c r="K103" s="107">
        <f t="shared" si="6"/>
        <v>0</v>
      </c>
    </row>
    <row r="104" spans="1:13">
      <c r="A104" s="123"/>
      <c r="B104" s="116"/>
      <c r="C104" s="95"/>
      <c r="D104" s="95"/>
      <c r="E104" s="95"/>
      <c r="F104" s="107">
        <f t="shared" si="7"/>
        <v>0</v>
      </c>
      <c r="G104" s="139"/>
      <c r="H104" s="139"/>
      <c r="I104" s="107">
        <f t="shared" si="11"/>
        <v>0</v>
      </c>
      <c r="J104" s="107">
        <f t="shared" si="11"/>
        <v>0</v>
      </c>
      <c r="K104" s="107">
        <f t="shared" si="6"/>
        <v>0</v>
      </c>
    </row>
    <row r="105" spans="1:13" ht="46.5">
      <c r="A105" s="123">
        <v>1.18</v>
      </c>
      <c r="B105" s="116" t="s">
        <v>85</v>
      </c>
      <c r="C105" s="95" t="s">
        <v>78</v>
      </c>
      <c r="D105" s="95">
        <v>5</v>
      </c>
      <c r="E105" s="95">
        <v>5</v>
      </c>
      <c r="F105" s="107">
        <f t="shared" si="7"/>
        <v>10</v>
      </c>
      <c r="G105" s="139"/>
      <c r="H105" s="139"/>
      <c r="I105" s="107">
        <f t="shared" si="11"/>
        <v>0</v>
      </c>
      <c r="J105" s="107">
        <f t="shared" si="11"/>
        <v>0</v>
      </c>
      <c r="K105" s="107">
        <f t="shared" si="6"/>
        <v>0</v>
      </c>
    </row>
    <row r="106" spans="1:13">
      <c r="A106" s="123"/>
      <c r="B106" s="116"/>
      <c r="C106" s="95"/>
      <c r="D106" s="95"/>
      <c r="E106" s="95"/>
      <c r="F106" s="107"/>
      <c r="G106" s="139"/>
      <c r="H106" s="139"/>
      <c r="I106" s="107"/>
      <c r="J106" s="107"/>
      <c r="K106" s="107"/>
    </row>
    <row r="107" spans="1:13" s="91" customFormat="1">
      <c r="A107" s="117"/>
      <c r="B107" s="118" t="s">
        <v>71</v>
      </c>
      <c r="C107" s="117"/>
      <c r="D107" s="117"/>
      <c r="E107" s="117"/>
      <c r="F107" s="119"/>
      <c r="G107" s="120"/>
      <c r="H107" s="120"/>
      <c r="I107" s="119">
        <f>SUM(I68:I106)</f>
        <v>0</v>
      </c>
      <c r="J107" s="119">
        <f>SUM(J68:J106)</f>
        <v>0</v>
      </c>
      <c r="K107" s="119">
        <f>SUM(K68:K106)</f>
        <v>0</v>
      </c>
      <c r="L107" s="98"/>
    </row>
    <row r="108" spans="1:13">
      <c r="A108" s="93"/>
      <c r="B108" s="121"/>
      <c r="C108" s="95"/>
      <c r="D108" s="95"/>
      <c r="E108" s="95"/>
      <c r="F108" s="96"/>
      <c r="G108" s="97"/>
      <c r="H108" s="97"/>
      <c r="I108" s="96"/>
      <c r="J108" s="96"/>
      <c r="K108" s="96"/>
    </row>
    <row r="109" spans="1:13" s="92" customFormat="1">
      <c r="A109" s="86" t="s">
        <v>18</v>
      </c>
      <c r="B109" s="87" t="s">
        <v>19</v>
      </c>
      <c r="C109" s="88"/>
      <c r="D109" s="88"/>
      <c r="E109" s="88"/>
      <c r="F109" s="88"/>
      <c r="G109" s="90"/>
      <c r="H109" s="90"/>
      <c r="I109" s="89"/>
      <c r="J109" s="89"/>
      <c r="K109" s="89"/>
      <c r="L109" s="98"/>
    </row>
    <row r="110" spans="1:13">
      <c r="A110" s="93"/>
      <c r="B110" s="121"/>
      <c r="C110" s="95"/>
      <c r="D110" s="95"/>
      <c r="E110" s="95"/>
      <c r="F110" s="96"/>
      <c r="G110" s="97"/>
      <c r="H110" s="97"/>
      <c r="I110" s="96"/>
      <c r="J110" s="96"/>
      <c r="K110" s="96"/>
    </row>
    <row r="111" spans="1:13" ht="291.64999999999998" customHeight="1">
      <c r="A111" s="93"/>
      <c r="B111" s="125" t="s">
        <v>86</v>
      </c>
      <c r="C111" s="95"/>
      <c r="D111" s="95"/>
      <c r="E111" s="95"/>
      <c r="F111" s="96"/>
      <c r="G111" s="97"/>
      <c r="H111" s="97"/>
      <c r="I111" s="96"/>
      <c r="J111" s="96"/>
      <c r="K111" s="96"/>
    </row>
    <row r="112" spans="1:13">
      <c r="A112" s="93"/>
      <c r="B112" s="125" t="s">
        <v>87</v>
      </c>
      <c r="C112" s="95"/>
      <c r="D112" s="95"/>
      <c r="E112" s="95"/>
      <c r="F112" s="96"/>
      <c r="G112" s="97"/>
      <c r="H112" s="97"/>
      <c r="I112" s="96"/>
      <c r="J112" s="96"/>
      <c r="K112" s="96"/>
    </row>
    <row r="113" spans="1:11" ht="46.5">
      <c r="A113" s="93"/>
      <c r="B113" s="125" t="s">
        <v>88</v>
      </c>
      <c r="C113" s="95"/>
      <c r="D113" s="95"/>
      <c r="E113" s="95"/>
      <c r="F113" s="96"/>
      <c r="G113" s="97"/>
      <c r="H113" s="97"/>
      <c r="I113" s="96"/>
      <c r="J113" s="96"/>
      <c r="K113" s="96"/>
    </row>
    <row r="114" spans="1:11">
      <c r="A114" s="93"/>
      <c r="B114" s="125" t="s">
        <v>89</v>
      </c>
      <c r="C114" s="95"/>
      <c r="D114" s="95"/>
      <c r="E114" s="95"/>
      <c r="F114" s="96"/>
      <c r="G114" s="97"/>
      <c r="H114" s="97"/>
      <c r="I114" s="96"/>
      <c r="J114" s="96"/>
      <c r="K114" s="96"/>
    </row>
    <row r="115" spans="1:11">
      <c r="A115" s="93"/>
      <c r="B115" s="125" t="s">
        <v>90</v>
      </c>
      <c r="C115" s="95"/>
      <c r="D115" s="95"/>
      <c r="E115" s="95"/>
      <c r="F115" s="96"/>
      <c r="G115" s="97"/>
      <c r="H115" s="97"/>
      <c r="I115" s="96"/>
      <c r="J115" s="96"/>
      <c r="K115" s="96"/>
    </row>
    <row r="116" spans="1:11">
      <c r="A116" s="93"/>
      <c r="B116" s="125" t="s">
        <v>91</v>
      </c>
      <c r="C116" s="95"/>
      <c r="D116" s="95"/>
      <c r="E116" s="95"/>
      <c r="F116" s="96"/>
      <c r="G116" s="97"/>
      <c r="H116" s="97"/>
      <c r="I116" s="96"/>
      <c r="J116" s="96"/>
      <c r="K116" s="96"/>
    </row>
    <row r="117" spans="1:11">
      <c r="A117" s="93"/>
      <c r="B117" s="125" t="s">
        <v>92</v>
      </c>
      <c r="C117" s="95"/>
      <c r="D117" s="95"/>
      <c r="E117" s="95"/>
      <c r="F117" s="96"/>
      <c r="G117" s="97"/>
      <c r="H117" s="97"/>
      <c r="I117" s="96"/>
      <c r="J117" s="96"/>
      <c r="K117" s="96"/>
    </row>
    <row r="118" spans="1:11">
      <c r="A118" s="93"/>
      <c r="B118" s="125" t="s">
        <v>93</v>
      </c>
      <c r="C118" s="95"/>
      <c r="D118" s="95"/>
      <c r="E118" s="95"/>
      <c r="F118" s="96"/>
      <c r="G118" s="97"/>
      <c r="H118" s="97"/>
      <c r="I118" s="96"/>
      <c r="J118" s="96"/>
      <c r="K118" s="96"/>
    </row>
    <row r="119" spans="1:11">
      <c r="A119" s="93"/>
      <c r="B119" s="125" t="s">
        <v>94</v>
      </c>
      <c r="C119" s="95"/>
      <c r="D119" s="95"/>
      <c r="E119" s="95"/>
      <c r="F119" s="96"/>
      <c r="G119" s="97"/>
      <c r="H119" s="97"/>
      <c r="I119" s="96"/>
      <c r="J119" s="96"/>
      <c r="K119" s="96"/>
    </row>
    <row r="120" spans="1:11">
      <c r="A120" s="93"/>
      <c r="B120" s="125" t="s">
        <v>95</v>
      </c>
      <c r="C120" s="95"/>
      <c r="D120" s="95"/>
      <c r="E120" s="95"/>
      <c r="F120" s="96"/>
      <c r="G120" s="97"/>
      <c r="H120" s="97"/>
      <c r="I120" s="96"/>
      <c r="J120" s="96"/>
      <c r="K120" s="96"/>
    </row>
    <row r="121" spans="1:11">
      <c r="A121" s="93"/>
      <c r="B121" s="125" t="s">
        <v>96</v>
      </c>
      <c r="C121" s="95"/>
      <c r="D121" s="95"/>
      <c r="E121" s="95"/>
      <c r="F121" s="96"/>
      <c r="G121" s="97"/>
      <c r="H121" s="97"/>
      <c r="I121" s="96"/>
      <c r="J121" s="96"/>
      <c r="K121" s="96"/>
    </row>
    <row r="122" spans="1:11" ht="31">
      <c r="A122" s="93"/>
      <c r="B122" s="125" t="s">
        <v>97</v>
      </c>
      <c r="C122" s="95"/>
      <c r="D122" s="95"/>
      <c r="E122" s="95"/>
      <c r="F122" s="96"/>
      <c r="G122" s="97"/>
      <c r="H122" s="97"/>
      <c r="I122" s="96"/>
      <c r="J122" s="96"/>
      <c r="K122" s="96"/>
    </row>
    <row r="123" spans="1:11">
      <c r="A123" s="93"/>
      <c r="B123" s="126" t="s">
        <v>98</v>
      </c>
      <c r="C123" s="95"/>
      <c r="D123" s="95"/>
      <c r="E123" s="95"/>
      <c r="F123" s="96"/>
      <c r="G123" s="97"/>
      <c r="H123" s="97"/>
      <c r="I123" s="96"/>
      <c r="J123" s="96"/>
      <c r="K123" s="96"/>
    </row>
    <row r="124" spans="1:11">
      <c r="A124" s="93"/>
      <c r="B124" s="127"/>
      <c r="C124" s="95"/>
      <c r="D124" s="95"/>
      <c r="E124" s="95"/>
      <c r="F124" s="96"/>
      <c r="G124" s="97"/>
      <c r="H124" s="97"/>
      <c r="I124" s="96"/>
      <c r="J124" s="96"/>
      <c r="K124" s="96"/>
    </row>
    <row r="125" spans="1:11">
      <c r="A125" s="93">
        <v>1</v>
      </c>
      <c r="B125" s="128" t="s">
        <v>99</v>
      </c>
      <c r="C125" s="95" t="s">
        <v>78</v>
      </c>
      <c r="D125" s="95"/>
      <c r="E125" s="95"/>
      <c r="F125" s="107">
        <f t="shared" ref="F125:F131" si="18">SUM(D125:E125)</f>
        <v>0</v>
      </c>
      <c r="G125" s="107"/>
      <c r="H125" s="107"/>
      <c r="I125" s="96">
        <f t="shared" ref="I125:J131" si="19">+N($F125)*N(G125)</f>
        <v>0</v>
      </c>
      <c r="J125" s="96">
        <f t="shared" si="19"/>
        <v>0</v>
      </c>
      <c r="K125" s="96">
        <f t="shared" ref="K125:K131" si="20">J125+I125</f>
        <v>0</v>
      </c>
    </row>
    <row r="126" spans="1:11">
      <c r="A126" s="93"/>
      <c r="B126" s="128"/>
      <c r="C126" s="95"/>
      <c r="D126" s="95"/>
      <c r="E126" s="95"/>
      <c r="F126" s="107">
        <f t="shared" si="18"/>
        <v>0</v>
      </c>
      <c r="G126" s="107"/>
      <c r="H126" s="107"/>
      <c r="I126" s="96">
        <f t="shared" si="19"/>
        <v>0</v>
      </c>
      <c r="J126" s="96">
        <f t="shared" si="19"/>
        <v>0</v>
      </c>
      <c r="K126" s="96">
        <f t="shared" si="20"/>
        <v>0</v>
      </c>
    </row>
    <row r="127" spans="1:11">
      <c r="A127" s="93">
        <v>2</v>
      </c>
      <c r="B127" s="128" t="s">
        <v>100</v>
      </c>
      <c r="C127" s="95" t="s">
        <v>78</v>
      </c>
      <c r="D127" s="95">
        <v>1</v>
      </c>
      <c r="E127" s="95"/>
      <c r="F127" s="107">
        <f t="shared" si="18"/>
        <v>1</v>
      </c>
      <c r="G127" s="107"/>
      <c r="H127" s="107"/>
      <c r="I127" s="107">
        <f t="shared" si="19"/>
        <v>0</v>
      </c>
      <c r="J127" s="107">
        <f t="shared" si="19"/>
        <v>0</v>
      </c>
      <c r="K127" s="107">
        <f t="shared" si="20"/>
        <v>0</v>
      </c>
    </row>
    <row r="128" spans="1:11">
      <c r="A128" s="93"/>
      <c r="B128" s="128"/>
      <c r="C128" s="95"/>
      <c r="D128" s="95"/>
      <c r="E128" s="95"/>
      <c r="F128" s="107">
        <f t="shared" si="18"/>
        <v>0</v>
      </c>
      <c r="G128" s="107"/>
      <c r="H128" s="107"/>
      <c r="I128" s="107">
        <f t="shared" si="19"/>
        <v>0</v>
      </c>
      <c r="J128" s="107">
        <f t="shared" si="19"/>
        <v>0</v>
      </c>
      <c r="K128" s="107">
        <f t="shared" si="20"/>
        <v>0</v>
      </c>
    </row>
    <row r="129" spans="1:12">
      <c r="A129" s="93">
        <v>3</v>
      </c>
      <c r="B129" s="128" t="s">
        <v>101</v>
      </c>
      <c r="C129" s="95" t="s">
        <v>78</v>
      </c>
      <c r="D129" s="95">
        <v>1</v>
      </c>
      <c r="E129" s="95"/>
      <c r="F129" s="107">
        <f t="shared" si="18"/>
        <v>1</v>
      </c>
      <c r="G129" s="107"/>
      <c r="H129" s="107"/>
      <c r="I129" s="107">
        <f t="shared" si="19"/>
        <v>0</v>
      </c>
      <c r="J129" s="107">
        <f t="shared" si="19"/>
        <v>0</v>
      </c>
      <c r="K129" s="107">
        <f t="shared" si="20"/>
        <v>0</v>
      </c>
    </row>
    <row r="130" spans="1:12">
      <c r="A130" s="93"/>
      <c r="B130" s="128"/>
      <c r="C130" s="95"/>
      <c r="D130" s="95"/>
      <c r="E130" s="95"/>
      <c r="F130" s="107">
        <f t="shared" si="18"/>
        <v>0</v>
      </c>
      <c r="G130" s="107"/>
      <c r="H130" s="107"/>
      <c r="I130" s="107">
        <f t="shared" si="19"/>
        <v>0</v>
      </c>
      <c r="J130" s="107">
        <f t="shared" si="19"/>
        <v>0</v>
      </c>
      <c r="K130" s="107">
        <f t="shared" si="20"/>
        <v>0</v>
      </c>
    </row>
    <row r="131" spans="1:12">
      <c r="A131" s="93">
        <v>4</v>
      </c>
      <c r="B131" s="128" t="s">
        <v>327</v>
      </c>
      <c r="C131" s="95" t="s">
        <v>78</v>
      </c>
      <c r="D131" s="95">
        <v>1</v>
      </c>
      <c r="E131" s="95"/>
      <c r="F131" s="107">
        <f t="shared" si="18"/>
        <v>1</v>
      </c>
      <c r="G131" s="107"/>
      <c r="H131" s="107"/>
      <c r="I131" s="107">
        <f t="shared" si="19"/>
        <v>0</v>
      </c>
      <c r="J131" s="107">
        <f t="shared" si="19"/>
        <v>0</v>
      </c>
      <c r="K131" s="107">
        <f t="shared" si="20"/>
        <v>0</v>
      </c>
    </row>
    <row r="132" spans="1:12">
      <c r="A132" s="93"/>
      <c r="B132" s="128"/>
      <c r="C132" s="95"/>
      <c r="D132" s="95"/>
      <c r="E132" s="95"/>
      <c r="F132" s="107"/>
      <c r="G132" s="129"/>
      <c r="H132" s="129"/>
      <c r="I132" s="107">
        <f t="shared" ref="I132" si="21">+N($F132)*N(G132)</f>
        <v>0</v>
      </c>
      <c r="J132" s="107">
        <f t="shared" ref="J132" si="22">+N($F132)*N(H132)</f>
        <v>0</v>
      </c>
      <c r="K132" s="107">
        <f t="shared" ref="K132" si="23">J132+I132</f>
        <v>0</v>
      </c>
    </row>
    <row r="133" spans="1:12" s="91" customFormat="1">
      <c r="A133" s="117"/>
      <c r="B133" s="118" t="s">
        <v>71</v>
      </c>
      <c r="C133" s="117"/>
      <c r="D133" s="117"/>
      <c r="E133" s="117"/>
      <c r="F133" s="119"/>
      <c r="G133" s="120"/>
      <c r="H133" s="120"/>
      <c r="I133" s="119">
        <f>SUM(I125:I132)</f>
        <v>0</v>
      </c>
      <c r="J133" s="119">
        <f>SUM(J125:J132)</f>
        <v>0</v>
      </c>
      <c r="K133" s="119">
        <f>SUM(K125:K132)</f>
        <v>0</v>
      </c>
      <c r="L133" s="98"/>
    </row>
    <row r="134" spans="1:12">
      <c r="A134" s="93"/>
      <c r="B134" s="127"/>
      <c r="C134" s="95"/>
      <c r="D134" s="95"/>
      <c r="E134" s="95"/>
      <c r="F134" s="96"/>
      <c r="G134" s="97"/>
      <c r="H134" s="97"/>
      <c r="I134" s="96"/>
      <c r="J134" s="96"/>
      <c r="K134" s="96"/>
    </row>
    <row r="135" spans="1:12" s="92" customFormat="1">
      <c r="A135" s="86" t="s">
        <v>12</v>
      </c>
      <c r="B135" s="87" t="s">
        <v>20</v>
      </c>
      <c r="C135" s="88"/>
      <c r="D135" s="88"/>
      <c r="E135" s="88"/>
      <c r="F135" s="88"/>
      <c r="G135" s="130"/>
      <c r="H135" s="130"/>
      <c r="I135" s="131"/>
      <c r="J135" s="131"/>
      <c r="K135" s="131"/>
      <c r="L135" s="98"/>
    </row>
    <row r="136" spans="1:12">
      <c r="A136" s="93"/>
      <c r="B136" s="132"/>
      <c r="C136" s="95"/>
      <c r="D136" s="95"/>
      <c r="E136" s="95"/>
      <c r="F136" s="96"/>
      <c r="G136" s="97"/>
      <c r="H136" s="97"/>
      <c r="I136" s="96"/>
      <c r="J136" s="96"/>
      <c r="K136" s="96"/>
    </row>
    <row r="137" spans="1:12" ht="62">
      <c r="A137" s="93"/>
      <c r="B137" s="125" t="s">
        <v>102</v>
      </c>
      <c r="C137" s="95"/>
      <c r="D137" s="95"/>
      <c r="E137" s="95"/>
      <c r="F137" s="96"/>
      <c r="G137" s="97"/>
      <c r="H137" s="97"/>
      <c r="I137" s="96"/>
      <c r="J137" s="96"/>
      <c r="K137" s="96"/>
    </row>
    <row r="138" spans="1:12" ht="31">
      <c r="A138" s="93"/>
      <c r="B138" s="125" t="s">
        <v>103</v>
      </c>
      <c r="C138" s="95"/>
      <c r="D138" s="95"/>
      <c r="E138" s="95"/>
      <c r="F138" s="96"/>
      <c r="G138" s="97"/>
      <c r="H138" s="97"/>
      <c r="I138" s="96"/>
      <c r="J138" s="96"/>
      <c r="K138" s="96"/>
    </row>
    <row r="139" spans="1:12">
      <c r="A139" s="93"/>
      <c r="B139" s="125" t="s">
        <v>104</v>
      </c>
      <c r="C139" s="95"/>
      <c r="D139" s="95"/>
      <c r="E139" s="95"/>
      <c r="F139" s="107"/>
      <c r="G139" s="109"/>
      <c r="H139" s="109"/>
      <c r="I139" s="107"/>
      <c r="J139" s="107"/>
      <c r="K139" s="107"/>
    </row>
    <row r="140" spans="1:12">
      <c r="A140" s="93"/>
      <c r="B140" s="125" t="s">
        <v>105</v>
      </c>
      <c r="C140" s="95"/>
      <c r="D140" s="95"/>
      <c r="E140" s="95"/>
      <c r="F140" s="107"/>
      <c r="G140" s="109"/>
      <c r="H140" s="109"/>
      <c r="I140" s="107"/>
      <c r="J140" s="107"/>
      <c r="K140" s="107"/>
    </row>
    <row r="141" spans="1:12">
      <c r="A141" s="93"/>
      <c r="B141" s="125" t="s">
        <v>106</v>
      </c>
      <c r="C141" s="95"/>
      <c r="D141" s="95"/>
      <c r="E141" s="95"/>
      <c r="F141" s="107"/>
      <c r="G141" s="109"/>
      <c r="H141" s="109"/>
      <c r="I141" s="107"/>
      <c r="J141" s="107"/>
      <c r="K141" s="107"/>
    </row>
    <row r="142" spans="1:12">
      <c r="A142" s="93"/>
      <c r="B142" s="125" t="s">
        <v>107</v>
      </c>
      <c r="C142" s="95"/>
      <c r="D142" s="95"/>
      <c r="E142" s="95"/>
      <c r="F142" s="107"/>
      <c r="G142" s="109"/>
      <c r="H142" s="109"/>
      <c r="I142" s="107"/>
      <c r="J142" s="107"/>
      <c r="K142" s="107"/>
    </row>
    <row r="143" spans="1:12" ht="31">
      <c r="A143" s="93"/>
      <c r="B143" s="125" t="s">
        <v>108</v>
      </c>
      <c r="C143" s="95"/>
      <c r="D143" s="95"/>
      <c r="E143" s="95"/>
      <c r="F143" s="107"/>
      <c r="G143" s="109"/>
      <c r="H143" s="109"/>
      <c r="I143" s="107"/>
      <c r="J143" s="107"/>
      <c r="K143" s="107"/>
    </row>
    <row r="144" spans="1:12">
      <c r="A144" s="93"/>
      <c r="B144" s="125" t="s">
        <v>109</v>
      </c>
      <c r="C144" s="95"/>
      <c r="D144" s="95"/>
      <c r="E144" s="95"/>
      <c r="F144" s="107"/>
      <c r="G144" s="109"/>
      <c r="H144" s="109"/>
      <c r="I144" s="107"/>
      <c r="J144" s="107"/>
      <c r="K144" s="107"/>
    </row>
    <row r="145" spans="1:11">
      <c r="A145" s="93"/>
      <c r="B145" s="125" t="s">
        <v>110</v>
      </c>
      <c r="C145" s="95"/>
      <c r="D145" s="95"/>
      <c r="E145" s="95"/>
      <c r="F145" s="107"/>
      <c r="G145" s="109"/>
      <c r="H145" s="109"/>
      <c r="I145" s="107"/>
      <c r="J145" s="107"/>
      <c r="K145" s="107"/>
    </row>
    <row r="146" spans="1:11" ht="31">
      <c r="A146" s="93"/>
      <c r="B146" s="125" t="s">
        <v>97</v>
      </c>
      <c r="C146" s="95"/>
      <c r="D146" s="95"/>
      <c r="E146" s="95"/>
      <c r="F146" s="107"/>
      <c r="G146" s="109"/>
      <c r="H146" s="109"/>
      <c r="I146" s="107"/>
      <c r="J146" s="107"/>
      <c r="K146" s="107"/>
    </row>
    <row r="147" spans="1:11">
      <c r="A147" s="93"/>
      <c r="B147" s="125"/>
      <c r="C147" s="95"/>
      <c r="D147" s="95"/>
      <c r="E147" s="95"/>
      <c r="F147" s="107"/>
      <c r="G147" s="109"/>
      <c r="H147" s="109"/>
      <c r="I147" s="107"/>
      <c r="J147" s="107"/>
      <c r="K147" s="107"/>
    </row>
    <row r="148" spans="1:11">
      <c r="A148" s="93"/>
      <c r="B148" s="133" t="s">
        <v>111</v>
      </c>
      <c r="C148" s="95"/>
      <c r="D148" s="95"/>
      <c r="E148" s="95"/>
      <c r="F148" s="107"/>
      <c r="G148" s="109"/>
      <c r="H148" s="109"/>
      <c r="I148" s="107"/>
      <c r="J148" s="107"/>
      <c r="K148" s="107"/>
    </row>
    <row r="149" spans="1:11">
      <c r="A149" s="93">
        <v>1</v>
      </c>
      <c r="B149" s="134" t="s">
        <v>112</v>
      </c>
      <c r="C149" s="95" t="s">
        <v>78</v>
      </c>
      <c r="D149" s="95"/>
      <c r="E149" s="95">
        <v>2</v>
      </c>
      <c r="F149" s="107">
        <f>SUM(D149:E149)</f>
        <v>2</v>
      </c>
      <c r="G149" s="138"/>
      <c r="H149" s="139"/>
      <c r="I149" s="96">
        <f t="shared" ref="I149:J164" si="24">+N($F149)*N(G149)</f>
        <v>0</v>
      </c>
      <c r="J149" s="96">
        <f t="shared" si="24"/>
        <v>0</v>
      </c>
      <c r="K149" s="96">
        <f t="shared" ref="K149:K212" si="25">J149+I149</f>
        <v>0</v>
      </c>
    </row>
    <row r="150" spans="1:11">
      <c r="A150" s="93"/>
      <c r="B150" s="135" t="s">
        <v>113</v>
      </c>
      <c r="C150" s="95"/>
      <c r="D150" s="95"/>
      <c r="E150" s="95"/>
      <c r="F150" s="107">
        <f t="shared" ref="F150:F213" si="26">SUM(D150:E150)</f>
        <v>0</v>
      </c>
      <c r="G150" s="215"/>
      <c r="H150" s="139"/>
      <c r="I150" s="107">
        <f t="shared" si="24"/>
        <v>0</v>
      </c>
      <c r="J150" s="107">
        <f t="shared" si="24"/>
        <v>0</v>
      </c>
      <c r="K150" s="107">
        <f t="shared" si="25"/>
        <v>0</v>
      </c>
    </row>
    <row r="151" spans="1:11">
      <c r="A151" s="93"/>
      <c r="B151" s="135" t="s">
        <v>114</v>
      </c>
      <c r="C151" s="95"/>
      <c r="D151" s="95"/>
      <c r="E151" s="95"/>
      <c r="F151" s="107">
        <f t="shared" si="26"/>
        <v>0</v>
      </c>
      <c r="G151" s="215"/>
      <c r="H151" s="139"/>
      <c r="I151" s="107">
        <f t="shared" si="24"/>
        <v>0</v>
      </c>
      <c r="J151" s="107">
        <f t="shared" si="24"/>
        <v>0</v>
      </c>
      <c r="K151" s="107">
        <f t="shared" si="25"/>
        <v>0</v>
      </c>
    </row>
    <row r="152" spans="1:11">
      <c r="A152" s="93"/>
      <c r="B152" s="135" t="s">
        <v>115</v>
      </c>
      <c r="C152" s="95"/>
      <c r="D152" s="95"/>
      <c r="E152" s="95"/>
      <c r="F152" s="107">
        <f t="shared" si="26"/>
        <v>0</v>
      </c>
      <c r="G152" s="215"/>
      <c r="H152" s="139"/>
      <c r="I152" s="107">
        <f t="shared" si="24"/>
        <v>0</v>
      </c>
      <c r="J152" s="107">
        <f t="shared" si="24"/>
        <v>0</v>
      </c>
      <c r="K152" s="107">
        <f t="shared" si="25"/>
        <v>0</v>
      </c>
    </row>
    <row r="153" spans="1:11">
      <c r="A153" s="93"/>
      <c r="B153" s="135" t="s">
        <v>116</v>
      </c>
      <c r="C153" s="95"/>
      <c r="D153" s="95"/>
      <c r="E153" s="95"/>
      <c r="F153" s="107">
        <f t="shared" si="26"/>
        <v>0</v>
      </c>
      <c r="G153" s="215"/>
      <c r="H153" s="139"/>
      <c r="I153" s="107">
        <f t="shared" si="24"/>
        <v>0</v>
      </c>
      <c r="J153" s="107">
        <f t="shared" si="24"/>
        <v>0</v>
      </c>
      <c r="K153" s="107">
        <f t="shared" si="25"/>
        <v>0</v>
      </c>
    </row>
    <row r="154" spans="1:11">
      <c r="A154" s="93"/>
      <c r="B154" s="135" t="s">
        <v>117</v>
      </c>
      <c r="C154" s="95"/>
      <c r="D154" s="95"/>
      <c r="E154" s="95"/>
      <c r="F154" s="107">
        <f t="shared" si="26"/>
        <v>0</v>
      </c>
      <c r="G154" s="215"/>
      <c r="H154" s="139"/>
      <c r="I154" s="107">
        <f t="shared" si="24"/>
        <v>0</v>
      </c>
      <c r="J154" s="107">
        <f t="shared" si="24"/>
        <v>0</v>
      </c>
      <c r="K154" s="107">
        <f t="shared" si="25"/>
        <v>0</v>
      </c>
    </row>
    <row r="155" spans="1:11">
      <c r="A155" s="93"/>
      <c r="B155" s="135" t="s">
        <v>118</v>
      </c>
      <c r="C155" s="95"/>
      <c r="D155" s="95"/>
      <c r="E155" s="95"/>
      <c r="F155" s="107">
        <f t="shared" si="26"/>
        <v>0</v>
      </c>
      <c r="G155" s="215"/>
      <c r="H155" s="139"/>
      <c r="I155" s="107">
        <f t="shared" si="24"/>
        <v>0</v>
      </c>
      <c r="J155" s="107">
        <f t="shared" si="24"/>
        <v>0</v>
      </c>
      <c r="K155" s="107">
        <f t="shared" si="25"/>
        <v>0</v>
      </c>
    </row>
    <row r="156" spans="1:11">
      <c r="A156" s="93"/>
      <c r="B156" s="94" t="s">
        <v>119</v>
      </c>
      <c r="C156" s="95"/>
      <c r="D156" s="95"/>
      <c r="E156" s="95"/>
      <c r="F156" s="107">
        <f t="shared" si="26"/>
        <v>0</v>
      </c>
      <c r="G156" s="215"/>
      <c r="H156" s="139"/>
      <c r="I156" s="107">
        <f t="shared" si="24"/>
        <v>0</v>
      </c>
      <c r="J156" s="107">
        <f t="shared" si="24"/>
        <v>0</v>
      </c>
      <c r="K156" s="107">
        <f t="shared" si="25"/>
        <v>0</v>
      </c>
    </row>
    <row r="157" spans="1:11">
      <c r="A157" s="93"/>
      <c r="B157" s="132"/>
      <c r="C157" s="95"/>
      <c r="D157" s="95"/>
      <c r="E157" s="95"/>
      <c r="F157" s="107">
        <f t="shared" si="26"/>
        <v>0</v>
      </c>
      <c r="G157" s="138"/>
      <c r="H157" s="139"/>
      <c r="I157" s="107">
        <f t="shared" si="24"/>
        <v>0</v>
      </c>
      <c r="J157" s="107">
        <f t="shared" si="24"/>
        <v>0</v>
      </c>
      <c r="K157" s="107">
        <f t="shared" si="25"/>
        <v>0</v>
      </c>
    </row>
    <row r="158" spans="1:11">
      <c r="A158" s="93">
        <v>2</v>
      </c>
      <c r="B158" s="134" t="s">
        <v>120</v>
      </c>
      <c r="C158" s="95" t="s">
        <v>78</v>
      </c>
      <c r="D158" s="95"/>
      <c r="E158" s="95">
        <v>2</v>
      </c>
      <c r="F158" s="107">
        <f t="shared" si="26"/>
        <v>2</v>
      </c>
      <c r="G158" s="138"/>
      <c r="H158" s="139"/>
      <c r="I158" s="96">
        <f t="shared" si="24"/>
        <v>0</v>
      </c>
      <c r="J158" s="96">
        <f t="shared" si="24"/>
        <v>0</v>
      </c>
      <c r="K158" s="96">
        <f t="shared" si="25"/>
        <v>0</v>
      </c>
    </row>
    <row r="159" spans="1:11">
      <c r="A159" s="93"/>
      <c r="B159" s="135" t="s">
        <v>121</v>
      </c>
      <c r="C159" s="95"/>
      <c r="D159" s="95"/>
      <c r="E159" s="95"/>
      <c r="F159" s="107">
        <f t="shared" si="26"/>
        <v>0</v>
      </c>
      <c r="G159" s="215"/>
      <c r="H159" s="139"/>
      <c r="I159" s="107">
        <f t="shared" si="24"/>
        <v>0</v>
      </c>
      <c r="J159" s="107">
        <f t="shared" si="24"/>
        <v>0</v>
      </c>
      <c r="K159" s="107">
        <f t="shared" si="25"/>
        <v>0</v>
      </c>
    </row>
    <row r="160" spans="1:11">
      <c r="A160" s="93"/>
      <c r="B160" s="135" t="s">
        <v>114</v>
      </c>
      <c r="C160" s="95"/>
      <c r="D160" s="95"/>
      <c r="E160" s="95"/>
      <c r="F160" s="107">
        <f t="shared" si="26"/>
        <v>0</v>
      </c>
      <c r="G160" s="215"/>
      <c r="H160" s="139"/>
      <c r="I160" s="107">
        <f t="shared" si="24"/>
        <v>0</v>
      </c>
      <c r="J160" s="107">
        <f t="shared" si="24"/>
        <v>0</v>
      </c>
      <c r="K160" s="107">
        <f t="shared" si="25"/>
        <v>0</v>
      </c>
    </row>
    <row r="161" spans="1:11">
      <c r="A161" s="93"/>
      <c r="B161" s="135" t="s">
        <v>122</v>
      </c>
      <c r="C161" s="95"/>
      <c r="D161" s="95"/>
      <c r="E161" s="95"/>
      <c r="F161" s="107">
        <f t="shared" si="26"/>
        <v>0</v>
      </c>
      <c r="G161" s="215"/>
      <c r="H161" s="139"/>
      <c r="I161" s="107">
        <f t="shared" si="24"/>
        <v>0</v>
      </c>
      <c r="J161" s="107">
        <f t="shared" si="24"/>
        <v>0</v>
      </c>
      <c r="K161" s="107">
        <f t="shared" si="25"/>
        <v>0</v>
      </c>
    </row>
    <row r="162" spans="1:11">
      <c r="A162" s="93"/>
      <c r="B162" s="135" t="s">
        <v>123</v>
      </c>
      <c r="C162" s="95"/>
      <c r="D162" s="95"/>
      <c r="E162" s="95"/>
      <c r="F162" s="107">
        <f t="shared" si="26"/>
        <v>0</v>
      </c>
      <c r="G162" s="215"/>
      <c r="H162" s="139"/>
      <c r="I162" s="107">
        <f t="shared" si="24"/>
        <v>0</v>
      </c>
      <c r="J162" s="107">
        <f t="shared" si="24"/>
        <v>0</v>
      </c>
      <c r="K162" s="107">
        <f t="shared" si="25"/>
        <v>0</v>
      </c>
    </row>
    <row r="163" spans="1:11">
      <c r="A163" s="93"/>
      <c r="B163" s="94" t="s">
        <v>117</v>
      </c>
      <c r="C163" s="95"/>
      <c r="D163" s="95"/>
      <c r="E163" s="95"/>
      <c r="F163" s="107">
        <f t="shared" si="26"/>
        <v>0</v>
      </c>
      <c r="G163" s="215"/>
      <c r="H163" s="139"/>
      <c r="I163" s="107">
        <f t="shared" si="24"/>
        <v>0</v>
      </c>
      <c r="J163" s="107">
        <f t="shared" si="24"/>
        <v>0</v>
      </c>
      <c r="K163" s="107">
        <f t="shared" si="25"/>
        <v>0</v>
      </c>
    </row>
    <row r="164" spans="1:11">
      <c r="A164" s="93"/>
      <c r="B164" s="135" t="s">
        <v>124</v>
      </c>
      <c r="C164" s="95"/>
      <c r="D164" s="95"/>
      <c r="E164" s="95"/>
      <c r="F164" s="107">
        <f t="shared" si="26"/>
        <v>0</v>
      </c>
      <c r="G164" s="215"/>
      <c r="H164" s="139"/>
      <c r="I164" s="107">
        <f t="shared" si="24"/>
        <v>0</v>
      </c>
      <c r="J164" s="107">
        <f t="shared" si="24"/>
        <v>0</v>
      </c>
      <c r="K164" s="107">
        <f t="shared" si="25"/>
        <v>0</v>
      </c>
    </row>
    <row r="165" spans="1:11">
      <c r="A165" s="93"/>
      <c r="B165" s="94" t="s">
        <v>125</v>
      </c>
      <c r="C165" s="95"/>
      <c r="D165" s="95"/>
      <c r="E165" s="95"/>
      <c r="F165" s="107">
        <f t="shared" si="26"/>
        <v>0</v>
      </c>
      <c r="G165" s="215"/>
      <c r="H165" s="139"/>
      <c r="I165" s="107">
        <f t="shared" ref="I165:J212" si="27">+N($F165)*N(G165)</f>
        <v>0</v>
      </c>
      <c r="J165" s="107">
        <f t="shared" si="27"/>
        <v>0</v>
      </c>
      <c r="K165" s="107">
        <f t="shared" si="25"/>
        <v>0</v>
      </c>
    </row>
    <row r="166" spans="1:11">
      <c r="A166" s="93"/>
      <c r="B166" s="135"/>
      <c r="C166" s="95"/>
      <c r="D166" s="95"/>
      <c r="E166" s="95"/>
      <c r="F166" s="107">
        <f t="shared" si="26"/>
        <v>0</v>
      </c>
      <c r="G166" s="215"/>
      <c r="H166" s="139"/>
      <c r="I166" s="107">
        <f t="shared" si="27"/>
        <v>0</v>
      </c>
      <c r="J166" s="107">
        <f t="shared" si="27"/>
        <v>0</v>
      </c>
      <c r="K166" s="107">
        <f t="shared" si="25"/>
        <v>0</v>
      </c>
    </row>
    <row r="167" spans="1:11" s="98" customFormat="1">
      <c r="A167" s="93">
        <v>3</v>
      </c>
      <c r="B167" s="134" t="s">
        <v>126</v>
      </c>
      <c r="C167" s="95" t="s">
        <v>78</v>
      </c>
      <c r="D167" s="95"/>
      <c r="E167" s="95">
        <v>2</v>
      </c>
      <c r="F167" s="107">
        <f t="shared" si="26"/>
        <v>2</v>
      </c>
      <c r="G167" s="138"/>
      <c r="H167" s="139"/>
      <c r="I167" s="107">
        <f t="shared" si="27"/>
        <v>0</v>
      </c>
      <c r="J167" s="107">
        <f t="shared" si="27"/>
        <v>0</v>
      </c>
      <c r="K167" s="107">
        <f t="shared" si="25"/>
        <v>0</v>
      </c>
    </row>
    <row r="168" spans="1:11" s="98" customFormat="1">
      <c r="A168" s="93"/>
      <c r="B168" s="135" t="s">
        <v>114</v>
      </c>
      <c r="C168" s="95"/>
      <c r="D168" s="95"/>
      <c r="E168" s="95"/>
      <c r="F168" s="107">
        <f t="shared" si="26"/>
        <v>0</v>
      </c>
      <c r="G168" s="215"/>
      <c r="H168" s="139"/>
      <c r="I168" s="107">
        <f t="shared" si="27"/>
        <v>0</v>
      </c>
      <c r="J168" s="107">
        <f t="shared" si="27"/>
        <v>0</v>
      </c>
      <c r="K168" s="107">
        <f t="shared" si="25"/>
        <v>0</v>
      </c>
    </row>
    <row r="169" spans="1:11" s="98" customFormat="1">
      <c r="A169" s="93"/>
      <c r="B169" s="135" t="s">
        <v>127</v>
      </c>
      <c r="C169" s="95"/>
      <c r="D169" s="95"/>
      <c r="E169" s="95"/>
      <c r="F169" s="107">
        <f t="shared" si="26"/>
        <v>0</v>
      </c>
      <c r="G169" s="215"/>
      <c r="H169" s="139"/>
      <c r="I169" s="107">
        <f t="shared" si="27"/>
        <v>0</v>
      </c>
      <c r="J169" s="107">
        <f t="shared" si="27"/>
        <v>0</v>
      </c>
      <c r="K169" s="107">
        <f t="shared" si="25"/>
        <v>0</v>
      </c>
    </row>
    <row r="170" spans="1:11" s="98" customFormat="1">
      <c r="A170" s="93"/>
      <c r="B170" s="94" t="s">
        <v>116</v>
      </c>
      <c r="C170" s="95"/>
      <c r="D170" s="95"/>
      <c r="E170" s="95"/>
      <c r="F170" s="107">
        <f t="shared" si="26"/>
        <v>0</v>
      </c>
      <c r="G170" s="215"/>
      <c r="H170" s="139"/>
      <c r="I170" s="107">
        <f t="shared" si="27"/>
        <v>0</v>
      </c>
      <c r="J170" s="107">
        <f t="shared" si="27"/>
        <v>0</v>
      </c>
      <c r="K170" s="107">
        <f t="shared" si="25"/>
        <v>0</v>
      </c>
    </row>
    <row r="171" spans="1:11" s="98" customFormat="1">
      <c r="A171" s="93"/>
      <c r="B171" s="94" t="s">
        <v>117</v>
      </c>
      <c r="C171" s="95"/>
      <c r="D171" s="95"/>
      <c r="E171" s="95"/>
      <c r="F171" s="107">
        <f t="shared" si="26"/>
        <v>0</v>
      </c>
      <c r="G171" s="215"/>
      <c r="H171" s="139"/>
      <c r="I171" s="107">
        <f t="shared" si="27"/>
        <v>0</v>
      </c>
      <c r="J171" s="107">
        <f t="shared" si="27"/>
        <v>0</v>
      </c>
      <c r="K171" s="107">
        <f t="shared" si="25"/>
        <v>0</v>
      </c>
    </row>
    <row r="172" spans="1:11" s="98" customFormat="1">
      <c r="A172" s="93"/>
      <c r="B172" s="94" t="s">
        <v>128</v>
      </c>
      <c r="C172" s="95"/>
      <c r="D172" s="95"/>
      <c r="E172" s="95"/>
      <c r="F172" s="107">
        <f t="shared" si="26"/>
        <v>0</v>
      </c>
      <c r="G172" s="215"/>
      <c r="H172" s="139"/>
      <c r="I172" s="107">
        <f t="shared" si="27"/>
        <v>0</v>
      </c>
      <c r="J172" s="107">
        <f t="shared" si="27"/>
        <v>0</v>
      </c>
      <c r="K172" s="107">
        <f t="shared" si="25"/>
        <v>0</v>
      </c>
    </row>
    <row r="173" spans="1:11" s="98" customFormat="1">
      <c r="A173" s="93"/>
      <c r="B173" s="94" t="s">
        <v>125</v>
      </c>
      <c r="C173" s="95"/>
      <c r="D173" s="95"/>
      <c r="E173" s="95"/>
      <c r="F173" s="107">
        <f t="shared" si="26"/>
        <v>0</v>
      </c>
      <c r="G173" s="215"/>
      <c r="H173" s="139"/>
      <c r="I173" s="107">
        <f t="shared" si="27"/>
        <v>0</v>
      </c>
      <c r="J173" s="107">
        <f t="shared" si="27"/>
        <v>0</v>
      </c>
      <c r="K173" s="107">
        <f t="shared" si="25"/>
        <v>0</v>
      </c>
    </row>
    <row r="174" spans="1:11" s="98" customFormat="1">
      <c r="A174" s="93"/>
      <c r="B174" s="94"/>
      <c r="C174" s="95"/>
      <c r="D174" s="95"/>
      <c r="E174" s="95"/>
      <c r="F174" s="107">
        <f t="shared" si="26"/>
        <v>0</v>
      </c>
      <c r="G174" s="215"/>
      <c r="H174" s="139"/>
      <c r="I174" s="107">
        <f t="shared" si="27"/>
        <v>0</v>
      </c>
      <c r="J174" s="107">
        <f t="shared" si="27"/>
        <v>0</v>
      </c>
      <c r="K174" s="107">
        <f t="shared" si="25"/>
        <v>0</v>
      </c>
    </row>
    <row r="175" spans="1:11">
      <c r="A175" s="93">
        <v>4</v>
      </c>
      <c r="B175" s="140" t="s">
        <v>129</v>
      </c>
      <c r="C175" s="95" t="s">
        <v>78</v>
      </c>
      <c r="D175" s="95"/>
      <c r="E175" s="216">
        <v>2</v>
      </c>
      <c r="F175" s="107">
        <f t="shared" si="26"/>
        <v>2</v>
      </c>
      <c r="G175" s="138"/>
      <c r="H175" s="139"/>
      <c r="I175" s="107">
        <f t="shared" si="27"/>
        <v>0</v>
      </c>
      <c r="J175" s="107">
        <f t="shared" si="27"/>
        <v>0</v>
      </c>
      <c r="K175" s="107">
        <f t="shared" si="25"/>
        <v>0</v>
      </c>
    </row>
    <row r="176" spans="1:11">
      <c r="A176" s="93"/>
      <c r="B176" s="135" t="s">
        <v>121</v>
      </c>
      <c r="C176" s="95"/>
      <c r="D176" s="95"/>
      <c r="E176" s="95"/>
      <c r="F176" s="107">
        <f t="shared" si="26"/>
        <v>0</v>
      </c>
      <c r="G176" s="215"/>
      <c r="H176" s="139"/>
      <c r="I176" s="107">
        <f t="shared" si="27"/>
        <v>0</v>
      </c>
      <c r="J176" s="107">
        <f t="shared" si="27"/>
        <v>0</v>
      </c>
      <c r="K176" s="107">
        <f t="shared" si="25"/>
        <v>0</v>
      </c>
    </row>
    <row r="177" spans="1:11">
      <c r="A177" s="93"/>
      <c r="B177" s="135" t="s">
        <v>114</v>
      </c>
      <c r="C177" s="95"/>
      <c r="D177" s="95"/>
      <c r="E177" s="95"/>
      <c r="F177" s="107">
        <f t="shared" si="26"/>
        <v>0</v>
      </c>
      <c r="G177" s="215"/>
      <c r="H177" s="139"/>
      <c r="I177" s="107">
        <f t="shared" si="27"/>
        <v>0</v>
      </c>
      <c r="J177" s="107">
        <f t="shared" si="27"/>
        <v>0</v>
      </c>
      <c r="K177" s="107">
        <f t="shared" si="25"/>
        <v>0</v>
      </c>
    </row>
    <row r="178" spans="1:11">
      <c r="A178" s="93"/>
      <c r="B178" s="135" t="s">
        <v>122</v>
      </c>
      <c r="C178" s="95"/>
      <c r="D178" s="95"/>
      <c r="E178" s="95"/>
      <c r="F178" s="107">
        <f t="shared" si="26"/>
        <v>0</v>
      </c>
      <c r="G178" s="215"/>
      <c r="H178" s="139"/>
      <c r="I178" s="107">
        <f t="shared" si="27"/>
        <v>0</v>
      </c>
      <c r="J178" s="107">
        <f t="shared" si="27"/>
        <v>0</v>
      </c>
      <c r="K178" s="107">
        <f t="shared" si="25"/>
        <v>0</v>
      </c>
    </row>
    <row r="179" spans="1:11">
      <c r="A179" s="93"/>
      <c r="B179" s="135" t="s">
        <v>123</v>
      </c>
      <c r="C179" s="95"/>
      <c r="D179" s="95"/>
      <c r="E179" s="95"/>
      <c r="F179" s="107">
        <f t="shared" si="26"/>
        <v>0</v>
      </c>
      <c r="G179" s="215"/>
      <c r="H179" s="139"/>
      <c r="I179" s="107">
        <f t="shared" si="27"/>
        <v>0</v>
      </c>
      <c r="J179" s="107">
        <f t="shared" si="27"/>
        <v>0</v>
      </c>
      <c r="K179" s="107">
        <f t="shared" si="25"/>
        <v>0</v>
      </c>
    </row>
    <row r="180" spans="1:11">
      <c r="A180" s="93"/>
      <c r="B180" s="94" t="s">
        <v>117</v>
      </c>
      <c r="C180" s="95"/>
      <c r="D180" s="95"/>
      <c r="E180" s="95"/>
      <c r="F180" s="107">
        <f t="shared" si="26"/>
        <v>0</v>
      </c>
      <c r="G180" s="215"/>
      <c r="H180" s="139"/>
      <c r="I180" s="96">
        <f t="shared" si="27"/>
        <v>0</v>
      </c>
      <c r="J180" s="96">
        <f t="shared" si="27"/>
        <v>0</v>
      </c>
      <c r="K180" s="96">
        <f t="shared" si="25"/>
        <v>0</v>
      </c>
    </row>
    <row r="181" spans="1:11">
      <c r="A181" s="93"/>
      <c r="B181" s="94" t="s">
        <v>130</v>
      </c>
      <c r="C181" s="95"/>
      <c r="D181" s="95"/>
      <c r="E181" s="95"/>
      <c r="F181" s="107">
        <f t="shared" si="26"/>
        <v>0</v>
      </c>
      <c r="G181" s="215"/>
      <c r="H181" s="139"/>
      <c r="I181" s="96">
        <f t="shared" si="27"/>
        <v>0</v>
      </c>
      <c r="J181" s="96">
        <f t="shared" si="27"/>
        <v>0</v>
      </c>
      <c r="K181" s="96">
        <f t="shared" si="25"/>
        <v>0</v>
      </c>
    </row>
    <row r="182" spans="1:11">
      <c r="A182" s="93"/>
      <c r="B182" s="94" t="s">
        <v>131</v>
      </c>
      <c r="C182" s="95"/>
      <c r="D182" s="95"/>
      <c r="E182" s="95"/>
      <c r="F182" s="107">
        <f t="shared" si="26"/>
        <v>0</v>
      </c>
      <c r="G182" s="215"/>
      <c r="H182" s="139"/>
      <c r="I182" s="96">
        <f t="shared" si="27"/>
        <v>0</v>
      </c>
      <c r="J182" s="96">
        <f t="shared" si="27"/>
        <v>0</v>
      </c>
      <c r="K182" s="96">
        <f t="shared" si="25"/>
        <v>0</v>
      </c>
    </row>
    <row r="183" spans="1:11">
      <c r="A183" s="93"/>
      <c r="B183" s="94"/>
      <c r="C183" s="95"/>
      <c r="D183" s="95"/>
      <c r="E183" s="95"/>
      <c r="F183" s="107">
        <f t="shared" si="26"/>
        <v>0</v>
      </c>
      <c r="G183" s="215"/>
      <c r="H183" s="139"/>
      <c r="I183" s="96">
        <f t="shared" si="27"/>
        <v>0</v>
      </c>
      <c r="J183" s="96">
        <f t="shared" si="27"/>
        <v>0</v>
      </c>
      <c r="K183" s="96">
        <f t="shared" si="25"/>
        <v>0</v>
      </c>
    </row>
    <row r="184" spans="1:11">
      <c r="A184" s="93">
        <v>5</v>
      </c>
      <c r="B184" s="140" t="s">
        <v>132</v>
      </c>
      <c r="C184" s="95" t="s">
        <v>78</v>
      </c>
      <c r="D184" s="95"/>
      <c r="E184" s="95"/>
      <c r="F184" s="107">
        <f t="shared" si="26"/>
        <v>0</v>
      </c>
      <c r="G184" s="138"/>
      <c r="H184" s="139"/>
      <c r="I184" s="96">
        <f t="shared" si="27"/>
        <v>0</v>
      </c>
      <c r="J184" s="96">
        <f t="shared" si="27"/>
        <v>0</v>
      </c>
      <c r="K184" s="96">
        <f t="shared" si="25"/>
        <v>0</v>
      </c>
    </row>
    <row r="185" spans="1:11">
      <c r="A185" s="93"/>
      <c r="B185" s="135" t="s">
        <v>133</v>
      </c>
      <c r="C185" s="95"/>
      <c r="D185" s="95"/>
      <c r="E185" s="95"/>
      <c r="F185" s="107">
        <f t="shared" si="26"/>
        <v>0</v>
      </c>
      <c r="G185" s="215"/>
      <c r="H185" s="139"/>
      <c r="I185" s="96">
        <f t="shared" si="27"/>
        <v>0</v>
      </c>
      <c r="J185" s="96">
        <f t="shared" si="27"/>
        <v>0</v>
      </c>
      <c r="K185" s="96">
        <f t="shared" si="25"/>
        <v>0</v>
      </c>
    </row>
    <row r="186" spans="1:11">
      <c r="A186" s="93"/>
      <c r="B186" s="135" t="s">
        <v>114</v>
      </c>
      <c r="C186" s="95"/>
      <c r="D186" s="95"/>
      <c r="E186" s="95"/>
      <c r="F186" s="107">
        <f t="shared" si="26"/>
        <v>0</v>
      </c>
      <c r="G186" s="215"/>
      <c r="H186" s="139"/>
      <c r="I186" s="96">
        <f t="shared" si="27"/>
        <v>0</v>
      </c>
      <c r="J186" s="96">
        <f t="shared" si="27"/>
        <v>0</v>
      </c>
      <c r="K186" s="96">
        <f t="shared" si="25"/>
        <v>0</v>
      </c>
    </row>
    <row r="187" spans="1:11">
      <c r="A187" s="93"/>
      <c r="B187" s="135" t="s">
        <v>134</v>
      </c>
      <c r="C187" s="95"/>
      <c r="D187" s="95"/>
      <c r="E187" s="95"/>
      <c r="F187" s="107">
        <f t="shared" si="26"/>
        <v>0</v>
      </c>
      <c r="G187" s="215"/>
      <c r="H187" s="139"/>
      <c r="I187" s="96">
        <f t="shared" si="27"/>
        <v>0</v>
      </c>
      <c r="J187" s="96">
        <f t="shared" si="27"/>
        <v>0</v>
      </c>
      <c r="K187" s="96">
        <f t="shared" si="25"/>
        <v>0</v>
      </c>
    </row>
    <row r="188" spans="1:11">
      <c r="A188" s="93"/>
      <c r="B188" s="135" t="s">
        <v>123</v>
      </c>
      <c r="C188" s="95"/>
      <c r="D188" s="95"/>
      <c r="E188" s="95"/>
      <c r="F188" s="107">
        <f t="shared" si="26"/>
        <v>0</v>
      </c>
      <c r="G188" s="215"/>
      <c r="H188" s="139"/>
      <c r="I188" s="96">
        <f t="shared" si="27"/>
        <v>0</v>
      </c>
      <c r="J188" s="96">
        <f t="shared" si="27"/>
        <v>0</v>
      </c>
      <c r="K188" s="96">
        <f t="shared" si="25"/>
        <v>0</v>
      </c>
    </row>
    <row r="189" spans="1:11">
      <c r="A189" s="93"/>
      <c r="B189" s="94" t="s">
        <v>135</v>
      </c>
      <c r="C189" s="95"/>
      <c r="D189" s="95"/>
      <c r="E189" s="95"/>
      <c r="F189" s="107">
        <f t="shared" si="26"/>
        <v>0</v>
      </c>
      <c r="G189" s="215"/>
      <c r="H189" s="139"/>
      <c r="I189" s="96">
        <f t="shared" si="27"/>
        <v>0</v>
      </c>
      <c r="J189" s="96">
        <f t="shared" si="27"/>
        <v>0</v>
      </c>
      <c r="K189" s="96">
        <f t="shared" si="25"/>
        <v>0</v>
      </c>
    </row>
    <row r="190" spans="1:11">
      <c r="A190" s="93"/>
      <c r="B190" s="94"/>
      <c r="C190" s="95"/>
      <c r="D190" s="95"/>
      <c r="E190" s="95"/>
      <c r="F190" s="107">
        <f t="shared" si="26"/>
        <v>0</v>
      </c>
      <c r="G190" s="215"/>
      <c r="H190" s="139"/>
      <c r="I190" s="96">
        <f t="shared" si="27"/>
        <v>0</v>
      </c>
      <c r="J190" s="96">
        <f t="shared" si="27"/>
        <v>0</v>
      </c>
      <c r="K190" s="96">
        <f t="shared" si="25"/>
        <v>0</v>
      </c>
    </row>
    <row r="191" spans="1:11">
      <c r="A191" s="141">
        <v>6</v>
      </c>
      <c r="B191" s="142" t="s">
        <v>136</v>
      </c>
      <c r="C191" s="143" t="s">
        <v>78</v>
      </c>
      <c r="D191" s="143">
        <v>1</v>
      </c>
      <c r="E191" s="95">
        <v>1</v>
      </c>
      <c r="F191" s="107">
        <f t="shared" si="26"/>
        <v>2</v>
      </c>
      <c r="G191" s="138"/>
      <c r="H191" s="139"/>
      <c r="I191" s="96">
        <f t="shared" si="27"/>
        <v>0</v>
      </c>
      <c r="J191" s="96">
        <f t="shared" si="27"/>
        <v>0</v>
      </c>
      <c r="K191" s="96">
        <f t="shared" si="25"/>
        <v>0</v>
      </c>
    </row>
    <row r="192" spans="1:11">
      <c r="A192" s="141"/>
      <c r="B192" s="145" t="s">
        <v>137</v>
      </c>
      <c r="C192" s="143"/>
      <c r="D192" s="143"/>
      <c r="E192" s="102"/>
      <c r="F192" s="107">
        <f t="shared" si="26"/>
        <v>0</v>
      </c>
      <c r="G192" s="215"/>
      <c r="H192" s="139"/>
      <c r="I192" s="96">
        <f t="shared" si="27"/>
        <v>0</v>
      </c>
      <c r="J192" s="96">
        <f t="shared" si="27"/>
        <v>0</v>
      </c>
      <c r="K192" s="96">
        <f t="shared" si="25"/>
        <v>0</v>
      </c>
    </row>
    <row r="193" spans="1:11">
      <c r="A193" s="141"/>
      <c r="B193" s="145" t="s">
        <v>114</v>
      </c>
      <c r="C193" s="143"/>
      <c r="D193" s="143"/>
      <c r="E193" s="102"/>
      <c r="F193" s="107">
        <f t="shared" si="26"/>
        <v>0</v>
      </c>
      <c r="G193" s="215"/>
      <c r="H193" s="139"/>
      <c r="I193" s="96">
        <f t="shared" si="27"/>
        <v>0</v>
      </c>
      <c r="J193" s="96">
        <f t="shared" si="27"/>
        <v>0</v>
      </c>
      <c r="K193" s="96">
        <f t="shared" si="25"/>
        <v>0</v>
      </c>
    </row>
    <row r="194" spans="1:11">
      <c r="A194" s="141"/>
      <c r="B194" s="145" t="s">
        <v>389</v>
      </c>
      <c r="C194" s="143"/>
      <c r="D194" s="143"/>
      <c r="E194" s="102"/>
      <c r="F194" s="107">
        <f t="shared" si="26"/>
        <v>0</v>
      </c>
      <c r="G194" s="215"/>
      <c r="H194" s="139"/>
      <c r="I194" s="96">
        <f t="shared" si="27"/>
        <v>0</v>
      </c>
      <c r="J194" s="96">
        <f t="shared" si="27"/>
        <v>0</v>
      </c>
      <c r="K194" s="96">
        <f t="shared" si="25"/>
        <v>0</v>
      </c>
    </row>
    <row r="195" spans="1:11">
      <c r="A195" s="141"/>
      <c r="B195" s="145" t="s">
        <v>123</v>
      </c>
      <c r="C195" s="143"/>
      <c r="D195" s="143"/>
      <c r="E195" s="102"/>
      <c r="F195" s="107">
        <f t="shared" si="26"/>
        <v>0</v>
      </c>
      <c r="G195" s="215"/>
      <c r="H195" s="139"/>
      <c r="I195" s="96">
        <f t="shared" si="27"/>
        <v>0</v>
      </c>
      <c r="J195" s="96">
        <f t="shared" si="27"/>
        <v>0</v>
      </c>
      <c r="K195" s="96">
        <f t="shared" si="25"/>
        <v>0</v>
      </c>
    </row>
    <row r="196" spans="1:11">
      <c r="A196" s="141"/>
      <c r="B196" s="146" t="s">
        <v>388</v>
      </c>
      <c r="C196" s="143"/>
      <c r="D196" s="143"/>
      <c r="E196" s="102"/>
      <c r="F196" s="107">
        <f t="shared" si="26"/>
        <v>0</v>
      </c>
      <c r="G196" s="215"/>
      <c r="H196" s="139"/>
      <c r="I196" s="96">
        <f t="shared" si="27"/>
        <v>0</v>
      </c>
      <c r="J196" s="96">
        <f t="shared" si="27"/>
        <v>0</v>
      </c>
      <c r="K196" s="96">
        <f t="shared" si="25"/>
        <v>0</v>
      </c>
    </row>
    <row r="197" spans="1:11">
      <c r="A197" s="141"/>
      <c r="B197" s="145"/>
      <c r="C197" s="143"/>
      <c r="D197" s="143"/>
      <c r="E197" s="102"/>
      <c r="F197" s="107">
        <f t="shared" si="26"/>
        <v>0</v>
      </c>
      <c r="G197" s="215"/>
      <c r="H197" s="139"/>
      <c r="I197" s="96">
        <f t="shared" si="27"/>
        <v>0</v>
      </c>
      <c r="J197" s="96">
        <f t="shared" si="27"/>
        <v>0</v>
      </c>
      <c r="K197" s="96">
        <f t="shared" si="25"/>
        <v>0</v>
      </c>
    </row>
    <row r="198" spans="1:11">
      <c r="A198" s="93">
        <v>7</v>
      </c>
      <c r="B198" s="134" t="s">
        <v>139</v>
      </c>
      <c r="C198" s="95" t="s">
        <v>78</v>
      </c>
      <c r="D198" s="95"/>
      <c r="E198" s="217">
        <v>1</v>
      </c>
      <c r="F198" s="107">
        <f t="shared" si="26"/>
        <v>1</v>
      </c>
      <c r="G198" s="138"/>
      <c r="H198" s="139"/>
      <c r="I198" s="96">
        <f t="shared" si="27"/>
        <v>0</v>
      </c>
      <c r="J198" s="96">
        <f t="shared" si="27"/>
        <v>0</v>
      </c>
      <c r="K198" s="96">
        <f t="shared" si="25"/>
        <v>0</v>
      </c>
    </row>
    <row r="199" spans="1:11">
      <c r="A199" s="93"/>
      <c r="B199" s="135" t="s">
        <v>114</v>
      </c>
      <c r="C199" s="95"/>
      <c r="D199" s="95"/>
      <c r="E199" s="95"/>
      <c r="F199" s="107">
        <f t="shared" si="26"/>
        <v>0</v>
      </c>
      <c r="G199" s="215"/>
      <c r="H199" s="139"/>
      <c r="I199" s="96">
        <f t="shared" si="27"/>
        <v>0</v>
      </c>
      <c r="J199" s="96">
        <f t="shared" si="27"/>
        <v>0</v>
      </c>
      <c r="K199" s="96">
        <f t="shared" si="25"/>
        <v>0</v>
      </c>
    </row>
    <row r="200" spans="1:11">
      <c r="A200" s="93"/>
      <c r="B200" s="135" t="s">
        <v>127</v>
      </c>
      <c r="C200" s="95"/>
      <c r="D200" s="95"/>
      <c r="E200" s="95"/>
      <c r="F200" s="107">
        <f t="shared" si="26"/>
        <v>0</v>
      </c>
      <c r="G200" s="215"/>
      <c r="H200" s="139"/>
      <c r="I200" s="96">
        <f t="shared" si="27"/>
        <v>0</v>
      </c>
      <c r="J200" s="96">
        <f t="shared" si="27"/>
        <v>0</v>
      </c>
      <c r="K200" s="96">
        <f t="shared" si="25"/>
        <v>0</v>
      </c>
    </row>
    <row r="201" spans="1:11">
      <c r="A201" s="93"/>
      <c r="B201" s="94" t="s">
        <v>116</v>
      </c>
      <c r="C201" s="95"/>
      <c r="D201" s="95"/>
      <c r="E201" s="95"/>
      <c r="F201" s="107">
        <f t="shared" si="26"/>
        <v>0</v>
      </c>
      <c r="G201" s="215"/>
      <c r="H201" s="139"/>
      <c r="I201" s="96">
        <f t="shared" si="27"/>
        <v>0</v>
      </c>
      <c r="J201" s="96">
        <f t="shared" si="27"/>
        <v>0</v>
      </c>
      <c r="K201" s="96">
        <f t="shared" si="25"/>
        <v>0</v>
      </c>
    </row>
    <row r="202" spans="1:11">
      <c r="A202" s="93"/>
      <c r="B202" s="94" t="s">
        <v>117</v>
      </c>
      <c r="C202" s="95"/>
      <c r="D202" s="95"/>
      <c r="E202" s="95"/>
      <c r="F202" s="107">
        <f t="shared" si="26"/>
        <v>0</v>
      </c>
      <c r="G202" s="215"/>
      <c r="H202" s="139"/>
      <c r="I202" s="96">
        <f t="shared" si="27"/>
        <v>0</v>
      </c>
      <c r="J202" s="96">
        <f t="shared" si="27"/>
        <v>0</v>
      </c>
      <c r="K202" s="96">
        <f t="shared" si="25"/>
        <v>0</v>
      </c>
    </row>
    <row r="203" spans="1:11">
      <c r="A203" s="93"/>
      <c r="B203" s="94" t="s">
        <v>128</v>
      </c>
      <c r="C203" s="95"/>
      <c r="D203" s="95"/>
      <c r="E203" s="95"/>
      <c r="F203" s="107">
        <f t="shared" si="26"/>
        <v>0</v>
      </c>
      <c r="G203" s="215"/>
      <c r="H203" s="139"/>
      <c r="I203" s="96">
        <f t="shared" si="27"/>
        <v>0</v>
      </c>
      <c r="J203" s="96">
        <f t="shared" si="27"/>
        <v>0</v>
      </c>
      <c r="K203" s="96">
        <f t="shared" si="25"/>
        <v>0</v>
      </c>
    </row>
    <row r="204" spans="1:11">
      <c r="A204" s="93"/>
      <c r="B204" s="94" t="s">
        <v>140</v>
      </c>
      <c r="C204" s="95"/>
      <c r="D204" s="95"/>
      <c r="E204" s="95"/>
      <c r="F204" s="107">
        <f t="shared" si="26"/>
        <v>0</v>
      </c>
      <c r="G204" s="215"/>
      <c r="H204" s="139"/>
      <c r="I204" s="96">
        <f t="shared" si="27"/>
        <v>0</v>
      </c>
      <c r="J204" s="96">
        <f t="shared" si="27"/>
        <v>0</v>
      </c>
      <c r="K204" s="96">
        <f t="shared" si="25"/>
        <v>0</v>
      </c>
    </row>
    <row r="205" spans="1:11">
      <c r="A205" s="93"/>
      <c r="B205" s="94"/>
      <c r="C205" s="95"/>
      <c r="D205" s="95"/>
      <c r="E205" s="95"/>
      <c r="F205" s="107">
        <f t="shared" si="26"/>
        <v>0</v>
      </c>
      <c r="G205" s="215"/>
      <c r="H205" s="139"/>
      <c r="I205" s="96">
        <f t="shared" si="27"/>
        <v>0</v>
      </c>
      <c r="J205" s="96">
        <f t="shared" si="27"/>
        <v>0</v>
      </c>
      <c r="K205" s="96">
        <f t="shared" si="25"/>
        <v>0</v>
      </c>
    </row>
    <row r="206" spans="1:11">
      <c r="A206" s="93">
        <v>8</v>
      </c>
      <c r="B206" s="140" t="s">
        <v>328</v>
      </c>
      <c r="C206" s="95" t="s">
        <v>78</v>
      </c>
      <c r="D206" s="95"/>
      <c r="E206" s="95">
        <v>1</v>
      </c>
      <c r="F206" s="107">
        <f t="shared" si="26"/>
        <v>1</v>
      </c>
      <c r="G206" s="215"/>
      <c r="H206" s="139"/>
      <c r="I206" s="96">
        <f t="shared" si="27"/>
        <v>0</v>
      </c>
      <c r="J206" s="96">
        <f t="shared" si="27"/>
        <v>0</v>
      </c>
      <c r="K206" s="96">
        <f t="shared" si="25"/>
        <v>0</v>
      </c>
    </row>
    <row r="207" spans="1:11">
      <c r="A207" s="93"/>
      <c r="B207" s="135" t="s">
        <v>317</v>
      </c>
      <c r="C207" s="95"/>
      <c r="D207" s="95"/>
      <c r="E207" s="95"/>
      <c r="F207" s="107">
        <f t="shared" si="26"/>
        <v>0</v>
      </c>
      <c r="G207" s="215"/>
      <c r="H207" s="139"/>
      <c r="I207" s="96">
        <f t="shared" si="27"/>
        <v>0</v>
      </c>
      <c r="J207" s="96">
        <f t="shared" si="27"/>
        <v>0</v>
      </c>
      <c r="K207" s="96">
        <f t="shared" si="25"/>
        <v>0</v>
      </c>
    </row>
    <row r="208" spans="1:11">
      <c r="A208" s="93"/>
      <c r="B208" s="135" t="s">
        <v>114</v>
      </c>
      <c r="C208" s="95"/>
      <c r="D208" s="95"/>
      <c r="E208" s="95"/>
      <c r="F208" s="107">
        <f t="shared" si="26"/>
        <v>0</v>
      </c>
      <c r="G208" s="215"/>
      <c r="H208" s="139"/>
      <c r="I208" s="96">
        <f t="shared" si="27"/>
        <v>0</v>
      </c>
      <c r="J208" s="96">
        <f t="shared" si="27"/>
        <v>0</v>
      </c>
      <c r="K208" s="96">
        <f t="shared" si="25"/>
        <v>0</v>
      </c>
    </row>
    <row r="209" spans="1:13">
      <c r="A209" s="93"/>
      <c r="B209" s="135" t="s">
        <v>141</v>
      </c>
      <c r="C209" s="95"/>
      <c r="D209" s="95"/>
      <c r="E209" s="95"/>
      <c r="F209" s="107">
        <f t="shared" si="26"/>
        <v>0</v>
      </c>
      <c r="G209" s="215"/>
      <c r="H209" s="139"/>
      <c r="I209" s="96">
        <f t="shared" si="27"/>
        <v>0</v>
      </c>
      <c r="J209" s="96">
        <f t="shared" si="27"/>
        <v>0</v>
      </c>
      <c r="K209" s="96">
        <f t="shared" si="25"/>
        <v>0</v>
      </c>
    </row>
    <row r="210" spans="1:13">
      <c r="A210" s="93"/>
      <c r="B210" s="135" t="s">
        <v>123</v>
      </c>
      <c r="C210" s="95"/>
      <c r="D210" s="95"/>
      <c r="E210" s="95"/>
      <c r="F210" s="107">
        <f t="shared" si="26"/>
        <v>0</v>
      </c>
      <c r="G210" s="215"/>
      <c r="H210" s="139"/>
      <c r="I210" s="96">
        <f t="shared" si="27"/>
        <v>0</v>
      </c>
      <c r="J210" s="96">
        <f t="shared" si="27"/>
        <v>0</v>
      </c>
      <c r="K210" s="96">
        <f t="shared" si="25"/>
        <v>0</v>
      </c>
    </row>
    <row r="211" spans="1:13">
      <c r="A211" s="93"/>
      <c r="B211" s="147" t="s">
        <v>142</v>
      </c>
      <c r="C211" s="95"/>
      <c r="D211" s="95"/>
      <c r="E211" s="95"/>
      <c r="F211" s="107">
        <f t="shared" si="26"/>
        <v>0</v>
      </c>
      <c r="G211" s="136"/>
      <c r="H211" s="137"/>
      <c r="I211" s="96">
        <f t="shared" si="27"/>
        <v>0</v>
      </c>
      <c r="J211" s="96">
        <f t="shared" si="27"/>
        <v>0</v>
      </c>
      <c r="K211" s="96">
        <f t="shared" si="25"/>
        <v>0</v>
      </c>
    </row>
    <row r="212" spans="1:13">
      <c r="A212" s="93"/>
      <c r="B212" s="135"/>
      <c r="C212" s="95"/>
      <c r="D212" s="95"/>
      <c r="E212" s="95"/>
      <c r="F212" s="107">
        <f t="shared" si="26"/>
        <v>0</v>
      </c>
      <c r="G212" s="96"/>
      <c r="H212" s="97"/>
      <c r="I212" s="96">
        <f t="shared" si="27"/>
        <v>0</v>
      </c>
      <c r="J212" s="96">
        <f t="shared" si="27"/>
        <v>0</v>
      </c>
      <c r="K212" s="96">
        <f t="shared" si="25"/>
        <v>0</v>
      </c>
    </row>
    <row r="213" spans="1:13">
      <c r="A213" s="141">
        <v>9</v>
      </c>
      <c r="B213" s="228" t="s">
        <v>381</v>
      </c>
      <c r="C213" s="143" t="s">
        <v>78</v>
      </c>
      <c r="D213" s="143">
        <v>1</v>
      </c>
      <c r="E213" s="95"/>
      <c r="F213" s="107">
        <f t="shared" si="26"/>
        <v>1</v>
      </c>
      <c r="G213" s="138"/>
      <c r="H213" s="139"/>
      <c r="I213" s="96">
        <f t="shared" ref="I213:I218" si="28">+N($F213)*N(G213)</f>
        <v>0</v>
      </c>
      <c r="J213" s="96">
        <f t="shared" ref="J213:J218" si="29">+N($F213)*N(H213)</f>
        <v>0</v>
      </c>
      <c r="K213" s="96">
        <f t="shared" ref="K213:K218" si="30">J213+I213</f>
        <v>0</v>
      </c>
      <c r="M213" s="98" t="s">
        <v>383</v>
      </c>
    </row>
    <row r="214" spans="1:13">
      <c r="A214" s="141"/>
      <c r="B214" s="145" t="s">
        <v>385</v>
      </c>
      <c r="C214" s="143"/>
      <c r="D214" s="143"/>
      <c r="E214" s="102"/>
      <c r="F214" s="107">
        <f t="shared" ref="F214:F232" si="31">SUM(D214:E214)</f>
        <v>0</v>
      </c>
      <c r="G214" s="215"/>
      <c r="H214" s="139"/>
      <c r="I214" s="96">
        <f t="shared" si="28"/>
        <v>0</v>
      </c>
      <c r="J214" s="96">
        <f t="shared" si="29"/>
        <v>0</v>
      </c>
      <c r="K214" s="96">
        <f t="shared" si="30"/>
        <v>0</v>
      </c>
    </row>
    <row r="215" spans="1:13">
      <c r="A215" s="141"/>
      <c r="B215" s="145" t="s">
        <v>114</v>
      </c>
      <c r="C215" s="143"/>
      <c r="D215" s="143"/>
      <c r="E215" s="102"/>
      <c r="F215" s="107">
        <f t="shared" si="31"/>
        <v>0</v>
      </c>
      <c r="G215" s="215"/>
      <c r="H215" s="139"/>
      <c r="I215" s="96">
        <f t="shared" si="28"/>
        <v>0</v>
      </c>
      <c r="J215" s="96">
        <f t="shared" si="29"/>
        <v>0</v>
      </c>
      <c r="K215" s="96">
        <f t="shared" si="30"/>
        <v>0</v>
      </c>
    </row>
    <row r="216" spans="1:13">
      <c r="A216" s="141"/>
      <c r="B216" s="145" t="s">
        <v>382</v>
      </c>
      <c r="C216" s="143"/>
      <c r="D216" s="143"/>
      <c r="E216" s="102"/>
      <c r="F216" s="107">
        <f t="shared" si="31"/>
        <v>0</v>
      </c>
      <c r="G216" s="215"/>
      <c r="H216" s="139"/>
      <c r="I216" s="96">
        <f t="shared" si="28"/>
        <v>0</v>
      </c>
      <c r="J216" s="96">
        <f t="shared" si="29"/>
        <v>0</v>
      </c>
      <c r="K216" s="96">
        <f t="shared" si="30"/>
        <v>0</v>
      </c>
    </row>
    <row r="217" spans="1:13">
      <c r="A217" s="141"/>
      <c r="B217" s="145" t="s">
        <v>123</v>
      </c>
      <c r="C217" s="143"/>
      <c r="D217" s="143"/>
      <c r="E217" s="102"/>
      <c r="F217" s="107">
        <f t="shared" si="31"/>
        <v>0</v>
      </c>
      <c r="G217" s="215"/>
      <c r="H217" s="139"/>
      <c r="I217" s="96">
        <f t="shared" si="28"/>
        <v>0</v>
      </c>
      <c r="J217" s="96">
        <f t="shared" si="29"/>
        <v>0</v>
      </c>
      <c r="K217" s="96">
        <f t="shared" si="30"/>
        <v>0</v>
      </c>
    </row>
    <row r="218" spans="1:13">
      <c r="A218" s="141"/>
      <c r="B218" s="146" t="s">
        <v>387</v>
      </c>
      <c r="C218" s="143"/>
      <c r="D218" s="143"/>
      <c r="E218" s="102"/>
      <c r="F218" s="107">
        <f t="shared" si="31"/>
        <v>0</v>
      </c>
      <c r="G218" s="215"/>
      <c r="H218" s="139"/>
      <c r="I218" s="96">
        <f t="shared" si="28"/>
        <v>0</v>
      </c>
      <c r="J218" s="96">
        <f t="shared" si="29"/>
        <v>0</v>
      </c>
      <c r="K218" s="96">
        <f t="shared" si="30"/>
        <v>0</v>
      </c>
    </row>
    <row r="219" spans="1:13">
      <c r="A219" s="141"/>
      <c r="B219" s="146"/>
      <c r="C219" s="143"/>
      <c r="D219" s="143"/>
      <c r="E219" s="102"/>
      <c r="F219" s="107">
        <f t="shared" si="31"/>
        <v>0</v>
      </c>
      <c r="G219" s="215"/>
      <c r="H219" s="139"/>
      <c r="I219" s="96"/>
      <c r="J219" s="96"/>
      <c r="K219" s="96"/>
    </row>
    <row r="220" spans="1:13">
      <c r="A220" s="141">
        <v>10</v>
      </c>
      <c r="B220" s="228" t="s">
        <v>384</v>
      </c>
      <c r="C220" s="143" t="s">
        <v>78</v>
      </c>
      <c r="D220" s="143">
        <v>1</v>
      </c>
      <c r="E220" s="95"/>
      <c r="F220" s="107">
        <f t="shared" si="31"/>
        <v>1</v>
      </c>
      <c r="G220" s="138"/>
      <c r="H220" s="139"/>
      <c r="I220" s="96">
        <f t="shared" ref="I220:I225" si="32">+N($F220)*N(G220)</f>
        <v>0</v>
      </c>
      <c r="J220" s="96">
        <f t="shared" ref="J220:J225" si="33">+N($F220)*N(H220)</f>
        <v>0</v>
      </c>
      <c r="K220" s="96">
        <f t="shared" ref="K220:K225" si="34">J220+I220</f>
        <v>0</v>
      </c>
      <c r="M220" s="98" t="s">
        <v>383</v>
      </c>
    </row>
    <row r="221" spans="1:13">
      <c r="A221" s="141"/>
      <c r="B221" s="145" t="s">
        <v>392</v>
      </c>
      <c r="C221" s="143"/>
      <c r="D221" s="143"/>
      <c r="E221" s="102"/>
      <c r="F221" s="107">
        <f t="shared" si="31"/>
        <v>0</v>
      </c>
      <c r="G221" s="215"/>
      <c r="H221" s="139"/>
      <c r="I221" s="96">
        <f t="shared" si="32"/>
        <v>0</v>
      </c>
      <c r="J221" s="96">
        <f t="shared" si="33"/>
        <v>0</v>
      </c>
      <c r="K221" s="96">
        <f t="shared" si="34"/>
        <v>0</v>
      </c>
    </row>
    <row r="222" spans="1:13">
      <c r="A222" s="141"/>
      <c r="B222" s="145" t="s">
        <v>114</v>
      </c>
      <c r="C222" s="143"/>
      <c r="D222" s="143"/>
      <c r="E222" s="102"/>
      <c r="F222" s="107">
        <f t="shared" si="31"/>
        <v>0</v>
      </c>
      <c r="G222" s="215"/>
      <c r="H222" s="139"/>
      <c r="I222" s="96">
        <f t="shared" si="32"/>
        <v>0</v>
      </c>
      <c r="J222" s="96">
        <f t="shared" si="33"/>
        <v>0</v>
      </c>
      <c r="K222" s="96">
        <f t="shared" si="34"/>
        <v>0</v>
      </c>
    </row>
    <row r="223" spans="1:13">
      <c r="A223" s="141"/>
      <c r="B223" s="145" t="s">
        <v>138</v>
      </c>
      <c r="C223" s="143"/>
      <c r="D223" s="143"/>
      <c r="E223" s="102"/>
      <c r="F223" s="107">
        <f t="shared" si="31"/>
        <v>0</v>
      </c>
      <c r="G223" s="215"/>
      <c r="H223" s="139"/>
      <c r="I223" s="96">
        <f t="shared" si="32"/>
        <v>0</v>
      </c>
      <c r="J223" s="96">
        <f t="shared" si="33"/>
        <v>0</v>
      </c>
      <c r="K223" s="96">
        <f t="shared" si="34"/>
        <v>0</v>
      </c>
    </row>
    <row r="224" spans="1:13">
      <c r="A224" s="141"/>
      <c r="B224" s="145" t="s">
        <v>123</v>
      </c>
      <c r="C224" s="143"/>
      <c r="D224" s="143"/>
      <c r="E224" s="102"/>
      <c r="F224" s="107">
        <f t="shared" si="31"/>
        <v>0</v>
      </c>
      <c r="G224" s="215"/>
      <c r="H224" s="139"/>
      <c r="I224" s="96">
        <f t="shared" si="32"/>
        <v>0</v>
      </c>
      <c r="J224" s="96">
        <f t="shared" si="33"/>
        <v>0</v>
      </c>
      <c r="K224" s="96">
        <f t="shared" si="34"/>
        <v>0</v>
      </c>
    </row>
    <row r="225" spans="1:13">
      <c r="A225" s="141"/>
      <c r="B225" s="146" t="s">
        <v>386</v>
      </c>
      <c r="C225" s="143"/>
      <c r="D225" s="143"/>
      <c r="E225" s="102"/>
      <c r="F225" s="107">
        <f t="shared" si="31"/>
        <v>0</v>
      </c>
      <c r="G225" s="215"/>
      <c r="H225" s="139"/>
      <c r="I225" s="96">
        <f t="shared" si="32"/>
        <v>0</v>
      </c>
      <c r="J225" s="96">
        <f t="shared" si="33"/>
        <v>0</v>
      </c>
      <c r="K225" s="96">
        <f t="shared" si="34"/>
        <v>0</v>
      </c>
    </row>
    <row r="226" spans="1:13">
      <c r="A226" s="141"/>
      <c r="B226" s="146"/>
      <c r="C226" s="143"/>
      <c r="D226" s="143"/>
      <c r="E226" s="102"/>
      <c r="F226" s="107">
        <f t="shared" si="31"/>
        <v>0</v>
      </c>
      <c r="G226" s="215"/>
      <c r="H226" s="139"/>
      <c r="I226" s="96"/>
      <c r="J226" s="96"/>
      <c r="K226" s="96"/>
    </row>
    <row r="227" spans="1:13">
      <c r="A227" s="141">
        <v>11</v>
      </c>
      <c r="B227" s="228" t="s">
        <v>391</v>
      </c>
      <c r="C227" s="143" t="s">
        <v>78</v>
      </c>
      <c r="D227" s="143">
        <v>1</v>
      </c>
      <c r="E227" s="95"/>
      <c r="F227" s="107">
        <f t="shared" si="31"/>
        <v>1</v>
      </c>
      <c r="G227" s="138"/>
      <c r="H227" s="139"/>
      <c r="I227" s="96">
        <f t="shared" ref="I227:I232" si="35">+N($F227)*N(G227)</f>
        <v>0</v>
      </c>
      <c r="J227" s="96">
        <f t="shared" ref="J227:J232" si="36">+N($F227)*N(H227)</f>
        <v>0</v>
      </c>
      <c r="K227" s="96">
        <f t="shared" ref="K227:K232" si="37">J227+I227</f>
        <v>0</v>
      </c>
      <c r="M227" s="98" t="s">
        <v>383</v>
      </c>
    </row>
    <row r="228" spans="1:13">
      <c r="A228" s="141"/>
      <c r="B228" s="145" t="s">
        <v>393</v>
      </c>
      <c r="C228" s="143"/>
      <c r="D228" s="143"/>
      <c r="E228" s="102"/>
      <c r="F228" s="107">
        <f t="shared" si="31"/>
        <v>0</v>
      </c>
      <c r="G228" s="215"/>
      <c r="H228" s="139"/>
      <c r="I228" s="96">
        <f t="shared" si="35"/>
        <v>0</v>
      </c>
      <c r="J228" s="96">
        <f t="shared" si="36"/>
        <v>0</v>
      </c>
      <c r="K228" s="96">
        <f t="shared" si="37"/>
        <v>0</v>
      </c>
    </row>
    <row r="229" spans="1:13">
      <c r="A229" s="141"/>
      <c r="B229" s="145" t="s">
        <v>114</v>
      </c>
      <c r="C229" s="143"/>
      <c r="D229" s="143"/>
      <c r="E229" s="102"/>
      <c r="F229" s="107">
        <f t="shared" si="31"/>
        <v>0</v>
      </c>
      <c r="G229" s="215"/>
      <c r="H229" s="139"/>
      <c r="I229" s="96">
        <f t="shared" si="35"/>
        <v>0</v>
      </c>
      <c r="J229" s="96">
        <f t="shared" si="36"/>
        <v>0</v>
      </c>
      <c r="K229" s="96">
        <f t="shared" si="37"/>
        <v>0</v>
      </c>
    </row>
    <row r="230" spans="1:13">
      <c r="A230" s="141"/>
      <c r="B230" s="145" t="s">
        <v>390</v>
      </c>
      <c r="C230" s="143"/>
      <c r="D230" s="143"/>
      <c r="E230" s="102"/>
      <c r="F230" s="107">
        <f t="shared" si="31"/>
        <v>0</v>
      </c>
      <c r="G230" s="215"/>
      <c r="H230" s="139"/>
      <c r="I230" s="96">
        <f t="shared" si="35"/>
        <v>0</v>
      </c>
      <c r="J230" s="96">
        <f t="shared" si="36"/>
        <v>0</v>
      </c>
      <c r="K230" s="96">
        <f t="shared" si="37"/>
        <v>0</v>
      </c>
    </row>
    <row r="231" spans="1:13">
      <c r="A231" s="141"/>
      <c r="B231" s="145" t="s">
        <v>123</v>
      </c>
      <c r="C231" s="143"/>
      <c r="D231" s="143"/>
      <c r="E231" s="102"/>
      <c r="F231" s="107">
        <f t="shared" si="31"/>
        <v>0</v>
      </c>
      <c r="G231" s="215"/>
      <c r="H231" s="139"/>
      <c r="I231" s="96">
        <f t="shared" si="35"/>
        <v>0</v>
      </c>
      <c r="J231" s="96">
        <f t="shared" si="36"/>
        <v>0</v>
      </c>
      <c r="K231" s="96">
        <f t="shared" si="37"/>
        <v>0</v>
      </c>
    </row>
    <row r="232" spans="1:13">
      <c r="A232" s="141"/>
      <c r="B232" s="146" t="s">
        <v>386</v>
      </c>
      <c r="C232" s="143"/>
      <c r="D232" s="143"/>
      <c r="E232" s="102"/>
      <c r="F232" s="107">
        <f t="shared" si="31"/>
        <v>0</v>
      </c>
      <c r="G232" s="215"/>
      <c r="H232" s="139"/>
      <c r="I232" s="96">
        <f t="shared" si="35"/>
        <v>0</v>
      </c>
      <c r="J232" s="96">
        <f t="shared" si="36"/>
        <v>0</v>
      </c>
      <c r="K232" s="96">
        <f t="shared" si="37"/>
        <v>0</v>
      </c>
    </row>
    <row r="233" spans="1:13">
      <c r="A233" s="141"/>
      <c r="B233" s="146"/>
      <c r="C233" s="143"/>
      <c r="D233" s="143"/>
      <c r="E233" s="102"/>
      <c r="F233" s="107"/>
      <c r="G233" s="215"/>
      <c r="H233" s="139"/>
      <c r="I233" s="96"/>
      <c r="J233" s="96"/>
      <c r="K233" s="96"/>
    </row>
    <row r="234" spans="1:13" s="91" customFormat="1">
      <c r="A234" s="117"/>
      <c r="B234" s="118" t="s">
        <v>71</v>
      </c>
      <c r="C234" s="117"/>
      <c r="D234" s="117"/>
      <c r="E234" s="117"/>
      <c r="F234" s="119"/>
      <c r="G234" s="120"/>
      <c r="H234" s="120"/>
      <c r="I234" s="119">
        <f>SUM(I149:I233)</f>
        <v>0</v>
      </c>
      <c r="J234" s="119">
        <f>SUM(J149:J233)</f>
        <v>0</v>
      </c>
      <c r="K234" s="119">
        <f>SUM(K149:K233)</f>
        <v>0</v>
      </c>
      <c r="L234" s="98"/>
    </row>
    <row r="235" spans="1:13">
      <c r="A235" s="93"/>
      <c r="B235" s="135"/>
      <c r="C235" s="95"/>
      <c r="D235" s="95"/>
      <c r="E235" s="95"/>
      <c r="F235" s="96"/>
      <c r="G235" s="97"/>
      <c r="H235" s="97"/>
      <c r="I235" s="96"/>
      <c r="J235" s="96"/>
      <c r="K235" s="96"/>
    </row>
    <row r="236" spans="1:13" s="92" customFormat="1">
      <c r="A236" s="86" t="s">
        <v>21</v>
      </c>
      <c r="B236" s="87" t="s">
        <v>22</v>
      </c>
      <c r="C236" s="88"/>
      <c r="D236" s="88"/>
      <c r="E236" s="88"/>
      <c r="F236" s="88"/>
      <c r="G236" s="130"/>
      <c r="H236" s="90"/>
      <c r="I236" s="89"/>
      <c r="J236" s="89"/>
      <c r="K236" s="89"/>
      <c r="L236" s="98"/>
    </row>
    <row r="237" spans="1:13">
      <c r="A237" s="93"/>
      <c r="B237" s="94"/>
      <c r="C237" s="95"/>
      <c r="D237" s="95"/>
      <c r="E237" s="95"/>
      <c r="F237" s="96"/>
      <c r="G237" s="97"/>
      <c r="H237" s="97"/>
      <c r="I237" s="96"/>
      <c r="J237" s="96"/>
      <c r="K237" s="96"/>
    </row>
    <row r="238" spans="1:13" ht="108.5">
      <c r="A238" s="93">
        <v>1</v>
      </c>
      <c r="B238" s="125" t="s">
        <v>143</v>
      </c>
      <c r="C238" s="95"/>
      <c r="D238" s="95"/>
      <c r="E238" s="95"/>
      <c r="F238" s="107"/>
      <c r="G238" s="109"/>
      <c r="H238" s="109"/>
      <c r="I238" s="96"/>
      <c r="J238" s="96"/>
      <c r="K238" s="96"/>
    </row>
    <row r="239" spans="1:13">
      <c r="A239" s="93"/>
      <c r="B239" s="94"/>
      <c r="C239" s="95"/>
      <c r="D239" s="95"/>
      <c r="E239" s="95"/>
      <c r="F239" s="107"/>
      <c r="G239" s="109"/>
      <c r="H239" s="109"/>
      <c r="I239" s="96">
        <f t="shared" ref="I239:J258" si="38">+N($F239)*N(G239)</f>
        <v>0</v>
      </c>
      <c r="J239" s="96">
        <f t="shared" si="38"/>
        <v>0</v>
      </c>
      <c r="K239" s="96">
        <f t="shared" ref="K239:K310" si="39">J239+I239</f>
        <v>0</v>
      </c>
    </row>
    <row r="240" spans="1:13">
      <c r="A240" s="93">
        <v>1.1000000000000001</v>
      </c>
      <c r="B240" s="103" t="s">
        <v>329</v>
      </c>
      <c r="C240" s="95" t="s">
        <v>145</v>
      </c>
      <c r="D240" s="95">
        <f>45*2</f>
        <v>90</v>
      </c>
      <c r="E240" s="95"/>
      <c r="F240" s="107">
        <f>SUM(D240:E240)</f>
        <v>90</v>
      </c>
      <c r="G240" s="218"/>
      <c r="H240" s="218"/>
      <c r="I240" s="107">
        <f t="shared" ref="I240:I241" si="40">+N($F240)*N(G240)</f>
        <v>0</v>
      </c>
      <c r="J240" s="107">
        <f t="shared" ref="J240:J241" si="41">+N($F240)*N(H240)</f>
        <v>0</v>
      </c>
      <c r="K240" s="107">
        <f t="shared" ref="K240:K241" si="42">J240+I240</f>
        <v>0</v>
      </c>
    </row>
    <row r="241" spans="1:13">
      <c r="A241" s="93"/>
      <c r="B241" s="94"/>
      <c r="C241" s="95"/>
      <c r="D241" s="95"/>
      <c r="E241" s="95"/>
      <c r="F241" s="107">
        <f t="shared" ref="F241:F304" si="43">SUM(D241:E241)</f>
        <v>0</v>
      </c>
      <c r="G241" s="139"/>
      <c r="H241" s="139"/>
      <c r="I241" s="107">
        <f t="shared" si="40"/>
        <v>0</v>
      </c>
      <c r="J241" s="107">
        <f t="shared" si="41"/>
        <v>0</v>
      </c>
      <c r="K241" s="107">
        <f t="shared" si="42"/>
        <v>0</v>
      </c>
    </row>
    <row r="242" spans="1:13">
      <c r="A242" s="93">
        <v>1.2</v>
      </c>
      <c r="B242" s="103" t="s">
        <v>144</v>
      </c>
      <c r="C242" s="95" t="s">
        <v>145</v>
      </c>
      <c r="D242" s="95"/>
      <c r="E242" s="95" t="s">
        <v>314</v>
      </c>
      <c r="F242" s="107">
        <f t="shared" si="43"/>
        <v>0</v>
      </c>
      <c r="G242" s="218"/>
      <c r="H242" s="218"/>
      <c r="I242" s="107">
        <f t="shared" si="38"/>
        <v>0</v>
      </c>
      <c r="J242" s="107">
        <f t="shared" si="38"/>
        <v>0</v>
      </c>
      <c r="K242" s="107">
        <f t="shared" si="39"/>
        <v>0</v>
      </c>
    </row>
    <row r="243" spans="1:13">
      <c r="A243" s="93"/>
      <c r="B243" s="94"/>
      <c r="C243" s="95"/>
      <c r="D243" s="95"/>
      <c r="E243" s="95"/>
      <c r="F243" s="107">
        <f t="shared" si="43"/>
        <v>0</v>
      </c>
      <c r="G243" s="139"/>
      <c r="H243" s="139"/>
      <c r="I243" s="107">
        <f t="shared" si="38"/>
        <v>0</v>
      </c>
      <c r="J243" s="107">
        <f t="shared" si="38"/>
        <v>0</v>
      </c>
      <c r="K243" s="107">
        <f t="shared" si="39"/>
        <v>0</v>
      </c>
    </row>
    <row r="244" spans="1:13">
      <c r="A244" s="93">
        <v>1.3</v>
      </c>
      <c r="B244" s="94" t="s">
        <v>330</v>
      </c>
      <c r="C244" s="95" t="s">
        <v>145</v>
      </c>
      <c r="D244" s="95"/>
      <c r="E244" s="205">
        <f>50*2</f>
        <v>100</v>
      </c>
      <c r="F244" s="107">
        <f t="shared" si="43"/>
        <v>100</v>
      </c>
      <c r="G244" s="139"/>
      <c r="H244" s="139"/>
      <c r="I244" s="107">
        <f t="shared" si="38"/>
        <v>0</v>
      </c>
      <c r="J244" s="107">
        <f t="shared" si="38"/>
        <v>0</v>
      </c>
      <c r="K244" s="107">
        <f t="shared" si="39"/>
        <v>0</v>
      </c>
    </row>
    <row r="245" spans="1:13">
      <c r="A245" s="93"/>
      <c r="B245" s="94"/>
      <c r="C245" s="95"/>
      <c r="D245" s="95"/>
      <c r="E245" s="95"/>
      <c r="F245" s="107">
        <f t="shared" si="43"/>
        <v>0</v>
      </c>
      <c r="G245" s="139"/>
      <c r="H245" s="139"/>
      <c r="I245" s="107">
        <f t="shared" si="38"/>
        <v>0</v>
      </c>
      <c r="J245" s="107">
        <f t="shared" si="38"/>
        <v>0</v>
      </c>
      <c r="K245" s="107">
        <f t="shared" si="39"/>
        <v>0</v>
      </c>
    </row>
    <row r="246" spans="1:13">
      <c r="A246" s="93">
        <v>1.4</v>
      </c>
      <c r="B246" s="94" t="s">
        <v>146</v>
      </c>
      <c r="C246" s="95" t="s">
        <v>145</v>
      </c>
      <c r="D246" s="95"/>
      <c r="E246" s="205">
        <f>50*4*1.1</f>
        <v>220.00000000000003</v>
      </c>
      <c r="F246" s="107">
        <f t="shared" si="43"/>
        <v>220.00000000000003</v>
      </c>
      <c r="G246" s="139"/>
      <c r="H246" s="139"/>
      <c r="I246" s="107">
        <f t="shared" si="38"/>
        <v>0</v>
      </c>
      <c r="J246" s="107">
        <f t="shared" si="38"/>
        <v>0</v>
      </c>
      <c r="K246" s="107">
        <f t="shared" si="39"/>
        <v>0</v>
      </c>
    </row>
    <row r="247" spans="1:13">
      <c r="A247" s="93"/>
      <c r="B247" s="94"/>
      <c r="C247" s="95"/>
      <c r="D247" s="95"/>
      <c r="E247" s="95"/>
      <c r="F247" s="107">
        <f t="shared" si="43"/>
        <v>0</v>
      </c>
      <c r="G247" s="139"/>
      <c r="H247" s="139"/>
      <c r="I247" s="107">
        <f t="shared" si="38"/>
        <v>0</v>
      </c>
      <c r="J247" s="107">
        <f t="shared" si="38"/>
        <v>0</v>
      </c>
      <c r="K247" s="107">
        <f t="shared" si="39"/>
        <v>0</v>
      </c>
    </row>
    <row r="248" spans="1:13">
      <c r="A248" s="93">
        <v>1.5</v>
      </c>
      <c r="B248" s="94" t="s">
        <v>147</v>
      </c>
      <c r="C248" s="95" t="s">
        <v>145</v>
      </c>
      <c r="D248" s="95">
        <f>50</f>
        <v>50</v>
      </c>
      <c r="E248" s="205"/>
      <c r="F248" s="107">
        <f t="shared" si="43"/>
        <v>50</v>
      </c>
      <c r="G248" s="139"/>
      <c r="H248" s="139"/>
      <c r="I248" s="107">
        <f t="shared" si="38"/>
        <v>0</v>
      </c>
      <c r="J248" s="107">
        <f t="shared" si="38"/>
        <v>0</v>
      </c>
      <c r="K248" s="107">
        <f t="shared" si="39"/>
        <v>0</v>
      </c>
    </row>
    <row r="249" spans="1:13">
      <c r="A249" s="93"/>
      <c r="B249" s="94"/>
      <c r="C249" s="95"/>
      <c r="D249" s="95"/>
      <c r="E249" s="95"/>
      <c r="F249" s="107">
        <f t="shared" si="43"/>
        <v>0</v>
      </c>
      <c r="G249" s="139"/>
      <c r="H249" s="139"/>
      <c r="I249" s="107">
        <f t="shared" si="38"/>
        <v>0</v>
      </c>
      <c r="J249" s="107">
        <f t="shared" si="38"/>
        <v>0</v>
      </c>
      <c r="K249" s="107">
        <f t="shared" si="39"/>
        <v>0</v>
      </c>
    </row>
    <row r="250" spans="1:13">
      <c r="A250" s="93">
        <v>1.6</v>
      </c>
      <c r="B250" s="94" t="s">
        <v>148</v>
      </c>
      <c r="C250" s="95" t="s">
        <v>145</v>
      </c>
      <c r="D250" s="95">
        <f>100</f>
        <v>100</v>
      </c>
      <c r="E250" s="205"/>
      <c r="F250" s="107">
        <f t="shared" si="43"/>
        <v>100</v>
      </c>
      <c r="G250" s="109"/>
      <c r="H250" s="109"/>
      <c r="I250" s="107">
        <f t="shared" si="38"/>
        <v>0</v>
      </c>
      <c r="J250" s="107">
        <f t="shared" si="38"/>
        <v>0</v>
      </c>
      <c r="K250" s="107">
        <f t="shared" si="39"/>
        <v>0</v>
      </c>
    </row>
    <row r="251" spans="1:13">
      <c r="A251" s="93"/>
      <c r="B251" s="94"/>
      <c r="C251" s="95"/>
      <c r="D251" s="95"/>
      <c r="E251" s="95"/>
      <c r="F251" s="107">
        <f t="shared" si="43"/>
        <v>0</v>
      </c>
      <c r="G251" s="109"/>
      <c r="H251" s="109"/>
      <c r="I251" s="107">
        <f t="shared" si="38"/>
        <v>0</v>
      </c>
      <c r="J251" s="107">
        <f t="shared" si="38"/>
        <v>0</v>
      </c>
      <c r="K251" s="107">
        <f t="shared" si="39"/>
        <v>0</v>
      </c>
    </row>
    <row r="252" spans="1:13">
      <c r="A252" s="93">
        <v>1.7</v>
      </c>
      <c r="B252" s="94" t="s">
        <v>149</v>
      </c>
      <c r="C252" s="95" t="s">
        <v>145</v>
      </c>
      <c r="D252" s="95">
        <f>50</f>
        <v>50</v>
      </c>
      <c r="E252" s="95"/>
      <c r="F252" s="107">
        <f t="shared" si="43"/>
        <v>50</v>
      </c>
      <c r="G252" s="109"/>
      <c r="H252" s="109"/>
      <c r="I252" s="107">
        <f t="shared" si="38"/>
        <v>0</v>
      </c>
      <c r="J252" s="107">
        <f t="shared" si="38"/>
        <v>0</v>
      </c>
      <c r="K252" s="107">
        <f t="shared" si="39"/>
        <v>0</v>
      </c>
    </row>
    <row r="253" spans="1:13">
      <c r="A253" s="93"/>
      <c r="B253" s="94"/>
      <c r="C253" s="95"/>
      <c r="D253" s="95"/>
      <c r="E253" s="95"/>
      <c r="F253" s="107">
        <f t="shared" si="43"/>
        <v>0</v>
      </c>
      <c r="G253" s="109"/>
      <c r="H253" s="109"/>
      <c r="I253" s="107">
        <f t="shared" si="38"/>
        <v>0</v>
      </c>
      <c r="J253" s="107">
        <f t="shared" si="38"/>
        <v>0</v>
      </c>
      <c r="K253" s="107">
        <f t="shared" si="39"/>
        <v>0</v>
      </c>
    </row>
    <row r="254" spans="1:13" ht="62">
      <c r="A254" s="93">
        <v>1.8</v>
      </c>
      <c r="B254" s="230" t="s">
        <v>394</v>
      </c>
      <c r="C254" s="95" t="s">
        <v>145</v>
      </c>
      <c r="D254" s="229">
        <f>15*3*1.1</f>
        <v>49.500000000000007</v>
      </c>
      <c r="E254" s="95"/>
      <c r="F254" s="107">
        <f t="shared" si="43"/>
        <v>49.500000000000007</v>
      </c>
      <c r="G254" s="109"/>
      <c r="H254" s="109"/>
      <c r="I254" s="107">
        <f t="shared" ref="I254:I255" si="44">+N($F254)*N(G254)</f>
        <v>0</v>
      </c>
      <c r="J254" s="107">
        <f t="shared" ref="J254:J255" si="45">+N($F254)*N(H254)</f>
        <v>0</v>
      </c>
      <c r="K254" s="107">
        <f t="shared" ref="K254:K255" si="46">J254+I254</f>
        <v>0</v>
      </c>
      <c r="M254" s="231" t="s">
        <v>395</v>
      </c>
    </row>
    <row r="255" spans="1:13">
      <c r="A255" s="93"/>
      <c r="B255" s="94"/>
      <c r="C255" s="95"/>
      <c r="D255" s="95"/>
      <c r="E255" s="95"/>
      <c r="F255" s="107">
        <f t="shared" si="43"/>
        <v>0</v>
      </c>
      <c r="G255" s="109"/>
      <c r="H255" s="109"/>
      <c r="I255" s="107">
        <f t="shared" si="44"/>
        <v>0</v>
      </c>
      <c r="J255" s="107">
        <f t="shared" si="45"/>
        <v>0</v>
      </c>
      <c r="K255" s="107">
        <f t="shared" si="46"/>
        <v>0</v>
      </c>
    </row>
    <row r="256" spans="1:13">
      <c r="A256" s="93">
        <v>1.9</v>
      </c>
      <c r="B256" s="94" t="s">
        <v>150</v>
      </c>
      <c r="C256" s="95" t="s">
        <v>145</v>
      </c>
      <c r="D256" s="95"/>
      <c r="E256" s="205">
        <f>50*2</f>
        <v>100</v>
      </c>
      <c r="F256" s="107">
        <f t="shared" si="43"/>
        <v>100</v>
      </c>
      <c r="G256" s="206"/>
      <c r="H256" s="206"/>
      <c r="I256" s="107">
        <f t="shared" si="38"/>
        <v>0</v>
      </c>
      <c r="J256" s="107">
        <f t="shared" si="38"/>
        <v>0</v>
      </c>
      <c r="K256" s="107">
        <f t="shared" si="39"/>
        <v>0</v>
      </c>
    </row>
    <row r="257" spans="1:11">
      <c r="A257" s="93"/>
      <c r="B257" s="94"/>
      <c r="C257" s="95"/>
      <c r="D257" s="95"/>
      <c r="E257" s="95"/>
      <c r="F257" s="107">
        <f t="shared" si="43"/>
        <v>0</v>
      </c>
      <c r="G257" s="139"/>
      <c r="H257" s="139"/>
      <c r="I257" s="107">
        <f t="shared" si="38"/>
        <v>0</v>
      </c>
      <c r="J257" s="107">
        <f t="shared" si="38"/>
        <v>0</v>
      </c>
      <c r="K257" s="107">
        <f t="shared" si="39"/>
        <v>0</v>
      </c>
    </row>
    <row r="258" spans="1:11">
      <c r="A258" s="93">
        <v>1.1100000000000001</v>
      </c>
      <c r="B258" s="94" t="s">
        <v>151</v>
      </c>
      <c r="C258" s="95" t="s">
        <v>145</v>
      </c>
      <c r="D258" s="95"/>
      <c r="E258" s="205">
        <f>50</f>
        <v>50</v>
      </c>
      <c r="F258" s="107">
        <f t="shared" si="43"/>
        <v>50</v>
      </c>
      <c r="G258" s="206"/>
      <c r="H258" s="206"/>
      <c r="I258" s="107">
        <f t="shared" si="38"/>
        <v>0</v>
      </c>
      <c r="J258" s="107">
        <f t="shared" si="38"/>
        <v>0</v>
      </c>
      <c r="K258" s="107">
        <f t="shared" si="39"/>
        <v>0</v>
      </c>
    </row>
    <row r="259" spans="1:11">
      <c r="A259" s="93"/>
      <c r="B259" s="94"/>
      <c r="C259" s="95"/>
      <c r="D259" s="95"/>
      <c r="E259" s="95"/>
      <c r="F259" s="107">
        <f t="shared" si="43"/>
        <v>0</v>
      </c>
      <c r="G259" s="139"/>
      <c r="H259" s="139"/>
      <c r="I259" s="107">
        <f t="shared" ref="I259:J316" si="47">+N($F259)*N(G259)</f>
        <v>0</v>
      </c>
      <c r="J259" s="107">
        <f t="shared" si="47"/>
        <v>0</v>
      </c>
      <c r="K259" s="107">
        <f t="shared" si="39"/>
        <v>0</v>
      </c>
    </row>
    <row r="260" spans="1:11">
      <c r="A260" s="123">
        <v>1.1200000000000001</v>
      </c>
      <c r="B260" s="94" t="s">
        <v>152</v>
      </c>
      <c r="C260" s="95" t="s">
        <v>145</v>
      </c>
      <c r="D260" s="95"/>
      <c r="E260" s="95">
        <v>100</v>
      </c>
      <c r="F260" s="107">
        <f t="shared" si="43"/>
        <v>100</v>
      </c>
      <c r="G260" s="139"/>
      <c r="H260" s="139"/>
      <c r="I260" s="107">
        <f t="shared" si="47"/>
        <v>0</v>
      </c>
      <c r="J260" s="107">
        <f t="shared" si="47"/>
        <v>0</v>
      </c>
      <c r="K260" s="107">
        <f t="shared" si="39"/>
        <v>0</v>
      </c>
    </row>
    <row r="261" spans="1:11">
      <c r="A261" s="123"/>
      <c r="B261" s="94"/>
      <c r="C261" s="95"/>
      <c r="D261" s="95"/>
      <c r="E261" s="95"/>
      <c r="F261" s="107">
        <f t="shared" si="43"/>
        <v>0</v>
      </c>
      <c r="G261" s="139"/>
      <c r="H261" s="139"/>
      <c r="I261" s="107">
        <f t="shared" si="47"/>
        <v>0</v>
      </c>
      <c r="J261" s="107">
        <f t="shared" si="47"/>
        <v>0</v>
      </c>
      <c r="K261" s="107">
        <f t="shared" si="39"/>
        <v>0</v>
      </c>
    </row>
    <row r="262" spans="1:11">
      <c r="A262" s="123">
        <v>1.1299999999999999</v>
      </c>
      <c r="B262" s="94" t="s">
        <v>153</v>
      </c>
      <c r="C262" s="95" t="s">
        <v>145</v>
      </c>
      <c r="D262" s="95">
        <v>20</v>
      </c>
      <c r="E262" s="95">
        <v>100</v>
      </c>
      <c r="F262" s="107">
        <f t="shared" si="43"/>
        <v>120</v>
      </c>
      <c r="G262" s="139"/>
      <c r="H262" s="139"/>
      <c r="I262" s="107">
        <f t="shared" si="47"/>
        <v>0</v>
      </c>
      <c r="J262" s="107">
        <f t="shared" si="47"/>
        <v>0</v>
      </c>
      <c r="K262" s="107">
        <f t="shared" si="39"/>
        <v>0</v>
      </c>
    </row>
    <row r="263" spans="1:11">
      <c r="A263" s="123"/>
      <c r="B263" s="94"/>
      <c r="C263" s="95"/>
      <c r="D263" s="95"/>
      <c r="E263" s="95"/>
      <c r="F263" s="107">
        <f t="shared" si="43"/>
        <v>0</v>
      </c>
      <c r="G263" s="139"/>
      <c r="H263" s="139"/>
      <c r="I263" s="107">
        <f t="shared" si="47"/>
        <v>0</v>
      </c>
      <c r="J263" s="107">
        <f t="shared" si="47"/>
        <v>0</v>
      </c>
      <c r="K263" s="107">
        <f t="shared" si="39"/>
        <v>0</v>
      </c>
    </row>
    <row r="264" spans="1:11">
      <c r="A264" s="123">
        <v>1.1399999999999999</v>
      </c>
      <c r="B264" s="94" t="s">
        <v>315</v>
      </c>
      <c r="C264" s="95" t="s">
        <v>145</v>
      </c>
      <c r="D264" s="95"/>
      <c r="E264" s="219"/>
      <c r="F264" s="107">
        <f t="shared" si="43"/>
        <v>0</v>
      </c>
      <c r="G264" s="206"/>
      <c r="H264" s="206"/>
      <c r="I264" s="107">
        <f t="shared" si="47"/>
        <v>0</v>
      </c>
      <c r="J264" s="107">
        <f t="shared" si="47"/>
        <v>0</v>
      </c>
      <c r="K264" s="107">
        <f t="shared" si="39"/>
        <v>0</v>
      </c>
    </row>
    <row r="265" spans="1:11">
      <c r="A265" s="123"/>
      <c r="B265" s="94"/>
      <c r="C265" s="95"/>
      <c r="D265" s="95"/>
      <c r="E265" s="95"/>
      <c r="F265" s="107">
        <f t="shared" si="43"/>
        <v>0</v>
      </c>
      <c r="G265" s="139"/>
      <c r="H265" s="139"/>
      <c r="I265" s="107">
        <f t="shared" si="47"/>
        <v>0</v>
      </c>
      <c r="J265" s="107">
        <f t="shared" si="47"/>
        <v>0</v>
      </c>
      <c r="K265" s="107">
        <f t="shared" si="39"/>
        <v>0</v>
      </c>
    </row>
    <row r="266" spans="1:11">
      <c r="A266" s="123">
        <v>1.1499999999999999</v>
      </c>
      <c r="B266" s="94" t="s">
        <v>154</v>
      </c>
      <c r="C266" s="95" t="s">
        <v>145</v>
      </c>
      <c r="D266" s="205">
        <f>15*7+15*9*1.1</f>
        <v>253.5</v>
      </c>
      <c r="E266" s="205"/>
      <c r="F266" s="107">
        <f t="shared" si="43"/>
        <v>253.5</v>
      </c>
      <c r="G266" s="206"/>
      <c r="H266" s="206"/>
      <c r="I266" s="107">
        <f t="shared" si="47"/>
        <v>0</v>
      </c>
      <c r="J266" s="107">
        <f t="shared" si="47"/>
        <v>0</v>
      </c>
      <c r="K266" s="107">
        <f t="shared" si="39"/>
        <v>0</v>
      </c>
    </row>
    <row r="267" spans="1:11">
      <c r="A267" s="123"/>
      <c r="B267" s="94"/>
      <c r="C267" s="95"/>
      <c r="D267" s="95"/>
      <c r="E267" s="95"/>
      <c r="F267" s="107">
        <f t="shared" si="43"/>
        <v>0</v>
      </c>
      <c r="G267" s="139"/>
      <c r="H267" s="139"/>
      <c r="I267" s="107">
        <f t="shared" si="47"/>
        <v>0</v>
      </c>
      <c r="J267" s="107">
        <f t="shared" si="47"/>
        <v>0</v>
      </c>
      <c r="K267" s="107">
        <f t="shared" si="39"/>
        <v>0</v>
      </c>
    </row>
    <row r="268" spans="1:11">
      <c r="A268" s="123">
        <v>1.1599999999999999</v>
      </c>
      <c r="B268" s="94" t="s">
        <v>155</v>
      </c>
      <c r="C268" s="95" t="s">
        <v>145</v>
      </c>
      <c r="D268" s="219"/>
      <c r="E268" s="219"/>
      <c r="F268" s="107">
        <f t="shared" si="43"/>
        <v>0</v>
      </c>
      <c r="G268" s="220"/>
      <c r="H268" s="206"/>
      <c r="I268" s="107">
        <f t="shared" si="47"/>
        <v>0</v>
      </c>
      <c r="J268" s="107">
        <f t="shared" si="47"/>
        <v>0</v>
      </c>
      <c r="K268" s="107">
        <f t="shared" si="39"/>
        <v>0</v>
      </c>
    </row>
    <row r="269" spans="1:11">
      <c r="A269" s="123"/>
      <c r="B269" s="94"/>
      <c r="C269" s="95"/>
      <c r="D269" s="95"/>
      <c r="E269" s="95"/>
      <c r="F269" s="107">
        <f t="shared" si="43"/>
        <v>0</v>
      </c>
      <c r="G269" s="139"/>
      <c r="H269" s="139"/>
      <c r="I269" s="107">
        <f t="shared" si="47"/>
        <v>0</v>
      </c>
      <c r="J269" s="107">
        <f t="shared" si="47"/>
        <v>0</v>
      </c>
      <c r="K269" s="107">
        <f t="shared" si="39"/>
        <v>0</v>
      </c>
    </row>
    <row r="270" spans="1:11" s="98" customFormat="1">
      <c r="A270" s="123">
        <v>1.17</v>
      </c>
      <c r="B270" s="94" t="s">
        <v>370</v>
      </c>
      <c r="C270" s="95" t="s">
        <v>145</v>
      </c>
      <c r="D270" s="205">
        <f>15*9*1.1</f>
        <v>148.5</v>
      </c>
      <c r="E270" s="205"/>
      <c r="F270" s="107">
        <f t="shared" si="43"/>
        <v>148.5</v>
      </c>
      <c r="G270" s="207"/>
      <c r="H270" s="207"/>
      <c r="I270" s="107">
        <f t="shared" si="47"/>
        <v>0</v>
      </c>
      <c r="J270" s="107">
        <f t="shared" si="47"/>
        <v>0</v>
      </c>
      <c r="K270" s="107">
        <f t="shared" si="39"/>
        <v>0</v>
      </c>
    </row>
    <row r="271" spans="1:11">
      <c r="A271" s="123"/>
      <c r="B271" s="94"/>
      <c r="C271" s="95"/>
      <c r="D271" s="95"/>
      <c r="E271" s="95"/>
      <c r="F271" s="107">
        <f t="shared" si="43"/>
        <v>0</v>
      </c>
      <c r="G271" s="139"/>
      <c r="H271" s="139"/>
      <c r="I271" s="107">
        <f t="shared" si="47"/>
        <v>0</v>
      </c>
      <c r="J271" s="107">
        <f t="shared" si="47"/>
        <v>0</v>
      </c>
      <c r="K271" s="107">
        <f t="shared" si="39"/>
        <v>0</v>
      </c>
    </row>
    <row r="272" spans="1:11">
      <c r="A272" s="123">
        <v>1.18</v>
      </c>
      <c r="B272" s="94" t="s">
        <v>156</v>
      </c>
      <c r="C272" s="95" t="s">
        <v>145</v>
      </c>
      <c r="D272" s="95"/>
      <c r="E272" s="95"/>
      <c r="F272" s="107">
        <f t="shared" si="43"/>
        <v>0</v>
      </c>
      <c r="G272" s="109"/>
      <c r="H272" s="109"/>
      <c r="I272" s="107">
        <f t="shared" si="47"/>
        <v>0</v>
      </c>
      <c r="J272" s="107">
        <f t="shared" si="47"/>
        <v>0</v>
      </c>
      <c r="K272" s="107">
        <f t="shared" si="39"/>
        <v>0</v>
      </c>
    </row>
    <row r="273" spans="1:11">
      <c r="A273" s="123"/>
      <c r="B273" s="94"/>
      <c r="C273" s="95"/>
      <c r="D273" s="95"/>
      <c r="E273" s="95"/>
      <c r="F273" s="107">
        <f t="shared" si="43"/>
        <v>0</v>
      </c>
      <c r="G273" s="139"/>
      <c r="H273" s="139"/>
      <c r="I273" s="107">
        <f t="shared" si="47"/>
        <v>0</v>
      </c>
      <c r="J273" s="107">
        <f t="shared" si="47"/>
        <v>0</v>
      </c>
      <c r="K273" s="107">
        <f t="shared" si="39"/>
        <v>0</v>
      </c>
    </row>
    <row r="274" spans="1:11">
      <c r="A274" s="123">
        <v>1.19</v>
      </c>
      <c r="B274" s="94" t="s">
        <v>157</v>
      </c>
      <c r="C274" s="95" t="s">
        <v>145</v>
      </c>
      <c r="D274" s="95"/>
      <c r="E274" s="95">
        <v>50</v>
      </c>
      <c r="F274" s="107">
        <f t="shared" si="43"/>
        <v>50</v>
      </c>
      <c r="G274" s="139"/>
      <c r="H274" s="139"/>
      <c r="I274" s="107">
        <f t="shared" si="47"/>
        <v>0</v>
      </c>
      <c r="J274" s="107">
        <f t="shared" si="47"/>
        <v>0</v>
      </c>
      <c r="K274" s="107">
        <f t="shared" si="39"/>
        <v>0</v>
      </c>
    </row>
    <row r="275" spans="1:11">
      <c r="A275" s="123"/>
      <c r="B275" s="94"/>
      <c r="C275" s="95"/>
      <c r="D275" s="95"/>
      <c r="E275" s="95"/>
      <c r="F275" s="107">
        <f t="shared" si="43"/>
        <v>0</v>
      </c>
      <c r="G275" s="139"/>
      <c r="H275" s="139"/>
      <c r="I275" s="107">
        <f t="shared" si="47"/>
        <v>0</v>
      </c>
      <c r="J275" s="107">
        <f t="shared" si="47"/>
        <v>0</v>
      </c>
      <c r="K275" s="107">
        <f t="shared" si="39"/>
        <v>0</v>
      </c>
    </row>
    <row r="276" spans="1:11">
      <c r="A276" s="123">
        <v>1.2</v>
      </c>
      <c r="B276" s="94" t="s">
        <v>158</v>
      </c>
      <c r="C276" s="95" t="s">
        <v>145</v>
      </c>
      <c r="D276" s="95"/>
      <c r="E276" s="221">
        <v>50</v>
      </c>
      <c r="F276" s="107">
        <f t="shared" si="43"/>
        <v>50</v>
      </c>
      <c r="G276" s="139"/>
      <c r="H276" s="139"/>
      <c r="I276" s="107">
        <f t="shared" si="47"/>
        <v>0</v>
      </c>
      <c r="J276" s="107">
        <f t="shared" si="47"/>
        <v>0</v>
      </c>
      <c r="K276" s="107">
        <f t="shared" si="39"/>
        <v>0</v>
      </c>
    </row>
    <row r="277" spans="1:11">
      <c r="A277" s="123"/>
      <c r="B277" s="94"/>
      <c r="C277" s="95"/>
      <c r="D277" s="95"/>
      <c r="E277" s="95"/>
      <c r="F277" s="107">
        <f t="shared" si="43"/>
        <v>0</v>
      </c>
      <c r="G277" s="109"/>
      <c r="H277" s="148"/>
      <c r="I277" s="107">
        <f t="shared" si="47"/>
        <v>0</v>
      </c>
      <c r="J277" s="107">
        <f t="shared" si="47"/>
        <v>0</v>
      </c>
      <c r="K277" s="107">
        <f t="shared" si="39"/>
        <v>0</v>
      </c>
    </row>
    <row r="278" spans="1:11" ht="77.5">
      <c r="A278" s="93">
        <v>2</v>
      </c>
      <c r="B278" s="125" t="s">
        <v>159</v>
      </c>
      <c r="C278" s="95"/>
      <c r="D278" s="95"/>
      <c r="E278" s="95"/>
      <c r="F278" s="107">
        <f t="shared" si="43"/>
        <v>0</v>
      </c>
      <c r="G278" s="109"/>
      <c r="H278" s="109"/>
      <c r="I278" s="107">
        <f t="shared" si="47"/>
        <v>0</v>
      </c>
      <c r="J278" s="107">
        <f t="shared" si="47"/>
        <v>0</v>
      </c>
      <c r="K278" s="107">
        <f t="shared" si="39"/>
        <v>0</v>
      </c>
    </row>
    <row r="279" spans="1:11">
      <c r="A279" s="93"/>
      <c r="B279" s="125"/>
      <c r="C279" s="95"/>
      <c r="D279" s="95"/>
      <c r="E279" s="95"/>
      <c r="F279" s="107">
        <f t="shared" si="43"/>
        <v>0</v>
      </c>
      <c r="G279" s="109"/>
      <c r="H279" s="109"/>
      <c r="I279" s="107">
        <f t="shared" si="47"/>
        <v>0</v>
      </c>
      <c r="J279" s="107">
        <f t="shared" si="47"/>
        <v>0</v>
      </c>
      <c r="K279" s="107">
        <f t="shared" si="39"/>
        <v>0</v>
      </c>
    </row>
    <row r="280" spans="1:11">
      <c r="A280" s="93">
        <v>1.1000000000000001</v>
      </c>
      <c r="B280" s="94" t="s">
        <v>329</v>
      </c>
      <c r="C280" s="95" t="s">
        <v>78</v>
      </c>
      <c r="D280" s="95">
        <v>4</v>
      </c>
      <c r="E280" s="205"/>
      <c r="F280" s="107">
        <f t="shared" si="43"/>
        <v>4</v>
      </c>
      <c r="G280" s="218"/>
      <c r="H280" s="218"/>
      <c r="I280" s="107">
        <f t="shared" ref="I280" si="48">+N($F280)*N(G280)</f>
        <v>0</v>
      </c>
      <c r="J280" s="107">
        <f t="shared" ref="J280" si="49">+N($F280)*N(H280)</f>
        <v>0</v>
      </c>
      <c r="K280" s="107">
        <f t="shared" ref="K280" si="50">J280+I280</f>
        <v>0</v>
      </c>
    </row>
    <row r="281" spans="1:11">
      <c r="A281" s="93"/>
      <c r="B281" s="125"/>
      <c r="C281" s="95"/>
      <c r="D281" s="95"/>
      <c r="E281" s="95"/>
      <c r="F281" s="107">
        <f t="shared" si="43"/>
        <v>0</v>
      </c>
      <c r="G281" s="109"/>
      <c r="H281" s="109"/>
      <c r="I281" s="107"/>
      <c r="J281" s="107"/>
      <c r="K281" s="107"/>
    </row>
    <row r="282" spans="1:11">
      <c r="A282" s="93">
        <v>1.2</v>
      </c>
      <c r="B282" s="94" t="s">
        <v>144</v>
      </c>
      <c r="C282" s="95" t="s">
        <v>78</v>
      </c>
      <c r="D282" s="95"/>
      <c r="E282" s="95" t="s">
        <v>314</v>
      </c>
      <c r="F282" s="107">
        <f t="shared" si="43"/>
        <v>0</v>
      </c>
      <c r="G282" s="218"/>
      <c r="H282" s="218"/>
      <c r="I282" s="107">
        <f t="shared" si="47"/>
        <v>0</v>
      </c>
      <c r="J282" s="107">
        <f t="shared" si="47"/>
        <v>0</v>
      </c>
      <c r="K282" s="107">
        <f t="shared" si="39"/>
        <v>0</v>
      </c>
    </row>
    <row r="283" spans="1:11">
      <c r="A283" s="93"/>
      <c r="B283" s="94"/>
      <c r="C283" s="95"/>
      <c r="D283" s="95"/>
      <c r="E283" s="95"/>
      <c r="F283" s="107">
        <f t="shared" si="43"/>
        <v>0</v>
      </c>
      <c r="G283" s="139"/>
      <c r="H283" s="222"/>
      <c r="I283" s="107">
        <f t="shared" si="47"/>
        <v>0</v>
      </c>
      <c r="J283" s="107">
        <f t="shared" si="47"/>
        <v>0</v>
      </c>
      <c r="K283" s="107">
        <f t="shared" si="39"/>
        <v>0</v>
      </c>
    </row>
    <row r="284" spans="1:11">
      <c r="A284" s="93">
        <v>1.3</v>
      </c>
      <c r="B284" s="94" t="s">
        <v>330</v>
      </c>
      <c r="C284" s="95" t="s">
        <v>78</v>
      </c>
      <c r="D284" s="95"/>
      <c r="E284" s="205">
        <f>2*2</f>
        <v>4</v>
      </c>
      <c r="F284" s="107">
        <f t="shared" si="43"/>
        <v>4</v>
      </c>
      <c r="G284" s="139"/>
      <c r="H284" s="139"/>
      <c r="I284" s="107">
        <f t="shared" si="47"/>
        <v>0</v>
      </c>
      <c r="J284" s="107">
        <f t="shared" si="47"/>
        <v>0</v>
      </c>
      <c r="K284" s="107">
        <f t="shared" si="39"/>
        <v>0</v>
      </c>
    </row>
    <row r="285" spans="1:11">
      <c r="A285" s="93"/>
      <c r="B285" s="94"/>
      <c r="C285" s="95"/>
      <c r="D285" s="95"/>
      <c r="E285" s="95"/>
      <c r="F285" s="107">
        <f t="shared" si="43"/>
        <v>0</v>
      </c>
      <c r="G285" s="139"/>
      <c r="H285" s="222"/>
      <c r="I285" s="107">
        <f t="shared" si="47"/>
        <v>0</v>
      </c>
      <c r="J285" s="107">
        <f t="shared" si="47"/>
        <v>0</v>
      </c>
      <c r="K285" s="107">
        <f t="shared" si="39"/>
        <v>0</v>
      </c>
    </row>
    <row r="286" spans="1:11">
      <c r="A286" s="93">
        <v>1.4</v>
      </c>
      <c r="B286" s="94" t="s">
        <v>146</v>
      </c>
      <c r="C286" s="95" t="s">
        <v>78</v>
      </c>
      <c r="D286" s="95"/>
      <c r="E286" s="205">
        <v>4</v>
      </c>
      <c r="F286" s="107">
        <f t="shared" si="43"/>
        <v>4</v>
      </c>
      <c r="G286" s="206"/>
      <c r="H286" s="206"/>
      <c r="I286" s="107">
        <f t="shared" si="47"/>
        <v>0</v>
      </c>
      <c r="J286" s="107">
        <f t="shared" si="47"/>
        <v>0</v>
      </c>
      <c r="K286" s="107">
        <f t="shared" si="39"/>
        <v>0</v>
      </c>
    </row>
    <row r="287" spans="1:11">
      <c r="A287" s="93"/>
      <c r="B287" s="94"/>
      <c r="C287" s="95"/>
      <c r="D287" s="95"/>
      <c r="E287" s="95"/>
      <c r="F287" s="107">
        <f t="shared" si="43"/>
        <v>0</v>
      </c>
      <c r="G287" s="139"/>
      <c r="H287" s="222"/>
      <c r="I287" s="107">
        <f t="shared" si="47"/>
        <v>0</v>
      </c>
      <c r="J287" s="107">
        <f t="shared" si="47"/>
        <v>0</v>
      </c>
      <c r="K287" s="107">
        <f t="shared" si="39"/>
        <v>0</v>
      </c>
    </row>
    <row r="288" spans="1:11">
      <c r="A288" s="93">
        <v>1.5</v>
      </c>
      <c r="B288" s="94" t="s">
        <v>147</v>
      </c>
      <c r="C288" s="95" t="s">
        <v>78</v>
      </c>
      <c r="D288" s="95">
        <v>4</v>
      </c>
      <c r="E288" s="205"/>
      <c r="F288" s="107">
        <f t="shared" si="43"/>
        <v>4</v>
      </c>
      <c r="G288" s="206"/>
      <c r="H288" s="206"/>
      <c r="I288" s="107">
        <f t="shared" si="47"/>
        <v>0</v>
      </c>
      <c r="J288" s="107">
        <f t="shared" si="47"/>
        <v>0</v>
      </c>
      <c r="K288" s="107">
        <f t="shared" si="39"/>
        <v>0</v>
      </c>
    </row>
    <row r="289" spans="1:13">
      <c r="A289" s="93"/>
      <c r="B289" s="94"/>
      <c r="C289" s="95"/>
      <c r="D289" s="95"/>
      <c r="E289" s="95"/>
      <c r="F289" s="107">
        <f t="shared" si="43"/>
        <v>0</v>
      </c>
      <c r="G289" s="109"/>
      <c r="H289" s="109"/>
      <c r="I289" s="107">
        <f t="shared" si="47"/>
        <v>0</v>
      </c>
      <c r="J289" s="107">
        <f t="shared" si="47"/>
        <v>0</v>
      </c>
      <c r="K289" s="107">
        <f t="shared" si="39"/>
        <v>0</v>
      </c>
    </row>
    <row r="290" spans="1:13">
      <c r="A290" s="93">
        <v>1.6</v>
      </c>
      <c r="B290" s="94" t="s">
        <v>148</v>
      </c>
      <c r="C290" s="95" t="s">
        <v>78</v>
      </c>
      <c r="D290" s="95">
        <v>4</v>
      </c>
      <c r="E290" s="205"/>
      <c r="F290" s="107">
        <f t="shared" si="43"/>
        <v>4</v>
      </c>
      <c r="G290" s="139"/>
      <c r="H290" s="139"/>
      <c r="I290" s="107">
        <f t="shared" si="47"/>
        <v>0</v>
      </c>
      <c r="J290" s="107">
        <f t="shared" si="47"/>
        <v>0</v>
      </c>
      <c r="K290" s="107">
        <f t="shared" si="39"/>
        <v>0</v>
      </c>
    </row>
    <row r="291" spans="1:13">
      <c r="A291" s="93"/>
      <c r="B291" s="94"/>
      <c r="C291" s="95"/>
      <c r="D291" s="95"/>
      <c r="E291" s="95"/>
      <c r="F291" s="107">
        <f t="shared" si="43"/>
        <v>0</v>
      </c>
      <c r="G291" s="109"/>
      <c r="H291" s="148"/>
      <c r="I291" s="107">
        <f t="shared" si="47"/>
        <v>0</v>
      </c>
      <c r="J291" s="107">
        <f t="shared" si="47"/>
        <v>0</v>
      </c>
      <c r="K291" s="107">
        <f t="shared" si="39"/>
        <v>0</v>
      </c>
    </row>
    <row r="292" spans="1:13">
      <c r="A292" s="93">
        <v>1.7</v>
      </c>
      <c r="B292" s="94" t="s">
        <v>149</v>
      </c>
      <c r="C292" s="95" t="s">
        <v>78</v>
      </c>
      <c r="D292" s="95">
        <v>2</v>
      </c>
      <c r="E292" s="95"/>
      <c r="F292" s="107">
        <f t="shared" si="43"/>
        <v>2</v>
      </c>
      <c r="G292" s="139"/>
      <c r="H292" s="139"/>
      <c r="I292" s="107">
        <f t="shared" si="47"/>
        <v>0</v>
      </c>
      <c r="J292" s="107">
        <f t="shared" si="47"/>
        <v>0</v>
      </c>
      <c r="K292" s="107">
        <f t="shared" si="39"/>
        <v>0</v>
      </c>
    </row>
    <row r="293" spans="1:13">
      <c r="A293" s="93"/>
      <c r="B293" s="94"/>
      <c r="C293" s="95"/>
      <c r="D293" s="95"/>
      <c r="E293" s="95"/>
      <c r="F293" s="107">
        <f t="shared" si="43"/>
        <v>0</v>
      </c>
      <c r="G293" s="139"/>
      <c r="H293" s="139"/>
      <c r="I293" s="107">
        <f t="shared" si="47"/>
        <v>0</v>
      </c>
      <c r="J293" s="107">
        <f t="shared" si="47"/>
        <v>0</v>
      </c>
      <c r="K293" s="107">
        <f t="shared" si="39"/>
        <v>0</v>
      </c>
    </row>
    <row r="294" spans="1:13" ht="62">
      <c r="A294" s="93">
        <v>1.8</v>
      </c>
      <c r="B294" s="230" t="s">
        <v>394</v>
      </c>
      <c r="C294" s="95" t="s">
        <v>145</v>
      </c>
      <c r="D294" s="229">
        <v>6</v>
      </c>
      <c r="E294" s="95"/>
      <c r="F294" s="107">
        <f t="shared" si="43"/>
        <v>6</v>
      </c>
      <c r="G294" s="109"/>
      <c r="H294" s="109"/>
      <c r="I294" s="107">
        <f t="shared" si="47"/>
        <v>0</v>
      </c>
      <c r="J294" s="107">
        <f t="shared" si="47"/>
        <v>0</v>
      </c>
      <c r="K294" s="107">
        <f t="shared" si="39"/>
        <v>0</v>
      </c>
      <c r="M294" s="231" t="s">
        <v>395</v>
      </c>
    </row>
    <row r="295" spans="1:13">
      <c r="A295" s="93"/>
      <c r="B295" s="94"/>
      <c r="C295" s="95"/>
      <c r="D295" s="95"/>
      <c r="E295" s="95"/>
      <c r="F295" s="107">
        <f t="shared" si="43"/>
        <v>0</v>
      </c>
      <c r="G295" s="109"/>
      <c r="H295" s="109"/>
      <c r="I295" s="107">
        <f t="shared" si="47"/>
        <v>0</v>
      </c>
      <c r="J295" s="107">
        <f t="shared" si="47"/>
        <v>0</v>
      </c>
      <c r="K295" s="107">
        <f t="shared" si="39"/>
        <v>0</v>
      </c>
    </row>
    <row r="296" spans="1:13">
      <c r="A296" s="93">
        <v>1.9</v>
      </c>
      <c r="B296" s="94" t="s">
        <v>150</v>
      </c>
      <c r="C296" s="95" t="s">
        <v>78</v>
      </c>
      <c r="D296" s="95"/>
      <c r="E296" s="205">
        <f>2*2</f>
        <v>4</v>
      </c>
      <c r="F296" s="107">
        <f t="shared" si="43"/>
        <v>4</v>
      </c>
      <c r="G296" s="206"/>
      <c r="H296" s="206"/>
      <c r="I296" s="107">
        <f t="shared" si="47"/>
        <v>0</v>
      </c>
      <c r="J296" s="107">
        <f t="shared" si="47"/>
        <v>0</v>
      </c>
      <c r="K296" s="107">
        <f t="shared" si="39"/>
        <v>0</v>
      </c>
    </row>
    <row r="297" spans="1:13">
      <c r="A297" s="93"/>
      <c r="B297" s="94"/>
      <c r="C297" s="95"/>
      <c r="D297" s="95"/>
      <c r="E297" s="95"/>
      <c r="F297" s="107">
        <f t="shared" si="43"/>
        <v>0</v>
      </c>
      <c r="G297" s="139"/>
      <c r="H297" s="139"/>
      <c r="I297" s="107">
        <f t="shared" si="47"/>
        <v>0</v>
      </c>
      <c r="J297" s="107">
        <f t="shared" si="47"/>
        <v>0</v>
      </c>
      <c r="K297" s="107">
        <f t="shared" si="39"/>
        <v>0</v>
      </c>
    </row>
    <row r="298" spans="1:13">
      <c r="A298" s="93">
        <v>1.1100000000000001</v>
      </c>
      <c r="B298" s="94" t="s">
        <v>151</v>
      </c>
      <c r="C298" s="95" t="s">
        <v>78</v>
      </c>
      <c r="D298" s="95"/>
      <c r="E298" s="205">
        <f>2</f>
        <v>2</v>
      </c>
      <c r="F298" s="107">
        <f t="shared" si="43"/>
        <v>2</v>
      </c>
      <c r="G298" s="206"/>
      <c r="H298" s="206"/>
      <c r="I298" s="107">
        <f t="shared" si="47"/>
        <v>0</v>
      </c>
      <c r="J298" s="107">
        <f t="shared" si="47"/>
        <v>0</v>
      </c>
      <c r="K298" s="107">
        <f t="shared" si="39"/>
        <v>0</v>
      </c>
    </row>
    <row r="299" spans="1:13">
      <c r="A299" s="93"/>
      <c r="B299" s="94"/>
      <c r="C299" s="95"/>
      <c r="D299" s="95"/>
      <c r="E299" s="95"/>
      <c r="F299" s="107">
        <f t="shared" si="43"/>
        <v>0</v>
      </c>
      <c r="G299" s="139"/>
      <c r="H299" s="139"/>
      <c r="I299" s="107">
        <f t="shared" si="47"/>
        <v>0</v>
      </c>
      <c r="J299" s="107">
        <f t="shared" si="47"/>
        <v>0</v>
      </c>
      <c r="K299" s="107">
        <f t="shared" si="39"/>
        <v>0</v>
      </c>
    </row>
    <row r="300" spans="1:13">
      <c r="A300" s="123">
        <v>1.1200000000000001</v>
      </c>
      <c r="B300" s="94" t="s">
        <v>152</v>
      </c>
      <c r="C300" s="95" t="s">
        <v>78</v>
      </c>
      <c r="D300" s="95"/>
      <c r="E300" s="95">
        <v>4</v>
      </c>
      <c r="F300" s="107">
        <f t="shared" si="43"/>
        <v>4</v>
      </c>
      <c r="G300" s="139"/>
      <c r="H300" s="139"/>
      <c r="I300" s="107">
        <f t="shared" si="47"/>
        <v>0</v>
      </c>
      <c r="J300" s="107">
        <f t="shared" si="47"/>
        <v>0</v>
      </c>
      <c r="K300" s="107">
        <f t="shared" si="39"/>
        <v>0</v>
      </c>
    </row>
    <row r="301" spans="1:13">
      <c r="A301" s="123"/>
      <c r="B301" s="94"/>
      <c r="C301" s="95"/>
      <c r="D301" s="95"/>
      <c r="E301" s="95"/>
      <c r="F301" s="107">
        <f t="shared" si="43"/>
        <v>0</v>
      </c>
      <c r="G301" s="139"/>
      <c r="H301" s="139"/>
      <c r="I301" s="107">
        <f t="shared" si="47"/>
        <v>0</v>
      </c>
      <c r="J301" s="107">
        <f t="shared" si="47"/>
        <v>0</v>
      </c>
      <c r="K301" s="107">
        <f t="shared" si="39"/>
        <v>0</v>
      </c>
    </row>
    <row r="302" spans="1:13">
      <c r="A302" s="123">
        <v>1.1299999999999999</v>
      </c>
      <c r="B302" s="94" t="s">
        <v>153</v>
      </c>
      <c r="C302" s="95" t="s">
        <v>78</v>
      </c>
      <c r="D302" s="95">
        <v>2</v>
      </c>
      <c r="E302" s="95">
        <v>4</v>
      </c>
      <c r="F302" s="107">
        <f t="shared" si="43"/>
        <v>6</v>
      </c>
      <c r="G302" s="208"/>
      <c r="H302" s="208"/>
      <c r="I302" s="107">
        <f t="shared" si="47"/>
        <v>0</v>
      </c>
      <c r="J302" s="107">
        <f t="shared" si="47"/>
        <v>0</v>
      </c>
      <c r="K302" s="107">
        <f t="shared" si="39"/>
        <v>0</v>
      </c>
    </row>
    <row r="303" spans="1:13">
      <c r="A303" s="123"/>
      <c r="B303" s="94"/>
      <c r="C303" s="95"/>
      <c r="D303" s="95"/>
      <c r="E303" s="95"/>
      <c r="F303" s="107">
        <f t="shared" si="43"/>
        <v>0</v>
      </c>
      <c r="G303" s="139"/>
      <c r="H303" s="139"/>
      <c r="I303" s="107">
        <f t="shared" si="47"/>
        <v>0</v>
      </c>
      <c r="J303" s="107">
        <f t="shared" si="47"/>
        <v>0</v>
      </c>
      <c r="K303" s="107">
        <f t="shared" si="39"/>
        <v>0</v>
      </c>
    </row>
    <row r="304" spans="1:13">
      <c r="A304" s="149">
        <v>1.1399999999999999</v>
      </c>
      <c r="B304" s="94" t="s">
        <v>316</v>
      </c>
      <c r="C304" s="95" t="s">
        <v>78</v>
      </c>
      <c r="D304" s="95"/>
      <c r="E304" s="219"/>
      <c r="F304" s="107">
        <f t="shared" si="43"/>
        <v>0</v>
      </c>
      <c r="G304" s="206"/>
      <c r="H304" s="206"/>
      <c r="I304" s="107">
        <f t="shared" si="47"/>
        <v>0</v>
      </c>
      <c r="J304" s="107">
        <f t="shared" si="47"/>
        <v>0</v>
      </c>
      <c r="K304" s="107">
        <f t="shared" si="39"/>
        <v>0</v>
      </c>
    </row>
    <row r="305" spans="1:12">
      <c r="A305" s="123"/>
      <c r="B305" s="94"/>
      <c r="C305" s="95"/>
      <c r="D305" s="95"/>
      <c r="E305" s="95"/>
      <c r="F305" s="107">
        <f t="shared" ref="F305:F316" si="51">SUM(D305:E305)</f>
        <v>0</v>
      </c>
      <c r="G305" s="139"/>
      <c r="H305" s="139"/>
      <c r="I305" s="107">
        <f t="shared" si="47"/>
        <v>0</v>
      </c>
      <c r="J305" s="107">
        <f t="shared" si="47"/>
        <v>0</v>
      </c>
      <c r="K305" s="107">
        <f t="shared" si="39"/>
        <v>0</v>
      </c>
    </row>
    <row r="306" spans="1:12">
      <c r="A306" s="123">
        <v>1.1499999999999999</v>
      </c>
      <c r="B306" s="94" t="s">
        <v>154</v>
      </c>
      <c r="C306" s="95" t="s">
        <v>78</v>
      </c>
      <c r="D306" s="205">
        <f>7*2+9*2+4</f>
        <v>36</v>
      </c>
      <c r="E306" s="205"/>
      <c r="F306" s="107">
        <f t="shared" si="51"/>
        <v>36</v>
      </c>
      <c r="G306" s="139"/>
      <c r="H306" s="139"/>
      <c r="I306" s="107">
        <f t="shared" si="47"/>
        <v>0</v>
      </c>
      <c r="J306" s="107">
        <f t="shared" si="47"/>
        <v>0</v>
      </c>
      <c r="K306" s="107">
        <f t="shared" si="39"/>
        <v>0</v>
      </c>
    </row>
    <row r="307" spans="1:12">
      <c r="A307" s="123"/>
      <c r="B307" s="94"/>
      <c r="C307" s="95"/>
      <c r="D307" s="95"/>
      <c r="E307" s="95"/>
      <c r="F307" s="107">
        <f t="shared" si="51"/>
        <v>0</v>
      </c>
      <c r="G307" s="139"/>
      <c r="H307" s="139"/>
      <c r="I307" s="107">
        <f t="shared" si="47"/>
        <v>0</v>
      </c>
      <c r="J307" s="107">
        <f t="shared" si="47"/>
        <v>0</v>
      </c>
      <c r="K307" s="107">
        <f t="shared" si="39"/>
        <v>0</v>
      </c>
    </row>
    <row r="308" spans="1:12">
      <c r="A308" s="123">
        <v>1.1599999999999999</v>
      </c>
      <c r="B308" s="94" t="s">
        <v>155</v>
      </c>
      <c r="C308" s="95" t="s">
        <v>78</v>
      </c>
      <c r="D308" s="219"/>
      <c r="E308" s="219"/>
      <c r="F308" s="107">
        <f t="shared" si="51"/>
        <v>0</v>
      </c>
      <c r="G308" s="206"/>
      <c r="H308" s="206"/>
      <c r="I308" s="107">
        <f t="shared" si="47"/>
        <v>0</v>
      </c>
      <c r="J308" s="107">
        <f t="shared" si="47"/>
        <v>0</v>
      </c>
      <c r="K308" s="107">
        <f t="shared" si="39"/>
        <v>0</v>
      </c>
    </row>
    <row r="309" spans="1:12">
      <c r="A309" s="123"/>
      <c r="B309" s="94"/>
      <c r="C309" s="95"/>
      <c r="D309" s="95"/>
      <c r="E309" s="95"/>
      <c r="F309" s="107">
        <f t="shared" si="51"/>
        <v>0</v>
      </c>
      <c r="G309" s="139"/>
      <c r="H309" s="139"/>
      <c r="I309" s="107">
        <f t="shared" si="47"/>
        <v>0</v>
      </c>
      <c r="J309" s="107">
        <f t="shared" si="47"/>
        <v>0</v>
      </c>
      <c r="K309" s="107">
        <f t="shared" si="39"/>
        <v>0</v>
      </c>
    </row>
    <row r="310" spans="1:12" s="152" customFormat="1">
      <c r="A310" s="123">
        <v>1.17</v>
      </c>
      <c r="B310" s="150" t="s">
        <v>370</v>
      </c>
      <c r="C310" s="144" t="s">
        <v>78</v>
      </c>
      <c r="D310" s="205">
        <f>(4+5)*2+2</f>
        <v>20</v>
      </c>
      <c r="E310" s="205"/>
      <c r="F310" s="107">
        <f t="shared" si="51"/>
        <v>20</v>
      </c>
      <c r="G310" s="207"/>
      <c r="H310" s="207"/>
      <c r="I310" s="151">
        <f t="shared" si="47"/>
        <v>0</v>
      </c>
      <c r="J310" s="151">
        <f t="shared" si="47"/>
        <v>0</v>
      </c>
      <c r="K310" s="151">
        <f t="shared" si="39"/>
        <v>0</v>
      </c>
    </row>
    <row r="311" spans="1:12">
      <c r="A311" s="123"/>
      <c r="B311" s="94"/>
      <c r="C311" s="95"/>
      <c r="D311" s="95"/>
      <c r="E311" s="95"/>
      <c r="F311" s="107">
        <f t="shared" si="51"/>
        <v>0</v>
      </c>
      <c r="G311" s="139"/>
      <c r="H311" s="139"/>
      <c r="I311" s="107">
        <f t="shared" si="47"/>
        <v>0</v>
      </c>
      <c r="J311" s="107">
        <f t="shared" si="47"/>
        <v>0</v>
      </c>
      <c r="K311" s="107">
        <f t="shared" ref="K311:K316" si="52">J311+I311</f>
        <v>0</v>
      </c>
    </row>
    <row r="312" spans="1:12">
      <c r="A312" s="123">
        <v>1.18</v>
      </c>
      <c r="B312" s="94" t="s">
        <v>156</v>
      </c>
      <c r="C312" s="95" t="s">
        <v>78</v>
      </c>
      <c r="D312" s="95"/>
      <c r="E312" s="95"/>
      <c r="F312" s="107">
        <f t="shared" si="51"/>
        <v>0</v>
      </c>
      <c r="G312" s="109"/>
      <c r="H312" s="148"/>
      <c r="I312" s="107">
        <f t="shared" si="47"/>
        <v>0</v>
      </c>
      <c r="J312" s="107">
        <f t="shared" si="47"/>
        <v>0</v>
      </c>
      <c r="K312" s="107">
        <f t="shared" si="52"/>
        <v>0</v>
      </c>
    </row>
    <row r="313" spans="1:12">
      <c r="A313" s="123"/>
      <c r="B313" s="94"/>
      <c r="C313" s="95"/>
      <c r="D313" s="95"/>
      <c r="E313" s="95"/>
      <c r="F313" s="107">
        <f t="shared" si="51"/>
        <v>0</v>
      </c>
      <c r="G313" s="139"/>
      <c r="H313" s="139"/>
      <c r="I313" s="107">
        <f t="shared" si="47"/>
        <v>0</v>
      </c>
      <c r="J313" s="107">
        <f t="shared" si="47"/>
        <v>0</v>
      </c>
      <c r="K313" s="107">
        <f t="shared" si="52"/>
        <v>0</v>
      </c>
    </row>
    <row r="314" spans="1:12">
      <c r="A314" s="123">
        <v>1.19</v>
      </c>
      <c r="B314" s="94" t="s">
        <v>157</v>
      </c>
      <c r="C314" s="95" t="s">
        <v>78</v>
      </c>
      <c r="D314" s="95"/>
      <c r="E314" s="95">
        <v>4</v>
      </c>
      <c r="F314" s="107">
        <f t="shared" si="51"/>
        <v>4</v>
      </c>
      <c r="G314" s="139"/>
      <c r="H314" s="139"/>
      <c r="I314" s="107">
        <f t="shared" si="47"/>
        <v>0</v>
      </c>
      <c r="J314" s="107">
        <f t="shared" si="47"/>
        <v>0</v>
      </c>
      <c r="K314" s="107">
        <f t="shared" si="52"/>
        <v>0</v>
      </c>
    </row>
    <row r="315" spans="1:12">
      <c r="A315" s="123"/>
      <c r="B315" s="94"/>
      <c r="C315" s="95"/>
      <c r="D315" s="95"/>
      <c r="E315" s="95"/>
      <c r="F315" s="107">
        <f t="shared" si="51"/>
        <v>0</v>
      </c>
      <c r="G315" s="139"/>
      <c r="H315" s="139"/>
      <c r="I315" s="107">
        <f t="shared" si="47"/>
        <v>0</v>
      </c>
      <c r="J315" s="107">
        <f t="shared" si="47"/>
        <v>0</v>
      </c>
      <c r="K315" s="107">
        <f t="shared" si="52"/>
        <v>0</v>
      </c>
    </row>
    <row r="316" spans="1:12">
      <c r="A316" s="123">
        <v>1.2</v>
      </c>
      <c r="B316" s="94" t="s">
        <v>158</v>
      </c>
      <c r="C316" s="95" t="s">
        <v>78</v>
      </c>
      <c r="D316" s="95"/>
      <c r="E316" s="219">
        <v>4</v>
      </c>
      <c r="F316" s="107">
        <f t="shared" si="51"/>
        <v>4</v>
      </c>
      <c r="G316" s="139"/>
      <c r="H316" s="139"/>
      <c r="I316" s="107">
        <f t="shared" si="47"/>
        <v>0</v>
      </c>
      <c r="J316" s="107">
        <f t="shared" si="47"/>
        <v>0</v>
      </c>
      <c r="K316" s="107">
        <f t="shared" si="52"/>
        <v>0</v>
      </c>
    </row>
    <row r="317" spans="1:12">
      <c r="A317" s="123"/>
      <c r="B317" s="94"/>
      <c r="C317" s="95"/>
      <c r="D317" s="95"/>
      <c r="E317" s="95"/>
      <c r="F317" s="107"/>
      <c r="G317" s="109"/>
      <c r="H317" s="148"/>
      <c r="I317" s="96"/>
      <c r="J317" s="96"/>
      <c r="K317" s="96"/>
    </row>
    <row r="318" spans="1:12" s="91" customFormat="1">
      <c r="A318" s="117"/>
      <c r="B318" s="118" t="s">
        <v>71</v>
      </c>
      <c r="C318" s="117"/>
      <c r="D318" s="117"/>
      <c r="E318" s="117"/>
      <c r="F318" s="119"/>
      <c r="G318" s="120"/>
      <c r="H318" s="120"/>
      <c r="I318" s="119">
        <f>SUM(I239:I317)</f>
        <v>0</v>
      </c>
      <c r="J318" s="119">
        <f t="shared" ref="J318:K318" si="53">SUM(J239:J317)</f>
        <v>0</v>
      </c>
      <c r="K318" s="119">
        <f t="shared" si="53"/>
        <v>0</v>
      </c>
      <c r="L318" s="98"/>
    </row>
    <row r="319" spans="1:12">
      <c r="A319" s="153"/>
      <c r="B319" s="154"/>
      <c r="C319" s="155"/>
      <c r="D319" s="155"/>
      <c r="E319" s="155"/>
      <c r="F319" s="96"/>
      <c r="G319" s="156"/>
      <c r="H319" s="156"/>
      <c r="I319" s="157"/>
      <c r="J319" s="157"/>
      <c r="K319" s="157"/>
    </row>
    <row r="320" spans="1:12" s="92" customFormat="1">
      <c r="A320" s="86" t="s">
        <v>13</v>
      </c>
      <c r="B320" s="87" t="s">
        <v>23</v>
      </c>
      <c r="C320" s="88"/>
      <c r="D320" s="88"/>
      <c r="E320" s="88"/>
      <c r="F320" s="88"/>
      <c r="G320" s="90"/>
      <c r="H320" s="90"/>
      <c r="I320" s="89"/>
      <c r="J320" s="89"/>
      <c r="K320" s="89"/>
      <c r="L320" s="98"/>
    </row>
    <row r="321" spans="1:11">
      <c r="A321" s="158"/>
      <c r="B321" s="159"/>
      <c r="C321" s="155"/>
      <c r="D321" s="155"/>
      <c r="E321" s="155"/>
      <c r="F321" s="96"/>
      <c r="G321" s="156"/>
      <c r="H321" s="156"/>
      <c r="I321" s="96"/>
      <c r="J321" s="96"/>
      <c r="K321" s="96"/>
    </row>
    <row r="322" spans="1:11">
      <c r="A322" s="100" t="s">
        <v>1</v>
      </c>
      <c r="B322" s="160" t="s">
        <v>160</v>
      </c>
      <c r="C322" s="102"/>
      <c r="D322" s="102"/>
      <c r="E322" s="102"/>
      <c r="F322" s="96"/>
      <c r="G322" s="156"/>
      <c r="H322" s="156"/>
      <c r="I322" s="96"/>
      <c r="J322" s="96"/>
      <c r="K322" s="96"/>
    </row>
    <row r="323" spans="1:11">
      <c r="A323" s="100"/>
      <c r="B323" s="101"/>
      <c r="C323" s="102"/>
      <c r="D323" s="102"/>
      <c r="E323" s="102"/>
      <c r="F323" s="96"/>
      <c r="G323" s="156"/>
      <c r="H323" s="156"/>
      <c r="I323" s="96"/>
      <c r="J323" s="96"/>
      <c r="K323" s="96"/>
    </row>
    <row r="324" spans="1:11">
      <c r="A324" s="161">
        <v>1.1000000000000001</v>
      </c>
      <c r="B324" s="162" t="s">
        <v>161</v>
      </c>
      <c r="C324" s="161"/>
      <c r="D324" s="161"/>
      <c r="E324" s="161"/>
      <c r="F324" s="96"/>
      <c r="G324" s="163"/>
      <c r="H324" s="163"/>
      <c r="I324" s="164"/>
      <c r="J324" s="164"/>
      <c r="K324" s="164"/>
    </row>
    <row r="325" spans="1:11" ht="46.5">
      <c r="A325" s="165"/>
      <c r="B325" s="166" t="s">
        <v>162</v>
      </c>
      <c r="C325" s="165"/>
      <c r="D325" s="165"/>
      <c r="E325" s="165"/>
      <c r="F325" s="107"/>
      <c r="G325" s="109"/>
      <c r="H325" s="109"/>
      <c r="I325" s="107"/>
      <c r="J325" s="107"/>
      <c r="K325" s="107"/>
    </row>
    <row r="326" spans="1:11">
      <c r="A326" s="165"/>
      <c r="B326" s="167"/>
      <c r="C326" s="165"/>
      <c r="D326" s="165"/>
      <c r="E326" s="165"/>
      <c r="F326" s="107">
        <f t="shared" ref="F326" si="54">SUM(E326:E326)</f>
        <v>0</v>
      </c>
      <c r="G326" s="109"/>
      <c r="H326" s="109"/>
      <c r="I326" s="96">
        <f t="shared" ref="I326:J341" si="55">+N($F326)*N(G326)</f>
        <v>0</v>
      </c>
      <c r="J326" s="96">
        <f t="shared" si="55"/>
        <v>0</v>
      </c>
      <c r="K326" s="96">
        <f t="shared" ref="K326:K388" si="56">J326+I326</f>
        <v>0</v>
      </c>
    </row>
    <row r="327" spans="1:11">
      <c r="A327" s="168" t="s">
        <v>163</v>
      </c>
      <c r="B327" s="166" t="s">
        <v>164</v>
      </c>
      <c r="C327" s="165" t="s">
        <v>165</v>
      </c>
      <c r="D327" s="165">
        <v>50</v>
      </c>
      <c r="E327" s="169"/>
      <c r="F327" s="107">
        <f t="shared" ref="F327:F387" si="57">SUM(D327:E327)</f>
        <v>50</v>
      </c>
      <c r="G327" s="205"/>
      <c r="H327" s="205"/>
      <c r="I327" s="107">
        <f t="shared" ref="I327" si="58">+N($F327)*N(G327)</f>
        <v>0</v>
      </c>
      <c r="J327" s="107">
        <f t="shared" ref="J327" si="59">+N($F327)*N(H327)</f>
        <v>0</v>
      </c>
      <c r="K327" s="107">
        <f t="shared" ref="K327" si="60">J327+I327</f>
        <v>0</v>
      </c>
    </row>
    <row r="328" spans="1:11">
      <c r="A328" s="168" t="s">
        <v>166</v>
      </c>
      <c r="B328" s="166" t="s">
        <v>167</v>
      </c>
      <c r="C328" s="165" t="s">
        <v>165</v>
      </c>
      <c r="D328" s="165">
        <v>70</v>
      </c>
      <c r="E328" s="165"/>
      <c r="F328" s="107">
        <f t="shared" si="57"/>
        <v>70</v>
      </c>
      <c r="G328" s="205"/>
      <c r="H328" s="205"/>
      <c r="I328" s="107">
        <f t="shared" si="55"/>
        <v>0</v>
      </c>
      <c r="J328" s="107">
        <f t="shared" si="55"/>
        <v>0</v>
      </c>
      <c r="K328" s="107">
        <f t="shared" si="56"/>
        <v>0</v>
      </c>
    </row>
    <row r="329" spans="1:11">
      <c r="A329" s="168" t="s">
        <v>168</v>
      </c>
      <c r="B329" s="166" t="s">
        <v>169</v>
      </c>
      <c r="C329" s="165" t="s">
        <v>165</v>
      </c>
      <c r="D329" s="165">
        <v>50</v>
      </c>
      <c r="E329" s="165">
        <v>50</v>
      </c>
      <c r="F329" s="107">
        <f t="shared" si="57"/>
        <v>100</v>
      </c>
      <c r="G329" s="205"/>
      <c r="H329" s="205"/>
      <c r="I329" s="107">
        <f t="shared" si="55"/>
        <v>0</v>
      </c>
      <c r="J329" s="107">
        <f t="shared" si="55"/>
        <v>0</v>
      </c>
      <c r="K329" s="107">
        <f t="shared" si="56"/>
        <v>0</v>
      </c>
    </row>
    <row r="330" spans="1:11">
      <c r="A330" s="168" t="s">
        <v>170</v>
      </c>
      <c r="B330" s="166" t="s">
        <v>171</v>
      </c>
      <c r="C330" s="165" t="s">
        <v>165</v>
      </c>
      <c r="D330" s="165"/>
      <c r="E330" s="165">
        <v>50</v>
      </c>
      <c r="F330" s="107">
        <f t="shared" si="57"/>
        <v>50</v>
      </c>
      <c r="G330" s="205"/>
      <c r="H330" s="205"/>
      <c r="I330" s="107">
        <f t="shared" si="55"/>
        <v>0</v>
      </c>
      <c r="J330" s="107">
        <f t="shared" si="55"/>
        <v>0</v>
      </c>
      <c r="K330" s="107">
        <f t="shared" si="56"/>
        <v>0</v>
      </c>
    </row>
    <row r="331" spans="1:11">
      <c r="A331" s="168" t="s">
        <v>172</v>
      </c>
      <c r="B331" s="166" t="s">
        <v>173</v>
      </c>
      <c r="C331" s="165" t="s">
        <v>165</v>
      </c>
      <c r="D331" s="165"/>
      <c r="E331" s="165">
        <v>200</v>
      </c>
      <c r="F331" s="107">
        <f t="shared" si="57"/>
        <v>200</v>
      </c>
      <c r="G331" s="205"/>
      <c r="H331" s="205"/>
      <c r="I331" s="107">
        <f t="shared" si="55"/>
        <v>0</v>
      </c>
      <c r="J331" s="107">
        <f t="shared" si="55"/>
        <v>0</v>
      </c>
      <c r="K331" s="107">
        <f t="shared" si="56"/>
        <v>0</v>
      </c>
    </row>
    <row r="332" spans="1:11">
      <c r="A332" s="168"/>
      <c r="B332" s="166"/>
      <c r="C332" s="165"/>
      <c r="D332" s="165"/>
      <c r="E332" s="165"/>
      <c r="F332" s="107">
        <f t="shared" si="57"/>
        <v>0</v>
      </c>
      <c r="G332" s="109"/>
      <c r="H332" s="109"/>
      <c r="I332" s="107">
        <f t="shared" si="55"/>
        <v>0</v>
      </c>
      <c r="J332" s="107">
        <f t="shared" si="55"/>
        <v>0</v>
      </c>
      <c r="K332" s="107">
        <f t="shared" si="56"/>
        <v>0</v>
      </c>
    </row>
    <row r="333" spans="1:11">
      <c r="A333" s="170">
        <v>1.2</v>
      </c>
      <c r="B333" s="171" t="s">
        <v>174</v>
      </c>
      <c r="C333" s="170"/>
      <c r="D333" s="170"/>
      <c r="E333" s="170"/>
      <c r="F333" s="107">
        <f t="shared" si="57"/>
        <v>0</v>
      </c>
      <c r="G333" s="109"/>
      <c r="H333" s="172"/>
      <c r="I333" s="107">
        <f t="shared" si="55"/>
        <v>0</v>
      </c>
      <c r="J333" s="107">
        <f t="shared" si="55"/>
        <v>0</v>
      </c>
      <c r="K333" s="107">
        <f t="shared" si="56"/>
        <v>0</v>
      </c>
    </row>
    <row r="334" spans="1:11" ht="57.65" customHeight="1">
      <c r="A334" s="165"/>
      <c r="B334" s="166" t="s">
        <v>162</v>
      </c>
      <c r="C334" s="165"/>
      <c r="D334" s="165"/>
      <c r="E334" s="165"/>
      <c r="F334" s="107">
        <f t="shared" si="57"/>
        <v>0</v>
      </c>
      <c r="G334" s="109"/>
      <c r="H334" s="109"/>
      <c r="I334" s="107">
        <f t="shared" si="55"/>
        <v>0</v>
      </c>
      <c r="J334" s="107">
        <f t="shared" si="55"/>
        <v>0</v>
      </c>
      <c r="K334" s="107">
        <f t="shared" si="56"/>
        <v>0</v>
      </c>
    </row>
    <row r="335" spans="1:11">
      <c r="A335" s="168" t="s">
        <v>175</v>
      </c>
      <c r="B335" s="166" t="s">
        <v>176</v>
      </c>
      <c r="C335" s="165" t="s">
        <v>165</v>
      </c>
      <c r="D335" s="165"/>
      <c r="E335" s="165"/>
      <c r="F335" s="107">
        <f t="shared" si="57"/>
        <v>0</v>
      </c>
      <c r="G335" s="109"/>
      <c r="H335" s="109"/>
      <c r="I335" s="107">
        <f t="shared" si="55"/>
        <v>0</v>
      </c>
      <c r="J335" s="107">
        <f t="shared" si="55"/>
        <v>0</v>
      </c>
      <c r="K335" s="107">
        <f t="shared" si="56"/>
        <v>0</v>
      </c>
    </row>
    <row r="336" spans="1:11">
      <c r="A336" s="168" t="s">
        <v>177</v>
      </c>
      <c r="B336" s="166" t="s">
        <v>164</v>
      </c>
      <c r="C336" s="165" t="s">
        <v>165</v>
      </c>
      <c r="D336" s="165">
        <v>50</v>
      </c>
      <c r="E336" s="165"/>
      <c r="F336" s="107">
        <f t="shared" si="57"/>
        <v>50</v>
      </c>
      <c r="G336" s="205"/>
      <c r="H336" s="205"/>
      <c r="I336" s="107">
        <f t="shared" si="55"/>
        <v>0</v>
      </c>
      <c r="J336" s="107">
        <f t="shared" si="55"/>
        <v>0</v>
      </c>
      <c r="K336" s="107">
        <f t="shared" si="56"/>
        <v>0</v>
      </c>
    </row>
    <row r="337" spans="1:12">
      <c r="A337" s="168" t="s">
        <v>178</v>
      </c>
      <c r="B337" s="166" t="s">
        <v>167</v>
      </c>
      <c r="C337" s="165" t="s">
        <v>165</v>
      </c>
      <c r="D337" s="165">
        <v>20</v>
      </c>
      <c r="E337" s="165"/>
      <c r="F337" s="107">
        <f t="shared" si="57"/>
        <v>20</v>
      </c>
      <c r="G337" s="205"/>
      <c r="H337" s="205"/>
      <c r="I337" s="107">
        <f t="shared" si="55"/>
        <v>0</v>
      </c>
      <c r="J337" s="107">
        <f t="shared" si="55"/>
        <v>0</v>
      </c>
      <c r="K337" s="107">
        <f t="shared" si="56"/>
        <v>0</v>
      </c>
    </row>
    <row r="338" spans="1:12">
      <c r="A338" s="168" t="s">
        <v>179</v>
      </c>
      <c r="B338" s="166" t="s">
        <v>169</v>
      </c>
      <c r="C338" s="165" t="s">
        <v>165</v>
      </c>
      <c r="D338" s="165"/>
      <c r="E338" s="165"/>
      <c r="F338" s="107">
        <f t="shared" si="57"/>
        <v>0</v>
      </c>
      <c r="G338" s="109"/>
      <c r="H338" s="109"/>
      <c r="I338" s="107">
        <f t="shared" si="55"/>
        <v>0</v>
      </c>
      <c r="J338" s="107">
        <f t="shared" si="55"/>
        <v>0</v>
      </c>
      <c r="K338" s="107">
        <f t="shared" si="56"/>
        <v>0</v>
      </c>
    </row>
    <row r="339" spans="1:12">
      <c r="A339" s="168" t="s">
        <v>180</v>
      </c>
      <c r="B339" s="166" t="s">
        <v>171</v>
      </c>
      <c r="C339" s="165" t="s">
        <v>165</v>
      </c>
      <c r="D339" s="165"/>
      <c r="E339" s="165"/>
      <c r="F339" s="107">
        <f t="shared" si="57"/>
        <v>0</v>
      </c>
      <c r="G339" s="109"/>
      <c r="H339" s="109"/>
      <c r="I339" s="107">
        <f t="shared" si="55"/>
        <v>0</v>
      </c>
      <c r="J339" s="107">
        <f t="shared" si="55"/>
        <v>0</v>
      </c>
      <c r="K339" s="107">
        <f t="shared" si="56"/>
        <v>0</v>
      </c>
    </row>
    <row r="340" spans="1:12">
      <c r="A340" s="168"/>
      <c r="B340" s="166"/>
      <c r="C340" s="165"/>
      <c r="D340" s="165"/>
      <c r="E340" s="165"/>
      <c r="F340" s="107">
        <f t="shared" si="57"/>
        <v>0</v>
      </c>
      <c r="G340" s="109"/>
      <c r="H340" s="109"/>
      <c r="I340" s="107">
        <f t="shared" si="55"/>
        <v>0</v>
      </c>
      <c r="J340" s="107">
        <f t="shared" si="55"/>
        <v>0</v>
      </c>
      <c r="K340" s="107">
        <f t="shared" si="56"/>
        <v>0</v>
      </c>
    </row>
    <row r="341" spans="1:12">
      <c r="A341" s="165">
        <v>1.3</v>
      </c>
      <c r="B341" s="171" t="s">
        <v>396</v>
      </c>
      <c r="C341" s="165"/>
      <c r="D341" s="165"/>
      <c r="E341" s="165"/>
      <c r="F341" s="107">
        <f t="shared" si="57"/>
        <v>0</v>
      </c>
      <c r="G341" s="109"/>
      <c r="H341" s="109"/>
      <c r="I341" s="107">
        <f t="shared" si="55"/>
        <v>0</v>
      </c>
      <c r="J341" s="107">
        <f t="shared" si="55"/>
        <v>0</v>
      </c>
      <c r="K341" s="107">
        <f t="shared" si="56"/>
        <v>0</v>
      </c>
    </row>
    <row r="342" spans="1:12" ht="31">
      <c r="A342" s="165"/>
      <c r="B342" s="166" t="s">
        <v>181</v>
      </c>
      <c r="C342" s="165"/>
      <c r="D342" s="165"/>
      <c r="E342" s="165"/>
      <c r="F342" s="107">
        <f t="shared" si="57"/>
        <v>0</v>
      </c>
      <c r="G342" s="109"/>
      <c r="H342" s="109"/>
      <c r="I342" s="107">
        <f t="shared" ref="I342:J388" si="61">+N($F342)*N(G342)</f>
        <v>0</v>
      </c>
      <c r="J342" s="107">
        <f t="shared" si="61"/>
        <v>0</v>
      </c>
      <c r="K342" s="107">
        <f t="shared" si="56"/>
        <v>0</v>
      </c>
    </row>
    <row r="343" spans="1:12">
      <c r="A343" s="165"/>
      <c r="B343" s="166"/>
      <c r="C343" s="165"/>
      <c r="D343" s="165"/>
      <c r="E343" s="173"/>
      <c r="F343" s="107">
        <f t="shared" si="57"/>
        <v>0</v>
      </c>
      <c r="G343" s="148"/>
      <c r="H343" s="148"/>
      <c r="I343" s="107">
        <f t="shared" si="61"/>
        <v>0</v>
      </c>
      <c r="J343" s="107">
        <f t="shared" si="61"/>
        <v>0</v>
      </c>
      <c r="K343" s="107">
        <f t="shared" si="56"/>
        <v>0</v>
      </c>
    </row>
    <row r="344" spans="1:12">
      <c r="A344" s="165"/>
      <c r="B344" s="171" t="s">
        <v>182</v>
      </c>
      <c r="C344" s="173"/>
      <c r="D344" s="173"/>
      <c r="E344" s="173"/>
      <c r="F344" s="107">
        <f t="shared" si="57"/>
        <v>0</v>
      </c>
      <c r="G344" s="223"/>
      <c r="H344" s="223"/>
      <c r="I344" s="107"/>
      <c r="J344" s="107"/>
      <c r="K344" s="107"/>
    </row>
    <row r="345" spans="1:12">
      <c r="A345" s="165" t="s">
        <v>190</v>
      </c>
      <c r="B345" s="166" t="s">
        <v>356</v>
      </c>
      <c r="C345" s="165" t="s">
        <v>185</v>
      </c>
      <c r="D345" s="165"/>
      <c r="E345" s="173"/>
      <c r="F345" s="107">
        <f t="shared" si="57"/>
        <v>0</v>
      </c>
      <c r="G345" s="148"/>
      <c r="H345" s="148"/>
      <c r="I345" s="107">
        <f t="shared" ref="I345:I348" si="62">+N($F345)*N(G345)</f>
        <v>0</v>
      </c>
      <c r="J345" s="107">
        <f t="shared" ref="J345:J348" si="63">+N($F345)*N(H345)</f>
        <v>0</v>
      </c>
      <c r="K345" s="107">
        <f t="shared" ref="K345:K348" si="64">J345+I345</f>
        <v>0</v>
      </c>
    </row>
    <row r="346" spans="1:12">
      <c r="A346" s="165" t="s">
        <v>192</v>
      </c>
      <c r="B346" s="166" t="s">
        <v>355</v>
      </c>
      <c r="C346" s="165" t="s">
        <v>185</v>
      </c>
      <c r="D346" s="165"/>
      <c r="E346" s="173">
        <v>4</v>
      </c>
      <c r="F346" s="107">
        <f t="shared" si="57"/>
        <v>4</v>
      </c>
      <c r="G346" s="223"/>
      <c r="H346" s="223"/>
      <c r="I346" s="107">
        <f t="shared" si="62"/>
        <v>0</v>
      </c>
      <c r="J346" s="107">
        <f t="shared" si="63"/>
        <v>0</v>
      </c>
      <c r="K346" s="107">
        <f t="shared" si="64"/>
        <v>0</v>
      </c>
    </row>
    <row r="347" spans="1:12">
      <c r="A347" s="165" t="s">
        <v>194</v>
      </c>
      <c r="B347" s="166" t="s">
        <v>354</v>
      </c>
      <c r="C347" s="165" t="s">
        <v>185</v>
      </c>
      <c r="D347" s="165"/>
      <c r="E347" s="173">
        <v>5</v>
      </c>
      <c r="F347" s="107">
        <f t="shared" si="57"/>
        <v>5</v>
      </c>
      <c r="G347" s="223"/>
      <c r="H347" s="223"/>
      <c r="I347" s="107">
        <f t="shared" si="62"/>
        <v>0</v>
      </c>
      <c r="J347" s="107">
        <f t="shared" si="63"/>
        <v>0</v>
      </c>
      <c r="K347" s="107">
        <f t="shared" si="64"/>
        <v>0</v>
      </c>
    </row>
    <row r="348" spans="1:12">
      <c r="A348" s="165" t="s">
        <v>196</v>
      </c>
      <c r="B348" s="166" t="s">
        <v>353</v>
      </c>
      <c r="C348" s="165" t="s">
        <v>185</v>
      </c>
      <c r="D348" s="165"/>
      <c r="E348" s="173">
        <v>5</v>
      </c>
      <c r="F348" s="107">
        <f t="shared" si="57"/>
        <v>5</v>
      </c>
      <c r="G348" s="223"/>
      <c r="H348" s="223"/>
      <c r="I348" s="107">
        <f t="shared" si="62"/>
        <v>0</v>
      </c>
      <c r="J348" s="107">
        <f t="shared" si="63"/>
        <v>0</v>
      </c>
      <c r="K348" s="107">
        <f t="shared" si="64"/>
        <v>0</v>
      </c>
    </row>
    <row r="349" spans="1:12">
      <c r="A349" s="173" t="s">
        <v>183</v>
      </c>
      <c r="B349" s="174" t="s">
        <v>270</v>
      </c>
      <c r="C349" s="165" t="s">
        <v>185</v>
      </c>
      <c r="D349" s="165"/>
      <c r="E349" s="173">
        <v>5</v>
      </c>
      <c r="F349" s="107">
        <f t="shared" si="57"/>
        <v>5</v>
      </c>
      <c r="G349" s="223"/>
      <c r="H349" s="223"/>
      <c r="I349" s="175">
        <f t="shared" ref="I349:I350" si="65">+N($F349)*N(G349)</f>
        <v>0</v>
      </c>
      <c r="J349" s="175">
        <f t="shared" ref="J349:J350" si="66">+N($F349)*N(H349)</f>
        <v>0</v>
      </c>
      <c r="K349" s="175">
        <f t="shared" ref="K349:K350" si="67">J349+I349</f>
        <v>0</v>
      </c>
    </row>
    <row r="350" spans="1:12">
      <c r="A350" s="165" t="s">
        <v>187</v>
      </c>
      <c r="B350" s="174" t="s">
        <v>269</v>
      </c>
      <c r="C350" s="165" t="s">
        <v>185</v>
      </c>
      <c r="D350" s="165"/>
      <c r="E350" s="173">
        <v>20</v>
      </c>
      <c r="F350" s="107">
        <f t="shared" si="57"/>
        <v>20</v>
      </c>
      <c r="G350" s="223"/>
      <c r="H350" s="223"/>
      <c r="I350" s="175">
        <f t="shared" si="65"/>
        <v>0</v>
      </c>
      <c r="J350" s="175">
        <f t="shared" si="66"/>
        <v>0</v>
      </c>
      <c r="K350" s="175">
        <f t="shared" si="67"/>
        <v>0</v>
      </c>
    </row>
    <row r="351" spans="1:12">
      <c r="A351" s="165" t="s">
        <v>267</v>
      </c>
      <c r="B351" s="174" t="s">
        <v>184</v>
      </c>
      <c r="C351" s="173" t="s">
        <v>185</v>
      </c>
      <c r="D351" s="173"/>
      <c r="E351" s="173">
        <v>40</v>
      </c>
      <c r="F351" s="107">
        <f t="shared" si="57"/>
        <v>40</v>
      </c>
      <c r="G351" s="223"/>
      <c r="H351" s="223"/>
      <c r="I351" s="175">
        <f t="shared" si="61"/>
        <v>0</v>
      </c>
      <c r="J351" s="175">
        <f t="shared" si="61"/>
        <v>0</v>
      </c>
      <c r="K351" s="175">
        <f t="shared" si="56"/>
        <v>0</v>
      </c>
      <c r="L351" s="99"/>
    </row>
    <row r="352" spans="1:12">
      <c r="A352" s="165" t="s">
        <v>268</v>
      </c>
      <c r="B352" s="166" t="s">
        <v>186</v>
      </c>
      <c r="C352" s="165" t="s">
        <v>185</v>
      </c>
      <c r="D352" s="165">
        <v>25</v>
      </c>
      <c r="E352" s="173">
        <v>50</v>
      </c>
      <c r="F352" s="107">
        <f t="shared" si="57"/>
        <v>75</v>
      </c>
      <c r="G352" s="223"/>
      <c r="H352" s="223"/>
      <c r="I352" s="107">
        <f t="shared" si="61"/>
        <v>0</v>
      </c>
      <c r="J352" s="107">
        <f t="shared" si="61"/>
        <v>0</v>
      </c>
      <c r="K352" s="107">
        <f t="shared" si="56"/>
        <v>0</v>
      </c>
    </row>
    <row r="353" spans="1:11">
      <c r="A353" s="165" t="s">
        <v>271</v>
      </c>
      <c r="B353" s="166" t="s">
        <v>188</v>
      </c>
      <c r="C353" s="165" t="s">
        <v>185</v>
      </c>
      <c r="D353" s="165">
        <v>50</v>
      </c>
      <c r="E353" s="173">
        <v>100</v>
      </c>
      <c r="F353" s="107">
        <f t="shared" si="57"/>
        <v>150</v>
      </c>
      <c r="G353" s="223"/>
      <c r="H353" s="223"/>
      <c r="I353" s="107">
        <f t="shared" si="61"/>
        <v>0</v>
      </c>
      <c r="J353" s="107">
        <f t="shared" si="61"/>
        <v>0</v>
      </c>
      <c r="K353" s="107">
        <f t="shared" si="56"/>
        <v>0</v>
      </c>
    </row>
    <row r="354" spans="1:11">
      <c r="A354" s="165"/>
      <c r="B354" s="166"/>
      <c r="C354" s="165"/>
      <c r="D354" s="165"/>
      <c r="E354" s="173"/>
      <c r="F354" s="107">
        <f t="shared" si="57"/>
        <v>0</v>
      </c>
      <c r="G354" s="176"/>
      <c r="H354" s="148"/>
      <c r="I354" s="107">
        <f t="shared" si="61"/>
        <v>0</v>
      </c>
      <c r="J354" s="107">
        <f t="shared" si="61"/>
        <v>0</v>
      </c>
      <c r="K354" s="107">
        <f t="shared" si="56"/>
        <v>0</v>
      </c>
    </row>
    <row r="355" spans="1:11">
      <c r="A355" s="165">
        <v>1.4</v>
      </c>
      <c r="B355" s="166" t="s">
        <v>189</v>
      </c>
      <c r="C355" s="165"/>
      <c r="D355" s="165"/>
      <c r="E355" s="173"/>
      <c r="F355" s="107">
        <f t="shared" si="57"/>
        <v>0</v>
      </c>
      <c r="G355" s="148"/>
      <c r="H355" s="148"/>
      <c r="I355" s="107">
        <f t="shared" si="61"/>
        <v>0</v>
      </c>
      <c r="J355" s="107">
        <f t="shared" si="61"/>
        <v>0</v>
      </c>
      <c r="K355" s="107">
        <f t="shared" si="56"/>
        <v>0</v>
      </c>
    </row>
    <row r="356" spans="1:11">
      <c r="A356" s="165" t="s">
        <v>190</v>
      </c>
      <c r="B356" s="166" t="s">
        <v>191</v>
      </c>
      <c r="C356" s="165" t="s">
        <v>7</v>
      </c>
      <c r="D356" s="165"/>
      <c r="E356" s="173"/>
      <c r="F356" s="107">
        <f t="shared" si="57"/>
        <v>0</v>
      </c>
      <c r="G356" s="148"/>
      <c r="H356" s="148"/>
      <c r="I356" s="107">
        <f t="shared" si="61"/>
        <v>0</v>
      </c>
      <c r="J356" s="107">
        <f t="shared" si="61"/>
        <v>0</v>
      </c>
      <c r="K356" s="107">
        <f t="shared" si="56"/>
        <v>0</v>
      </c>
    </row>
    <row r="357" spans="1:11">
      <c r="A357" s="165" t="s">
        <v>192</v>
      </c>
      <c r="B357" s="166" t="s">
        <v>193</v>
      </c>
      <c r="C357" s="165" t="s">
        <v>7</v>
      </c>
      <c r="D357" s="165"/>
      <c r="E357" s="173">
        <v>1</v>
      </c>
      <c r="F357" s="107">
        <f t="shared" si="57"/>
        <v>1</v>
      </c>
      <c r="G357" s="223"/>
      <c r="H357" s="223"/>
      <c r="I357" s="107">
        <f t="shared" si="61"/>
        <v>0</v>
      </c>
      <c r="J357" s="107">
        <f t="shared" si="61"/>
        <v>0</v>
      </c>
      <c r="K357" s="107">
        <f t="shared" si="56"/>
        <v>0</v>
      </c>
    </row>
    <row r="358" spans="1:11">
      <c r="A358" s="165" t="s">
        <v>194</v>
      </c>
      <c r="B358" s="166" t="s">
        <v>195</v>
      </c>
      <c r="C358" s="165" t="s">
        <v>7</v>
      </c>
      <c r="D358" s="165"/>
      <c r="E358" s="173">
        <v>1</v>
      </c>
      <c r="F358" s="107">
        <f t="shared" si="57"/>
        <v>1</v>
      </c>
      <c r="G358" s="223"/>
      <c r="H358" s="223"/>
      <c r="I358" s="107">
        <f t="shared" si="61"/>
        <v>0</v>
      </c>
      <c r="J358" s="107">
        <f t="shared" si="61"/>
        <v>0</v>
      </c>
      <c r="K358" s="107">
        <f t="shared" si="56"/>
        <v>0</v>
      </c>
    </row>
    <row r="359" spans="1:11">
      <c r="A359" s="165" t="s">
        <v>196</v>
      </c>
      <c r="B359" s="166" t="s">
        <v>197</v>
      </c>
      <c r="C359" s="165" t="s">
        <v>7</v>
      </c>
      <c r="D359" s="165"/>
      <c r="E359" s="173">
        <v>2</v>
      </c>
      <c r="F359" s="107">
        <f t="shared" si="57"/>
        <v>2</v>
      </c>
      <c r="G359" s="223"/>
      <c r="H359" s="223"/>
      <c r="I359" s="107">
        <f t="shared" si="61"/>
        <v>0</v>
      </c>
      <c r="J359" s="107">
        <f t="shared" si="61"/>
        <v>0</v>
      </c>
      <c r="K359" s="107">
        <f t="shared" si="56"/>
        <v>0</v>
      </c>
    </row>
    <row r="360" spans="1:11">
      <c r="A360" s="165" t="s">
        <v>198</v>
      </c>
      <c r="B360" s="166" t="s">
        <v>199</v>
      </c>
      <c r="C360" s="165" t="s">
        <v>7</v>
      </c>
      <c r="D360" s="165"/>
      <c r="E360" s="173">
        <v>2</v>
      </c>
      <c r="F360" s="107">
        <f t="shared" si="57"/>
        <v>2</v>
      </c>
      <c r="G360" s="223"/>
      <c r="H360" s="223"/>
      <c r="I360" s="107">
        <f t="shared" si="61"/>
        <v>0</v>
      </c>
      <c r="J360" s="107">
        <f t="shared" si="61"/>
        <v>0</v>
      </c>
      <c r="K360" s="107">
        <f t="shared" si="56"/>
        <v>0</v>
      </c>
    </row>
    <row r="361" spans="1:11">
      <c r="A361" s="165" t="s">
        <v>200</v>
      </c>
      <c r="B361" s="166" t="s">
        <v>201</v>
      </c>
      <c r="C361" s="165" t="s">
        <v>7</v>
      </c>
      <c r="D361" s="165"/>
      <c r="E361" s="173">
        <v>10</v>
      </c>
      <c r="F361" s="107">
        <f t="shared" si="57"/>
        <v>10</v>
      </c>
      <c r="G361" s="223"/>
      <c r="H361" s="223"/>
      <c r="I361" s="107">
        <f t="shared" si="61"/>
        <v>0</v>
      </c>
      <c r="J361" s="107">
        <f t="shared" si="61"/>
        <v>0</v>
      </c>
      <c r="K361" s="107">
        <f t="shared" si="56"/>
        <v>0</v>
      </c>
    </row>
    <row r="362" spans="1:11">
      <c r="A362" s="165" t="s">
        <v>202</v>
      </c>
      <c r="B362" s="166" t="s">
        <v>203</v>
      </c>
      <c r="C362" s="165" t="s">
        <v>7</v>
      </c>
      <c r="D362" s="165">
        <v>7</v>
      </c>
      <c r="E362" s="173">
        <v>38</v>
      </c>
      <c r="F362" s="107">
        <f t="shared" si="57"/>
        <v>45</v>
      </c>
      <c r="G362" s="223"/>
      <c r="H362" s="223"/>
      <c r="I362" s="107">
        <f t="shared" si="61"/>
        <v>0</v>
      </c>
      <c r="J362" s="107">
        <f t="shared" si="61"/>
        <v>0</v>
      </c>
      <c r="K362" s="107">
        <f t="shared" si="56"/>
        <v>0</v>
      </c>
    </row>
    <row r="363" spans="1:11">
      <c r="A363" s="165" t="s">
        <v>202</v>
      </c>
      <c r="B363" s="166" t="s">
        <v>204</v>
      </c>
      <c r="C363" s="165" t="s">
        <v>7</v>
      </c>
      <c r="D363" s="165">
        <v>10</v>
      </c>
      <c r="E363" s="173">
        <v>80</v>
      </c>
      <c r="F363" s="107">
        <f t="shared" si="57"/>
        <v>90</v>
      </c>
      <c r="G363" s="223"/>
      <c r="H363" s="223"/>
      <c r="I363" s="107">
        <f t="shared" si="61"/>
        <v>0</v>
      </c>
      <c r="J363" s="107">
        <f t="shared" si="61"/>
        <v>0</v>
      </c>
      <c r="K363" s="107">
        <f t="shared" si="56"/>
        <v>0</v>
      </c>
    </row>
    <row r="364" spans="1:11">
      <c r="A364" s="165"/>
      <c r="B364" s="166"/>
      <c r="C364" s="165"/>
      <c r="D364" s="165"/>
      <c r="E364" s="173"/>
      <c r="F364" s="107">
        <f t="shared" si="57"/>
        <v>0</v>
      </c>
      <c r="G364" s="176"/>
      <c r="H364" s="148"/>
      <c r="I364" s="107">
        <f t="shared" si="61"/>
        <v>0</v>
      </c>
      <c r="J364" s="107">
        <f t="shared" si="61"/>
        <v>0</v>
      </c>
      <c r="K364" s="107">
        <f t="shared" si="56"/>
        <v>0</v>
      </c>
    </row>
    <row r="365" spans="1:11">
      <c r="A365" s="170">
        <v>1.5</v>
      </c>
      <c r="B365" s="171" t="s">
        <v>351</v>
      </c>
      <c r="C365" s="170"/>
      <c r="D365" s="170"/>
      <c r="E365" s="224"/>
      <c r="F365" s="107">
        <f t="shared" si="57"/>
        <v>0</v>
      </c>
      <c r="G365" s="148"/>
      <c r="H365" s="148"/>
      <c r="I365" s="107">
        <f t="shared" si="61"/>
        <v>0</v>
      </c>
      <c r="J365" s="107">
        <f t="shared" si="61"/>
        <v>0</v>
      </c>
      <c r="K365" s="107">
        <f t="shared" si="56"/>
        <v>0</v>
      </c>
    </row>
    <row r="366" spans="1:11" ht="31">
      <c r="A366" s="165"/>
      <c r="B366" s="166" t="s">
        <v>205</v>
      </c>
      <c r="C366" s="165"/>
      <c r="D366" s="165"/>
      <c r="E366" s="173"/>
      <c r="F366" s="107">
        <f t="shared" si="57"/>
        <v>0</v>
      </c>
      <c r="G366" s="148"/>
      <c r="H366" s="148"/>
      <c r="I366" s="107">
        <f t="shared" si="61"/>
        <v>0</v>
      </c>
      <c r="J366" s="107">
        <f t="shared" si="61"/>
        <v>0</v>
      </c>
      <c r="K366" s="107">
        <f t="shared" si="56"/>
        <v>0</v>
      </c>
    </row>
    <row r="367" spans="1:11">
      <c r="A367" s="177" t="s">
        <v>206</v>
      </c>
      <c r="B367" s="166" t="s">
        <v>368</v>
      </c>
      <c r="C367" s="165" t="s">
        <v>165</v>
      </c>
      <c r="D367" s="175">
        <v>100</v>
      </c>
      <c r="E367" s="175">
        <v>200</v>
      </c>
      <c r="F367" s="107">
        <f t="shared" si="57"/>
        <v>300</v>
      </c>
      <c r="G367" s="222"/>
      <c r="H367" s="222"/>
      <c r="I367" s="107">
        <f t="shared" ref="I367" si="68">+N($F367)*N(G367)</f>
        <v>0</v>
      </c>
      <c r="J367" s="107">
        <f t="shared" ref="J367" si="69">+N($F367)*N(H367)</f>
        <v>0</v>
      </c>
      <c r="K367" s="107">
        <f t="shared" ref="K367" si="70">J367+I367</f>
        <v>0</v>
      </c>
    </row>
    <row r="368" spans="1:11">
      <c r="A368" s="177" t="s">
        <v>208</v>
      </c>
      <c r="B368" s="166" t="s">
        <v>207</v>
      </c>
      <c r="C368" s="165" t="s">
        <v>165</v>
      </c>
      <c r="D368" s="175">
        <f>(D31+D34)*40%</f>
        <v>160</v>
      </c>
      <c r="E368" s="175">
        <f>(E31+E34)*40%</f>
        <v>1971.2</v>
      </c>
      <c r="F368" s="107">
        <f t="shared" si="57"/>
        <v>2131.1999999999998</v>
      </c>
      <c r="G368" s="222"/>
      <c r="H368" s="222"/>
      <c r="I368" s="107">
        <f t="shared" si="61"/>
        <v>0</v>
      </c>
      <c r="J368" s="107">
        <f t="shared" si="61"/>
        <v>0</v>
      </c>
      <c r="K368" s="107">
        <f t="shared" si="56"/>
        <v>0</v>
      </c>
    </row>
    <row r="369" spans="1:11">
      <c r="A369" s="177" t="s">
        <v>367</v>
      </c>
      <c r="B369" s="166" t="s">
        <v>209</v>
      </c>
      <c r="C369" s="165" t="s">
        <v>165</v>
      </c>
      <c r="D369" s="175">
        <v>100</v>
      </c>
      <c r="E369" s="175">
        <v>100</v>
      </c>
      <c r="F369" s="107">
        <f t="shared" si="57"/>
        <v>200</v>
      </c>
      <c r="G369" s="222"/>
      <c r="H369" s="222"/>
      <c r="I369" s="107">
        <f t="shared" si="61"/>
        <v>0</v>
      </c>
      <c r="J369" s="107">
        <f t="shared" si="61"/>
        <v>0</v>
      </c>
      <c r="K369" s="107">
        <f t="shared" si="56"/>
        <v>0</v>
      </c>
    </row>
    <row r="370" spans="1:11">
      <c r="A370" s="100"/>
      <c r="B370" s="101"/>
      <c r="C370" s="102"/>
      <c r="D370" s="102"/>
      <c r="E370" s="175"/>
      <c r="F370" s="107">
        <f t="shared" si="57"/>
        <v>0</v>
      </c>
      <c r="G370" s="148"/>
      <c r="H370" s="148"/>
      <c r="I370" s="107"/>
      <c r="J370" s="107"/>
      <c r="K370" s="107"/>
    </row>
    <row r="371" spans="1:11">
      <c r="A371" s="178">
        <v>1.6</v>
      </c>
      <c r="B371" s="101" t="s">
        <v>210</v>
      </c>
      <c r="C371" s="102"/>
      <c r="D371" s="102"/>
      <c r="E371" s="175"/>
      <c r="F371" s="107">
        <f t="shared" si="57"/>
        <v>0</v>
      </c>
      <c r="G371" s="148"/>
      <c r="H371" s="148"/>
      <c r="I371" s="107"/>
      <c r="J371" s="107"/>
      <c r="K371" s="107"/>
    </row>
    <row r="372" spans="1:11" ht="31">
      <c r="A372" s="178"/>
      <c r="B372" s="179" t="s">
        <v>397</v>
      </c>
      <c r="C372" s="102"/>
      <c r="D372" s="102"/>
      <c r="E372" s="175"/>
      <c r="F372" s="107">
        <f t="shared" si="57"/>
        <v>0</v>
      </c>
      <c r="G372" s="148"/>
      <c r="H372" s="148"/>
      <c r="I372" s="107"/>
      <c r="J372" s="107"/>
      <c r="K372" s="107"/>
    </row>
    <row r="373" spans="1:11">
      <c r="A373" s="102" t="s">
        <v>211</v>
      </c>
      <c r="B373" s="180" t="s">
        <v>212</v>
      </c>
      <c r="C373" s="102" t="s">
        <v>47</v>
      </c>
      <c r="D373" s="102"/>
      <c r="E373" s="175"/>
      <c r="F373" s="107">
        <f t="shared" si="57"/>
        <v>0</v>
      </c>
      <c r="G373" s="222"/>
      <c r="H373" s="222"/>
      <c r="I373" s="107">
        <f t="shared" si="61"/>
        <v>0</v>
      </c>
      <c r="J373" s="107">
        <f t="shared" si="61"/>
        <v>0</v>
      </c>
      <c r="K373" s="107">
        <f t="shared" si="56"/>
        <v>0</v>
      </c>
    </row>
    <row r="374" spans="1:11">
      <c r="A374" s="102" t="s">
        <v>213</v>
      </c>
      <c r="B374" s="180" t="s">
        <v>214</v>
      </c>
      <c r="C374" s="102" t="s">
        <v>47</v>
      </c>
      <c r="D374" s="102"/>
      <c r="E374" s="175"/>
      <c r="F374" s="107">
        <f t="shared" si="57"/>
        <v>0</v>
      </c>
      <c r="G374" s="222"/>
      <c r="H374" s="222"/>
      <c r="I374" s="107">
        <f t="shared" si="61"/>
        <v>0</v>
      </c>
      <c r="J374" s="107">
        <f t="shared" si="61"/>
        <v>0</v>
      </c>
      <c r="K374" s="107">
        <f t="shared" si="56"/>
        <v>0</v>
      </c>
    </row>
    <row r="375" spans="1:11">
      <c r="A375" s="102" t="s">
        <v>215</v>
      </c>
      <c r="B375" s="180" t="s">
        <v>216</v>
      </c>
      <c r="C375" s="113" t="s">
        <v>47</v>
      </c>
      <c r="D375" s="113"/>
      <c r="E375" s="175">
        <v>5</v>
      </c>
      <c r="F375" s="107">
        <f t="shared" si="57"/>
        <v>5</v>
      </c>
      <c r="G375" s="225"/>
      <c r="H375" s="225"/>
      <c r="I375" s="107">
        <f t="shared" si="61"/>
        <v>0</v>
      </c>
      <c r="J375" s="107">
        <f t="shared" si="61"/>
        <v>0</v>
      </c>
      <c r="K375" s="107">
        <f t="shared" si="56"/>
        <v>0</v>
      </c>
    </row>
    <row r="376" spans="1:11">
      <c r="A376" s="102" t="s">
        <v>217</v>
      </c>
      <c r="B376" s="180" t="s">
        <v>218</v>
      </c>
      <c r="C376" s="113" t="s">
        <v>47</v>
      </c>
      <c r="D376" s="113"/>
      <c r="E376" s="175">
        <v>15</v>
      </c>
      <c r="F376" s="107">
        <f t="shared" si="57"/>
        <v>15</v>
      </c>
      <c r="G376" s="223"/>
      <c r="H376" s="223"/>
      <c r="I376" s="107">
        <f t="shared" si="61"/>
        <v>0</v>
      </c>
      <c r="J376" s="107">
        <f t="shared" si="61"/>
        <v>0</v>
      </c>
      <c r="K376" s="107">
        <f t="shared" si="56"/>
        <v>0</v>
      </c>
    </row>
    <row r="377" spans="1:11">
      <c r="A377" s="102" t="s">
        <v>219</v>
      </c>
      <c r="B377" s="180" t="s">
        <v>220</v>
      </c>
      <c r="C377" s="113" t="s">
        <v>47</v>
      </c>
      <c r="D377" s="113"/>
      <c r="E377" s="175">
        <v>20</v>
      </c>
      <c r="F377" s="107">
        <f t="shared" si="57"/>
        <v>20</v>
      </c>
      <c r="G377" s="223"/>
      <c r="H377" s="223"/>
      <c r="I377" s="107">
        <f t="shared" ref="I377:I380" si="71">+N($F377)*N(G377)</f>
        <v>0</v>
      </c>
      <c r="J377" s="107">
        <f t="shared" ref="J377:J380" si="72">+N($F377)*N(H377)</f>
        <v>0</v>
      </c>
      <c r="K377" s="107">
        <f t="shared" ref="K377:K380" si="73">J377+I377</f>
        <v>0</v>
      </c>
    </row>
    <row r="378" spans="1:11">
      <c r="A378" s="102" t="s">
        <v>221</v>
      </c>
      <c r="B378" s="180" t="s">
        <v>222</v>
      </c>
      <c r="C378" s="113" t="s">
        <v>47</v>
      </c>
      <c r="D378" s="113"/>
      <c r="E378" s="175">
        <v>25</v>
      </c>
      <c r="F378" s="107">
        <f t="shared" si="57"/>
        <v>25</v>
      </c>
      <c r="G378" s="223"/>
      <c r="H378" s="223"/>
      <c r="I378" s="107">
        <f t="shared" si="71"/>
        <v>0</v>
      </c>
      <c r="J378" s="107">
        <f t="shared" si="72"/>
        <v>0</v>
      </c>
      <c r="K378" s="107">
        <f t="shared" si="73"/>
        <v>0</v>
      </c>
    </row>
    <row r="379" spans="1:11">
      <c r="A379" s="102" t="s">
        <v>265</v>
      </c>
      <c r="B379" s="180" t="s">
        <v>263</v>
      </c>
      <c r="C379" s="113" t="s">
        <v>47</v>
      </c>
      <c r="D379" s="113"/>
      <c r="E379" s="175">
        <v>35</v>
      </c>
      <c r="F379" s="107">
        <f t="shared" si="57"/>
        <v>35</v>
      </c>
      <c r="G379" s="223"/>
      <c r="H379" s="223"/>
      <c r="I379" s="107">
        <f t="shared" si="71"/>
        <v>0</v>
      </c>
      <c r="J379" s="107">
        <f t="shared" si="72"/>
        <v>0</v>
      </c>
      <c r="K379" s="107">
        <f t="shared" si="73"/>
        <v>0</v>
      </c>
    </row>
    <row r="380" spans="1:11">
      <c r="A380" s="102" t="s">
        <v>223</v>
      </c>
      <c r="B380" s="180" t="s">
        <v>264</v>
      </c>
      <c r="C380" s="113" t="s">
        <v>47</v>
      </c>
      <c r="D380" s="113"/>
      <c r="E380" s="175">
        <v>100</v>
      </c>
      <c r="F380" s="107">
        <f t="shared" si="57"/>
        <v>100</v>
      </c>
      <c r="G380" s="223"/>
      <c r="H380" s="223"/>
      <c r="I380" s="107">
        <f t="shared" si="71"/>
        <v>0</v>
      </c>
      <c r="J380" s="107">
        <f t="shared" si="72"/>
        <v>0</v>
      </c>
      <c r="K380" s="107">
        <f t="shared" si="73"/>
        <v>0</v>
      </c>
    </row>
    <row r="381" spans="1:11">
      <c r="A381" s="102" t="s">
        <v>266</v>
      </c>
      <c r="B381" s="180" t="s">
        <v>224</v>
      </c>
      <c r="C381" s="113" t="s">
        <v>47</v>
      </c>
      <c r="D381" s="113"/>
      <c r="E381" s="175"/>
      <c r="F381" s="107">
        <f t="shared" si="57"/>
        <v>0</v>
      </c>
      <c r="G381" s="222"/>
      <c r="H381" s="222"/>
      <c r="I381" s="107">
        <f t="shared" si="61"/>
        <v>0</v>
      </c>
      <c r="J381" s="107">
        <f t="shared" si="61"/>
        <v>0</v>
      </c>
      <c r="K381" s="107">
        <f t="shared" si="56"/>
        <v>0</v>
      </c>
    </row>
    <row r="382" spans="1:11">
      <c r="A382" s="181"/>
      <c r="B382" s="180"/>
      <c r="C382" s="113"/>
      <c r="D382" s="113"/>
      <c r="E382" s="175"/>
      <c r="F382" s="107">
        <f t="shared" si="57"/>
        <v>0</v>
      </c>
      <c r="G382" s="148"/>
      <c r="H382" s="148"/>
      <c r="I382" s="107"/>
      <c r="J382" s="107"/>
      <c r="K382" s="107"/>
    </row>
    <row r="383" spans="1:11" ht="31">
      <c r="A383" s="178">
        <v>1.7</v>
      </c>
      <c r="B383" s="104" t="s">
        <v>225</v>
      </c>
      <c r="C383" s="102"/>
      <c r="D383" s="102"/>
      <c r="E383" s="175"/>
      <c r="F383" s="107">
        <f t="shared" si="57"/>
        <v>0</v>
      </c>
      <c r="G383" s="148"/>
      <c r="H383" s="148"/>
      <c r="I383" s="107"/>
      <c r="J383" s="107"/>
      <c r="K383" s="107"/>
    </row>
    <row r="384" spans="1:11">
      <c r="A384" s="103"/>
      <c r="B384" s="105" t="s">
        <v>2</v>
      </c>
      <c r="C384" s="102"/>
      <c r="D384" s="102"/>
      <c r="E384" s="175"/>
      <c r="F384" s="107">
        <f t="shared" si="57"/>
        <v>0</v>
      </c>
      <c r="G384" s="148"/>
      <c r="H384" s="148"/>
      <c r="I384" s="107">
        <f t="shared" si="61"/>
        <v>0</v>
      </c>
      <c r="J384" s="107">
        <f t="shared" si="61"/>
        <v>0</v>
      </c>
      <c r="K384" s="107">
        <f t="shared" si="56"/>
        <v>0</v>
      </c>
    </row>
    <row r="385" spans="1:12">
      <c r="A385" s="182" t="s">
        <v>226</v>
      </c>
      <c r="B385" s="180" t="s">
        <v>227</v>
      </c>
      <c r="C385" s="113" t="s">
        <v>47</v>
      </c>
      <c r="D385" s="113"/>
      <c r="E385" s="175">
        <v>20</v>
      </c>
      <c r="F385" s="107">
        <f t="shared" si="57"/>
        <v>20</v>
      </c>
      <c r="G385" s="222"/>
      <c r="H385" s="222"/>
      <c r="I385" s="107">
        <f t="shared" si="61"/>
        <v>0</v>
      </c>
      <c r="J385" s="107">
        <f t="shared" si="61"/>
        <v>0</v>
      </c>
      <c r="K385" s="107">
        <f t="shared" si="56"/>
        <v>0</v>
      </c>
    </row>
    <row r="386" spans="1:12">
      <c r="A386" s="182" t="s">
        <v>228</v>
      </c>
      <c r="B386" s="180" t="s">
        <v>352</v>
      </c>
      <c r="C386" s="113" t="s">
        <v>47</v>
      </c>
      <c r="D386" s="113"/>
      <c r="E386" s="175">
        <v>10</v>
      </c>
      <c r="F386" s="107">
        <f t="shared" si="57"/>
        <v>10</v>
      </c>
      <c r="G386" s="222"/>
      <c r="H386" s="222"/>
      <c r="I386" s="107">
        <f t="shared" si="61"/>
        <v>0</v>
      </c>
      <c r="J386" s="107">
        <f t="shared" si="61"/>
        <v>0</v>
      </c>
      <c r="K386" s="107">
        <f t="shared" si="56"/>
        <v>0</v>
      </c>
    </row>
    <row r="387" spans="1:12">
      <c r="A387" s="182"/>
      <c r="B387" s="180"/>
      <c r="C387" s="113"/>
      <c r="D387" s="113"/>
      <c r="E387" s="107"/>
      <c r="F387" s="107">
        <f t="shared" si="57"/>
        <v>0</v>
      </c>
      <c r="G387" s="176"/>
      <c r="H387" s="109"/>
      <c r="I387" s="107">
        <f t="shared" si="61"/>
        <v>0</v>
      </c>
      <c r="J387" s="107">
        <f t="shared" si="61"/>
        <v>0</v>
      </c>
      <c r="K387" s="107">
        <f t="shared" si="56"/>
        <v>0</v>
      </c>
    </row>
    <row r="388" spans="1:12">
      <c r="A388" s="158"/>
      <c r="B388" s="159"/>
      <c r="C388" s="155"/>
      <c r="D388" s="155"/>
      <c r="E388" s="96"/>
      <c r="F388" s="96"/>
      <c r="G388" s="156"/>
      <c r="H388" s="156"/>
      <c r="I388" s="96">
        <f t="shared" si="61"/>
        <v>0</v>
      </c>
      <c r="J388" s="96">
        <f t="shared" si="61"/>
        <v>0</v>
      </c>
      <c r="K388" s="96">
        <f t="shared" si="56"/>
        <v>0</v>
      </c>
    </row>
    <row r="389" spans="1:12">
      <c r="A389" s="117"/>
      <c r="B389" s="118" t="s">
        <v>71</v>
      </c>
      <c r="C389" s="117"/>
      <c r="D389" s="117"/>
      <c r="E389" s="119"/>
      <c r="F389" s="119"/>
      <c r="G389" s="120"/>
      <c r="H389" s="120"/>
      <c r="I389" s="119">
        <f>SUM(I322:I388)</f>
        <v>0</v>
      </c>
      <c r="J389" s="119">
        <f>SUM(J322:J388)</f>
        <v>0</v>
      </c>
      <c r="K389" s="119">
        <f>SUM(K322:K388)</f>
        <v>0</v>
      </c>
    </row>
    <row r="390" spans="1:12">
      <c r="A390" s="158"/>
      <c r="B390" s="135"/>
      <c r="C390" s="95"/>
      <c r="D390" s="95"/>
      <c r="E390" s="96"/>
      <c r="F390" s="96">
        <f>SUM(E390:E390)</f>
        <v>0</v>
      </c>
      <c r="G390" s="97"/>
      <c r="H390" s="97"/>
      <c r="I390" s="96"/>
      <c r="J390" s="96"/>
      <c r="K390" s="96"/>
    </row>
    <row r="391" spans="1:12" s="91" customFormat="1">
      <c r="A391" s="86" t="s">
        <v>24</v>
      </c>
      <c r="B391" s="87" t="s">
        <v>25</v>
      </c>
      <c r="C391" s="88"/>
      <c r="D391" s="88"/>
      <c r="E391" s="131"/>
      <c r="F391" s="131"/>
      <c r="G391" s="90"/>
      <c r="H391" s="90"/>
      <c r="I391" s="89"/>
      <c r="J391" s="89"/>
      <c r="K391" s="89"/>
      <c r="L391" s="98"/>
    </row>
    <row r="392" spans="1:12">
      <c r="A392" s="93"/>
      <c r="B392" s="94"/>
      <c r="C392" s="95"/>
      <c r="D392" s="95"/>
      <c r="E392" s="96"/>
      <c r="F392" s="96">
        <f t="shared" ref="F392:F394" si="74">SUM(E392:E392)</f>
        <v>0</v>
      </c>
      <c r="G392" s="97"/>
      <c r="H392" s="97"/>
      <c r="I392" s="96"/>
      <c r="J392" s="96"/>
      <c r="K392" s="96"/>
    </row>
    <row r="393" spans="1:12" s="92" customFormat="1" ht="62">
      <c r="A393" s="93">
        <v>1</v>
      </c>
      <c r="B393" s="125" t="s">
        <v>229</v>
      </c>
      <c r="C393" s="95"/>
      <c r="D393" s="95"/>
      <c r="E393" s="107"/>
      <c r="F393" s="107">
        <f t="shared" si="74"/>
        <v>0</v>
      </c>
      <c r="G393" s="109"/>
      <c r="H393" s="109"/>
      <c r="I393" s="96"/>
      <c r="J393" s="96"/>
      <c r="K393" s="96"/>
      <c r="L393" s="98"/>
    </row>
    <row r="394" spans="1:12">
      <c r="A394" s="93"/>
      <c r="B394" s="94"/>
      <c r="C394" s="95"/>
      <c r="D394" s="95"/>
      <c r="E394" s="107"/>
      <c r="F394" s="107">
        <f t="shared" si="74"/>
        <v>0</v>
      </c>
      <c r="G394" s="109"/>
      <c r="H394" s="109"/>
      <c r="I394" s="96">
        <f t="shared" ref="I394:J409" si="75">+N($F394)*N(G394)</f>
        <v>0</v>
      </c>
      <c r="J394" s="96">
        <f t="shared" si="75"/>
        <v>0</v>
      </c>
      <c r="K394" s="96">
        <f t="shared" ref="K394:K429" si="76">J394+I394</f>
        <v>0</v>
      </c>
    </row>
    <row r="395" spans="1:12">
      <c r="A395" s="93">
        <v>1.1000000000000001</v>
      </c>
      <c r="B395" s="94" t="s">
        <v>230</v>
      </c>
      <c r="C395" s="95" t="s">
        <v>145</v>
      </c>
      <c r="D395" s="95"/>
      <c r="E395" s="107"/>
      <c r="F395" s="107">
        <f t="shared" ref="F395:F429" si="77">SUM(D395:E395)</f>
        <v>0</v>
      </c>
      <c r="G395" s="139"/>
      <c r="H395" s="139"/>
      <c r="I395" s="107">
        <f t="shared" si="75"/>
        <v>0</v>
      </c>
      <c r="J395" s="107">
        <f t="shared" si="75"/>
        <v>0</v>
      </c>
      <c r="K395" s="107">
        <f t="shared" si="76"/>
        <v>0</v>
      </c>
    </row>
    <row r="396" spans="1:12">
      <c r="A396" s="93"/>
      <c r="B396" s="94"/>
      <c r="C396" s="95"/>
      <c r="D396" s="95"/>
      <c r="E396" s="107"/>
      <c r="F396" s="107">
        <f t="shared" si="77"/>
        <v>0</v>
      </c>
      <c r="G396" s="139"/>
      <c r="H396" s="139"/>
      <c r="I396" s="107">
        <f t="shared" si="75"/>
        <v>0</v>
      </c>
      <c r="J396" s="107">
        <f t="shared" si="75"/>
        <v>0</v>
      </c>
      <c r="K396" s="107">
        <f t="shared" si="76"/>
        <v>0</v>
      </c>
    </row>
    <row r="397" spans="1:12">
      <c r="A397" s="93">
        <v>1.2</v>
      </c>
      <c r="B397" s="94" t="s">
        <v>231</v>
      </c>
      <c r="C397" s="95" t="s">
        <v>145</v>
      </c>
      <c r="D397" s="107">
        <f>(100+50)*2</f>
        <v>300</v>
      </c>
      <c r="E397" s="107">
        <f>(150)*2</f>
        <v>300</v>
      </c>
      <c r="F397" s="107">
        <f t="shared" si="77"/>
        <v>600</v>
      </c>
      <c r="G397" s="209"/>
      <c r="H397" s="210"/>
      <c r="I397" s="107">
        <f t="shared" si="75"/>
        <v>0</v>
      </c>
      <c r="J397" s="107">
        <f t="shared" si="75"/>
        <v>0</v>
      </c>
      <c r="K397" s="107">
        <f t="shared" si="76"/>
        <v>0</v>
      </c>
    </row>
    <row r="398" spans="1:12">
      <c r="A398" s="93"/>
      <c r="B398" s="94"/>
      <c r="C398" s="95"/>
      <c r="D398" s="107"/>
      <c r="E398" s="107"/>
      <c r="F398" s="107">
        <f t="shared" si="77"/>
        <v>0</v>
      </c>
      <c r="G398" s="139"/>
      <c r="H398" s="139"/>
      <c r="I398" s="107">
        <f t="shared" si="75"/>
        <v>0</v>
      </c>
      <c r="J398" s="107">
        <f t="shared" si="75"/>
        <v>0</v>
      </c>
      <c r="K398" s="107">
        <f t="shared" si="76"/>
        <v>0</v>
      </c>
    </row>
    <row r="399" spans="1:12">
      <c r="A399" s="93">
        <v>1.3</v>
      </c>
      <c r="B399" s="94" t="s">
        <v>232</v>
      </c>
      <c r="C399" s="95" t="s">
        <v>145</v>
      </c>
      <c r="D399" s="107">
        <v>50</v>
      </c>
      <c r="E399" s="107">
        <v>150</v>
      </c>
      <c r="F399" s="107">
        <f t="shared" si="77"/>
        <v>200</v>
      </c>
      <c r="G399" s="209"/>
      <c r="H399" s="210"/>
      <c r="I399" s="107">
        <f t="shared" si="75"/>
        <v>0</v>
      </c>
      <c r="J399" s="107">
        <f t="shared" si="75"/>
        <v>0</v>
      </c>
      <c r="K399" s="107">
        <f t="shared" si="76"/>
        <v>0</v>
      </c>
    </row>
    <row r="400" spans="1:12">
      <c r="A400" s="93"/>
      <c r="B400" s="94"/>
      <c r="C400" s="95"/>
      <c r="D400" s="95"/>
      <c r="E400" s="107"/>
      <c r="F400" s="107">
        <f t="shared" si="77"/>
        <v>0</v>
      </c>
      <c r="G400" s="139"/>
      <c r="H400" s="139"/>
      <c r="I400" s="107">
        <f t="shared" si="75"/>
        <v>0</v>
      </c>
      <c r="J400" s="107">
        <f t="shared" si="75"/>
        <v>0</v>
      </c>
      <c r="K400" s="107">
        <f t="shared" si="76"/>
        <v>0</v>
      </c>
    </row>
    <row r="401" spans="1:11">
      <c r="A401" s="93">
        <v>1.4</v>
      </c>
      <c r="B401" s="94" t="s">
        <v>233</v>
      </c>
      <c r="C401" s="95" t="s">
        <v>145</v>
      </c>
      <c r="D401" s="95">
        <v>20</v>
      </c>
      <c r="E401" s="107">
        <v>30</v>
      </c>
      <c r="F401" s="107">
        <f t="shared" si="77"/>
        <v>50</v>
      </c>
      <c r="G401" s="139"/>
      <c r="H401" s="139"/>
      <c r="I401" s="107">
        <f t="shared" si="75"/>
        <v>0</v>
      </c>
      <c r="J401" s="107">
        <f t="shared" si="75"/>
        <v>0</v>
      </c>
      <c r="K401" s="107">
        <f t="shared" si="76"/>
        <v>0</v>
      </c>
    </row>
    <row r="402" spans="1:11">
      <c r="A402" s="93"/>
      <c r="B402" s="94"/>
      <c r="C402" s="95"/>
      <c r="D402" s="95"/>
      <c r="E402" s="107"/>
      <c r="F402" s="107">
        <f t="shared" si="77"/>
        <v>0</v>
      </c>
      <c r="G402" s="109"/>
      <c r="H402" s="109"/>
      <c r="I402" s="107">
        <f t="shared" si="75"/>
        <v>0</v>
      </c>
      <c r="J402" s="107">
        <f t="shared" si="75"/>
        <v>0</v>
      </c>
      <c r="K402" s="107">
        <f t="shared" si="76"/>
        <v>0</v>
      </c>
    </row>
    <row r="403" spans="1:11" ht="77.5">
      <c r="A403" s="93">
        <v>2</v>
      </c>
      <c r="B403" s="116" t="s">
        <v>234</v>
      </c>
      <c r="C403" s="95"/>
      <c r="D403" s="95"/>
      <c r="E403" s="107"/>
      <c r="F403" s="107">
        <f t="shared" si="77"/>
        <v>0</v>
      </c>
      <c r="G403" s="148"/>
      <c r="H403" s="148"/>
      <c r="I403" s="107">
        <f t="shared" si="75"/>
        <v>0</v>
      </c>
      <c r="J403" s="107">
        <f t="shared" si="75"/>
        <v>0</v>
      </c>
      <c r="K403" s="107">
        <f t="shared" si="76"/>
        <v>0</v>
      </c>
    </row>
    <row r="404" spans="1:11">
      <c r="A404" s="93"/>
      <c r="B404" s="94"/>
      <c r="C404" s="95"/>
      <c r="D404" s="95"/>
      <c r="E404" s="107"/>
      <c r="F404" s="107">
        <f t="shared" si="77"/>
        <v>0</v>
      </c>
      <c r="G404" s="109"/>
      <c r="H404" s="109"/>
      <c r="I404" s="107">
        <f t="shared" si="75"/>
        <v>0</v>
      </c>
      <c r="J404" s="107">
        <f t="shared" si="75"/>
        <v>0</v>
      </c>
      <c r="K404" s="107">
        <f t="shared" si="76"/>
        <v>0</v>
      </c>
    </row>
    <row r="405" spans="1:11">
      <c r="A405" s="93">
        <v>2.1</v>
      </c>
      <c r="B405" s="94" t="s">
        <v>272</v>
      </c>
      <c r="C405" s="95" t="s">
        <v>145</v>
      </c>
      <c r="D405" s="95">
        <v>50</v>
      </c>
      <c r="E405" s="107">
        <v>100</v>
      </c>
      <c r="F405" s="107">
        <f t="shared" si="77"/>
        <v>150</v>
      </c>
      <c r="G405" s="139"/>
      <c r="H405" s="139"/>
      <c r="I405" s="107">
        <f t="shared" ref="I405" si="78">+N($F405)*N(G405)</f>
        <v>0</v>
      </c>
      <c r="J405" s="107">
        <f t="shared" ref="J405" si="79">+N($F405)*N(H405)</f>
        <v>0</v>
      </c>
      <c r="K405" s="107">
        <f t="shared" ref="K405" si="80">J405+I405</f>
        <v>0</v>
      </c>
    </row>
    <row r="406" spans="1:11">
      <c r="A406" s="93"/>
      <c r="B406" s="94"/>
      <c r="C406" s="95"/>
      <c r="D406" s="95"/>
      <c r="E406" s="107"/>
      <c r="F406" s="107">
        <f t="shared" si="77"/>
        <v>0</v>
      </c>
      <c r="G406" s="109"/>
      <c r="H406" s="109"/>
      <c r="I406" s="107"/>
      <c r="J406" s="107"/>
      <c r="K406" s="107"/>
    </row>
    <row r="407" spans="1:11">
      <c r="A407" s="93">
        <v>2.2000000000000002</v>
      </c>
      <c r="B407" s="94" t="s">
        <v>235</v>
      </c>
      <c r="C407" s="95" t="s">
        <v>145</v>
      </c>
      <c r="D407" s="95"/>
      <c r="E407" s="107"/>
      <c r="F407" s="107">
        <f t="shared" si="77"/>
        <v>0</v>
      </c>
      <c r="G407" s="139"/>
      <c r="H407" s="139"/>
      <c r="I407" s="107">
        <f t="shared" si="75"/>
        <v>0</v>
      </c>
      <c r="J407" s="107">
        <f t="shared" si="75"/>
        <v>0</v>
      </c>
      <c r="K407" s="107">
        <f t="shared" si="76"/>
        <v>0</v>
      </c>
    </row>
    <row r="408" spans="1:11">
      <c r="A408" s="93"/>
      <c r="B408" s="94"/>
      <c r="C408" s="95"/>
      <c r="D408" s="95"/>
      <c r="E408" s="107"/>
      <c r="F408" s="107">
        <f t="shared" si="77"/>
        <v>0</v>
      </c>
      <c r="G408" s="139"/>
      <c r="H408" s="139"/>
      <c r="I408" s="107">
        <f t="shared" si="75"/>
        <v>0</v>
      </c>
      <c r="J408" s="107">
        <f t="shared" si="75"/>
        <v>0</v>
      </c>
      <c r="K408" s="107">
        <f t="shared" si="76"/>
        <v>0</v>
      </c>
    </row>
    <row r="409" spans="1:11">
      <c r="A409" s="93">
        <v>2.2999999999999998</v>
      </c>
      <c r="B409" s="94" t="s">
        <v>236</v>
      </c>
      <c r="C409" s="95" t="s">
        <v>145</v>
      </c>
      <c r="D409" s="107">
        <f>(100+50)*2</f>
        <v>300</v>
      </c>
      <c r="E409" s="107">
        <f>(150)*2</f>
        <v>300</v>
      </c>
      <c r="F409" s="107">
        <f t="shared" si="77"/>
        <v>600</v>
      </c>
      <c r="G409" s="139"/>
      <c r="H409" s="139"/>
      <c r="I409" s="107">
        <f t="shared" si="75"/>
        <v>0</v>
      </c>
      <c r="J409" s="107">
        <f t="shared" si="75"/>
        <v>0</v>
      </c>
      <c r="K409" s="107">
        <f t="shared" si="76"/>
        <v>0</v>
      </c>
    </row>
    <row r="410" spans="1:11">
      <c r="A410" s="93"/>
      <c r="B410" s="94"/>
      <c r="C410" s="95"/>
      <c r="D410" s="107"/>
      <c r="E410" s="107"/>
      <c r="F410" s="107">
        <f t="shared" si="77"/>
        <v>0</v>
      </c>
      <c r="G410" s="139"/>
      <c r="H410" s="139"/>
      <c r="I410" s="107">
        <f t="shared" ref="I410:J429" si="81">+N($F410)*N(G410)</f>
        <v>0</v>
      </c>
      <c r="J410" s="107">
        <f t="shared" si="81"/>
        <v>0</v>
      </c>
      <c r="K410" s="107">
        <f t="shared" si="76"/>
        <v>0</v>
      </c>
    </row>
    <row r="411" spans="1:11">
      <c r="A411" s="93">
        <v>2.4</v>
      </c>
      <c r="B411" s="94" t="s">
        <v>237</v>
      </c>
      <c r="C411" s="95" t="s">
        <v>145</v>
      </c>
      <c r="D411" s="107">
        <v>50</v>
      </c>
      <c r="E411" s="107">
        <v>150</v>
      </c>
      <c r="F411" s="107">
        <f t="shared" si="77"/>
        <v>200</v>
      </c>
      <c r="G411" s="139"/>
      <c r="H411" s="139"/>
      <c r="I411" s="107">
        <f t="shared" si="81"/>
        <v>0</v>
      </c>
      <c r="J411" s="107">
        <f t="shared" si="81"/>
        <v>0</v>
      </c>
      <c r="K411" s="107">
        <f t="shared" si="76"/>
        <v>0</v>
      </c>
    </row>
    <row r="412" spans="1:11">
      <c r="A412" s="93"/>
      <c r="B412" s="94"/>
      <c r="C412" s="95"/>
      <c r="D412" s="95"/>
      <c r="E412" s="107"/>
      <c r="F412" s="107">
        <f t="shared" si="77"/>
        <v>0</v>
      </c>
      <c r="G412" s="139"/>
      <c r="H412" s="139"/>
      <c r="I412" s="107">
        <f t="shared" si="81"/>
        <v>0</v>
      </c>
      <c r="J412" s="107">
        <f t="shared" si="81"/>
        <v>0</v>
      </c>
      <c r="K412" s="107">
        <f t="shared" si="76"/>
        <v>0</v>
      </c>
    </row>
    <row r="413" spans="1:11">
      <c r="A413" s="93">
        <v>2.5</v>
      </c>
      <c r="B413" s="94" t="s">
        <v>238</v>
      </c>
      <c r="C413" s="95" t="s">
        <v>145</v>
      </c>
      <c r="D413" s="95"/>
      <c r="E413" s="107"/>
      <c r="F413" s="107">
        <f t="shared" si="77"/>
        <v>0</v>
      </c>
      <c r="G413" s="139"/>
      <c r="H413" s="139"/>
      <c r="I413" s="107">
        <f t="shared" ref="I413" si="82">+N($F413)*N(G413)</f>
        <v>0</v>
      </c>
      <c r="J413" s="107">
        <f t="shared" ref="J413" si="83">+N($F413)*N(H413)</f>
        <v>0</v>
      </c>
      <c r="K413" s="107">
        <f t="shared" ref="K413" si="84">J413+I413</f>
        <v>0</v>
      </c>
    </row>
    <row r="414" spans="1:11">
      <c r="A414" s="93"/>
      <c r="B414" s="94"/>
      <c r="C414" s="95"/>
      <c r="D414" s="95"/>
      <c r="E414" s="107"/>
      <c r="F414" s="107">
        <f t="shared" si="77"/>
        <v>0</v>
      </c>
      <c r="G414" s="139"/>
      <c r="H414" s="139"/>
      <c r="I414" s="107">
        <f t="shared" si="81"/>
        <v>0</v>
      </c>
      <c r="J414" s="107">
        <f t="shared" si="81"/>
        <v>0</v>
      </c>
      <c r="K414" s="107">
        <f t="shared" si="76"/>
        <v>0</v>
      </c>
    </row>
    <row r="415" spans="1:11">
      <c r="A415" s="93">
        <v>2.6</v>
      </c>
      <c r="B415" s="94" t="s">
        <v>374</v>
      </c>
      <c r="C415" s="95" t="s">
        <v>145</v>
      </c>
      <c r="D415" s="95">
        <v>50</v>
      </c>
      <c r="E415" s="107"/>
      <c r="F415" s="107">
        <f t="shared" si="77"/>
        <v>50</v>
      </c>
      <c r="G415" s="139"/>
      <c r="H415" s="139"/>
      <c r="I415" s="107">
        <f t="shared" si="81"/>
        <v>0</v>
      </c>
      <c r="J415" s="107">
        <f t="shared" si="81"/>
        <v>0</v>
      </c>
      <c r="K415" s="107">
        <f t="shared" si="76"/>
        <v>0</v>
      </c>
    </row>
    <row r="416" spans="1:11">
      <c r="A416" s="93"/>
      <c r="B416" s="94"/>
      <c r="C416" s="95"/>
      <c r="D416" s="95"/>
      <c r="E416" s="107"/>
      <c r="F416" s="107">
        <f t="shared" si="77"/>
        <v>0</v>
      </c>
      <c r="G416" s="139"/>
      <c r="H416" s="139"/>
      <c r="I416" s="107">
        <f t="shared" si="81"/>
        <v>0</v>
      </c>
      <c r="J416" s="107">
        <f t="shared" si="81"/>
        <v>0</v>
      </c>
      <c r="K416" s="107">
        <f t="shared" si="76"/>
        <v>0</v>
      </c>
    </row>
    <row r="417" spans="1:11">
      <c r="A417" s="93">
        <v>2.7</v>
      </c>
      <c r="B417" s="94" t="s">
        <v>239</v>
      </c>
      <c r="C417" s="95" t="s">
        <v>145</v>
      </c>
      <c r="D417" s="95"/>
      <c r="E417" s="107"/>
      <c r="F417" s="107">
        <f t="shared" si="77"/>
        <v>0</v>
      </c>
      <c r="G417" s="139"/>
      <c r="H417" s="139"/>
      <c r="I417" s="107">
        <f t="shared" si="81"/>
        <v>0</v>
      </c>
      <c r="J417" s="107">
        <f t="shared" si="81"/>
        <v>0</v>
      </c>
      <c r="K417" s="107">
        <f t="shared" si="76"/>
        <v>0</v>
      </c>
    </row>
    <row r="418" spans="1:11">
      <c r="A418" s="93"/>
      <c r="B418" s="94"/>
      <c r="C418" s="95"/>
      <c r="D418" s="95"/>
      <c r="E418" s="107"/>
      <c r="F418" s="107">
        <f t="shared" si="77"/>
        <v>0</v>
      </c>
      <c r="G418" s="139"/>
      <c r="H418" s="139"/>
      <c r="I418" s="107">
        <f t="shared" si="81"/>
        <v>0</v>
      </c>
      <c r="J418" s="107">
        <f t="shared" si="81"/>
        <v>0</v>
      </c>
      <c r="K418" s="107">
        <f t="shared" si="76"/>
        <v>0</v>
      </c>
    </row>
    <row r="419" spans="1:11">
      <c r="A419" s="93">
        <v>2.8</v>
      </c>
      <c r="B419" s="94" t="s">
        <v>240</v>
      </c>
      <c r="C419" s="95" t="s">
        <v>145</v>
      </c>
      <c r="D419" s="95"/>
      <c r="E419" s="107"/>
      <c r="F419" s="107">
        <f t="shared" si="77"/>
        <v>0</v>
      </c>
      <c r="G419" s="139"/>
      <c r="H419" s="139"/>
      <c r="I419" s="107">
        <f t="shared" si="81"/>
        <v>0</v>
      </c>
      <c r="J419" s="107">
        <f t="shared" si="81"/>
        <v>0</v>
      </c>
      <c r="K419" s="107">
        <f t="shared" si="76"/>
        <v>0</v>
      </c>
    </row>
    <row r="420" spans="1:11">
      <c r="A420" s="93"/>
      <c r="B420" s="94"/>
      <c r="C420" s="95"/>
      <c r="D420" s="95"/>
      <c r="E420" s="107"/>
      <c r="F420" s="107">
        <f t="shared" si="77"/>
        <v>0</v>
      </c>
      <c r="G420" s="109"/>
      <c r="H420" s="109"/>
      <c r="I420" s="107">
        <f t="shared" si="81"/>
        <v>0</v>
      </c>
      <c r="J420" s="107">
        <f t="shared" si="81"/>
        <v>0</v>
      </c>
      <c r="K420" s="107">
        <f t="shared" si="76"/>
        <v>0</v>
      </c>
    </row>
    <row r="421" spans="1:11" ht="62">
      <c r="A421" s="93">
        <v>3</v>
      </c>
      <c r="B421" s="125" t="s">
        <v>241</v>
      </c>
      <c r="C421" s="95"/>
      <c r="D421" s="95"/>
      <c r="E421" s="107"/>
      <c r="F421" s="107">
        <f t="shared" si="77"/>
        <v>0</v>
      </c>
      <c r="G421" s="148"/>
      <c r="H421" s="148"/>
      <c r="I421" s="107">
        <f t="shared" si="81"/>
        <v>0</v>
      </c>
      <c r="J421" s="107">
        <f t="shared" si="81"/>
        <v>0</v>
      </c>
      <c r="K421" s="107">
        <f t="shared" si="76"/>
        <v>0</v>
      </c>
    </row>
    <row r="422" spans="1:11" ht="17.149999999999999" customHeight="1">
      <c r="A422" s="93"/>
      <c r="B422" s="135"/>
      <c r="C422" s="95"/>
      <c r="D422" s="95"/>
      <c r="E422" s="107"/>
      <c r="F422" s="107">
        <f t="shared" si="77"/>
        <v>0</v>
      </c>
      <c r="G422" s="109"/>
      <c r="H422" s="109"/>
      <c r="I422" s="107">
        <f t="shared" si="81"/>
        <v>0</v>
      </c>
      <c r="J422" s="107">
        <f t="shared" si="81"/>
        <v>0</v>
      </c>
      <c r="K422" s="107">
        <f t="shared" si="76"/>
        <v>0</v>
      </c>
    </row>
    <row r="423" spans="1:11">
      <c r="A423" s="93">
        <v>3.1</v>
      </c>
      <c r="B423" s="135" t="s">
        <v>242</v>
      </c>
      <c r="C423" s="95" t="s">
        <v>145</v>
      </c>
      <c r="D423" s="95"/>
      <c r="E423" s="107"/>
      <c r="F423" s="107">
        <f t="shared" si="77"/>
        <v>0</v>
      </c>
      <c r="G423" s="139"/>
      <c r="H423" s="139"/>
      <c r="I423" s="107">
        <f t="shared" si="81"/>
        <v>0</v>
      </c>
      <c r="J423" s="107">
        <f t="shared" si="81"/>
        <v>0</v>
      </c>
      <c r="K423" s="107">
        <f t="shared" si="76"/>
        <v>0</v>
      </c>
    </row>
    <row r="424" spans="1:11">
      <c r="A424" s="93"/>
      <c r="B424" s="135"/>
      <c r="C424" s="95"/>
      <c r="D424" s="95"/>
      <c r="E424" s="107"/>
      <c r="F424" s="107">
        <f t="shared" si="77"/>
        <v>0</v>
      </c>
      <c r="G424" s="176"/>
      <c r="H424" s="109"/>
      <c r="I424" s="107">
        <f t="shared" si="81"/>
        <v>0</v>
      </c>
      <c r="J424" s="107">
        <f t="shared" si="81"/>
        <v>0</v>
      </c>
      <c r="K424" s="107">
        <f t="shared" si="76"/>
        <v>0</v>
      </c>
    </row>
    <row r="425" spans="1:11" ht="57.75" customHeight="1">
      <c r="A425" s="93">
        <v>4</v>
      </c>
      <c r="B425" s="125" t="s">
        <v>243</v>
      </c>
      <c r="C425" s="95" t="s">
        <v>7</v>
      </c>
      <c r="D425" s="95"/>
      <c r="E425" s="107" t="s">
        <v>314</v>
      </c>
      <c r="F425" s="107">
        <f t="shared" si="77"/>
        <v>0</v>
      </c>
      <c r="G425" s="139"/>
      <c r="H425" s="139"/>
      <c r="I425" s="107">
        <f t="shared" si="81"/>
        <v>0</v>
      </c>
      <c r="J425" s="107">
        <f t="shared" si="81"/>
        <v>0</v>
      </c>
      <c r="K425" s="107">
        <f t="shared" si="76"/>
        <v>0</v>
      </c>
    </row>
    <row r="426" spans="1:11">
      <c r="A426" s="93"/>
      <c r="B426" s="125"/>
      <c r="C426" s="95"/>
      <c r="D426" s="95"/>
      <c r="E426" s="107"/>
      <c r="F426" s="107">
        <f t="shared" si="77"/>
        <v>0</v>
      </c>
      <c r="G426" s="226"/>
      <c r="H426" s="139"/>
      <c r="I426" s="107">
        <f t="shared" si="81"/>
        <v>0</v>
      </c>
      <c r="J426" s="107">
        <f t="shared" si="81"/>
        <v>0</v>
      </c>
      <c r="K426" s="107">
        <f t="shared" si="76"/>
        <v>0</v>
      </c>
    </row>
    <row r="427" spans="1:11" ht="46.5">
      <c r="A427" s="93">
        <v>5</v>
      </c>
      <c r="B427" s="125" t="s">
        <v>244</v>
      </c>
      <c r="C427" s="95" t="s">
        <v>7</v>
      </c>
      <c r="D427" s="95">
        <v>4</v>
      </c>
      <c r="E427" s="107"/>
      <c r="F427" s="107">
        <f t="shared" si="77"/>
        <v>4</v>
      </c>
      <c r="G427" s="206"/>
      <c r="H427" s="211"/>
      <c r="I427" s="107">
        <f t="shared" si="81"/>
        <v>0</v>
      </c>
      <c r="J427" s="107">
        <f t="shared" si="81"/>
        <v>0</v>
      </c>
      <c r="K427" s="107">
        <f t="shared" si="76"/>
        <v>0</v>
      </c>
    </row>
    <row r="428" spans="1:11">
      <c r="A428" s="93"/>
      <c r="B428" s="183"/>
      <c r="C428" s="95"/>
      <c r="D428" s="95"/>
      <c r="E428" s="107"/>
      <c r="F428" s="107">
        <f t="shared" si="77"/>
        <v>0</v>
      </c>
      <c r="G428" s="226"/>
      <c r="H428" s="139"/>
      <c r="I428" s="107">
        <f t="shared" si="81"/>
        <v>0</v>
      </c>
      <c r="J428" s="107">
        <f t="shared" si="81"/>
        <v>0</v>
      </c>
      <c r="K428" s="107">
        <f t="shared" si="76"/>
        <v>0</v>
      </c>
    </row>
    <row r="429" spans="1:11" ht="31">
      <c r="A429" s="93">
        <v>6</v>
      </c>
      <c r="B429" s="125" t="s">
        <v>245</v>
      </c>
      <c r="C429" s="95" t="s">
        <v>7</v>
      </c>
      <c r="D429" s="95">
        <v>2</v>
      </c>
      <c r="E429" s="107">
        <v>4</v>
      </c>
      <c r="F429" s="107">
        <f t="shared" si="77"/>
        <v>6</v>
      </c>
      <c r="G429" s="206"/>
      <c r="H429" s="206"/>
      <c r="I429" s="107">
        <f t="shared" si="81"/>
        <v>0</v>
      </c>
      <c r="J429" s="107">
        <f t="shared" si="81"/>
        <v>0</v>
      </c>
      <c r="K429" s="107">
        <f t="shared" si="76"/>
        <v>0</v>
      </c>
    </row>
    <row r="430" spans="1:11">
      <c r="A430" s="93"/>
      <c r="B430" s="125"/>
      <c r="C430" s="95"/>
      <c r="D430" s="95"/>
      <c r="E430" s="96"/>
      <c r="F430" s="96"/>
      <c r="G430" s="156"/>
      <c r="H430" s="156"/>
      <c r="I430" s="96"/>
      <c r="J430" s="96"/>
      <c r="K430" s="96"/>
    </row>
    <row r="431" spans="1:11">
      <c r="A431" s="117"/>
      <c r="B431" s="118" t="s">
        <v>246</v>
      </c>
      <c r="C431" s="117"/>
      <c r="D431" s="117"/>
      <c r="E431" s="119"/>
      <c r="F431" s="119"/>
      <c r="G431" s="120"/>
      <c r="H431" s="120"/>
      <c r="I431" s="119">
        <f>SUM(I394:I430)</f>
        <v>0</v>
      </c>
      <c r="J431" s="119">
        <f>SUM(J394:J430)</f>
        <v>0</v>
      </c>
      <c r="K431" s="119">
        <f>SUM(K394:K430)</f>
        <v>0</v>
      </c>
    </row>
    <row r="432" spans="1:11">
      <c r="A432" s="184"/>
      <c r="B432" s="140"/>
      <c r="C432" s="95"/>
      <c r="D432" s="95"/>
      <c r="E432" s="96"/>
      <c r="F432" s="96">
        <f>SUM(E432:E432)</f>
        <v>0</v>
      </c>
      <c r="G432" s="97"/>
      <c r="H432" s="97"/>
      <c r="I432" s="96"/>
      <c r="J432" s="96"/>
      <c r="K432" s="96"/>
    </row>
    <row r="433" spans="1:12">
      <c r="A433" s="86" t="s">
        <v>3</v>
      </c>
      <c r="B433" s="87" t="s">
        <v>26</v>
      </c>
      <c r="C433" s="88"/>
      <c r="D433" s="88"/>
      <c r="E433" s="131"/>
      <c r="F433" s="131"/>
      <c r="G433" s="130"/>
      <c r="H433" s="130"/>
      <c r="I433" s="89"/>
      <c r="J433" s="89"/>
      <c r="K433" s="89"/>
    </row>
    <row r="434" spans="1:12">
      <c r="A434" s="93"/>
      <c r="B434" s="94"/>
      <c r="C434" s="95"/>
      <c r="D434" s="95"/>
      <c r="E434" s="107"/>
      <c r="F434" s="107"/>
      <c r="G434" s="109"/>
      <c r="H434" s="109"/>
      <c r="I434" s="96"/>
      <c r="J434" s="96"/>
      <c r="K434" s="96"/>
    </row>
    <row r="435" spans="1:12" ht="31">
      <c r="A435" s="93">
        <v>1</v>
      </c>
      <c r="B435" s="185" t="s">
        <v>247</v>
      </c>
      <c r="C435" s="95" t="s">
        <v>78</v>
      </c>
      <c r="D435" s="107">
        <v>1</v>
      </c>
      <c r="E435" s="107"/>
      <c r="F435" s="107">
        <f t="shared" ref="F435:F457" si="85">SUM(D435:E435)</f>
        <v>1</v>
      </c>
      <c r="G435" s="139"/>
      <c r="H435" s="139"/>
      <c r="I435" s="96">
        <f t="shared" ref="I435:J450" si="86">+N($F435)*N(G435)</f>
        <v>0</v>
      </c>
      <c r="J435" s="96">
        <f t="shared" si="86"/>
        <v>0</v>
      </c>
      <c r="K435" s="96">
        <f t="shared" ref="K435:K458" si="87">J435+I435</f>
        <v>0</v>
      </c>
    </row>
    <row r="436" spans="1:12">
      <c r="A436" s="93"/>
      <c r="B436" s="94"/>
      <c r="C436" s="95"/>
      <c r="D436" s="107"/>
      <c r="E436" s="107"/>
      <c r="F436" s="107">
        <f t="shared" si="85"/>
        <v>0</v>
      </c>
      <c r="G436" s="139"/>
      <c r="H436" s="139"/>
      <c r="I436" s="96">
        <f t="shared" si="86"/>
        <v>0</v>
      </c>
      <c r="J436" s="96">
        <f t="shared" si="86"/>
        <v>0</v>
      </c>
      <c r="K436" s="96">
        <f t="shared" si="87"/>
        <v>0</v>
      </c>
    </row>
    <row r="437" spans="1:12">
      <c r="A437" s="93">
        <v>2</v>
      </c>
      <c r="B437" s="186" t="s">
        <v>248</v>
      </c>
      <c r="C437" s="95" t="s">
        <v>78</v>
      </c>
      <c r="D437" s="107">
        <v>3</v>
      </c>
      <c r="E437" s="107"/>
      <c r="F437" s="107">
        <f t="shared" si="85"/>
        <v>3</v>
      </c>
      <c r="G437" s="139"/>
      <c r="H437" s="139"/>
      <c r="I437" s="96">
        <f t="shared" si="86"/>
        <v>0</v>
      </c>
      <c r="J437" s="96">
        <f t="shared" si="86"/>
        <v>0</v>
      </c>
      <c r="K437" s="96">
        <f t="shared" si="87"/>
        <v>0</v>
      </c>
    </row>
    <row r="438" spans="1:12" s="91" customFormat="1">
      <c r="A438" s="93"/>
      <c r="B438" s="94"/>
      <c r="C438" s="95"/>
      <c r="D438" s="107"/>
      <c r="E438" s="107"/>
      <c r="F438" s="107">
        <f t="shared" si="85"/>
        <v>0</v>
      </c>
      <c r="G438" s="139"/>
      <c r="H438" s="139"/>
      <c r="I438" s="96">
        <f t="shared" si="86"/>
        <v>0</v>
      </c>
      <c r="J438" s="96">
        <f t="shared" si="86"/>
        <v>0</v>
      </c>
      <c r="K438" s="96">
        <f t="shared" si="87"/>
        <v>0</v>
      </c>
      <c r="L438" s="98"/>
    </row>
    <row r="439" spans="1:12" ht="31">
      <c r="A439" s="93">
        <v>3</v>
      </c>
      <c r="B439" s="185" t="s">
        <v>249</v>
      </c>
      <c r="C439" s="95" t="s">
        <v>78</v>
      </c>
      <c r="D439" s="107">
        <v>1</v>
      </c>
      <c r="E439" s="107"/>
      <c r="F439" s="107">
        <f t="shared" si="85"/>
        <v>1</v>
      </c>
      <c r="G439" s="139"/>
      <c r="H439" s="139"/>
      <c r="I439" s="107">
        <f t="shared" si="86"/>
        <v>0</v>
      </c>
      <c r="J439" s="107">
        <f t="shared" si="86"/>
        <v>0</v>
      </c>
      <c r="K439" s="107">
        <f t="shared" si="87"/>
        <v>0</v>
      </c>
    </row>
    <row r="440" spans="1:12" s="92" customFormat="1">
      <c r="A440" s="93"/>
      <c r="B440" s="94"/>
      <c r="C440" s="95"/>
      <c r="D440" s="107"/>
      <c r="E440" s="107"/>
      <c r="F440" s="107">
        <f t="shared" si="85"/>
        <v>0</v>
      </c>
      <c r="G440" s="139"/>
      <c r="H440" s="139"/>
      <c r="I440" s="107">
        <f t="shared" si="86"/>
        <v>0</v>
      </c>
      <c r="J440" s="107">
        <f t="shared" si="86"/>
        <v>0</v>
      </c>
      <c r="K440" s="107">
        <f t="shared" si="87"/>
        <v>0</v>
      </c>
      <c r="L440" s="98"/>
    </row>
    <row r="441" spans="1:12" ht="31">
      <c r="A441" s="93">
        <v>4</v>
      </c>
      <c r="B441" s="185" t="s">
        <v>250</v>
      </c>
      <c r="C441" s="95" t="s">
        <v>78</v>
      </c>
      <c r="D441" s="107">
        <v>10</v>
      </c>
      <c r="E441" s="107"/>
      <c r="F441" s="107">
        <f t="shared" si="85"/>
        <v>10</v>
      </c>
      <c r="G441" s="139"/>
      <c r="H441" s="139"/>
      <c r="I441" s="107">
        <f t="shared" si="86"/>
        <v>0</v>
      </c>
      <c r="J441" s="107">
        <f t="shared" si="86"/>
        <v>0</v>
      </c>
      <c r="K441" s="107">
        <f t="shared" si="87"/>
        <v>0</v>
      </c>
    </row>
    <row r="442" spans="1:12">
      <c r="A442" s="93"/>
      <c r="B442" s="125"/>
      <c r="C442" s="95"/>
      <c r="D442" s="107"/>
      <c r="E442" s="107"/>
      <c r="F442" s="107">
        <f t="shared" si="85"/>
        <v>0</v>
      </c>
      <c r="G442" s="139"/>
      <c r="H442" s="139"/>
      <c r="I442" s="107">
        <f t="shared" si="86"/>
        <v>0</v>
      </c>
      <c r="J442" s="107">
        <f t="shared" si="86"/>
        <v>0</v>
      </c>
      <c r="K442" s="107">
        <f t="shared" si="87"/>
        <v>0</v>
      </c>
    </row>
    <row r="443" spans="1:12" ht="46.5">
      <c r="A443" s="187">
        <v>5</v>
      </c>
      <c r="B443" s="188" t="s">
        <v>251</v>
      </c>
      <c r="C443" s="143" t="s">
        <v>252</v>
      </c>
      <c r="D443" s="175">
        <v>100</v>
      </c>
      <c r="E443" s="175"/>
      <c r="F443" s="107">
        <f t="shared" si="85"/>
        <v>100</v>
      </c>
      <c r="G443" s="222"/>
      <c r="H443" s="222"/>
      <c r="I443" s="189">
        <f t="shared" si="86"/>
        <v>0</v>
      </c>
      <c r="J443" s="189">
        <f t="shared" si="86"/>
        <v>0</v>
      </c>
      <c r="K443" s="189">
        <f t="shared" si="87"/>
        <v>0</v>
      </c>
      <c r="L443" s="190"/>
    </row>
    <row r="444" spans="1:12">
      <c r="A444" s="93"/>
      <c r="B444" s="125"/>
      <c r="C444" s="95"/>
      <c r="D444" s="107"/>
      <c r="E444" s="107"/>
      <c r="F444" s="107">
        <f t="shared" si="85"/>
        <v>0</v>
      </c>
      <c r="G444" s="109"/>
      <c r="H444" s="109"/>
      <c r="I444" s="107">
        <f t="shared" si="86"/>
        <v>0</v>
      </c>
      <c r="J444" s="107">
        <f t="shared" si="86"/>
        <v>0</v>
      </c>
      <c r="K444" s="107">
        <f t="shared" si="87"/>
        <v>0</v>
      </c>
    </row>
    <row r="445" spans="1:12" ht="46.5">
      <c r="A445" s="93">
        <v>6</v>
      </c>
      <c r="B445" s="125" t="s">
        <v>253</v>
      </c>
      <c r="C445" s="95" t="s">
        <v>254</v>
      </c>
      <c r="D445" s="107">
        <v>1</v>
      </c>
      <c r="E445" s="107"/>
      <c r="F445" s="107">
        <f t="shared" si="85"/>
        <v>1</v>
      </c>
      <c r="G445" s="222"/>
      <c r="H445" s="222"/>
      <c r="I445" s="107">
        <f t="shared" si="86"/>
        <v>0</v>
      </c>
      <c r="J445" s="107">
        <f t="shared" si="86"/>
        <v>0</v>
      </c>
      <c r="K445" s="107">
        <f t="shared" si="87"/>
        <v>0</v>
      </c>
    </row>
    <row r="446" spans="1:12">
      <c r="A446" s="93"/>
      <c r="B446" s="125"/>
      <c r="C446" s="95"/>
      <c r="D446" s="107"/>
      <c r="E446" s="107"/>
      <c r="F446" s="107">
        <f t="shared" si="85"/>
        <v>0</v>
      </c>
      <c r="G446" s="109"/>
      <c r="H446" s="109"/>
      <c r="I446" s="107">
        <f t="shared" si="86"/>
        <v>0</v>
      </c>
      <c r="J446" s="107">
        <f t="shared" si="86"/>
        <v>0</v>
      </c>
      <c r="K446" s="107">
        <f t="shared" si="87"/>
        <v>0</v>
      </c>
    </row>
    <row r="447" spans="1:12" ht="62">
      <c r="A447" s="93">
        <v>7</v>
      </c>
      <c r="B447" s="125" t="s">
        <v>255</v>
      </c>
      <c r="C447" s="95" t="s">
        <v>254</v>
      </c>
      <c r="D447" s="107">
        <v>1</v>
      </c>
      <c r="E447" s="107"/>
      <c r="F447" s="107">
        <f t="shared" si="85"/>
        <v>1</v>
      </c>
      <c r="G447" s="222"/>
      <c r="H447" s="222"/>
      <c r="I447" s="107">
        <f t="shared" si="86"/>
        <v>0</v>
      </c>
      <c r="J447" s="107">
        <f t="shared" si="86"/>
        <v>0</v>
      </c>
      <c r="K447" s="107">
        <f t="shared" si="87"/>
        <v>0</v>
      </c>
    </row>
    <row r="448" spans="1:12">
      <c r="A448" s="93"/>
      <c r="B448" s="125"/>
      <c r="C448" s="95"/>
      <c r="D448" s="107"/>
      <c r="E448" s="107"/>
      <c r="F448" s="107">
        <f t="shared" si="85"/>
        <v>0</v>
      </c>
      <c r="G448" s="139"/>
      <c r="H448" s="139"/>
      <c r="I448" s="107">
        <f t="shared" si="86"/>
        <v>0</v>
      </c>
      <c r="J448" s="107">
        <f t="shared" si="86"/>
        <v>0</v>
      </c>
      <c r="K448" s="107">
        <f t="shared" si="87"/>
        <v>0</v>
      </c>
    </row>
    <row r="449" spans="1:12" ht="31">
      <c r="A449" s="93">
        <v>8</v>
      </c>
      <c r="B449" s="125" t="s">
        <v>256</v>
      </c>
      <c r="C449" s="95" t="s">
        <v>257</v>
      </c>
      <c r="D449" s="175">
        <v>100</v>
      </c>
      <c r="E449" s="175"/>
      <c r="F449" s="107">
        <f t="shared" si="85"/>
        <v>100</v>
      </c>
      <c r="G449" s="139"/>
      <c r="H449" s="139"/>
      <c r="I449" s="107">
        <f t="shared" si="86"/>
        <v>0</v>
      </c>
      <c r="J449" s="107">
        <f t="shared" si="86"/>
        <v>0</v>
      </c>
      <c r="K449" s="107">
        <f t="shared" si="87"/>
        <v>0</v>
      </c>
    </row>
    <row r="450" spans="1:12" s="190" customFormat="1">
      <c r="A450" s="93"/>
      <c r="B450" s="125"/>
      <c r="C450" s="95"/>
      <c r="D450" s="107"/>
      <c r="E450" s="107"/>
      <c r="F450" s="107">
        <f t="shared" si="85"/>
        <v>0</v>
      </c>
      <c r="G450" s="109"/>
      <c r="H450" s="109"/>
      <c r="I450" s="96">
        <f t="shared" si="86"/>
        <v>0</v>
      </c>
      <c r="J450" s="96">
        <f t="shared" si="86"/>
        <v>0</v>
      </c>
      <c r="K450" s="96">
        <f t="shared" si="87"/>
        <v>0</v>
      </c>
      <c r="L450" s="98"/>
    </row>
    <row r="451" spans="1:12" ht="46.5">
      <c r="A451" s="93">
        <v>9</v>
      </c>
      <c r="B451" s="191" t="s">
        <v>258</v>
      </c>
      <c r="C451" s="95" t="s">
        <v>7</v>
      </c>
      <c r="D451" s="107"/>
      <c r="E451" s="107"/>
      <c r="F451" s="107">
        <f t="shared" si="85"/>
        <v>0</v>
      </c>
      <c r="G451" s="139"/>
      <c r="H451" s="139"/>
      <c r="I451" s="96">
        <f t="shared" ref="I451:J458" si="88">+N($F451)*N(G451)</f>
        <v>0</v>
      </c>
      <c r="J451" s="96">
        <f t="shared" si="88"/>
        <v>0</v>
      </c>
      <c r="K451" s="96">
        <f t="shared" si="87"/>
        <v>0</v>
      </c>
    </row>
    <row r="452" spans="1:12">
      <c r="A452" s="93"/>
      <c r="B452" s="125"/>
      <c r="C452" s="95"/>
      <c r="D452" s="107"/>
      <c r="E452" s="107"/>
      <c r="F452" s="107">
        <f t="shared" si="85"/>
        <v>0</v>
      </c>
      <c r="G452" s="109"/>
      <c r="H452" s="109"/>
      <c r="I452" s="96">
        <f t="shared" si="88"/>
        <v>0</v>
      </c>
      <c r="J452" s="96">
        <f t="shared" si="88"/>
        <v>0</v>
      </c>
      <c r="K452" s="96">
        <f t="shared" si="87"/>
        <v>0</v>
      </c>
    </row>
    <row r="453" spans="1:12" ht="62">
      <c r="A453" s="93">
        <v>10</v>
      </c>
      <c r="B453" s="125" t="s">
        <v>259</v>
      </c>
      <c r="C453" s="95" t="s">
        <v>7</v>
      </c>
      <c r="D453" s="107"/>
      <c r="E453" s="107"/>
      <c r="F453" s="107">
        <f t="shared" si="85"/>
        <v>0</v>
      </c>
      <c r="G453" s="139"/>
      <c r="H453" s="139"/>
      <c r="I453" s="96">
        <f t="shared" si="88"/>
        <v>0</v>
      </c>
      <c r="J453" s="96">
        <f t="shared" si="88"/>
        <v>0</v>
      </c>
      <c r="K453" s="96">
        <f t="shared" si="87"/>
        <v>0</v>
      </c>
    </row>
    <row r="454" spans="1:12">
      <c r="A454" s="93"/>
      <c r="B454" s="125"/>
      <c r="C454" s="95"/>
      <c r="D454" s="107"/>
      <c r="E454" s="107"/>
      <c r="F454" s="107">
        <f t="shared" si="85"/>
        <v>0</v>
      </c>
      <c r="G454" s="215"/>
      <c r="H454" s="215"/>
      <c r="I454" s="96">
        <f t="shared" si="88"/>
        <v>0</v>
      </c>
      <c r="J454" s="96">
        <f t="shared" si="88"/>
        <v>0</v>
      </c>
      <c r="K454" s="96">
        <f t="shared" si="87"/>
        <v>0</v>
      </c>
    </row>
    <row r="455" spans="1:12" ht="31">
      <c r="A455" s="93">
        <v>11</v>
      </c>
      <c r="B455" s="125" t="s">
        <v>260</v>
      </c>
      <c r="C455" s="95" t="s">
        <v>6</v>
      </c>
      <c r="D455" s="107">
        <v>1</v>
      </c>
      <c r="E455" s="107"/>
      <c r="F455" s="107">
        <f t="shared" si="85"/>
        <v>1</v>
      </c>
      <c r="G455" s="139"/>
      <c r="H455" s="139"/>
      <c r="I455" s="96">
        <f t="shared" si="88"/>
        <v>0</v>
      </c>
      <c r="J455" s="96">
        <f t="shared" si="88"/>
        <v>0</v>
      </c>
      <c r="K455" s="96">
        <f t="shared" si="87"/>
        <v>0</v>
      </c>
    </row>
    <row r="456" spans="1:12">
      <c r="A456" s="93"/>
      <c r="B456" s="125"/>
      <c r="C456" s="95"/>
      <c r="D456" s="107"/>
      <c r="E456" s="107"/>
      <c r="F456" s="107">
        <f t="shared" si="85"/>
        <v>0</v>
      </c>
      <c r="G456" s="148"/>
      <c r="H456" s="148"/>
      <c r="I456" s="96">
        <f t="shared" si="88"/>
        <v>0</v>
      </c>
      <c r="J456" s="96">
        <f t="shared" si="88"/>
        <v>0</v>
      </c>
      <c r="K456" s="96">
        <f t="shared" si="87"/>
        <v>0</v>
      </c>
    </row>
    <row r="457" spans="1:12" ht="46.5">
      <c r="A457" s="141">
        <v>12</v>
      </c>
      <c r="B457" s="192" t="s">
        <v>312</v>
      </c>
      <c r="C457" s="144" t="s">
        <v>254</v>
      </c>
      <c r="D457" s="107"/>
      <c r="E457" s="107"/>
      <c r="F457" s="107">
        <f t="shared" si="85"/>
        <v>0</v>
      </c>
      <c r="G457" s="148"/>
      <c r="H457" s="222"/>
      <c r="I457" s="151">
        <f t="shared" si="88"/>
        <v>0</v>
      </c>
      <c r="J457" s="151">
        <f t="shared" si="88"/>
        <v>0</v>
      </c>
      <c r="K457" s="151">
        <f t="shared" si="87"/>
        <v>0</v>
      </c>
      <c r="L457" s="152"/>
    </row>
    <row r="458" spans="1:12">
      <c r="A458" s="93"/>
      <c r="B458" s="125"/>
      <c r="C458" s="95"/>
      <c r="D458" s="95"/>
      <c r="E458" s="95"/>
      <c r="F458" s="96"/>
      <c r="G458" s="156"/>
      <c r="H458" s="156"/>
      <c r="I458" s="96">
        <f t="shared" si="88"/>
        <v>0</v>
      </c>
      <c r="J458" s="96">
        <f t="shared" si="88"/>
        <v>0</v>
      </c>
      <c r="K458" s="96">
        <f t="shared" si="87"/>
        <v>0</v>
      </c>
    </row>
    <row r="459" spans="1:12">
      <c r="A459" s="193"/>
      <c r="B459" s="194" t="s">
        <v>246</v>
      </c>
      <c r="C459" s="193"/>
      <c r="D459" s="193"/>
      <c r="E459" s="193"/>
      <c r="F459" s="195"/>
      <c r="G459" s="196"/>
      <c r="H459" s="196"/>
      <c r="I459" s="195">
        <f>SUM(I435:I458)</f>
        <v>0</v>
      </c>
      <c r="J459" s="195">
        <f>SUM(J435:J458)</f>
        <v>0</v>
      </c>
      <c r="K459" s="195">
        <f>SUM(K435:K458)</f>
        <v>0</v>
      </c>
      <c r="L459" s="91"/>
    </row>
    <row r="460" spans="1:12">
      <c r="A460" s="197"/>
      <c r="B460" s="198"/>
      <c r="C460" s="199"/>
      <c r="D460" s="199"/>
      <c r="E460" s="199"/>
      <c r="F460" s="200"/>
      <c r="G460" s="201"/>
      <c r="H460" s="201"/>
      <c r="I460" s="200">
        <f>+I459+I431+I389+I318+I234+I133+I107+I60</f>
        <v>0</v>
      </c>
      <c r="J460" s="200">
        <f>+J459+J431+J389+J318+J234+J133+J107+J60</f>
        <v>0</v>
      </c>
      <c r="K460" s="200">
        <f>+K459+K431+K389+K318+K234+K133+K107+K60</f>
        <v>0</v>
      </c>
    </row>
  </sheetData>
  <customSheetViews>
    <customSheetView guid="{F4A7CA8E-98F3-454B-9E7A-4BC18859A193}" scale="70" showPageBreaks="1" fitToPage="1" printArea="1" view="pageBreakPreview" topLeftCell="O1">
      <pane ySplit="5" topLeftCell="A399" activePane="bottomLeft" state="frozen"/>
      <selection pane="bottomLeft" activeCell="AP413" sqref="AP413"/>
      <pageMargins left="0.7" right="0.7" top="0.75" bottom="0.75" header="0.3" footer="0.3"/>
      <pageSetup paperSize="9" scale="15" fitToHeight="0" orientation="portrait" r:id="rId1"/>
    </customSheetView>
    <customSheetView guid="{80C18858-2264-40D8-89B1-43CC91AE6872}" scale="70" showPageBreaks="1" fitToPage="1" printArea="1" view="pageBreakPreview" topLeftCell="O1">
      <pane ySplit="5" topLeftCell="A399" activePane="bottomLeft" state="frozen"/>
      <selection pane="bottomLeft" activeCell="AP413" sqref="AP413"/>
      <pageMargins left="0.7" right="0.7" top="0.75" bottom="0.75" header="0.3" footer="0.3"/>
      <pageSetup paperSize="9" scale="15" fitToHeight="0" orientation="portrait" r:id="rId2"/>
    </customSheetView>
    <customSheetView guid="{F44FFE0D-EF1F-43C0-ACC8-2B26582A55BA}" scale="70" showPageBreaks="1" fitToPage="1" printArea="1" view="pageBreakPreview">
      <pane ySplit="5" topLeftCell="A402" activePane="bottomLeft" state="frozen"/>
      <selection pane="bottomLeft" activeCell="L3" sqref="L3:M3"/>
      <pageMargins left="0.7" right="0.7" top="0.75" bottom="0.75" header="0.3" footer="0.3"/>
      <pageSetup paperSize="9" scale="15" fitToHeight="0" orientation="portrait" r:id="rId3"/>
    </customSheetView>
    <customSheetView guid="{4C187252-7A52-4DAC-BB2D-0644DF2E09B0}" scale="70" showPageBreaks="1" fitToPage="1" printArea="1" view="pageBreakPreview" topLeftCell="O1">
      <pane ySplit="5" topLeftCell="A399" activePane="bottomLeft" state="frozen"/>
      <selection pane="bottomLeft" activeCell="AP413" sqref="AP413"/>
      <pageMargins left="0.7" right="0.7" top="0.75" bottom="0.75" header="0.3" footer="0.3"/>
      <pageSetup paperSize="9" scale="15" fitToHeight="0" orientation="portrait" r:id="rId4"/>
    </customSheetView>
    <customSheetView guid="{5ADA983C-1EDC-4645-AD8A-3535C65F44D6}" scale="70" showPageBreaks="1" fitToPage="1" printArea="1" view="pageBreakPreview">
      <pane ySplit="5" topLeftCell="A397" activePane="bottomLeft" state="frozen"/>
      <selection pane="bottomLeft" activeCell="F411" sqref="F411:G411"/>
      <pageMargins left="0.7" right="0.7" top="0.75" bottom="0.75" header="0.3" footer="0.3"/>
      <pageSetup paperSize="9" scale="15" fitToHeight="0" orientation="portrait" r:id="rId5"/>
    </customSheetView>
  </customSheetViews>
  <mergeCells count="5">
    <mergeCell ref="G3:H3"/>
    <mergeCell ref="I3:K3"/>
    <mergeCell ref="J1:K1"/>
    <mergeCell ref="M22:M28"/>
    <mergeCell ref="M48:M55"/>
  </mergeCells>
  <phoneticPr fontId="152" type="noConversion"/>
  <pageMargins left="0.7" right="0.7" top="0.75" bottom="0.75" header="0.3" footer="0.3"/>
  <pageSetup paperSize="9" scale="40" fitToHeight="0"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109"/>
  <sheetViews>
    <sheetView showGridLines="0" tabSelected="1" zoomScale="78" zoomScaleNormal="78" workbookViewId="0">
      <selection activeCell="B21" sqref="B21"/>
    </sheetView>
  </sheetViews>
  <sheetFormatPr defaultColWidth="10" defaultRowHeight="14.5"/>
  <cols>
    <col min="1" max="1" width="13.81640625" style="63" customWidth="1"/>
    <col min="2" max="2" width="63.453125" style="64" customWidth="1"/>
    <col min="3" max="3" width="12.81640625" style="63" customWidth="1"/>
    <col min="4" max="4" width="9.1796875" style="65" customWidth="1"/>
    <col min="5" max="6" width="15.453125" style="66" customWidth="1"/>
    <col min="7" max="7" width="18.81640625" style="28" customWidth="1"/>
    <col min="8" max="8" width="10" style="16"/>
    <col min="9" max="9" width="11.453125" style="16" bestFit="1" customWidth="1"/>
    <col min="10" max="10" width="12.453125" style="16" bestFit="1" customWidth="1"/>
    <col min="11" max="11" width="10.453125" style="16" bestFit="1" customWidth="1"/>
    <col min="12" max="16384" width="10" style="16"/>
  </cols>
  <sheetData>
    <row r="1" spans="1:8">
      <c r="A1" s="11" t="s">
        <v>28</v>
      </c>
      <c r="B1" s="11" t="s">
        <v>331</v>
      </c>
      <c r="C1" s="12"/>
      <c r="D1" s="13"/>
      <c r="E1" s="14"/>
      <c r="F1" s="14"/>
      <c r="G1" s="15"/>
    </row>
    <row r="2" spans="1:8">
      <c r="A2" s="11" t="s">
        <v>273</v>
      </c>
      <c r="B2" s="11" t="s">
        <v>274</v>
      </c>
      <c r="C2" s="12"/>
      <c r="D2" s="13"/>
      <c r="E2" s="14"/>
      <c r="F2" s="14"/>
      <c r="G2" s="15"/>
    </row>
    <row r="3" spans="1:8" ht="14.5" customHeight="1">
      <c r="A3" s="11" t="s">
        <v>27</v>
      </c>
      <c r="B3" s="11" t="s">
        <v>275</v>
      </c>
      <c r="C3" s="12"/>
      <c r="D3" s="13"/>
      <c r="E3" s="14"/>
      <c r="F3" s="14"/>
      <c r="G3" s="15"/>
    </row>
    <row r="4" spans="1:8" ht="15" customHeight="1">
      <c r="A4" s="11" t="s">
        <v>276</v>
      </c>
      <c r="B4" s="17" t="s">
        <v>332</v>
      </c>
      <c r="C4" s="18"/>
      <c r="D4" s="19"/>
      <c r="E4" s="14"/>
      <c r="F4" s="14"/>
      <c r="G4" s="15"/>
    </row>
    <row r="5" spans="1:8" s="20" customFormat="1">
      <c r="A5" s="244" t="s">
        <v>277</v>
      </c>
      <c r="B5" s="244" t="s">
        <v>278</v>
      </c>
      <c r="C5" s="244" t="s">
        <v>261</v>
      </c>
      <c r="D5" s="246" t="s">
        <v>279</v>
      </c>
      <c r="E5" s="248" t="s">
        <v>280</v>
      </c>
      <c r="F5" s="249"/>
      <c r="G5" s="242"/>
    </row>
    <row r="6" spans="1:8" s="20" customFormat="1">
      <c r="A6" s="245"/>
      <c r="B6" s="245"/>
      <c r="C6" s="245"/>
      <c r="D6" s="247"/>
      <c r="E6" s="21" t="s">
        <v>281</v>
      </c>
      <c r="F6" s="21" t="s">
        <v>282</v>
      </c>
      <c r="G6" s="243"/>
    </row>
    <row r="7" spans="1:8">
      <c r="A7" s="22" t="s">
        <v>9</v>
      </c>
      <c r="B7" s="23" t="s">
        <v>283</v>
      </c>
      <c r="C7" s="24"/>
      <c r="D7" s="25"/>
      <c r="E7" s="14"/>
      <c r="F7" s="14"/>
      <c r="G7" s="15"/>
    </row>
    <row r="8" spans="1:8">
      <c r="A8" s="26" t="s">
        <v>3</v>
      </c>
      <c r="B8" s="27" t="s">
        <v>284</v>
      </c>
      <c r="C8" s="26"/>
      <c r="D8" s="25"/>
      <c r="E8" s="14"/>
      <c r="F8" s="14"/>
      <c r="H8" s="15">
        <f>E11*2.5%</f>
        <v>0</v>
      </c>
    </row>
    <row r="9" spans="1:8">
      <c r="A9" s="26"/>
      <c r="B9" s="27"/>
      <c r="C9" s="26"/>
      <c r="D9" s="25"/>
      <c r="E9" s="14"/>
      <c r="F9" s="14"/>
      <c r="G9" s="15"/>
    </row>
    <row r="10" spans="1:8">
      <c r="A10" s="29" t="s">
        <v>9</v>
      </c>
      <c r="B10" s="30" t="s">
        <v>285</v>
      </c>
      <c r="C10" s="12"/>
      <c r="D10" s="25"/>
      <c r="E10" s="14"/>
      <c r="F10" s="14"/>
      <c r="G10" s="15"/>
    </row>
    <row r="11" spans="1:8" ht="204" customHeight="1">
      <c r="A11" s="31">
        <v>1</v>
      </c>
      <c r="B11" s="32" t="s">
        <v>304</v>
      </c>
      <c r="C11" s="12" t="s">
        <v>78</v>
      </c>
      <c r="D11" s="33">
        <v>1</v>
      </c>
      <c r="E11" s="34"/>
      <c r="F11" s="34"/>
      <c r="G11" s="35">
        <f>SUM(E11:F11)*N($D11)</f>
        <v>0</v>
      </c>
      <c r="H11" s="36"/>
    </row>
    <row r="12" spans="1:8">
      <c r="A12" s="37"/>
      <c r="B12" s="38"/>
      <c r="C12" s="12"/>
      <c r="D12" s="33"/>
      <c r="E12" s="14"/>
      <c r="F12" s="14"/>
      <c r="G12" s="35">
        <f t="shared" ref="G12:G35" si="0">SUM(E12:F12)*N($D12)</f>
        <v>0</v>
      </c>
    </row>
    <row r="13" spans="1:8" ht="72.5">
      <c r="A13" s="31">
        <f>A11+1</f>
        <v>2</v>
      </c>
      <c r="B13" s="32" t="s">
        <v>305</v>
      </c>
      <c r="C13" s="12" t="s">
        <v>286</v>
      </c>
      <c r="D13" s="33">
        <v>1</v>
      </c>
      <c r="E13" s="14"/>
      <c r="F13" s="14"/>
      <c r="G13" s="35">
        <f t="shared" si="0"/>
        <v>0</v>
      </c>
    </row>
    <row r="14" spans="1:8">
      <c r="A14" s="37"/>
      <c r="B14" s="38"/>
      <c r="C14" s="12"/>
      <c r="D14" s="33"/>
      <c r="E14" s="14">
        <v>0</v>
      </c>
      <c r="F14" s="14">
        <v>0</v>
      </c>
      <c r="G14" s="35">
        <f t="shared" si="0"/>
        <v>0</v>
      </c>
    </row>
    <row r="15" spans="1:8">
      <c r="A15" s="39">
        <v>3</v>
      </c>
      <c r="B15" s="40" t="s">
        <v>287</v>
      </c>
      <c r="C15" s="26"/>
      <c r="D15" s="33"/>
      <c r="E15" s="14">
        <v>0</v>
      </c>
      <c r="F15" s="14">
        <v>0</v>
      </c>
      <c r="G15" s="35">
        <f t="shared" si="0"/>
        <v>0</v>
      </c>
    </row>
    <row r="16" spans="1:8">
      <c r="A16" s="26"/>
      <c r="B16" s="40"/>
      <c r="C16" s="26"/>
      <c r="D16" s="33"/>
      <c r="E16" s="14">
        <v>0</v>
      </c>
      <c r="F16" s="14">
        <v>0</v>
      </c>
      <c r="G16" s="35">
        <f t="shared" si="0"/>
        <v>0</v>
      </c>
    </row>
    <row r="17" spans="1:7" ht="72.5">
      <c r="A17" s="41">
        <f>A15+0.1</f>
        <v>3.1</v>
      </c>
      <c r="B17" s="32" t="s">
        <v>306</v>
      </c>
      <c r="C17" s="12" t="s">
        <v>288</v>
      </c>
      <c r="D17" s="33">
        <v>1</v>
      </c>
      <c r="E17" s="14"/>
      <c r="F17" s="14"/>
      <c r="G17" s="35">
        <f t="shared" si="0"/>
        <v>0</v>
      </c>
    </row>
    <row r="18" spans="1:7">
      <c r="A18" s="41"/>
      <c r="B18" s="38"/>
      <c r="C18" s="12"/>
      <c r="D18" s="33"/>
      <c r="E18" s="14">
        <v>0</v>
      </c>
      <c r="F18" s="14">
        <v>0</v>
      </c>
      <c r="G18" s="35">
        <f t="shared" si="0"/>
        <v>0</v>
      </c>
    </row>
    <row r="19" spans="1:7" ht="87">
      <c r="A19" s="41">
        <f>A17+0.1</f>
        <v>3.2</v>
      </c>
      <c r="B19" s="32" t="s">
        <v>307</v>
      </c>
      <c r="C19" s="12" t="s">
        <v>288</v>
      </c>
      <c r="D19" s="33">
        <v>1</v>
      </c>
      <c r="E19" s="14"/>
      <c r="F19" s="14"/>
      <c r="G19" s="35">
        <f t="shared" si="0"/>
        <v>0</v>
      </c>
    </row>
    <row r="20" spans="1:7">
      <c r="A20" s="41"/>
      <c r="B20" s="38"/>
      <c r="C20" s="12"/>
      <c r="D20" s="33"/>
      <c r="E20" s="14">
        <v>0</v>
      </c>
      <c r="F20" s="14">
        <v>0</v>
      </c>
      <c r="G20" s="35">
        <f t="shared" si="0"/>
        <v>0</v>
      </c>
    </row>
    <row r="21" spans="1:7" ht="58">
      <c r="A21" s="41">
        <f>A19+0.1</f>
        <v>3.3000000000000003</v>
      </c>
      <c r="B21" s="38" t="s">
        <v>289</v>
      </c>
      <c r="C21" s="12" t="s">
        <v>288</v>
      </c>
      <c r="D21" s="33">
        <v>1</v>
      </c>
      <c r="E21" s="14"/>
      <c r="F21" s="14"/>
      <c r="G21" s="35">
        <f t="shared" si="0"/>
        <v>0</v>
      </c>
    </row>
    <row r="22" spans="1:7">
      <c r="A22" s="41"/>
      <c r="B22" s="38"/>
      <c r="C22" s="12"/>
      <c r="D22" s="33"/>
      <c r="E22" s="14">
        <v>0</v>
      </c>
      <c r="F22" s="14">
        <v>0</v>
      </c>
      <c r="G22" s="35">
        <f t="shared" si="0"/>
        <v>0</v>
      </c>
    </row>
    <row r="23" spans="1:7">
      <c r="A23" s="39">
        <v>4</v>
      </c>
      <c r="B23" s="40" t="s">
        <v>290</v>
      </c>
      <c r="C23" s="26"/>
      <c r="D23" s="33"/>
      <c r="E23" s="14">
        <v>0</v>
      </c>
      <c r="F23" s="14">
        <v>0</v>
      </c>
      <c r="G23" s="35">
        <f t="shared" si="0"/>
        <v>0</v>
      </c>
    </row>
    <row r="24" spans="1:7">
      <c r="A24" s="26"/>
      <c r="B24" s="40"/>
      <c r="C24" s="26"/>
      <c r="D24" s="33"/>
      <c r="E24" s="14">
        <v>0</v>
      </c>
      <c r="F24" s="14">
        <v>0</v>
      </c>
      <c r="G24" s="35">
        <f t="shared" si="0"/>
        <v>0</v>
      </c>
    </row>
    <row r="25" spans="1:7" ht="58">
      <c r="A25" s="41">
        <f>A23+0.1</f>
        <v>4.0999999999999996</v>
      </c>
      <c r="B25" s="32" t="s">
        <v>333</v>
      </c>
      <c r="C25" s="12" t="s">
        <v>78</v>
      </c>
      <c r="D25" s="33">
        <v>1</v>
      </c>
      <c r="E25" s="14"/>
      <c r="F25" s="14"/>
      <c r="G25" s="35">
        <f t="shared" si="0"/>
        <v>0</v>
      </c>
    </row>
    <row r="26" spans="1:7">
      <c r="A26" s="41"/>
      <c r="B26" s="38"/>
      <c r="C26" s="12"/>
      <c r="D26" s="33"/>
      <c r="E26" s="14">
        <v>0</v>
      </c>
      <c r="F26" s="14">
        <v>0</v>
      </c>
      <c r="G26" s="35">
        <f t="shared" si="0"/>
        <v>0</v>
      </c>
    </row>
    <row r="27" spans="1:7" ht="58">
      <c r="A27" s="41">
        <f>A25+0.1</f>
        <v>4.1999999999999993</v>
      </c>
      <c r="B27" s="32" t="s">
        <v>334</v>
      </c>
      <c r="C27" s="12" t="s">
        <v>78</v>
      </c>
      <c r="D27" s="33">
        <v>1</v>
      </c>
      <c r="E27" s="14"/>
      <c r="F27" s="14"/>
      <c r="G27" s="35">
        <f t="shared" si="0"/>
        <v>0</v>
      </c>
    </row>
    <row r="28" spans="1:7">
      <c r="A28" s="41"/>
      <c r="B28" s="38"/>
      <c r="C28" s="12"/>
      <c r="D28" s="33"/>
      <c r="E28" s="14">
        <v>0</v>
      </c>
      <c r="F28" s="14">
        <v>0</v>
      </c>
      <c r="G28" s="35">
        <f t="shared" si="0"/>
        <v>0</v>
      </c>
    </row>
    <row r="29" spans="1:7">
      <c r="A29" s="39">
        <v>5</v>
      </c>
      <c r="B29" s="40" t="s">
        <v>291</v>
      </c>
      <c r="C29" s="12"/>
      <c r="D29" s="33"/>
      <c r="E29" s="14">
        <v>0</v>
      </c>
      <c r="F29" s="14">
        <v>0</v>
      </c>
      <c r="G29" s="35">
        <f t="shared" si="0"/>
        <v>0</v>
      </c>
    </row>
    <row r="30" spans="1:7">
      <c r="A30" s="37"/>
      <c r="B30" s="38"/>
      <c r="C30" s="12"/>
      <c r="D30" s="33"/>
      <c r="E30" s="14">
        <v>0</v>
      </c>
      <c r="F30" s="14">
        <v>0</v>
      </c>
      <c r="G30" s="35">
        <f t="shared" si="0"/>
        <v>0</v>
      </c>
    </row>
    <row r="31" spans="1:7" ht="116">
      <c r="A31" s="31">
        <v>5.0999999999999996</v>
      </c>
      <c r="B31" s="32" t="s">
        <v>308</v>
      </c>
      <c r="C31" s="12" t="s">
        <v>78</v>
      </c>
      <c r="D31" s="33">
        <v>1</v>
      </c>
      <c r="E31" s="14"/>
      <c r="F31" s="14"/>
      <c r="G31" s="35">
        <f>SUM(E21:F21)*N($D21)</f>
        <v>0</v>
      </c>
    </row>
    <row r="32" spans="1:7">
      <c r="A32" s="31"/>
      <c r="B32" s="32"/>
      <c r="C32" s="12"/>
      <c r="D32" s="33"/>
      <c r="E32" s="14">
        <v>0</v>
      </c>
      <c r="F32" s="14">
        <v>0</v>
      </c>
      <c r="G32" s="35">
        <f t="shared" si="0"/>
        <v>0</v>
      </c>
    </row>
    <row r="33" spans="1:7">
      <c r="A33" s="39">
        <v>6</v>
      </c>
      <c r="B33" s="42" t="s">
        <v>292</v>
      </c>
      <c r="C33" s="12"/>
      <c r="D33" s="33"/>
      <c r="E33" s="14">
        <v>0</v>
      </c>
      <c r="F33" s="14">
        <v>0</v>
      </c>
      <c r="G33" s="35">
        <f t="shared" si="0"/>
        <v>0</v>
      </c>
    </row>
    <row r="34" spans="1:7">
      <c r="A34" s="39"/>
      <c r="B34" s="42"/>
      <c r="C34" s="12"/>
      <c r="D34" s="33"/>
      <c r="E34" s="14">
        <v>0</v>
      </c>
      <c r="F34" s="14">
        <v>0</v>
      </c>
      <c r="G34" s="35">
        <f t="shared" si="0"/>
        <v>0</v>
      </c>
    </row>
    <row r="35" spans="1:7" ht="43.5">
      <c r="A35" s="31">
        <v>6.1</v>
      </c>
      <c r="B35" s="32" t="s">
        <v>309</v>
      </c>
      <c r="C35" s="12" t="s">
        <v>288</v>
      </c>
      <c r="D35" s="33">
        <v>1</v>
      </c>
      <c r="E35" s="14"/>
      <c r="F35" s="14"/>
      <c r="G35" s="35">
        <f t="shared" si="0"/>
        <v>0</v>
      </c>
    </row>
    <row r="36" spans="1:7">
      <c r="A36" s="31"/>
      <c r="B36" s="38"/>
      <c r="C36" s="12"/>
      <c r="D36" s="33"/>
      <c r="E36" s="14"/>
      <c r="F36" s="14"/>
      <c r="G36" s="15"/>
    </row>
    <row r="37" spans="1:7">
      <c r="A37" s="43"/>
      <c r="B37" s="68" t="s">
        <v>293</v>
      </c>
      <c r="C37" s="44"/>
      <c r="D37" s="45"/>
      <c r="E37" s="46"/>
      <c r="F37" s="46"/>
      <c r="G37" s="47">
        <f>SUM(G11:G36)</f>
        <v>0</v>
      </c>
    </row>
    <row r="38" spans="1:7">
      <c r="A38" s="31"/>
      <c r="B38" s="38"/>
      <c r="C38" s="12"/>
      <c r="D38" s="33"/>
      <c r="E38" s="14"/>
      <c r="F38" s="14"/>
      <c r="G38" s="15"/>
    </row>
    <row r="39" spans="1:7">
      <c r="A39" s="29" t="s">
        <v>10</v>
      </c>
      <c r="B39" s="27" t="s">
        <v>294</v>
      </c>
      <c r="C39" s="12"/>
      <c r="D39" s="33"/>
      <c r="E39" s="14"/>
      <c r="F39" s="14"/>
      <c r="G39" s="15"/>
    </row>
    <row r="40" spans="1:7" ht="187.25" customHeight="1">
      <c r="A40" s="31">
        <v>1</v>
      </c>
      <c r="B40" s="32" t="s">
        <v>335</v>
      </c>
      <c r="C40" s="12" t="s">
        <v>78</v>
      </c>
      <c r="D40" s="33">
        <v>1</v>
      </c>
      <c r="E40" s="14"/>
      <c r="F40" s="14"/>
      <c r="G40" s="35">
        <f t="shared" ref="G40:G66" si="1">SUM(E40:F40)*N($D40)</f>
        <v>0</v>
      </c>
    </row>
    <row r="41" spans="1:7">
      <c r="A41" s="37"/>
      <c r="B41" s="48"/>
      <c r="C41" s="12"/>
      <c r="D41" s="33"/>
      <c r="E41" s="14">
        <v>0</v>
      </c>
      <c r="F41" s="14">
        <v>0</v>
      </c>
      <c r="G41" s="35">
        <f t="shared" si="1"/>
        <v>0</v>
      </c>
    </row>
    <row r="42" spans="1:7" ht="72.5">
      <c r="A42" s="31">
        <v>2</v>
      </c>
      <c r="B42" s="32" t="s">
        <v>336</v>
      </c>
      <c r="C42" s="12" t="s">
        <v>286</v>
      </c>
      <c r="D42" s="33">
        <v>1</v>
      </c>
      <c r="E42" s="14"/>
      <c r="F42" s="14"/>
      <c r="G42" s="35">
        <f t="shared" si="1"/>
        <v>0</v>
      </c>
    </row>
    <row r="43" spans="1:7">
      <c r="A43" s="37"/>
      <c r="B43" s="48"/>
      <c r="C43" s="12"/>
      <c r="D43" s="33"/>
      <c r="E43" s="14">
        <v>0</v>
      </c>
      <c r="F43" s="14">
        <v>0</v>
      </c>
      <c r="G43" s="35">
        <f t="shared" si="1"/>
        <v>0</v>
      </c>
    </row>
    <row r="44" spans="1:7">
      <c r="A44" s="39">
        <v>3</v>
      </c>
      <c r="B44" s="49" t="s">
        <v>287</v>
      </c>
      <c r="C44" s="26"/>
      <c r="D44" s="33"/>
      <c r="E44" s="14">
        <v>0</v>
      </c>
      <c r="F44" s="14">
        <v>0</v>
      </c>
      <c r="G44" s="35">
        <f t="shared" si="1"/>
        <v>0</v>
      </c>
    </row>
    <row r="45" spans="1:7">
      <c r="A45" s="26"/>
      <c r="B45" s="49"/>
      <c r="C45" s="26"/>
      <c r="D45" s="33"/>
      <c r="E45" s="14">
        <v>0</v>
      </c>
      <c r="F45" s="14">
        <v>0</v>
      </c>
      <c r="G45" s="35">
        <f t="shared" si="1"/>
        <v>0</v>
      </c>
    </row>
    <row r="46" spans="1:7" ht="58">
      <c r="A46" s="41">
        <v>3.1</v>
      </c>
      <c r="B46" s="32" t="s">
        <v>337</v>
      </c>
      <c r="C46" s="12" t="s">
        <v>288</v>
      </c>
      <c r="D46" s="33">
        <v>1</v>
      </c>
      <c r="E46" s="14"/>
      <c r="F46" s="14"/>
      <c r="G46" s="35">
        <f t="shared" si="1"/>
        <v>0</v>
      </c>
    </row>
    <row r="47" spans="1:7">
      <c r="A47" s="41"/>
      <c r="B47" s="48"/>
      <c r="C47" s="12"/>
      <c r="D47" s="33"/>
      <c r="E47" s="14">
        <v>0</v>
      </c>
      <c r="F47" s="14">
        <v>0</v>
      </c>
      <c r="G47" s="35">
        <f t="shared" si="1"/>
        <v>0</v>
      </c>
    </row>
    <row r="48" spans="1:7" ht="72.5">
      <c r="A48" s="41">
        <v>3.2</v>
      </c>
      <c r="B48" s="32" t="s">
        <v>310</v>
      </c>
      <c r="C48" s="12" t="s">
        <v>288</v>
      </c>
      <c r="D48" s="33">
        <v>1</v>
      </c>
      <c r="E48" s="14"/>
      <c r="F48" s="14"/>
      <c r="G48" s="35">
        <f t="shared" si="1"/>
        <v>0</v>
      </c>
    </row>
    <row r="49" spans="1:8">
      <c r="A49" s="41"/>
      <c r="B49" s="48"/>
      <c r="C49" s="12"/>
      <c r="D49" s="33"/>
      <c r="E49" s="14">
        <v>0</v>
      </c>
      <c r="F49" s="14">
        <v>0</v>
      </c>
      <c r="G49" s="35">
        <f t="shared" si="1"/>
        <v>0</v>
      </c>
    </row>
    <row r="50" spans="1:8" ht="72.5">
      <c r="A50" s="41">
        <v>3.3</v>
      </c>
      <c r="B50" s="32" t="s">
        <v>311</v>
      </c>
      <c r="C50" s="12" t="s">
        <v>288</v>
      </c>
      <c r="D50" s="33">
        <v>1</v>
      </c>
      <c r="E50" s="14"/>
      <c r="F50" s="14"/>
      <c r="G50" s="35">
        <f t="shared" si="1"/>
        <v>0</v>
      </c>
    </row>
    <row r="51" spans="1:8">
      <c r="A51" s="37"/>
      <c r="B51" s="48"/>
      <c r="C51" s="12"/>
      <c r="D51" s="33"/>
      <c r="E51" s="14">
        <v>0</v>
      </c>
      <c r="F51" s="14">
        <v>0</v>
      </c>
      <c r="G51" s="35">
        <f t="shared" si="1"/>
        <v>0</v>
      </c>
    </row>
    <row r="52" spans="1:8">
      <c r="A52" s="39">
        <v>4</v>
      </c>
      <c r="B52" s="49" t="s">
        <v>290</v>
      </c>
      <c r="C52" s="26"/>
      <c r="D52" s="33"/>
      <c r="E52" s="14">
        <v>0</v>
      </c>
      <c r="F52" s="14">
        <v>0</v>
      </c>
      <c r="G52" s="35">
        <f t="shared" si="1"/>
        <v>0</v>
      </c>
    </row>
    <row r="53" spans="1:8">
      <c r="A53" s="26"/>
      <c r="B53" s="49"/>
      <c r="C53" s="26"/>
      <c r="D53" s="33"/>
      <c r="E53" s="14">
        <v>0</v>
      </c>
      <c r="F53" s="14">
        <v>0</v>
      </c>
      <c r="G53" s="35">
        <f t="shared" si="1"/>
        <v>0</v>
      </c>
    </row>
    <row r="54" spans="1:8" ht="29">
      <c r="A54" s="26"/>
      <c r="B54" s="49" t="s">
        <v>295</v>
      </c>
      <c r="C54" s="26"/>
      <c r="D54" s="33"/>
      <c r="E54" s="14">
        <v>0</v>
      </c>
      <c r="F54" s="14">
        <v>0</v>
      </c>
      <c r="G54" s="35">
        <f t="shared" si="1"/>
        <v>0</v>
      </c>
    </row>
    <row r="55" spans="1:8">
      <c r="A55" s="26"/>
      <c r="B55" s="49"/>
      <c r="C55" s="26"/>
      <c r="D55" s="33"/>
      <c r="E55" s="14">
        <v>0</v>
      </c>
      <c r="F55" s="14">
        <v>0</v>
      </c>
      <c r="G55" s="35">
        <f t="shared" si="1"/>
        <v>0</v>
      </c>
    </row>
    <row r="56" spans="1:8" ht="58">
      <c r="A56" s="41">
        <v>4.0999999999999996</v>
      </c>
      <c r="B56" s="32" t="s">
        <v>338</v>
      </c>
      <c r="C56" s="12" t="s">
        <v>78</v>
      </c>
      <c r="D56" s="33">
        <v>1</v>
      </c>
      <c r="E56" s="14"/>
      <c r="F56" s="14"/>
      <c r="G56" s="35">
        <f t="shared" si="1"/>
        <v>0</v>
      </c>
      <c r="H56" s="16">
        <f>7/0.8</f>
        <v>8.75</v>
      </c>
    </row>
    <row r="57" spans="1:8">
      <c r="A57" s="41"/>
      <c r="B57" s="38"/>
      <c r="C57" s="12"/>
      <c r="D57" s="33"/>
      <c r="E57" s="14">
        <v>0</v>
      </c>
      <c r="F57" s="14">
        <v>0</v>
      </c>
      <c r="G57" s="35">
        <f t="shared" si="1"/>
        <v>0</v>
      </c>
    </row>
    <row r="58" spans="1:8" ht="58">
      <c r="A58" s="41">
        <v>4.2</v>
      </c>
      <c r="B58" s="32" t="s">
        <v>339</v>
      </c>
      <c r="C58" s="12" t="s">
        <v>78</v>
      </c>
      <c r="D58" s="33">
        <v>1</v>
      </c>
      <c r="E58" s="14"/>
      <c r="F58" s="14"/>
      <c r="G58" s="35">
        <f t="shared" si="1"/>
        <v>0</v>
      </c>
    </row>
    <row r="59" spans="1:8">
      <c r="A59" s="41"/>
      <c r="B59" s="48"/>
      <c r="C59" s="12"/>
      <c r="D59" s="33"/>
      <c r="E59" s="14">
        <v>0</v>
      </c>
      <c r="F59" s="14">
        <v>0</v>
      </c>
      <c r="G59" s="35">
        <f t="shared" si="1"/>
        <v>0</v>
      </c>
    </row>
    <row r="60" spans="1:8">
      <c r="A60" s="39">
        <v>5</v>
      </c>
      <c r="B60" s="49" t="s">
        <v>291</v>
      </c>
      <c r="C60" s="12"/>
      <c r="D60" s="33"/>
      <c r="E60" s="14">
        <v>0</v>
      </c>
      <c r="F60" s="14">
        <v>0</v>
      </c>
      <c r="G60" s="35">
        <f t="shared" si="1"/>
        <v>0</v>
      </c>
    </row>
    <row r="61" spans="1:8">
      <c r="A61" s="37"/>
      <c r="B61" s="48"/>
      <c r="C61" s="12"/>
      <c r="D61" s="33"/>
      <c r="E61" s="14">
        <v>0</v>
      </c>
      <c r="F61" s="14">
        <v>0</v>
      </c>
      <c r="G61" s="35">
        <f t="shared" si="1"/>
        <v>0</v>
      </c>
    </row>
    <row r="62" spans="1:8" ht="116">
      <c r="A62" s="31">
        <v>5.0999999999999996</v>
      </c>
      <c r="B62" s="32" t="s">
        <v>340</v>
      </c>
      <c r="C62" s="12" t="s">
        <v>78</v>
      </c>
      <c r="D62" s="33">
        <v>1</v>
      </c>
      <c r="E62" s="14"/>
      <c r="F62" s="14"/>
      <c r="G62" s="35">
        <f t="shared" si="1"/>
        <v>0</v>
      </c>
    </row>
    <row r="63" spans="1:8">
      <c r="A63" s="31"/>
      <c r="B63" s="50"/>
      <c r="C63" s="12"/>
      <c r="D63" s="33"/>
      <c r="E63" s="14">
        <v>0</v>
      </c>
      <c r="F63" s="14">
        <v>0</v>
      </c>
      <c r="G63" s="35">
        <f t="shared" si="1"/>
        <v>0</v>
      </c>
    </row>
    <row r="64" spans="1:8">
      <c r="A64" s="39">
        <v>6</v>
      </c>
      <c r="B64" s="51" t="s">
        <v>292</v>
      </c>
      <c r="C64" s="12"/>
      <c r="D64" s="33"/>
      <c r="E64" s="14">
        <v>0</v>
      </c>
      <c r="F64" s="14">
        <v>0</v>
      </c>
      <c r="G64" s="35">
        <f t="shared" si="1"/>
        <v>0</v>
      </c>
    </row>
    <row r="65" spans="1:9">
      <c r="A65" s="39"/>
      <c r="B65" s="51"/>
      <c r="C65" s="12"/>
      <c r="D65" s="33"/>
      <c r="E65" s="14">
        <v>0</v>
      </c>
      <c r="F65" s="14">
        <v>0</v>
      </c>
      <c r="G65" s="35">
        <f t="shared" si="1"/>
        <v>0</v>
      </c>
    </row>
    <row r="66" spans="1:9" ht="43.5">
      <c r="A66" s="31">
        <v>7.1</v>
      </c>
      <c r="B66" s="32" t="s">
        <v>341</v>
      </c>
      <c r="C66" s="12" t="s">
        <v>78</v>
      </c>
      <c r="D66" s="33">
        <v>1</v>
      </c>
      <c r="E66" s="14"/>
      <c r="F66" s="14"/>
      <c r="G66" s="35">
        <f t="shared" si="1"/>
        <v>0</v>
      </c>
    </row>
    <row r="67" spans="1:9">
      <c r="A67" s="31"/>
      <c r="B67" s="48"/>
      <c r="C67" s="12"/>
      <c r="D67" s="52"/>
      <c r="E67" s="14"/>
      <c r="F67" s="14"/>
      <c r="G67" s="15"/>
    </row>
    <row r="68" spans="1:9" ht="24.65" customHeight="1">
      <c r="A68" s="43"/>
      <c r="B68" s="67" t="s">
        <v>302</v>
      </c>
      <c r="C68" s="44"/>
      <c r="D68" s="54"/>
      <c r="E68" s="46"/>
      <c r="F68" s="46"/>
      <c r="G68" s="47">
        <f>SUM(G40:G67)</f>
        <v>0</v>
      </c>
    </row>
    <row r="69" spans="1:9">
      <c r="A69" s="39"/>
      <c r="B69" s="51"/>
      <c r="C69" s="12"/>
      <c r="D69" s="52"/>
      <c r="E69" s="14"/>
      <c r="F69" s="14"/>
      <c r="G69" s="15"/>
    </row>
    <row r="70" spans="1:9">
      <c r="A70" s="29" t="s">
        <v>18</v>
      </c>
      <c r="B70" s="27" t="s">
        <v>296</v>
      </c>
      <c r="C70" s="12"/>
      <c r="D70" s="33"/>
      <c r="E70" s="14"/>
      <c r="F70" s="14"/>
      <c r="G70" s="15"/>
    </row>
    <row r="71" spans="1:9" ht="180" customHeight="1">
      <c r="A71" s="31">
        <v>1</v>
      </c>
      <c r="B71" s="32" t="s">
        <v>342</v>
      </c>
      <c r="C71" s="12" t="s">
        <v>78</v>
      </c>
      <c r="D71" s="33">
        <v>1</v>
      </c>
      <c r="E71" s="14"/>
      <c r="F71" s="14"/>
      <c r="G71" s="35">
        <f t="shared" ref="G71:G97" si="2">SUM(E71:F71)*N($D71)</f>
        <v>0</v>
      </c>
      <c r="H71" s="55"/>
      <c r="I71" s="55"/>
    </row>
    <row r="72" spans="1:9">
      <c r="A72" s="37"/>
      <c r="B72" s="48"/>
      <c r="C72" s="12"/>
      <c r="D72" s="33"/>
      <c r="E72" s="14">
        <v>0</v>
      </c>
      <c r="F72" s="14">
        <v>0</v>
      </c>
      <c r="G72" s="35">
        <f t="shared" si="2"/>
        <v>0</v>
      </c>
      <c r="H72" s="55"/>
      <c r="I72" s="55"/>
    </row>
    <row r="73" spans="1:9" ht="72.5">
      <c r="A73" s="31">
        <v>2</v>
      </c>
      <c r="B73" s="32" t="s">
        <v>343</v>
      </c>
      <c r="C73" s="12" t="s">
        <v>286</v>
      </c>
      <c r="D73" s="33">
        <v>1</v>
      </c>
      <c r="E73" s="14"/>
      <c r="F73" s="14"/>
      <c r="G73" s="35">
        <f t="shared" si="2"/>
        <v>0</v>
      </c>
      <c r="H73" s="55"/>
      <c r="I73" s="55"/>
    </row>
    <row r="74" spans="1:9">
      <c r="A74" s="37"/>
      <c r="B74" s="48"/>
      <c r="C74" s="12"/>
      <c r="D74" s="33"/>
      <c r="E74" s="14">
        <v>0</v>
      </c>
      <c r="F74" s="14">
        <v>0</v>
      </c>
      <c r="G74" s="35">
        <f t="shared" si="2"/>
        <v>0</v>
      </c>
      <c r="H74" s="55"/>
      <c r="I74" s="55"/>
    </row>
    <row r="75" spans="1:9">
      <c r="A75" s="39">
        <v>3</v>
      </c>
      <c r="B75" s="49" t="s">
        <v>287</v>
      </c>
      <c r="C75" s="26"/>
      <c r="D75" s="33"/>
      <c r="E75" s="14">
        <v>0</v>
      </c>
      <c r="F75" s="14">
        <v>0</v>
      </c>
      <c r="G75" s="35">
        <f t="shared" si="2"/>
        <v>0</v>
      </c>
      <c r="H75" s="55"/>
      <c r="I75" s="55"/>
    </row>
    <row r="76" spans="1:9">
      <c r="A76" s="26"/>
      <c r="B76" s="49"/>
      <c r="C76" s="26"/>
      <c r="D76" s="33"/>
      <c r="E76" s="14">
        <v>0</v>
      </c>
      <c r="F76" s="14">
        <v>0</v>
      </c>
      <c r="G76" s="35">
        <f t="shared" si="2"/>
        <v>0</v>
      </c>
      <c r="H76" s="55"/>
      <c r="I76" s="55"/>
    </row>
    <row r="77" spans="1:9" ht="72.5">
      <c r="A77" s="41">
        <v>3.1</v>
      </c>
      <c r="B77" s="32" t="s">
        <v>344</v>
      </c>
      <c r="C77" s="12" t="s">
        <v>288</v>
      </c>
      <c r="D77" s="33">
        <v>1</v>
      </c>
      <c r="E77" s="14"/>
      <c r="F77" s="14"/>
      <c r="G77" s="35">
        <f t="shared" si="2"/>
        <v>0</v>
      </c>
      <c r="H77" s="55"/>
      <c r="I77" s="55"/>
    </row>
    <row r="78" spans="1:9">
      <c r="A78" s="41"/>
      <c r="B78" s="48"/>
      <c r="C78" s="12"/>
      <c r="D78" s="33"/>
      <c r="E78" s="14">
        <v>0</v>
      </c>
      <c r="F78" s="14">
        <v>0</v>
      </c>
      <c r="G78" s="35">
        <f t="shared" si="2"/>
        <v>0</v>
      </c>
      <c r="H78" s="55"/>
      <c r="I78" s="55"/>
    </row>
    <row r="79" spans="1:9" ht="72.5">
      <c r="A79" s="41">
        <v>3.2</v>
      </c>
      <c r="B79" s="32" t="s">
        <v>345</v>
      </c>
      <c r="C79" s="12" t="s">
        <v>288</v>
      </c>
      <c r="D79" s="33">
        <v>1</v>
      </c>
      <c r="E79" s="14"/>
      <c r="F79" s="14"/>
      <c r="G79" s="35">
        <f t="shared" si="2"/>
        <v>0</v>
      </c>
      <c r="H79" s="55"/>
      <c r="I79" s="55"/>
    </row>
    <row r="80" spans="1:9">
      <c r="A80" s="41"/>
      <c r="B80" s="48"/>
      <c r="C80" s="12"/>
      <c r="D80" s="33"/>
      <c r="E80" s="14">
        <v>0</v>
      </c>
      <c r="F80" s="14">
        <v>0</v>
      </c>
      <c r="G80" s="35">
        <f t="shared" si="2"/>
        <v>0</v>
      </c>
      <c r="H80" s="55"/>
      <c r="I80" s="55"/>
    </row>
    <row r="81" spans="1:10" ht="72.5">
      <c r="A81" s="41">
        <v>3.3</v>
      </c>
      <c r="B81" s="32" t="s">
        <v>346</v>
      </c>
      <c r="C81" s="12" t="s">
        <v>288</v>
      </c>
      <c r="D81" s="33">
        <v>1</v>
      </c>
      <c r="E81" s="14"/>
      <c r="F81" s="14"/>
      <c r="G81" s="35">
        <f t="shared" si="2"/>
        <v>0</v>
      </c>
      <c r="H81" s="55"/>
      <c r="I81" s="55"/>
    </row>
    <row r="82" spans="1:10">
      <c r="A82" s="37"/>
      <c r="B82" s="48"/>
      <c r="C82" s="12"/>
      <c r="D82" s="33"/>
      <c r="E82" s="14">
        <v>0</v>
      </c>
      <c r="F82" s="14">
        <v>0</v>
      </c>
      <c r="G82" s="35">
        <f t="shared" si="2"/>
        <v>0</v>
      </c>
      <c r="H82" s="55"/>
      <c r="I82" s="55"/>
    </row>
    <row r="83" spans="1:10">
      <c r="A83" s="39">
        <v>4</v>
      </c>
      <c r="B83" s="49" t="s">
        <v>290</v>
      </c>
      <c r="C83" s="26"/>
      <c r="D83" s="33"/>
      <c r="E83" s="14">
        <v>0</v>
      </c>
      <c r="F83" s="14">
        <v>0</v>
      </c>
      <c r="G83" s="35">
        <f t="shared" si="2"/>
        <v>0</v>
      </c>
      <c r="H83" s="55"/>
      <c r="I83" s="55"/>
    </row>
    <row r="84" spans="1:10">
      <c r="A84" s="26"/>
      <c r="B84" s="49"/>
      <c r="C84" s="26"/>
      <c r="D84" s="33"/>
      <c r="E84" s="14">
        <v>0</v>
      </c>
      <c r="F84" s="14">
        <v>0</v>
      </c>
      <c r="G84" s="35">
        <f t="shared" si="2"/>
        <v>0</v>
      </c>
      <c r="H84" s="55"/>
      <c r="I84" s="55"/>
    </row>
    <row r="85" spans="1:10" ht="29">
      <c r="A85" s="26"/>
      <c r="B85" s="49" t="s">
        <v>295</v>
      </c>
      <c r="C85" s="26"/>
      <c r="D85" s="33"/>
      <c r="E85" s="14">
        <v>0</v>
      </c>
      <c r="F85" s="14">
        <v>0</v>
      </c>
      <c r="G85" s="35">
        <f t="shared" si="2"/>
        <v>0</v>
      </c>
      <c r="H85" s="55"/>
      <c r="I85" s="55"/>
    </row>
    <row r="86" spans="1:10">
      <c r="A86" s="26"/>
      <c r="B86" s="49"/>
      <c r="C86" s="26"/>
      <c r="D86" s="33"/>
      <c r="E86" s="14">
        <v>0</v>
      </c>
      <c r="F86" s="14">
        <v>0</v>
      </c>
      <c r="G86" s="35">
        <f t="shared" si="2"/>
        <v>0</v>
      </c>
      <c r="H86" s="55"/>
      <c r="I86" s="55"/>
    </row>
    <row r="87" spans="1:10" ht="43.5">
      <c r="A87" s="41">
        <v>4.0999999999999996</v>
      </c>
      <c r="B87" s="48" t="s">
        <v>347</v>
      </c>
      <c r="C87" s="12" t="s">
        <v>78</v>
      </c>
      <c r="D87" s="33">
        <v>1</v>
      </c>
      <c r="E87" s="14"/>
      <c r="F87" s="14"/>
      <c r="G87" s="35">
        <f t="shared" si="2"/>
        <v>0</v>
      </c>
      <c r="H87" s="55"/>
      <c r="I87" s="55"/>
    </row>
    <row r="88" spans="1:10">
      <c r="A88" s="41"/>
      <c r="B88" s="48"/>
      <c r="C88" s="12"/>
      <c r="D88" s="33"/>
      <c r="E88" s="14">
        <v>0</v>
      </c>
      <c r="F88" s="14">
        <v>0</v>
      </c>
      <c r="G88" s="35">
        <f t="shared" si="2"/>
        <v>0</v>
      </c>
      <c r="H88" s="55"/>
      <c r="I88" s="55"/>
    </row>
    <row r="89" spans="1:10" ht="43.5">
      <c r="A89" s="41">
        <v>4.2</v>
      </c>
      <c r="B89" s="48" t="s">
        <v>348</v>
      </c>
      <c r="C89" s="12" t="s">
        <v>78</v>
      </c>
      <c r="D89" s="33">
        <v>1</v>
      </c>
      <c r="E89" s="14"/>
      <c r="F89" s="14"/>
      <c r="G89" s="35">
        <f t="shared" si="2"/>
        <v>0</v>
      </c>
      <c r="H89" s="55"/>
      <c r="I89" s="55"/>
      <c r="J89" s="56"/>
    </row>
    <row r="90" spans="1:10">
      <c r="A90" s="41"/>
      <c r="B90" s="48"/>
      <c r="C90" s="12"/>
      <c r="D90" s="33"/>
      <c r="E90" s="14">
        <v>0</v>
      </c>
      <c r="F90" s="14">
        <v>0</v>
      </c>
      <c r="G90" s="35">
        <f t="shared" si="2"/>
        <v>0</v>
      </c>
      <c r="H90" s="55"/>
      <c r="I90" s="55"/>
    </row>
    <row r="91" spans="1:10">
      <c r="A91" s="39">
        <v>5</v>
      </c>
      <c r="B91" s="49" t="s">
        <v>291</v>
      </c>
      <c r="C91" s="12"/>
      <c r="D91" s="33"/>
      <c r="E91" s="14">
        <v>0</v>
      </c>
      <c r="F91" s="14">
        <v>0</v>
      </c>
      <c r="G91" s="35">
        <f t="shared" si="2"/>
        <v>0</v>
      </c>
      <c r="H91" s="55"/>
      <c r="I91" s="55"/>
    </row>
    <row r="92" spans="1:10">
      <c r="A92" s="37"/>
      <c r="B92" s="48"/>
      <c r="C92" s="12"/>
      <c r="D92" s="33"/>
      <c r="E92" s="14">
        <v>0</v>
      </c>
      <c r="F92" s="14">
        <v>0</v>
      </c>
      <c r="G92" s="35">
        <f t="shared" si="2"/>
        <v>0</v>
      </c>
      <c r="H92" s="55"/>
      <c r="I92" s="55"/>
    </row>
    <row r="93" spans="1:10" ht="116">
      <c r="A93" s="31">
        <v>5.0999999999999996</v>
      </c>
      <c r="B93" s="32" t="s">
        <v>349</v>
      </c>
      <c r="C93" s="12" t="s">
        <v>78</v>
      </c>
      <c r="D93" s="33">
        <v>1</v>
      </c>
      <c r="E93" s="14"/>
      <c r="F93" s="14"/>
      <c r="G93" s="35">
        <f t="shared" si="2"/>
        <v>0</v>
      </c>
      <c r="H93" s="55"/>
      <c r="I93" s="55"/>
    </row>
    <row r="94" spans="1:10">
      <c r="A94" s="31"/>
      <c r="B94" s="50"/>
      <c r="C94" s="12"/>
      <c r="D94" s="33"/>
      <c r="E94" s="14">
        <v>0</v>
      </c>
      <c r="F94" s="14">
        <v>0</v>
      </c>
      <c r="G94" s="35">
        <f t="shared" si="2"/>
        <v>0</v>
      </c>
      <c r="I94" s="55"/>
    </row>
    <row r="95" spans="1:10">
      <c r="A95" s="39">
        <v>6</v>
      </c>
      <c r="B95" s="51" t="s">
        <v>292</v>
      </c>
      <c r="C95" s="12"/>
      <c r="D95" s="33"/>
      <c r="E95" s="14">
        <v>0</v>
      </c>
      <c r="F95" s="14">
        <v>0</v>
      </c>
      <c r="G95" s="35">
        <f t="shared" si="2"/>
        <v>0</v>
      </c>
      <c r="I95" s="55"/>
    </row>
    <row r="96" spans="1:10">
      <c r="A96" s="39"/>
      <c r="B96" s="51"/>
      <c r="C96" s="12"/>
      <c r="D96" s="33"/>
      <c r="E96" s="14">
        <v>0</v>
      </c>
      <c r="F96" s="14">
        <v>0</v>
      </c>
      <c r="G96" s="35">
        <f t="shared" si="2"/>
        <v>0</v>
      </c>
      <c r="I96" s="55"/>
    </row>
    <row r="97" spans="1:8" ht="43.5">
      <c r="A97" s="31">
        <v>6.1</v>
      </c>
      <c r="B97" s="32" t="s">
        <v>350</v>
      </c>
      <c r="C97" s="12" t="s">
        <v>78</v>
      </c>
      <c r="D97" s="33">
        <v>1</v>
      </c>
      <c r="E97" s="14"/>
      <c r="F97" s="14"/>
      <c r="G97" s="35">
        <f t="shared" si="2"/>
        <v>0</v>
      </c>
    </row>
    <row r="98" spans="1:8">
      <c r="A98" s="31"/>
      <c r="B98" s="48"/>
      <c r="C98" s="12"/>
      <c r="D98" s="52"/>
      <c r="E98" s="14"/>
      <c r="F98" s="14"/>
      <c r="G98" s="15"/>
    </row>
    <row r="99" spans="1:8">
      <c r="A99" s="43"/>
      <c r="B99" s="53" t="s">
        <v>297</v>
      </c>
      <c r="C99" s="44"/>
      <c r="D99" s="54"/>
      <c r="E99" s="46"/>
      <c r="F99" s="46"/>
      <c r="G99" s="47">
        <f>SUM(G71:G98)</f>
        <v>0</v>
      </c>
    </row>
    <row r="100" spans="1:8">
      <c r="A100" s="29"/>
      <c r="B100" s="51"/>
      <c r="C100" s="12"/>
      <c r="D100" s="52"/>
      <c r="E100" s="14"/>
      <c r="F100" s="14"/>
      <c r="G100" s="15"/>
    </row>
    <row r="101" spans="1:8">
      <c r="A101" s="29"/>
      <c r="B101" s="51" t="s">
        <v>298</v>
      </c>
      <c r="C101" s="12"/>
      <c r="D101" s="52"/>
      <c r="E101" s="14"/>
      <c r="F101" s="14"/>
      <c r="G101" s="15">
        <f>G37</f>
        <v>0</v>
      </c>
      <c r="H101" s="57"/>
    </row>
    <row r="102" spans="1:8">
      <c r="A102" s="29"/>
      <c r="B102" s="51" t="s">
        <v>299</v>
      </c>
      <c r="C102" s="12"/>
      <c r="D102" s="52"/>
      <c r="E102" s="14"/>
      <c r="F102" s="14"/>
      <c r="G102" s="15">
        <f>G68</f>
        <v>0</v>
      </c>
      <c r="H102" s="57"/>
    </row>
    <row r="103" spans="1:8">
      <c r="A103" s="29"/>
      <c r="B103" s="51" t="s">
        <v>300</v>
      </c>
      <c r="C103" s="12"/>
      <c r="D103" s="52"/>
      <c r="E103" s="14"/>
      <c r="F103" s="14"/>
      <c r="G103" s="15">
        <f>G99</f>
        <v>0</v>
      </c>
      <c r="H103" s="57"/>
    </row>
    <row r="104" spans="1:8">
      <c r="A104" s="29"/>
      <c r="B104" s="51"/>
      <c r="C104" s="12"/>
      <c r="D104" s="52"/>
      <c r="E104" s="14"/>
      <c r="F104" s="14"/>
      <c r="G104" s="15"/>
    </row>
    <row r="105" spans="1:8" s="61" customFormat="1">
      <c r="A105" s="43"/>
      <c r="B105" s="58" t="s">
        <v>301</v>
      </c>
      <c r="C105" s="59"/>
      <c r="D105" s="45"/>
      <c r="E105" s="60"/>
      <c r="F105" s="60"/>
      <c r="G105" s="60">
        <f>SUM(G101:G104)</f>
        <v>0</v>
      </c>
      <c r="H105" s="57">
        <f>G105/68000</f>
        <v>0</v>
      </c>
    </row>
    <row r="109" spans="1:8">
      <c r="H109" s="62"/>
    </row>
  </sheetData>
  <protectedRanges>
    <protectedRange sqref="A5" name="Range1_3_2_1_1"/>
    <protectedRange sqref="A4" name="Range1_3_2_1"/>
  </protectedRanges>
  <mergeCells count="6">
    <mergeCell ref="G5:G6"/>
    <mergeCell ref="A5:A6"/>
    <mergeCell ref="B5:B6"/>
    <mergeCell ref="C5:C6"/>
    <mergeCell ref="D5:D6"/>
    <mergeCell ref="E5:F5"/>
  </mergeCells>
  <conditionalFormatting sqref="E11:F35 E40:F67 E69:F69 E71:F98 E100:F104">
    <cfRule type="containsText" dxfId="0" priority="1" operator="containsText" text="FALSE">
      <formula>NOT(ISERROR(SEARCH("FALSE",E11)))</formula>
    </cfRule>
  </conditionalFormatting>
  <pageMargins left="0.70866141732283472" right="0.70866141732283472" top="0.74803149606299213" bottom="0.74803149606299213" header="0.31496062992125984" footer="0.31496062992125984"/>
  <pageSetup scale="60" fitToHeight="10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ELEC-SUMM </vt:lpstr>
      <vt:lpstr>ELEC </vt:lpstr>
      <vt:lpstr>UPS BOQ</vt:lpstr>
      <vt:lpstr>'ELEC '!Print_Area</vt:lpstr>
      <vt:lpstr>'ELEC-SUMM '!Print_Area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Siddesh B</cp:lastModifiedBy>
  <cp:revision>1</cp:revision>
  <dcterms:created xsi:type="dcterms:W3CDTF">2025-05-14T06:08:49Z</dcterms:created>
  <dcterms:modified xsi:type="dcterms:W3CDTF">2026-05-02T12:16:10Z</dcterms:modified>
  <cp:category/>
  <cp:contentStatus/>
</cp:coreProperties>
</file>