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BOQ_HVAC Lowside works" sheetId="2" r:id="rId5"/>
    <sheet state="visible" name="BOQ_HVAC LEED &amp; WELL" sheetId="3" r:id="rId6"/>
    <sheet state="visible" name="BOQ_LEED" sheetId="4" r:id="rId7"/>
    <sheet state="visible" name="Make List" sheetId="5" r:id="rId8"/>
  </sheets>
  <definedNames/>
  <calcPr/>
  <extLst>
    <ext uri="GoogleSheetsCustomDataVersion2">
      <go:sheetsCustomData xmlns:go="http://customooxmlschemas.google.com/" r:id="rId9" roundtripDataChecksum="9Wk1cuGSfd+/M91qdPLqTTSJ/d/Q3b7EK6u53LWAKHU="/>
    </ext>
  </extLst>
</workbook>
</file>

<file path=xl/sharedStrings.xml><?xml version="1.0" encoding="utf-8"?>
<sst xmlns="http://schemas.openxmlformats.org/spreadsheetml/2006/main" count="1491" uniqueCount="413">
  <si>
    <t>Project: Societe Generale_Bangalore</t>
  </si>
  <si>
    <t>Subject: Summary of HVAC works</t>
  </si>
  <si>
    <t>Date: 26-02-2026</t>
  </si>
  <si>
    <t>Summary</t>
  </si>
  <si>
    <t>SL.No</t>
  </si>
  <si>
    <t>Description</t>
  </si>
  <si>
    <t>Amount</t>
  </si>
  <si>
    <t>Remarks</t>
  </si>
  <si>
    <t>HVAC Low side works</t>
  </si>
  <si>
    <t>HVAC LEED &amp; WELL</t>
  </si>
  <si>
    <t>LEED</t>
  </si>
  <si>
    <t>Total Basic Amount</t>
  </si>
  <si>
    <t xml:space="preserve">  Project        :M/s Societe Generale
  Scope         : HVAC Low side BOQ</t>
  </si>
  <si>
    <t>Unit</t>
  </si>
  <si>
    <t>Voyager (Qty)</t>
  </si>
  <si>
    <t>Victor (Qty)</t>
  </si>
  <si>
    <t>Total Qty</t>
  </si>
  <si>
    <t>Rate</t>
  </si>
  <si>
    <t>Total Amount</t>
  </si>
  <si>
    <t>GF</t>
  </si>
  <si>
    <t>2F (Office)</t>
  </si>
  <si>
    <t>2F(Cafeteria)</t>
  </si>
  <si>
    <t xml:space="preserve">Supply </t>
  </si>
  <si>
    <t>Installation</t>
  </si>
  <si>
    <t>A</t>
  </si>
  <si>
    <t>AIR DISTRIBUTION</t>
  </si>
  <si>
    <t>Supply, fabrication, installation and testing of  factory fabricated GSS ducts with flanges in accordance with the approved shop drawings and as per specifications.</t>
  </si>
  <si>
    <t>Note: The entire ducts should be fabricated at factory and delivered to site in assembled condition. The contractors should include the transportation charges and necessary handling charges. The contractor should use only Hitech supports and full threaded rods to support the ducts as per the specification. After erection of the duct the entire duct should be tested for Duct leakage pressure test.  The contractor should arrange the pressure test machine and the costing for the same to be included in the ducting price.</t>
  </si>
  <si>
    <t>a)</t>
  </si>
  <si>
    <t>24 gauge galvanized sheet steel (0.63mm) (0-750mm)</t>
  </si>
  <si>
    <t>Sqm</t>
  </si>
  <si>
    <t>b)</t>
  </si>
  <si>
    <t>22 gauge galvanized sheet steel (0.80mm) (751-1500mm)</t>
  </si>
  <si>
    <t>c)</t>
  </si>
  <si>
    <t>20 gauge galvanized sheet steel (1.00mm)(1501-2100mm)</t>
  </si>
  <si>
    <t>-</t>
  </si>
  <si>
    <t xml:space="preserve">Supply , fabrication, erection and commissioning of site fabricated rectangular ducts (using lock forming machines) using  GI Sheet with 120 GSM in accordance with SMACNA standard   The price shall include flanges, turning vanes, supports (factory fabricated, full threaded rod &amp; slotted channel), sealant (neoprene gasket), hangers, access door etc. The joints shall be 100% leak proof and shall be tested with smoke testing. Note :- Leak test should be with Smoke leak test method and Air-balancing should be with Digital Hood method. Duct ends should be covered during construction so that it should be dust free.
</t>
  </si>
  <si>
    <t>RO</t>
  </si>
  <si>
    <t>Factory made Elliptical ducting with Hitech Supports GSS Ducting.The duct should be internally insulated with 6 mm thick nitrile rubber. The ducts to be factory fabricated &amp; two coats of spray paint as per the Architects colour specifications., Necessary bends  should be made as per the drawing, two support &amp; connecting rings should be considered for the same, costing for the same to be included in the ducting price. Note :- Leak test should be with Smoke leak test method and Air-balancing should be with Digital Hood method. Duct ends should be covered during construction so that it should be dust free.</t>
  </si>
  <si>
    <t>Please note that all elliptical duct should be delivered to the site with zinc chromate primer.</t>
  </si>
  <si>
    <t>24 gauge galvanized sheet steel (0.63mm) (0-600mm)</t>
  </si>
  <si>
    <t>22 gauge galvanized sheet steel (0.8mm) (625-900mm)</t>
  </si>
  <si>
    <t>20 gauge galvanized sheet steel (0.8mm) (925-1200mm)</t>
  </si>
  <si>
    <t>d)</t>
  </si>
  <si>
    <t>18 gauge galvanized sheet steel (1.0 mm) (1225-1500mm)</t>
  </si>
  <si>
    <t xml:space="preserve">Supply &amp; Installation of Factory fabricated Sound Attenuator of 0.8mm GSS Outer Casing &amp; 0.8mm GSS Perforated inner baffles filled with inorganic fibre glass of Class O' Acoustic Material. Insertion loss should be approx. 18 dB to 23 dB. Min. Length should be 900 mm.  </t>
  </si>
  <si>
    <t>Factory fabricated, powder coated plenum with  Double skin AHU construction of 25m thk PUF insulation of density 40kg/m3.  Appropriate cut out to be made to connect the branch ducts with dampers as per approved drawing. 0.63 thk inner &amp; outer skin.</t>
  </si>
  <si>
    <t>Supply, fabrication, installation and testing of the flexible connections constructed out of fire resistant double canvas sleeve as per the approved shop drawings.</t>
  </si>
  <si>
    <t>Volume Control Damper</t>
  </si>
  <si>
    <t>Supply, installation and testing of GSS construction of 16G opposed blade volume control dampers within ducts to be provided with suitable links, levers and quadrants for manual control the volume of air flow.The end flanges should be of TDF.</t>
  </si>
  <si>
    <t>Supply &amp; Installation of OVAL GSS Volume Control Dampers (18 G GSS)with operating handle for Supply air duct branches in accordance with the approved shop drawings and technical specifications.</t>
  </si>
  <si>
    <r>
      <rPr>
        <rFont val="Arial"/>
        <color theme="1"/>
        <sz val="10.0"/>
      </rPr>
      <t xml:space="preserve">Supply, installation, testing and commissioning of </t>
    </r>
    <r>
      <rPr>
        <rFont val="Arial"/>
        <b/>
        <color theme="1"/>
        <sz val="10.0"/>
      </rPr>
      <t>Motorized Fire and smoke damper</t>
    </r>
    <r>
      <rPr>
        <rFont val="Arial"/>
        <color theme="1"/>
        <sz val="10.0"/>
      </rPr>
      <t xml:space="preserve"> with 450 mm extended sleeves for supply air ducts. Fire damper assembly should be CBRI approved Rated for 250C for 120min. 
Fire dampers shall be supplied with extended fire rated sleeves and Open/closed position indicator on the fire damper stem and body.                                                                                                                    </t>
    </r>
  </si>
  <si>
    <r>
      <rPr>
        <rFont val="Arial"/>
        <color theme="1"/>
        <sz val="10.0"/>
      </rPr>
      <t>Supply, installation, testing and commissioning of</t>
    </r>
    <r>
      <rPr>
        <rFont val="Arial"/>
        <b/>
        <color theme="1"/>
        <sz val="10.0"/>
      </rPr>
      <t xml:space="preserve"> Spring return actuators</t>
    </r>
    <r>
      <rPr>
        <rFont val="Arial"/>
        <color theme="1"/>
        <sz val="10.0"/>
      </rPr>
      <t xml:space="preserve"> for above mentioned Motorized fire and smoke dampers. The actuator shall be selected based on the respective fire damper size as per OEM recommendation. Actuators shall  be suitable for BMS/Fire damper control panel connectivity with necessary accessories. The cost of Control cabling from fire damper panel to BMS DDC panel is included in BMS Vendor scope. Plug tops to be included in the cost.. The number of actuator shall be selected based on fire damper size as per OEM recommendation. The suitable torque shall be selected as per OEM recommendation. </t>
    </r>
  </si>
  <si>
    <t>Nos.</t>
  </si>
  <si>
    <r>
      <rPr>
        <rFont val="Arial"/>
        <color theme="1"/>
        <sz val="10.0"/>
      </rPr>
      <t xml:space="preserve">Supply, installation, testing and commissioning of Fire Damper control panel - The Vendor has to supply fire damper control panel  to suit no of fire damper configuration in each AHU room . The number of fire dampers provided in other rooms shall be connected to the nearest fire damper panel in the AHU Room. The panel shall operate the fire dampers based on fire signal from fire panel. The panel shall give Open/ close status and panel trip status feed back to the BMS. The panel shall  give  24V power supply to Actuators . The power and control panel to have manual push  switch to test all fire damper manually. The power requirement &amp; access requirement shall be coordinated with respective team by HVAC vendor. The unit shall be BMS compatible  with MODBUS protocol. </t>
    </r>
    <r>
      <rPr>
        <rFont val="Arial"/>
        <color theme="1"/>
        <sz val="10.0"/>
      </rPr>
      <t xml:space="preserve">The Panel shall have power and control wiring and wiring from fire control panel to fire dampers. </t>
    </r>
    <r>
      <rPr>
        <rFont val="Arial"/>
        <color theme="1"/>
        <sz val="10.0"/>
      </rPr>
      <t>The UPS Power for control panel shall be provided by Electrical Team with  6 Amp socket within one meter distance as shown in the approved drawing. The Power cabling from nearest  designated power socket with 6 Amp plug and cable should be considered by HVAC vendor.</t>
    </r>
  </si>
  <si>
    <t>Motorized Damper(ON/OFF Type)</t>
  </si>
  <si>
    <t>The supply &amp; Installation of the volume control damper with the outer shell constructed of 16G thick galvanized steel frame and the blade/Leaf with 16G GSS. And with flanges for connection. The Damper to be provided with necessary high torque Actuator working on 24V AC/DC. and control panel with step down transformer, indicator, provision for remote control operation &amp; monitoring etc. Refer tender drawings for more details.</t>
  </si>
  <si>
    <t>The number of Actuator per damper is based on the number of damper required for the project as per drawing. However if the damper size exceeds 1.5sqmt, the number of actuator per damper can be selected 2 or more based on manufacturer selection and requirement for the smooth operation.</t>
  </si>
  <si>
    <t>Necessary control contactors with power and control cabling shall be considered for interlocking motorized dampers with respective indoor units. Necessary Adapters / Contactors / control panels to be considered for interlocking of MVCD's of respective units.</t>
  </si>
  <si>
    <t>a</t>
  </si>
  <si>
    <t>Dampers</t>
  </si>
  <si>
    <t>b</t>
  </si>
  <si>
    <t>Actuator</t>
  </si>
  <si>
    <t>Nos</t>
  </si>
  <si>
    <r>
      <rPr>
        <rFont val="Arial"/>
        <color theme="1"/>
        <sz val="10.0"/>
      </rPr>
      <t xml:space="preserve">SUPPLY, INSTALLATION, TESTING AND COMMISSIONING OF </t>
    </r>
    <r>
      <rPr>
        <rFont val="Arial"/>
        <b/>
        <color theme="1"/>
        <sz val="10.0"/>
      </rPr>
      <t>Fusible link type fire dampers with 450 mm extended sleeves</t>
    </r>
    <r>
      <rPr>
        <rFont val="Arial"/>
        <color theme="1"/>
        <sz val="10.0"/>
      </rPr>
      <t xml:space="preserve"> For return , exhaust and Fresh air application.Fire damper assembly should be CBRI certified Rated for 250C for 120min, the link should be open at 74 C . Dampers shall be spring return type and have a limit switch. Fire dampers should be supplied with extended fire rated sleeves suitable for mounting across fire rated walls. The access space requirement shall be coordinated with respective teams by HVAC vendor.The sizes as shown in Approved drawing.     </t>
    </r>
  </si>
  <si>
    <t>Supply,installation,testing and balancing of square type extruded aluminium powder coated diffusers for supply air required as per the approved shop drawings. Diffuser shall be with spring loaded removable core type distribution grid.</t>
  </si>
  <si>
    <t>Extruded Aluminium diffusers powder coated:</t>
  </si>
  <si>
    <t>375x375 (Neck size) overall size 596 x 596</t>
  </si>
  <si>
    <t>300x300 (Neck size) overall size 596 x 596</t>
  </si>
  <si>
    <t>225x225 (Neck size) overall size 596 x 596</t>
  </si>
  <si>
    <t>Round diffusers(315 dia neck size) with collar damper</t>
  </si>
  <si>
    <t>Supply,installation,testing and balancing of square type extruded aluminium powder coated diffusers for Return air required as per the approved shop drawings. Diffuser shall be with spring loaded removable core type distribution grid.</t>
  </si>
  <si>
    <t>Round diffusers(250 dia neck size) without collar damper</t>
  </si>
  <si>
    <t>Supply,installation,testing &amp; balancing of continuous linear fixed bar extruded aluminium powder coated return  air grilles normal flow 45° / 15°/0° one way/two way deflection with all sides flanged without  dampers.</t>
  </si>
  <si>
    <t>100mm high</t>
  </si>
  <si>
    <t>Rmt</t>
  </si>
  <si>
    <t>150mm high</t>
  </si>
  <si>
    <t>1800x600mm linear grille for return air</t>
  </si>
  <si>
    <t>linear Grille(various sizes as per drawing)</t>
  </si>
  <si>
    <t>sqmt</t>
  </si>
  <si>
    <t>e)</t>
  </si>
  <si>
    <t>600x600 mm grille with damper</t>
  </si>
  <si>
    <t>Supply &amp; installation of Al.Collar damper</t>
  </si>
  <si>
    <t>Supply,installation,testing &amp; balancing of linear fixed bar extruded aluminium powder coated supply  air grilles with 450 x 100 size with normal flow 45° / 15°/0° one way/two way deflection with all sides flanged with collar  dampers. The Grille should be mounted as indicated in the layout.</t>
  </si>
  <si>
    <t>Supply,installation,testing &amp; balancing of curved fixed bar extruded aluminium powder coated curved type supply air grilles as per drawing  with normal flow 45° / 15°/0° one way/two way deflection with all sides flanged with collar  dampers. The Grille should be mounted on the surface of the elliptical ducts.</t>
  </si>
  <si>
    <t xml:space="preserve">Supply &amp; installation of flexible duct of following sizes with fire retardant Al.foil sheet.Metalized polyester is not acceptable.   Note: Universal clamp should be provided to fix the flexible duct in the spigots and covered with tape. If the flexible duct length is beyond 1500 mm, then circular clip with chain to be provided  to support the flexible duct. </t>
  </si>
  <si>
    <t>DIA 150 mm</t>
  </si>
  <si>
    <t>DIA 200 mm</t>
  </si>
  <si>
    <t>DIA 250 mm</t>
  </si>
  <si>
    <t>Supply &amp; installation Spigot &amp; Butterfly damper of following sizes.  It should be of 22G.</t>
  </si>
  <si>
    <t>DIA 300 mm</t>
  </si>
  <si>
    <t>Supply &amp; installation of round duct of following sizes.  It should be of 24G.</t>
  </si>
  <si>
    <t>Supply  &amp; installation of factory fabricated Spill Air Plenum / Mixing boxes of
1200 X 100 X 350 size . Note: The mixing Box to be properly supported and should be erected as per our drawing.it has to be fabricated at factory and delivered to site.</t>
  </si>
  <si>
    <t>Supply  &amp; installation of factory fabricated Spill Air Plenum / Mixing boxes of
1000 X 150 X 350 size . Note: The mixing Box to be properly supported and should be erected as per our drawing.it has to be fabricated at factory and delivered to site.</t>
  </si>
  <si>
    <t>Supply  &amp; installation of factory fabricated Spill Air Plenum / Mixing boxes of
1500 X 150 X 350 size . Note: The mixing Box to be properly supported and should be erected as per our drawing.it has to be fabricated at factory and delivered to site.</t>
  </si>
  <si>
    <r>
      <rPr>
        <rFont val="Arial"/>
        <color theme="1"/>
        <sz val="10.0"/>
      </rPr>
      <t xml:space="preserve">Supply and installation of  Z type speech privacy </t>
    </r>
    <r>
      <rPr>
        <rFont val="Arial"/>
        <color rgb="FF0000FF"/>
        <sz val="10.0"/>
      </rPr>
      <t>duct of 24G</t>
    </r>
    <r>
      <rPr>
        <rFont val="Arial"/>
        <color theme="1"/>
        <sz val="10.0"/>
      </rPr>
      <t xml:space="preserve"> (as per drawing) with 10mm thk acoustic open cell nitrile rubber.  Length shall be 1500mm.</t>
    </r>
  </si>
  <si>
    <t>250mm Wide</t>
  </si>
  <si>
    <t>300mm Wide</t>
  </si>
  <si>
    <t>350mm Wide</t>
  </si>
  <si>
    <t>400mm Wide</t>
  </si>
  <si>
    <t>450mm Wide</t>
  </si>
  <si>
    <t>Supply, installation, testing &amp; commissioning of  slot diffuser with hit &amp; miss damper. The diffuser shall be of extruded aluminium type with powder coat finish.</t>
  </si>
  <si>
    <t>2 slot with hit &amp; Miss damper</t>
  </si>
  <si>
    <t>2 slot without hit &amp; miss damper</t>
  </si>
  <si>
    <t>Air balancing for the entire office space. The vendor need to arrange the third party agency &amp; submit the report for consultant's approval.</t>
  </si>
  <si>
    <t>Associated civil works such as wall opening to take the duct &amp; chw. pipes and closing of the same in proper manner. After erection of the S/A &amp; R/A duct, the balance gaps need to sealed by using brick &amp; mortar in all the AHU Room. The AC vendor  is responsible for the same. C angle to be considered to close the wall opening above the fire dampers.</t>
  </si>
  <si>
    <t>Lot</t>
  </si>
  <si>
    <t>Supply, installation, of Aluminium Louver with Bird Mesh in accordance with the approved shop drawings and specifications.The louver shall be with 45 deg deflection and shall  prevent rain water entry through the louvers.</t>
  </si>
  <si>
    <t>AHU filter covering cloth (cora) during commissioning stage</t>
  </si>
  <si>
    <t>Disc valves 150 dia</t>
  </si>
  <si>
    <t>Supply &amp; installation of 150 dia rigid flexible duct</t>
  </si>
  <si>
    <t>Supply &amp; installation of 150 dia butterfly damper</t>
  </si>
  <si>
    <t>C</t>
  </si>
  <si>
    <t>INSULATION</t>
  </si>
  <si>
    <t xml:space="preserve">supply, installation, testing and commissioning of Acoustic insulation for GI Supply air ducts and return air ducts. Acoustic material shall be 15 mm thick open cell elastomeric foam class 1 The density shall be 140 kg.m3 with thermal conductivity of 0.05 W/ m Deg K.Material shall have antibacterial properties The insulation shall be as per technical specification and drawings etc, All joints to be sealed with anti condensation tapes. 
</t>
  </si>
  <si>
    <r>
      <rPr>
        <rFont val="Arial"/>
        <color theme="1"/>
        <sz val="10.0"/>
      </rPr>
      <t xml:space="preserve">Thermal insulation of ducts using 9 mm thick cold insulation using closed cell Nitrile rubber (class "O") insulation without aluminium foil in sections stuck to the  </t>
    </r>
    <r>
      <rPr>
        <rFont val="Arial"/>
        <b/>
        <color theme="1"/>
        <sz val="10.0"/>
      </rPr>
      <t>inside of the duct &amp; fixtures</t>
    </r>
    <r>
      <rPr>
        <rFont val="Arial"/>
        <color theme="1"/>
        <sz val="10.0"/>
      </rPr>
      <t xml:space="preserve"> using manufacturer approved cold adhesive on both surface of the duct and inner face of the insulation.</t>
    </r>
  </si>
  <si>
    <t>Supply and installation of Under deck insulation with Expanded polystyrene  of  13mm thick &amp; 40-60 kg/cum  density in sheet form. with fire retardant adhesive and joints sealed  in accordance with the approved shop drawings and technical specifications. Quoted price shall be inclusive of adhesive, etc.</t>
  </si>
  <si>
    <t>CABINET TYPE INLINE FANS</t>
  </si>
  <si>
    <t>The supply, installation, testing and commissioning of cabinet type  fan, 20 mm ESP with all accessories like fan, motor, flanges, non-canvass type fire retardant flexible connections, etc.,  The impeller shall be of forward type. The motor should be of IP 21, class 'F' insulation suitable for operating at 1Ph, 230V, 50hz power supply.</t>
  </si>
  <si>
    <t>300 cfm with 20mm static for Cafe Fresh air</t>
  </si>
  <si>
    <t>1200 cfm with 20mm static for Cafe General exhaust</t>
  </si>
  <si>
    <t xml:space="preserve">DRY SCRUBBER comprising of Prefilter, electrostatic precipitator module, Adsorbed Module along with System controls all housed in a unit as indicated in specifications. The Electrostatic section shall be made of 16 Gauge galvanized sheet, high bake epoxy powder coated, washable type Aluminum mesh pre filters, spiked ionizers to create high voltage DC field, aluminum collector plates which should be alternatively charged positive and negative with large collecting area, to work as magnet for charged smoke and oil particles. Particle efficiency of 90-95% as per ASHRAE test method. Collector cell should be of permanent type and incorporate facility for easy removal for cleaning.  The system should be fitted with appropriate overload protection and safety interlock.  No ionizing wires are acceptable. Operating Voltage – 220V, 50 Hz Single Phase for dry scrubber, Ionizing Voltage –  &lt; 13 KVDC. Collector Cell Voltage – &lt; 7 KVDC.
From electrical DB to unit - Power/communication cables, GI Perforated cable tray, glands, body earthing with end terminations are part of the BOQ.   capacity should be considered as below.                      </t>
  </si>
  <si>
    <t xml:space="preserve">2500 cfm </t>
  </si>
  <si>
    <t xml:space="preserve">2000 cfm </t>
  </si>
  <si>
    <r>
      <rPr>
        <rFont val="Arial"/>
        <color theme="1"/>
        <sz val="10.0"/>
      </rPr>
      <t xml:space="preserve">Supply, installation, testing and commissioning of 200 CFM Duct Inline fan (explosion proof) for </t>
    </r>
    <r>
      <rPr>
        <rFont val="Arial"/>
        <b/>
        <color theme="1"/>
        <sz val="10.0"/>
      </rPr>
      <t>battery exhaust system</t>
    </r>
    <r>
      <rPr>
        <rFont val="Arial"/>
        <color theme="1"/>
        <sz val="10.0"/>
      </rPr>
      <t xml:space="preserve"> with H2 sensor &amp; it should be with 25mm static pressure with timer for the battery room. Fan will run at predetermined speed  based on the timer setting &amp; also based on the H2 concentration. The necessary starter panel to be considered in the costing.</t>
    </r>
  </si>
  <si>
    <t>ELECTRICAL WORKS</t>
  </si>
  <si>
    <t>Supply &amp; installation of cabling works</t>
  </si>
  <si>
    <t>4 C X 10 Sqmm Cu. Cable</t>
  </si>
  <si>
    <t>4 C X 6 Sqmm Cu. Cable</t>
  </si>
  <si>
    <t>3 C X 4 Sqmm Cu. Cable</t>
  </si>
  <si>
    <t>2 C X 1.5 Sqmm Cu. Cable</t>
  </si>
  <si>
    <t xml:space="preserve">Earthing   25 X 6 GI flat </t>
  </si>
  <si>
    <t>f)</t>
  </si>
  <si>
    <t xml:space="preserve"> 8SWG GI</t>
  </si>
  <si>
    <t>g)</t>
  </si>
  <si>
    <t>25mm MS Conduits</t>
  </si>
  <si>
    <t>h)</t>
  </si>
  <si>
    <t>Cable Trays 150 mm wide</t>
  </si>
  <si>
    <t>Supply &amp; installation of starter panel with auto manual selector switch &amp; it should be with potential free contact for FA &amp; BMS integration</t>
  </si>
  <si>
    <t>5 HP</t>
  </si>
  <si>
    <t>2 HP</t>
  </si>
  <si>
    <t>0.5 HP</t>
  </si>
  <si>
    <t>D</t>
  </si>
  <si>
    <t>REFURBICATION WORKS</t>
  </si>
  <si>
    <t>Removal, storing existing duct refurbed area as per the design requirement</t>
  </si>
  <si>
    <t>Removal, storing &amp; reinstallation of the existing ductwork in the refurbed area as per the design requirement</t>
  </si>
  <si>
    <t>Removal, storing &amp; reinstallation of the existing air terminals along with spillair box, butterfly damper in the refurbed area as per the design requirement</t>
  </si>
  <si>
    <t>SUB TOTAL FOR HVAC LOWSIDE WORKS</t>
  </si>
  <si>
    <t>CHILLED WATER WORKS</t>
  </si>
  <si>
    <t>Supply, Installation, Testing &amp; Commissioning of blow through Chilled water Fan coil Units of following capacity. Fan Coil unit with Fan, Aluminium filter, 3- speed motor,3 row deep cooling Coil, ball valve with strainer for inlet &amp; without strainer at outlet, flexible connection, airvent, with auxiliary extended insulated stainless steel sandwiched drain pan, FCU inclusive of Digital type thermostat which will be compatible to hardwired BMS along with on/off /trip/speed control,ball valve with strainer for inlet, without strainer at outlet &amp; 2 way modulating type PIBCV  (0 to 10 VDC &amp; 4 to 20 mA) with control cabling including conduits &amp; all accessories etc.(All FCU airflow should be selected at medium speed). Computerized fan selection to be approved by consultants before procurement in terms of Outlet Velocity, efficiency and noise level. Quoted price shall be inclusive of 19mm thick Nitrile rubber insulation for Valve package. Cassette unit shall be inbuilt controller to integrate with BMS compatibility.</t>
  </si>
  <si>
    <t>Chilled water FCU  - 1200 CFM/3TR</t>
  </si>
  <si>
    <t>Supply &amp; Installation of MS class ‘C’ pipes for chilled water pipe to required lengths and installed with all welded joints, providing and fixing in position with the necessary fittings like elbows, tees and reducers, Supports (Hitech support).  Quoted price shall be including the Nitrile rubber insulation as indicated below</t>
  </si>
  <si>
    <t>80 mm dia</t>
  </si>
  <si>
    <t>65 mm dia</t>
  </si>
  <si>
    <t>50 mm dia</t>
  </si>
  <si>
    <t>40 mm dia</t>
  </si>
  <si>
    <t>32 mm dia</t>
  </si>
  <si>
    <t>25 mm dia</t>
  </si>
  <si>
    <t>Supply &amp; Installation of 'CLASS-O' Elastomeric nitrile rubber insulation of preformed pipe section  &amp; Insulation to be covered with 24G Aluminium Cladding. Quoted price shall be inclusive of Adhesive, Nitrile rubber tapes, Aluminium Cladding etc The thermal conductivity should not exceed 0.025 w/m k.</t>
  </si>
  <si>
    <t>80 mm dia with 25mm thick insulation</t>
  </si>
  <si>
    <t>65 mm dia  with 25mm thick insulation</t>
  </si>
  <si>
    <t>50 mm dia  with 25mm thick insulation</t>
  </si>
  <si>
    <t>40 mm dia  with 25mm thick insulation</t>
  </si>
  <si>
    <t>32 mm dia  with 25mm thick insulation</t>
  </si>
  <si>
    <t>25 mm dia  with 19mm thick insulation</t>
  </si>
  <si>
    <t>Supply &amp; Installation of Butterfly valves with matching flanges. The valves should have feasibility of changing the inner lining if worn out and the handles should have lockable facility.The valves shall hold the water without the leakage. Valves to have long neck to facilitate thermal insulation of valves.shall be insulated to the same thickness as the pipe to which they are connected.</t>
  </si>
  <si>
    <t>40 mm dia - Ball Valve</t>
  </si>
  <si>
    <t>25 mm dia - Ball Valve</t>
  </si>
  <si>
    <t>SUBTOTAL CHILLED WATER  WORKS</t>
  </si>
  <si>
    <t>VARIABLE REFRIGERANT VOLUME SYSTEM</t>
  </si>
  <si>
    <t>Supply, Installation, Testing &amp; Commissioning of inverter based compressor with Variable refrigerant system connectable to multiple indoor units. Outdoor unit shall be factory assembled weather proof casing constructed from heavy gauge mild steel panels.  The unit shall be completely factory wired and tested with necessary controls. The compressor shall be highly efficient scroll type and one compressor shall be capable of inverter controller. The aluminum fins shall be covered with anti-corrosion resin. Unit shall be equipped with oil recovery system to ensure stable operation with long refrigerant piping. The scope shall include the supply of the necessary power and control cable, the required ODU stand with rubber padding.</t>
  </si>
  <si>
    <t>OUTDOOR UNITS</t>
  </si>
  <si>
    <t>Supply, Installation, Testing &amp; Commissioning of inverter based compressor with Variable refrigerant system connectable to Air Handling units.  Outdoor unit shall be factory assembled weather proof casing constructed from heavy gauge mild steel panels.  The unit shall be completely factory wired and tested with necessary controls. The compressor shall be highly efficient scroll type and one compressor shall be capable of inverter controller. The aluminum fins shall be covered with anti-corrosion resin. Unit shall be equipped with oil recovery system to ensure stable operation with long refrigerant piping. The unit shall be compatible for BMS operation- Necessary relay card /soft integrator to be provided. The necessary covel piece with painting shall be provided by the contractor for the ODUs.</t>
  </si>
  <si>
    <t>6HP - Outdoor units</t>
  </si>
  <si>
    <t>Indoor Units</t>
  </si>
  <si>
    <t>Supply, Installation, Testing &amp; Commissioning of Indoor Units shall be either Ceiling mounted duct able as specified. The indoor unit shall have independent electronic control valve to control the refrigerant flow rate respond to variations of the air-conditioning load of the room. The fan shall be aerodynamically designed turbo multiplied type. Statically and dynamically balanced to ensure lowest noise. The cooling coil shall be made of seamless copper tube. The tube shall be hydraulically or mechanically expanded and tested for 21 Kg/cm2. Indoor units shall have a wireless remote control. With including Refnet joints and cordless/corded remote controller for all indoors.</t>
  </si>
  <si>
    <t xml:space="preserve">Indoor Unit(IDU): Cooling Only : 
All the units should be supplied with Cordless remote control. The following Indoor unit capacities are required for each Floor. Double layer Canvas connection for each csu unit shall be a part of scope. </t>
  </si>
  <si>
    <t>4.5TR /1624 CFM Ceiling mounted duct type unit</t>
  </si>
  <si>
    <t>B</t>
  </si>
  <si>
    <t>INSTALLATION, TESTING &amp; COMMISSIONING OF VRF WORKS</t>
  </si>
  <si>
    <t>Supply, Installation of copper piping with necessary fittings imported fittings, Y-joints and headers etc.(This includes the pressure testing and refrigerant charge and electrical &amp; Control cable between IDU&amp;ODU and MCB(provided by others) to ODU etc.). The vendor shall quote as a lump sum value as per the approved drawing for the above works. In Case any changes in the layout after approval, then the following unit rates shall be applicable.</t>
  </si>
  <si>
    <t>Refrigerant Piping</t>
  </si>
  <si>
    <r>
      <rPr>
        <rFont val="Arial"/>
        <color theme="1"/>
        <sz val="10.0"/>
      </rPr>
      <t xml:space="preserve">Interconnecting copper refrigerant pipe work duly insulated with elastomeric nitrile rubber type  tubular insulation between  indoor &amp; outdoor units as per specifications . All piping inside the room shall be properly supported with hanger and </t>
    </r>
    <r>
      <rPr>
        <rFont val="Arial"/>
        <b/>
        <color theme="1"/>
        <sz val="10.0"/>
      </rPr>
      <t xml:space="preserve">all external piping shall run in covered cable tray. </t>
    </r>
    <r>
      <rPr>
        <rFont val="Arial"/>
        <color theme="1"/>
        <sz val="10.0"/>
      </rPr>
      <t>The cost should include for cable tray also.</t>
    </r>
  </si>
  <si>
    <t>41.3mm OD (insulation =19mm thick)</t>
  </si>
  <si>
    <t>38.1mm OD (insulation =19mm thick)</t>
  </si>
  <si>
    <t>34.9mm OD (insulation =19mm thick)</t>
  </si>
  <si>
    <t>31.8mm OD (insulation =19mm thick)</t>
  </si>
  <si>
    <t>28.6mm OD (insulation =19mm thick)</t>
  </si>
  <si>
    <t>25.4mm OD (insulation =19mm thick)</t>
  </si>
  <si>
    <t>22.2mm OD (insulation =19mm thick)</t>
  </si>
  <si>
    <t>19.1mm OD (insulation =13mm thick)</t>
  </si>
  <si>
    <t>i)</t>
  </si>
  <si>
    <t>15.9mm OD (insulation =13mm thick)</t>
  </si>
  <si>
    <t>j)</t>
  </si>
  <si>
    <t>12.7mm OD (insulation =13mm thick)</t>
  </si>
  <si>
    <t>k)</t>
  </si>
  <si>
    <t>9.5mm OD (insulation =13mm thick)</t>
  </si>
  <si>
    <t>l)</t>
  </si>
  <si>
    <t>6.4mm OD (insulation =13mm thick)</t>
  </si>
  <si>
    <t>Transmission &amp; Control Wiring</t>
  </si>
  <si>
    <t>Providing &amp; fixing control cum trans-mission wiring in  Perforated Cable tray supported from the slab in the ceiling slab and in terrace supported in totality from the floor  (between indoor and outdoor unit.)</t>
  </si>
  <si>
    <t>(2 core x 1.5 Sq. mm cu.cable )</t>
  </si>
  <si>
    <t>Control cabling for corded Remotes thru PVC Conduit</t>
  </si>
  <si>
    <t>(2 Core x 1.0 sqm)</t>
  </si>
  <si>
    <t>Installation, testing, commissioning of Imported Equipment  including topping up of  Refrigerant R-410A</t>
  </si>
  <si>
    <t>Kg</t>
  </si>
  <si>
    <t>AUTO SEQUENTIAL CONTROL PANEL</t>
  </si>
  <si>
    <t>No.</t>
  </si>
  <si>
    <t>Supply &amp; installation of Auto sequential control panel for the UPS Room VRV AC units. The panel should have the following features.</t>
  </si>
  <si>
    <t xml:space="preserve">1. A/C units shall be able to restart automatically after power failure/interruption.
2. Automatic fault changeover
3. Sequential changeover of operating units every 12 hours.
4. Normally two duty and one standby units. If high temp reached, both units shall be in operation to cool down the room.
 5.Should generate an alarm if the unit trips or the room temperature goes beyond the set point </t>
  </si>
  <si>
    <t>Supply, installation testing and Commissioning of Cable trays for Refrigerant Pipes. Pre galvanized for indoor conditioned space and Hot dip galvanized for outdoor conditions with cover.</t>
  </si>
  <si>
    <t>100x75mm (perforated type cable tray)</t>
  </si>
  <si>
    <t>100x75mm (Ladder type cable tray)</t>
  </si>
  <si>
    <t>150x75mm (perforated type cable tray)</t>
  </si>
  <si>
    <t>150x75mm (Ladder type cable tray)</t>
  </si>
  <si>
    <t>300x75mm with cover</t>
  </si>
  <si>
    <t>300x75mm (Perforated type cable tray)</t>
  </si>
  <si>
    <t>Supply &amp; installation of rigid CPVC drain piping insulated with 6 mm thick closed cell elastomeric Nitrile rubber. The condensate drain pipe shall be with Pipe-in Pipe-out system.</t>
  </si>
  <si>
    <t>25mm Dia</t>
  </si>
  <si>
    <t>32mm Dia</t>
  </si>
  <si>
    <t>40mm Dia</t>
  </si>
  <si>
    <t>50mm Dia</t>
  </si>
  <si>
    <t xml:space="preserve">Plain cable tray for laying of Drain pipes in ceiling level with supports at 1m interval. </t>
  </si>
  <si>
    <t>300x75mm</t>
  </si>
  <si>
    <t>100x75mm</t>
  </si>
  <si>
    <t>Electrical Works for VRF System</t>
  </si>
  <si>
    <t>Suitable size power cable from Isolator to the ODUs'</t>
  </si>
  <si>
    <t>Condensate drain pump with 2L net capacity. The necessary supporting arrangements to be considered for ceiling suspended type pump installation</t>
  </si>
  <si>
    <t>SUB TOTAL FOR VRF UNIT WORKS</t>
  </si>
  <si>
    <t>VARIABLE AIR VOLUME BOXES (Honeywell make)</t>
  </si>
  <si>
    <t>Supply, installation, testing and commissioning of  Pressure Independent VAV Boxes with digital thermostat. The co2 sensors &amp; occupancy sensor signal cabling will be taken through the VAV controller and the VAVs should have the provision to accept the signal for air qty, modulation. The contractors should include the transportation charges and necessary handling charges. The contractor should use only  with hitech threaded rod supports  with required accessories to support the ducts as per the specification</t>
  </si>
  <si>
    <t>Note: The VAV Boxes should be factory calibrated and it should be instruct at factory by PMC or consultant.</t>
  </si>
  <si>
    <t>The color of the thermostat shall be confirmed based on the Architect approval.</t>
  </si>
  <si>
    <t>Size of the VAV Boxes is as under :- VAV Box need to be selected 20% extra CFM in compared to the designed CFM</t>
  </si>
  <si>
    <t>Digital  Thermostat  with Temperature &amp; Occupancy sensor</t>
  </si>
  <si>
    <t>Size 6" Vav Box : 60 - 500 CFM VAV BOX</t>
  </si>
  <si>
    <t>Size 8" Vav Box : 105 - 900 CFM VAV BOX</t>
  </si>
  <si>
    <t>c</t>
  </si>
  <si>
    <t>Size 10" Vav Box : 165 - 1400 CFM VAV BOX</t>
  </si>
  <si>
    <t>d</t>
  </si>
  <si>
    <t>Size 12" Vav Box : 240 - 2000 CFM VAV BOX</t>
  </si>
  <si>
    <t>e</t>
  </si>
  <si>
    <t>Size 14" Vav Box : 320 - 3000 CFM VAV BOX</t>
  </si>
  <si>
    <t>f</t>
  </si>
  <si>
    <t>Size 16" Vav Box : 400 - 5000 CFM VAV BOX</t>
  </si>
  <si>
    <t>Supply &amp; installation of 1 " dia .PVC  conduits complete with all fittings and accessories</t>
  </si>
  <si>
    <t>RM</t>
  </si>
  <si>
    <t>Supply &amp; installation of PVC Cu Conductor Control Cabling</t>
  </si>
  <si>
    <t>4 C X 1.5 Sqm.</t>
  </si>
  <si>
    <t>2 C X 1.5 Sqm.</t>
  </si>
  <si>
    <t xml:space="preserve">c) </t>
  </si>
  <si>
    <t>CAT 6 cable for bus communication</t>
  </si>
  <si>
    <t>Supply &amp; installation of Powder coated perforated cable trays with Top Cover  (Necessary support items should be part of the costing) U-clams to be used for cable trays support. [Color to match with interior requirement] Before procuring vendor to obtain sample approval for the product from Client.</t>
  </si>
  <si>
    <t>50 mm wide</t>
  </si>
  <si>
    <t xml:space="preserve">Supply &amp; installation of VAV Bacnet controller/ Modbus card with wall mountable metallic enclosure  for BMS integration. </t>
  </si>
  <si>
    <t>Removal, re-installation, testing commissioning of existing VAVs' as per the design requirement.</t>
  </si>
  <si>
    <t>SUB TOTAL FOR VAV WORKS</t>
  </si>
  <si>
    <t xml:space="preserve">  Project        :M/s Societe Generale
  Scope         : LEED &amp; WELL BOQ</t>
  </si>
  <si>
    <t>S. No.</t>
  </si>
  <si>
    <t xml:space="preserve">Ground </t>
  </si>
  <si>
    <t>Level-02</t>
  </si>
  <si>
    <t>IAQ TEST :</t>
  </si>
  <si>
    <t>Indoor air quality test to be conducted at 6 locations in the floor space before &amp; 6 locations after occupancy.  (Please note that vendor has to repeat the IAQ test till it achieves the acceptance level), Flush out activities for the office area before IAQ Test. Required Exhaust fans including supply, installation and dismantle after the Flush out activities to be considered .
The below Following tests to be conducted for IAQ &amp; IAQ Testing as per LEED v4.
The IAQ testing lab needs to be carried out with the NABL-certified team.</t>
  </si>
  <si>
    <t xml:space="preserve">a) RESPIRABLE PARTICULATE MATTER (RSPM)
b) CARBON MONOXIDE
c) CARBON DIOXIDE
d) OXIDES OF SULPHUR as SO2
e) OXIDES OF NITROGEN as NO2
f) OXYGEN as O2
g) TOTAL VOLATILE ORGANIC COMPOUND
h) YEAST &amp; MOULD COUNT
i) FORMALDEHYDE
j) AMMONIA (NH3)
k) PM 10
l) PM 2.5
m) Ozone
n) Acetaldehyde
o)Benzene
p) Hexane
q) Naphthalene
r) Phenol
s) Styrene
t)Tetrachloroethylene
u) Toluene
v) vinyl acetate
w) Dichlorobenzene
x) Xylenes total </t>
  </si>
  <si>
    <t xml:space="preserve">Floor Flushing </t>
  </si>
  <si>
    <t xml:space="preserve">Peripheral windows should be kept open for air escaping .All Lift lobby &amp; staircase doors should kept open for circulation.Along with above Heavy duty floor stand exhaust fans should be kept in same floor balcony areas &amp; near to openable windows &amp; air flushing should be done. </t>
  </si>
  <si>
    <t xml:space="preserve">Renting for below fans for floor flush out incase if floor flush is taking time &amp; running the fans for 24-48 hours to meet the air gases within the threshold value.Required cable &amp; terminations should be consider as part of HVAC vendor scope .Fan capacities are mentioned below . </t>
  </si>
  <si>
    <t>Air Quality Monitor</t>
  </si>
  <si>
    <t xml:space="preserve">Supply of IAQ Monitor to measure the levels of PM 2.5, TVOCs, CO2, Temperature, Humidity on a real time basis. The IAQ Monitor shall be RS485 enabled and should be capable of getting connected with Wi-Fi. The Monitor is with touchscreen LED display and should be capable of sending the indoor air quality information on display. The Monitor should indicate the quality of air through changing the colours as per the NAAQS standards.  </t>
  </si>
  <si>
    <t>Central Air Cleaner for AHU</t>
  </si>
  <si>
    <t>Supply of SEMI -HYBRID HEPA class ( polarisation based ) central air purification system using Filterless Magnetic Air Purification Process of different capacities inside AHU to improve the air quality by removing microbial, pollution inside the air. The air purification system must be IS 17570:2021 : ISO 16890:2016 certified in accordance to ASHRAE 52.2 2017 with valid test data by ASHRAE validated lab having in USA only. It should be a monobloc-structured unit specifically designed for integration in the Return Air path of units of all sizes, to centrally capture and kill germs. It shall be in grids of sizes 610x370x150mm (1000 CFM), and 610x680x150 mm (2000 CFM) to cover the full capacity (CFM) of the units. The central air cleaner unit should have no consumable parts and the minimum life of central air cleaner unit should be more than 10 years. The central air cleaner shall be capable of removing particulates as small as 0.01 microns including particulate matter PM 2.5 &amp; PM 1.0, allergens, pollen, bacteria, pathogens and various VOC. It must be a monobolic-structured unit specifically designed for integration in return air path of air delivery systems to provide a single indoor air quality (IAQ) solution meeting global safety and performance standards set forth by ISHRAE, GRIHA, IGBC, CDC , ASHRAE &amp; CPCB Notification No B-29016/20/90/PCI-L 
Manufacturer must comply with DIPP guidelines for public procurement policy notification No REGD No. DL-33004/99 dated 21 July 2006 &amp; Micro and Small Enterprises (MSEs) Order, 2012 inline with make in India initiative. For ease of supply and spares the OEM must have manufacturing facilities in India/Delhi NCR and support MAKE In India initiative. The OEM must strictly follow DIPP guidelines, Green Pro for more than 50 % Indian components and OEM registered under MSME will be given preference. Supplier must have experience of more than six years 'executing projects with the same technology products and have successful installation in CPWD /PWD hospitals/governments project. List of project need to be submitted for approval.</t>
  </si>
  <si>
    <t>The below global certificate/ report is a must to ensure the performance, safety and reliability of the Air Purification being proposed 
 • The central air cleaner must be designed to trap and kill microbes with high efficiency duly tested on E. coli (ATCC 15597), H1N1, as per ASTM E2149 with no less than 99% killing in less than 15 minutes.
 • The unit shall include activated granular carbon filtration that together eliminate harmful gases.
 • The central air cleaner must be tested as per FDA GLP Regulations (40 CFR Part 160) for corona virus inactivation capability of over 99% in presence of FDA inspector in global labs.
 • The unit shall be UL 2998 (that does not produces ozone, ozone generation shall be less than 50 ppb from an International Lab) &amp; Intertek ETL, UL 867, CSA C22 No. 187, and CE certified for safety and quality and with EMC (Electromagnetic compatibility), LVD (Low Voltage directive) and RoHS compliant for complete modules.
 • The system shall be ANSI/ASHRAE 52.2 2017 tested with at least a MERV 15 rating and an ISO 16890 ePM 1.0 90%.
 • Each central air cleaner modules should be UL certified and not components or individual parts. The central air cleaner must be listed and certified by a US OSHA set standards duly implemented through NRTL accredited labs such as Intertek, Underwriters Limited, etc. to ensure safety and compliance with no consumable media filter.
 • The central air cleaner performance must be tested from a ASHRAE compliant from an International Lab third-party testing laboratory to confirm CME (Composite Minimum Efficiency) meeting following criteria:
  Particle Size CME
  0.3 to 0.4 μm 90%
 • The failure to submittal the certifications along with the submittal shall lead to rejection of the product. 
 • For safety &amp; security no arching, popping noise should occur during dust test. Also there should be no residual charge to avoid any shock risks.
 • The system should have a UL certified inbuilt pneumatic sensor allowing it to work as a controller (optional). It must automatically detect airflow and the capability to interface with the building management system. If the HVAC system is turned ON and the airflow is detected, then the output power should be available to the system, otherwise the system shall automatically turn off for the protection of service personnel.
APPROVED MAKES : Trane/Dr Air / Magneto</t>
  </si>
  <si>
    <t>AHU CAPACITY - 15000 CFM (MAX)</t>
  </si>
  <si>
    <t>Airflow Measuring Station</t>
  </si>
  <si>
    <t>The AMCA certified AMS airflow measuring station with the high performance control damper. The complete assembly
is utilized to provide effective set point monitoring and control. Custom-designed extruded sensing blades which capture the static and total pressure
data from the air stream, a Class 1A leakage rated control damper, aluminum airflow straightener, and factory piped and mounted pressure transducer. The AMS shall bee BMS compatible. 
Velocity Rane: 300 FPM  to 5000 FPM, accuracy with not more than 3%deviation.</t>
  </si>
  <si>
    <t>USB type  desk mount portable type fan with 3 speed fan along with 150cm long cord for power</t>
  </si>
  <si>
    <t>Total</t>
  </si>
  <si>
    <t xml:space="preserve">  Project</t>
  </si>
  <si>
    <t>M/s Societe Generale</t>
  </si>
  <si>
    <t>Sl. No</t>
  </si>
  <si>
    <t>Code</t>
  </si>
  <si>
    <t>Location</t>
  </si>
  <si>
    <t>Quantity</t>
  </si>
  <si>
    <t>AMOUNT</t>
  </si>
  <si>
    <t>LEED and WELL points</t>
  </si>
  <si>
    <r>
      <rPr>
        <rFont val="Arial"/>
        <color rgb="FF0000FF"/>
        <sz val="11.0"/>
      </rPr>
      <t xml:space="preserve">Terms and conditions for LEED v4 PLATINUM as below:
</t>
    </r>
    <r>
      <rPr>
        <rFont val="Arial"/>
        <color rgb="FFFF9900"/>
        <sz val="11.0"/>
      </rPr>
      <t>1. Clients to have renewable energy use and has to be reflected and accounted as wheeled energy in electricity bills. 
2. REC purchases to be analyzed if any.</t>
    </r>
    <r>
      <rPr>
        <rFont val="Arial"/>
        <color rgb="FF0000FF"/>
        <sz val="11.0"/>
      </rPr>
      <t xml:space="preserve">
</t>
    </r>
    <r>
      <rPr>
        <rFont val="Arial"/>
        <color rgb="FFFF0000"/>
        <sz val="11.0"/>
      </rPr>
      <t>Note:- LEED Certification is only for the New fit out area not for refurb areas</t>
    </r>
  </si>
  <si>
    <t xml:space="preserve">LEED REGISTRATION </t>
  </si>
  <si>
    <t>Ls</t>
  </si>
  <si>
    <t>Carrying out LEED (Leadership in Energy and Environmental Design) registration for the project under the appropriate LEED rating system (e.g., LEED ID+C, LEED NC, or LEED O+M), including all coordination, documentation, and administrative formalities required for official registration with the U.S. Green Building Council (USGBC) or Green Business Certification Inc. (GBCI).</t>
  </si>
  <si>
    <t>Preparing and submitting the required documentation for LEED project registration with USGBC/GBCI.
Payment of applicable registration fees to USGBC/GBCI on behalf of the client (to be reimbursed as per actuals if applicable).
Coordination with the design, construction, and sustainability teams to gather necessary information for registration.
Uploading project information on the LEED Online platform and creating the project account.
Providing support in selecting the appropriate LEED rating system based on project type and scope.
Maintaining communication with USGBC/GBCI for acknowledgment, updates, and verification of registration status.
Submitting registration confirmation and official receipt for client records.
Inclusions:
Administrative, consultancy, and coordination charges for LEED registration.
All documentation support for initial LEED project setup on LEED Online.
Liaison with project stakeholders for registration completion.</t>
  </si>
  <si>
    <t xml:space="preserve">WELL (HSR)  </t>
  </si>
  <si>
    <r>
      <rPr>
        <rFont val="Arial"/>
        <color theme="1"/>
        <sz val="11.0"/>
      </rPr>
      <t>WELL ( HSR ) related to Indoor air quality for new fitout (</t>
    </r>
    <r>
      <rPr>
        <rFont val="Arial"/>
        <b/>
        <color theme="1"/>
        <sz val="11.0"/>
      </rPr>
      <t xml:space="preserve">GF- Voayger  ,2F (Full Floor)- Right top quadrant) </t>
    </r>
  </si>
  <si>
    <t>LEED  &amp; WELL CONSULTANT</t>
  </si>
  <si>
    <t>Engaging a qualified and USGBC-accredited LEED Consultant to provide complete consultancy services for achieving LEED Certification for the project under the applicable rating system (LEED ID+C, LEED NC, or LEED O+M). The consultant shall guide the project team from registration to certification, ensuring compliance with all required LEED prerequisites and credits.</t>
  </si>
  <si>
    <t>Total Amount Of LEED &amp; WELL</t>
  </si>
  <si>
    <t>ANNEXURE -4</t>
  </si>
  <si>
    <t>PROPOSED MAKE OF MATERIALS</t>
  </si>
  <si>
    <t>S.No.</t>
  </si>
  <si>
    <t>Item</t>
  </si>
  <si>
    <t>Make</t>
  </si>
  <si>
    <t>SG Preferred Make</t>
  </si>
  <si>
    <t>PROPOSED MAKES FOR CIVIL &amp; INTERIOR WORKS</t>
  </si>
  <si>
    <t>PROPOSED MAKES FOR MEP</t>
  </si>
  <si>
    <t>Electrical Panels</t>
  </si>
  <si>
    <t>VV Systems</t>
  </si>
  <si>
    <t>LT Cables</t>
  </si>
  <si>
    <t>Polycab</t>
  </si>
  <si>
    <t>Copper Wires</t>
  </si>
  <si>
    <t>Switches &amp; Sockets</t>
  </si>
  <si>
    <t>Honeywell MK-Eva</t>
  </si>
  <si>
    <t>Power Cube</t>
  </si>
  <si>
    <t>CJ Infra</t>
  </si>
  <si>
    <t>MCB / ELCB / MCCB</t>
  </si>
  <si>
    <t>Schneider</t>
  </si>
  <si>
    <t>Distribution System</t>
  </si>
  <si>
    <t>Industrial Socket</t>
  </si>
  <si>
    <t>Neptune- BALS</t>
  </si>
  <si>
    <t>PVC Conduits</t>
  </si>
  <si>
    <t>VIP/Precision/Universal</t>
  </si>
  <si>
    <t>VIP</t>
  </si>
  <si>
    <t>Batteries</t>
  </si>
  <si>
    <t>Exide / Quanta</t>
  </si>
  <si>
    <t>Inverter</t>
  </si>
  <si>
    <t>Socomec</t>
  </si>
  <si>
    <t>Light Fixtures</t>
  </si>
  <si>
    <t>Revix</t>
  </si>
  <si>
    <t>Decorative Light Fixtures</t>
  </si>
  <si>
    <t>LMS</t>
  </si>
  <si>
    <t>Lutron / Zencontrol / Helver</t>
  </si>
  <si>
    <t>GI Ducts</t>
  </si>
  <si>
    <t>Ductofab / GP Spira / Dev duct</t>
  </si>
  <si>
    <t>GP Spira</t>
  </si>
  <si>
    <t>GI Sheets</t>
  </si>
  <si>
    <t>Jindal / Tata</t>
  </si>
  <si>
    <t>Diffusers</t>
  </si>
  <si>
    <t>Airmaster / Systemair / Synchro</t>
  </si>
  <si>
    <t>Airmaster</t>
  </si>
  <si>
    <t>Grills</t>
  </si>
  <si>
    <t>Thermal Insulation (Nitrile rubber)</t>
  </si>
  <si>
    <t>K-Flex / Armaflex / A-Flex</t>
  </si>
  <si>
    <t>Acoustic Insulation (Nitrile rubber)</t>
  </si>
  <si>
    <t>Acoustic Insulation (Fiberglass)</t>
  </si>
  <si>
    <t>UP Twiga</t>
  </si>
  <si>
    <t>VCD and Fire Dampers</t>
  </si>
  <si>
    <t>Mixing Box</t>
  </si>
  <si>
    <t>Butterfly Damper</t>
  </si>
  <si>
    <t>Flexible Ducts</t>
  </si>
  <si>
    <t>UP Twiga / Seven Star</t>
  </si>
  <si>
    <t>Collar Damper</t>
  </si>
  <si>
    <t>Airmaster / Systemair</t>
  </si>
  <si>
    <t>Dx. units &amp; VRF units</t>
  </si>
  <si>
    <t>Bluestar / Daikin</t>
  </si>
  <si>
    <t>Bluestar</t>
  </si>
  <si>
    <t>Refrigerant Pipes</t>
  </si>
  <si>
    <t>Total line / Rajco / Nippon</t>
  </si>
  <si>
    <t>Inline Fans</t>
  </si>
  <si>
    <t>Caryaire / Kruger / Systemair</t>
  </si>
  <si>
    <t>Caryaire</t>
  </si>
  <si>
    <t>Plumbing Fixtures &amp; Accessories</t>
  </si>
  <si>
    <t>Hindware / Jaquar / Euronics</t>
  </si>
  <si>
    <t>Sink and Tap</t>
  </si>
  <si>
    <t>Nirali / Futura</t>
  </si>
  <si>
    <t>PVC Pipes</t>
  </si>
  <si>
    <t>Astral pipes / Supreme / Finolex</t>
  </si>
  <si>
    <t>PHE Valves</t>
  </si>
  <si>
    <t>Zoloto / Leader</t>
  </si>
  <si>
    <t>Zoloto</t>
  </si>
  <si>
    <t>GI - Pipe</t>
  </si>
  <si>
    <t>Jindal ( Hissar ) / TATA</t>
  </si>
  <si>
    <t>Sprinkler</t>
  </si>
  <si>
    <t>Tyco / New age / HD</t>
  </si>
  <si>
    <t>Tyco</t>
  </si>
  <si>
    <t>Flexible Drops</t>
  </si>
  <si>
    <t>Tyco-Braided</t>
  </si>
  <si>
    <t>Fire Extinguishers</t>
  </si>
  <si>
    <t>Safex / Excellent/ Eversafe</t>
  </si>
  <si>
    <t>Safex</t>
  </si>
  <si>
    <t>Fire Signages</t>
  </si>
  <si>
    <t>Prolite / Agnis / Agni</t>
  </si>
  <si>
    <t>Fire Alarm Panel</t>
  </si>
  <si>
    <t>Honeywell Notifier</t>
  </si>
  <si>
    <t>Smoke Detectors / heat Detectors</t>
  </si>
  <si>
    <t>Cables/Wires</t>
  </si>
  <si>
    <t>Polycab / Ravicab / Varsha /Calliplast</t>
  </si>
  <si>
    <t>MS Conduits</t>
  </si>
  <si>
    <t>Bharat / BEC</t>
  </si>
  <si>
    <t>Bharat</t>
  </si>
  <si>
    <t>PA Speakers</t>
  </si>
  <si>
    <t>Honeywell</t>
  </si>
  <si>
    <t>Amplifier</t>
  </si>
  <si>
    <t>Microphone</t>
  </si>
  <si>
    <t>Polycab / KEI / Bonton</t>
  </si>
  <si>
    <t>Rodent Repellent System</t>
  </si>
  <si>
    <t>Maser / C-System / Varna</t>
  </si>
  <si>
    <t>WLD System</t>
  </si>
  <si>
    <t>CCTV</t>
  </si>
  <si>
    <t>NVR</t>
  </si>
  <si>
    <t>Access Control</t>
  </si>
  <si>
    <t>Tyco (iStar Ultra)</t>
  </si>
  <si>
    <t>Turnstile</t>
  </si>
  <si>
    <t>P-Gate, Turnstile-KABA</t>
  </si>
  <si>
    <t>P-Gate--Boon Edam(Local Supply)</t>
  </si>
  <si>
    <t>Cables &amp; Conduits</t>
  </si>
  <si>
    <t>Cables - Amp / D-link / Finolex 
Conduit - Precision / VIP national / BEC</t>
  </si>
  <si>
    <t>VAV</t>
  </si>
  <si>
    <t>BMS</t>
  </si>
  <si>
    <t>Honeywell Trend</t>
  </si>
  <si>
    <t>Chilled Water FCU</t>
  </si>
  <si>
    <t>Edgetech / Carrier / Zeco</t>
  </si>
  <si>
    <t>Chilled Water pipes</t>
  </si>
  <si>
    <t>Auto Sequential Panel</t>
  </si>
  <si>
    <t>Aircon Controls / Thittanix</t>
  </si>
  <si>
    <t>Note: Final Make Selection shall be Adrianse prerogative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</si>
</sst>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 * #,##0_ ;_ * \-#,##0_ ;_ * &quot;-&quot;??_ ;_ @_ "/>
    <numFmt numFmtId="165" formatCode="_ * #,##0.00_ ;_ * \-#,##0.00_ ;_ * &quot;-&quot;??_ ;_ @_ "/>
    <numFmt numFmtId="166" formatCode="_ * #,##0.00_ ;_ * \-#,##0.00_ ;_ * &quot;-&quot;??.00_ ;_ @_ "/>
    <numFmt numFmtId="167" formatCode="_(* #,##0_);_(* \(#,##0\);_(* &quot;-&quot;_);_(@_)"/>
    <numFmt numFmtId="168" formatCode="0.0;\-0.0;"/>
    <numFmt numFmtId="169" formatCode="0.00;\-0.00;"/>
    <numFmt numFmtId="170" formatCode="0;\-0;"/>
    <numFmt numFmtId="171" formatCode="&quot;₹&quot;\ #,##0.00"/>
    <numFmt numFmtId="172" formatCode="_(* #,##0.00_);_(* \(#,##0.00\);_(* &quot;-&quot;_);_(@_)"/>
  </numFmts>
  <fonts count="14">
    <font>
      <sz val="10.0"/>
      <color rgb="FF000000"/>
      <name val="Arial"/>
      <scheme val="minor"/>
    </font>
    <font>
      <b/>
      <sz val="11.0"/>
      <color rgb="FF000000"/>
      <name val="Arial"/>
    </font>
    <font/>
    <font>
      <sz val="11.0"/>
      <color rgb="FF000000"/>
      <name val="Arial"/>
    </font>
    <font>
      <b/>
      <sz val="10.0"/>
      <color theme="1"/>
      <name val="Arial"/>
    </font>
    <font>
      <sz val="11.0"/>
      <color theme="1"/>
      <name val="Arial"/>
    </font>
    <font>
      <sz val="10.0"/>
      <color theme="1"/>
      <name val="Arial"/>
    </font>
    <font>
      <b/>
      <sz val="10.0"/>
      <color theme="0"/>
      <name val="Arial"/>
    </font>
    <font>
      <b/>
      <sz val="10.0"/>
      <color rgb="FFFFFFFF"/>
      <name val="Arial"/>
    </font>
    <font>
      <sz val="10.0"/>
      <color theme="0"/>
      <name val="Arial"/>
    </font>
    <font>
      <b/>
      <sz val="11.0"/>
      <color theme="1"/>
      <name val="Arial"/>
    </font>
    <font>
      <sz val="10.0"/>
      <color rgb="FF000000"/>
      <name val="Arial"/>
    </font>
    <font>
      <sz val="11.0"/>
      <color rgb="FF0000FF"/>
      <name val="Arial"/>
    </font>
    <font>
      <b/>
      <sz val="10.0"/>
      <color rgb="FF000000"/>
      <name val="Arial"/>
    </font>
  </fonts>
  <fills count="8">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F2CC"/>
        <bgColor rgb="FFFFF2CC"/>
      </patternFill>
    </fill>
    <fill>
      <patternFill patternType="solid">
        <fgColor rgb="FF1E4479"/>
        <bgColor rgb="FF1E4479"/>
      </patternFill>
    </fill>
    <fill>
      <patternFill patternType="solid">
        <fgColor rgb="FFFFFF00"/>
        <bgColor rgb="FFFFFF00"/>
      </patternFill>
    </fill>
  </fills>
  <borders count="25">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rder>
    <border>
      <left style="thin">
        <color rgb="FF000000"/>
      </left>
      <right style="thin">
        <color rgb="FF000000"/>
      </right>
    </border>
    <border>
      <left style="thin">
        <color rgb="FF000000"/>
      </left>
      <right style="thin">
        <color rgb="FF000000"/>
      </right>
      <bottom style="hair">
        <color rgb="FF000000"/>
      </bottom>
    </border>
    <border>
      <left style="thin">
        <color rgb="FF000000"/>
      </left>
      <right style="thin">
        <color rgb="FF000000"/>
      </right>
      <top/>
      <bottom/>
    </border>
    <border>
      <left style="thin">
        <color rgb="FF000000"/>
      </left>
      <right style="thin">
        <color rgb="FF000000"/>
      </right>
      <top style="hair">
        <color rgb="FF000000"/>
      </top>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
      <left style="thin">
        <color rgb="FF000000"/>
      </left>
      <right style="thin">
        <color rgb="FF000000"/>
      </right>
      <top/>
      <bottom style="hair">
        <color rgb="FF000000"/>
      </bottom>
    </border>
    <border>
      <left style="thin">
        <color rgb="FF000000"/>
      </left>
      <right/>
      <top style="thin">
        <color rgb="FF000000"/>
      </top>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1" fillId="2" fontId="1" numFmtId="0" xfId="0" applyBorder="1" applyFill="1" applyFont="1"/>
    <xf borderId="1" fillId="2" fontId="1" numFmtId="164" xfId="0" applyAlignment="1" applyBorder="1" applyFont="1" applyNumberFormat="1">
      <alignment horizontal="center" vertical="center"/>
    </xf>
    <xf borderId="2" fillId="3" fontId="1" numFmtId="0" xfId="0" applyAlignment="1" applyBorder="1" applyFill="1" applyFont="1">
      <alignment horizontal="center" vertical="center"/>
    </xf>
    <xf borderId="3" fillId="0" fontId="2" numFmtId="0" xfId="0" applyBorder="1" applyFont="1"/>
    <xf borderId="4" fillId="0" fontId="2" numFmtId="0" xfId="0" applyBorder="1" applyFont="1"/>
    <xf borderId="0" fillId="0" fontId="3" numFmtId="0" xfId="0" applyFont="1"/>
    <xf borderId="5" fillId="3" fontId="1" numFmtId="0" xfId="0" applyAlignment="1" applyBorder="1" applyFont="1">
      <alignment horizontal="center"/>
    </xf>
    <xf borderId="5" fillId="3" fontId="1" numFmtId="164" xfId="0" applyAlignment="1" applyBorder="1" applyFont="1" applyNumberFormat="1">
      <alignment horizontal="center" vertical="center"/>
    </xf>
    <xf borderId="6" fillId="0" fontId="3" numFmtId="0" xfId="0" applyBorder="1" applyFont="1"/>
    <xf borderId="6" fillId="0" fontId="3" numFmtId="164" xfId="0" applyAlignment="1" applyBorder="1" applyFont="1" applyNumberFormat="1">
      <alignment horizontal="center" vertical="center"/>
    </xf>
    <xf borderId="7" fillId="0" fontId="3" numFmtId="0" xfId="0" applyAlignment="1" applyBorder="1" applyFont="1">
      <alignment horizontal="center" vertical="center"/>
    </xf>
    <xf borderId="7" fillId="0" fontId="3" numFmtId="0" xfId="0" applyBorder="1" applyFont="1"/>
    <xf borderId="7" fillId="0" fontId="3" numFmtId="164" xfId="0" applyAlignment="1" applyBorder="1" applyFont="1" applyNumberFormat="1">
      <alignment horizontal="center" vertical="center"/>
    </xf>
    <xf borderId="8" fillId="0" fontId="3" numFmtId="0" xfId="0" applyBorder="1" applyFont="1"/>
    <xf borderId="8" fillId="0" fontId="3" numFmtId="164" xfId="0" applyAlignment="1" applyBorder="1" applyFont="1" applyNumberFormat="1">
      <alignment horizontal="center" vertical="center"/>
    </xf>
    <xf borderId="5" fillId="3" fontId="1" numFmtId="0" xfId="0" applyAlignment="1" applyBorder="1" applyFont="1">
      <alignment horizontal="left" vertical="center"/>
    </xf>
    <xf borderId="5" fillId="3" fontId="1" numFmtId="165" xfId="0" applyAlignment="1" applyBorder="1" applyFont="1" applyNumberFormat="1">
      <alignment horizontal="center" vertical="center"/>
    </xf>
    <xf borderId="0" fillId="0" fontId="1" numFmtId="165" xfId="0" applyAlignment="1" applyFont="1" applyNumberFormat="1">
      <alignment horizontal="center" vertical="center"/>
    </xf>
    <xf borderId="0" fillId="0" fontId="1" numFmtId="10" xfId="0" applyAlignment="1" applyFont="1" applyNumberFormat="1">
      <alignment horizontal="center" vertical="center"/>
    </xf>
    <xf borderId="0" fillId="0" fontId="3" numFmtId="164" xfId="0" applyAlignment="1" applyFont="1" applyNumberFormat="1">
      <alignment horizontal="center" vertical="center"/>
    </xf>
    <xf borderId="9" fillId="4" fontId="4" numFmtId="0" xfId="0" applyAlignment="1" applyBorder="1" applyFill="1" applyFont="1">
      <alignment horizontal="left" shrinkToFit="0" vertical="center" wrapText="1"/>
    </xf>
    <xf borderId="10" fillId="0" fontId="2" numFmtId="0" xfId="0" applyBorder="1" applyFont="1"/>
    <xf borderId="11" fillId="0" fontId="2" numFmtId="0" xfId="0" applyBorder="1" applyFont="1"/>
    <xf borderId="0" fillId="0" fontId="5" numFmtId="0" xfId="0" applyAlignment="1" applyFont="1">
      <alignment vertical="center"/>
    </xf>
    <xf borderId="12" fillId="3" fontId="4" numFmtId="0" xfId="0" applyAlignment="1" applyBorder="1" applyFont="1">
      <alignment horizontal="center" shrinkToFit="0" vertical="center" wrapText="1"/>
    </xf>
    <xf borderId="5" fillId="3" fontId="4" numFmtId="164" xfId="0" applyAlignment="1" applyBorder="1" applyFont="1" applyNumberFormat="1">
      <alignment horizontal="center" shrinkToFit="0" vertical="center" wrapText="1"/>
    </xf>
    <xf borderId="2" fillId="3" fontId="4" numFmtId="164" xfId="0" applyAlignment="1" applyBorder="1" applyFont="1" applyNumberFormat="1">
      <alignment horizontal="center" shrinkToFit="0" vertical="center" wrapText="1"/>
    </xf>
    <xf borderId="12" fillId="3" fontId="4" numFmtId="164" xfId="0" applyAlignment="1" applyBorder="1" applyFont="1" applyNumberFormat="1">
      <alignment horizontal="center" shrinkToFit="0" vertical="center" wrapText="1"/>
    </xf>
    <xf borderId="13" fillId="0" fontId="2" numFmtId="0" xfId="0" applyBorder="1" applyFont="1"/>
    <xf borderId="5" fillId="3" fontId="4" numFmtId="0" xfId="0" applyAlignment="1" applyBorder="1" applyFont="1">
      <alignment horizontal="center" vertical="center"/>
    </xf>
    <xf borderId="6" fillId="0" fontId="6" numFmtId="0" xfId="0" applyAlignment="1" applyBorder="1" applyFont="1">
      <alignment horizontal="center" vertical="center"/>
    </xf>
    <xf borderId="6" fillId="0" fontId="6" numFmtId="0" xfId="0" applyAlignment="1" applyBorder="1" applyFont="1">
      <alignment shrinkToFit="0" vertical="center" wrapText="1"/>
    </xf>
    <xf borderId="6" fillId="0" fontId="6" numFmtId="0" xfId="0" applyAlignment="1" applyBorder="1" applyFont="1">
      <alignment vertical="center"/>
    </xf>
    <xf borderId="6" fillId="0" fontId="6" numFmtId="164" xfId="0" applyAlignment="1" applyBorder="1" applyFont="1" applyNumberFormat="1">
      <alignment vertical="center"/>
    </xf>
    <xf borderId="7" fillId="0" fontId="4" numFmtId="0" xfId="0" applyAlignment="1" applyBorder="1" applyFont="1">
      <alignment horizontal="center" shrinkToFit="0" vertical="center" wrapText="1"/>
    </xf>
    <xf borderId="7" fillId="0" fontId="4" numFmtId="0" xfId="0" applyAlignment="1" applyBorder="1" applyFont="1">
      <alignment shrinkToFit="0" vertical="center" wrapText="1"/>
    </xf>
    <xf borderId="7" fillId="0" fontId="6" numFmtId="164" xfId="0" applyAlignment="1" applyBorder="1" applyFont="1" applyNumberFormat="1">
      <alignment vertical="center"/>
    </xf>
    <xf borderId="7" fillId="0" fontId="6" numFmtId="166" xfId="0" applyAlignment="1" applyBorder="1" applyFont="1" applyNumberFormat="1">
      <alignment horizontal="center" shrinkToFit="0" vertical="center" wrapText="1"/>
    </xf>
    <xf borderId="7" fillId="0" fontId="6" numFmtId="164" xfId="0" applyAlignment="1" applyBorder="1" applyFont="1" applyNumberFormat="1">
      <alignment shrinkToFit="0" vertical="center" wrapText="1"/>
    </xf>
    <xf borderId="7" fillId="0" fontId="6" numFmtId="166" xfId="0" applyAlignment="1" applyBorder="1" applyFont="1" applyNumberFormat="1">
      <alignment horizontal="center" vertical="center"/>
    </xf>
    <xf borderId="7" fillId="0" fontId="6" numFmtId="0" xfId="0" applyAlignment="1" applyBorder="1" applyFont="1">
      <alignment shrinkToFit="0" vertical="center" wrapText="1"/>
    </xf>
    <xf borderId="7" fillId="0" fontId="6" numFmtId="164" xfId="0" applyAlignment="1" applyBorder="1" applyFont="1" applyNumberFormat="1">
      <alignment horizontal="center" shrinkToFit="0" vertical="center" wrapText="1"/>
    </xf>
    <xf borderId="7" fillId="0" fontId="6" numFmtId="164" xfId="0" applyAlignment="1" applyBorder="1" applyFont="1" applyNumberFormat="1">
      <alignment readingOrder="0" vertical="center"/>
    </xf>
    <xf borderId="0" fillId="0" fontId="5" numFmtId="164" xfId="0" applyAlignment="1" applyFont="1" applyNumberFormat="1">
      <alignment horizontal="center" vertical="center"/>
    </xf>
    <xf borderId="7" fillId="0" fontId="6" numFmtId="0" xfId="0" applyAlignment="1" applyBorder="1" applyFont="1">
      <alignment vertical="center"/>
    </xf>
    <xf borderId="7" fillId="5" fontId="6" numFmtId="164" xfId="0" applyAlignment="1" applyBorder="1" applyFill="1" applyFont="1" applyNumberFormat="1">
      <alignment readingOrder="0" vertical="center"/>
    </xf>
    <xf borderId="7" fillId="0" fontId="6" numFmtId="164" xfId="0" applyAlignment="1" applyBorder="1" applyFont="1" applyNumberFormat="1">
      <alignment horizontal="right" vertical="center"/>
    </xf>
    <xf borderId="7" fillId="0" fontId="4" numFmtId="166" xfId="0" applyAlignment="1" applyBorder="1" applyFont="1" applyNumberFormat="1">
      <alignment horizontal="center" shrinkToFit="0" vertical="center" wrapText="1"/>
    </xf>
    <xf borderId="7" fillId="0" fontId="4" numFmtId="164" xfId="0" applyAlignment="1" applyBorder="1" applyFont="1" applyNumberFormat="1">
      <alignment shrinkToFit="0" vertical="center" wrapText="1"/>
    </xf>
    <xf borderId="7" fillId="0" fontId="6" numFmtId="164" xfId="0" applyAlignment="1" applyBorder="1" applyFont="1" applyNumberFormat="1">
      <alignment horizontal="center" vertical="center"/>
    </xf>
    <xf quotePrefix="1" borderId="7" fillId="0" fontId="6" numFmtId="0" xfId="0" applyAlignment="1" applyBorder="1" applyFont="1">
      <alignment shrinkToFit="0" vertical="center" wrapText="1"/>
    </xf>
    <xf borderId="14" fillId="0" fontId="6" numFmtId="164" xfId="0" applyAlignment="1" applyBorder="1" applyFont="1" applyNumberFormat="1">
      <alignment horizontal="center" vertical="center"/>
    </xf>
    <xf borderId="14" fillId="0" fontId="6" numFmtId="164" xfId="0" applyAlignment="1" applyBorder="1" applyFont="1" applyNumberFormat="1">
      <alignment shrinkToFit="0" vertical="center" wrapText="1"/>
    </xf>
    <xf borderId="14" fillId="0" fontId="6" numFmtId="164" xfId="0" applyAlignment="1" applyBorder="1" applyFont="1" applyNumberFormat="1">
      <alignment vertical="center"/>
    </xf>
    <xf borderId="7" fillId="0" fontId="6" numFmtId="0" xfId="0" applyAlignment="1" applyBorder="1" applyFont="1">
      <alignment horizontal="center" shrinkToFit="0" vertical="center" wrapText="1"/>
    </xf>
    <xf borderId="14" fillId="0" fontId="6" numFmtId="164" xfId="0" applyAlignment="1" applyBorder="1" applyFont="1" applyNumberFormat="1">
      <alignment horizontal="center" shrinkToFit="0" vertical="center" wrapText="1"/>
    </xf>
    <xf borderId="0" fillId="0" fontId="5" numFmtId="4" xfId="0" applyAlignment="1" applyFont="1" applyNumberFormat="1">
      <alignment horizontal="center" vertical="center"/>
    </xf>
    <xf borderId="14" fillId="0" fontId="6" numFmtId="0" xfId="0" applyAlignment="1" applyBorder="1" applyFont="1">
      <alignment horizontal="center" shrinkToFit="0" vertical="center" wrapText="1"/>
    </xf>
    <xf borderId="14" fillId="0" fontId="6" numFmtId="164" xfId="0" applyAlignment="1" applyBorder="1" applyFont="1" applyNumberFormat="1">
      <alignment readingOrder="0" vertical="center"/>
    </xf>
    <xf borderId="5" fillId="3" fontId="4" numFmtId="164" xfId="0" applyAlignment="1" applyBorder="1" applyFont="1" applyNumberFormat="1">
      <alignment horizontal="center" vertical="center"/>
    </xf>
    <xf borderId="5" fillId="3" fontId="4" numFmtId="164" xfId="0" applyAlignment="1" applyBorder="1" applyFont="1" applyNumberFormat="1">
      <alignment shrinkToFit="0" vertical="center" wrapText="1"/>
    </xf>
    <xf borderId="5" fillId="3" fontId="4" numFmtId="164" xfId="0" applyAlignment="1" applyBorder="1" applyFont="1" applyNumberFormat="1">
      <alignment vertical="center"/>
    </xf>
    <xf borderId="5" fillId="3" fontId="4" numFmtId="164" xfId="0" applyAlignment="1" applyBorder="1" applyFont="1" applyNumberFormat="1">
      <alignment readingOrder="0" vertical="center"/>
    </xf>
    <xf borderId="15" fillId="0" fontId="6" numFmtId="164" xfId="0" applyAlignment="1" applyBorder="1" applyFont="1" applyNumberFormat="1">
      <alignment horizontal="center" vertical="center"/>
    </xf>
    <xf borderId="15" fillId="0" fontId="6" numFmtId="164" xfId="0" applyAlignment="1" applyBorder="1" applyFont="1" applyNumberFormat="1">
      <alignment shrinkToFit="0" vertical="center" wrapText="1"/>
    </xf>
    <xf borderId="15" fillId="0" fontId="6" numFmtId="164" xfId="0" applyAlignment="1" applyBorder="1" applyFont="1" applyNumberFormat="1">
      <alignment vertical="center"/>
    </xf>
    <xf borderId="16" fillId="0" fontId="6" numFmtId="164" xfId="0" applyAlignment="1" applyBorder="1" applyFont="1" applyNumberFormat="1">
      <alignment horizontal="center" shrinkToFit="0" vertical="center" wrapText="1"/>
    </xf>
    <xf borderId="15" fillId="0" fontId="6" numFmtId="164" xfId="0" applyAlignment="1" applyBorder="1" applyFont="1" applyNumberFormat="1">
      <alignment readingOrder="0" vertical="center"/>
    </xf>
    <xf borderId="7" fillId="6" fontId="7" numFmtId="0" xfId="0" applyAlignment="1" applyBorder="1" applyFill="1" applyFont="1">
      <alignment horizontal="center" shrinkToFit="0" vertical="center" wrapText="1"/>
    </xf>
    <xf borderId="7" fillId="6" fontId="8" numFmtId="0" xfId="0" applyAlignment="1" applyBorder="1" applyFont="1">
      <alignment shrinkToFit="0" vertical="center" wrapText="1"/>
    </xf>
    <xf borderId="7" fillId="6" fontId="9" numFmtId="167" xfId="0" applyAlignment="1" applyBorder="1" applyFont="1" applyNumberFormat="1">
      <alignment vertical="center"/>
    </xf>
    <xf borderId="7" fillId="6" fontId="9" numFmtId="164" xfId="0" applyAlignment="1" applyBorder="1" applyFont="1" applyNumberFormat="1">
      <alignment horizontal="center" shrinkToFit="0" vertical="center" wrapText="1"/>
    </xf>
    <xf borderId="17" fillId="6" fontId="9" numFmtId="164" xfId="0" applyAlignment="1" applyBorder="1" applyFont="1" applyNumberFormat="1">
      <alignment readingOrder="0" vertical="center"/>
    </xf>
    <xf borderId="17" fillId="6" fontId="9" numFmtId="164" xfId="0" applyAlignment="1" applyBorder="1" applyFont="1" applyNumberFormat="1">
      <alignment vertical="center"/>
    </xf>
    <xf borderId="7" fillId="0" fontId="6" numFmtId="167" xfId="0" applyAlignment="1" applyBorder="1" applyFont="1" applyNumberFormat="1">
      <alignment vertical="center"/>
    </xf>
    <xf borderId="7" fillId="0" fontId="6" numFmtId="167" xfId="0" applyAlignment="1" applyBorder="1" applyFont="1" applyNumberFormat="1">
      <alignment horizontal="center" shrinkToFit="0" vertical="center" wrapText="1"/>
    </xf>
    <xf borderId="7" fillId="0" fontId="6" numFmtId="0" xfId="0" applyAlignment="1" applyBorder="1" applyFont="1">
      <alignment horizontal="center" vertical="center"/>
    </xf>
    <xf borderId="14" fillId="0" fontId="6" numFmtId="0" xfId="0" applyAlignment="1" applyBorder="1" applyFont="1">
      <alignment horizontal="center" vertical="center"/>
    </xf>
    <xf borderId="14" fillId="0" fontId="6" numFmtId="0" xfId="0" applyAlignment="1" applyBorder="1" applyFont="1">
      <alignment shrinkToFit="0" vertical="center" wrapText="1"/>
    </xf>
    <xf borderId="14" fillId="0" fontId="6" numFmtId="167" xfId="0" applyAlignment="1" applyBorder="1" applyFont="1" applyNumberFormat="1">
      <alignment vertical="center"/>
    </xf>
    <xf borderId="15" fillId="0" fontId="7" numFmtId="0" xfId="0" applyAlignment="1" applyBorder="1" applyFont="1">
      <alignment horizontal="center" vertical="center"/>
    </xf>
    <xf borderId="15" fillId="0" fontId="7" numFmtId="0" xfId="0" applyAlignment="1" applyBorder="1" applyFont="1">
      <alignment horizontal="center" shrinkToFit="0" vertical="center" wrapText="1"/>
    </xf>
    <xf borderId="15" fillId="0" fontId="9" numFmtId="0" xfId="0" applyAlignment="1" applyBorder="1" applyFont="1">
      <alignment vertical="center"/>
    </xf>
    <xf borderId="15" fillId="0" fontId="9" numFmtId="164" xfId="0" applyAlignment="1" applyBorder="1" applyFont="1" applyNumberFormat="1">
      <alignment vertical="center"/>
    </xf>
    <xf borderId="15" fillId="0" fontId="9" numFmtId="164" xfId="0" applyAlignment="1" applyBorder="1" applyFont="1" applyNumberFormat="1">
      <alignment horizontal="center" shrinkToFit="0" vertical="center" wrapText="1"/>
    </xf>
    <xf borderId="15" fillId="0" fontId="9" numFmtId="164" xfId="0" applyAlignment="1" applyBorder="1" applyFont="1" applyNumberFormat="1">
      <alignment readingOrder="0" vertical="center"/>
    </xf>
    <xf borderId="7" fillId="6" fontId="7" numFmtId="0" xfId="0" applyAlignment="1" applyBorder="1" applyFont="1">
      <alignment horizontal="center" vertical="center"/>
    </xf>
    <xf borderId="7" fillId="6" fontId="9" numFmtId="0" xfId="0" applyAlignment="1" applyBorder="1" applyFont="1">
      <alignment vertical="center"/>
    </xf>
    <xf borderId="18" fillId="6" fontId="9" numFmtId="164" xfId="0" applyAlignment="1" applyBorder="1" applyFont="1" applyNumberFormat="1">
      <alignment vertical="center"/>
    </xf>
    <xf borderId="18" fillId="6" fontId="9" numFmtId="164" xfId="0" applyAlignment="1" applyBorder="1" applyFont="1" applyNumberFormat="1">
      <alignment readingOrder="0" vertical="center"/>
    </xf>
    <xf borderId="14" fillId="0" fontId="6" numFmtId="164" xfId="0" applyAlignment="1" applyBorder="1" applyFont="1" applyNumberFormat="1">
      <alignment readingOrder="0" shrinkToFit="0" vertical="center" wrapText="1"/>
    </xf>
    <xf borderId="7" fillId="0" fontId="6" numFmtId="167" xfId="0" applyAlignment="1" applyBorder="1" applyFont="1" applyNumberFormat="1">
      <alignment shrinkToFit="0" vertical="center" wrapText="1"/>
    </xf>
    <xf borderId="7" fillId="0" fontId="6" numFmtId="165" xfId="0" applyAlignment="1" applyBorder="1" applyFont="1" applyNumberFormat="1">
      <alignment horizontal="center" shrinkToFit="0" vertical="center" wrapText="1"/>
    </xf>
    <xf borderId="7" fillId="0" fontId="6" numFmtId="165" xfId="0" applyAlignment="1" applyBorder="1" applyFont="1" applyNumberFormat="1">
      <alignment vertical="center"/>
    </xf>
    <xf borderId="7" fillId="0" fontId="6" numFmtId="167" xfId="0" applyAlignment="1" applyBorder="1" applyFont="1" applyNumberFormat="1">
      <alignment horizontal="right" vertical="center"/>
    </xf>
    <xf borderId="14" fillId="0" fontId="6" numFmtId="164" xfId="0" applyAlignment="1" applyBorder="1" applyFont="1" applyNumberFormat="1">
      <alignment horizontal="right" vertical="center"/>
    </xf>
    <xf borderId="7" fillId="0" fontId="6" numFmtId="2" xfId="0" applyAlignment="1" applyBorder="1" applyFont="1" applyNumberFormat="1">
      <alignment horizontal="center" shrinkToFit="0" vertical="center" wrapText="1"/>
    </xf>
    <xf borderId="14" fillId="0" fontId="6" numFmtId="167" xfId="0" applyAlignment="1" applyBorder="1" applyFont="1" applyNumberFormat="1">
      <alignment readingOrder="0" vertical="center"/>
    </xf>
    <xf borderId="0" fillId="0" fontId="6" numFmtId="0" xfId="0" applyAlignment="1" applyFont="1">
      <alignment vertical="center"/>
    </xf>
    <xf borderId="15" fillId="0" fontId="6" numFmtId="167" xfId="0" applyAlignment="1" applyBorder="1" applyFont="1" applyNumberFormat="1">
      <alignment readingOrder="0" vertical="center"/>
    </xf>
    <xf borderId="15" fillId="0" fontId="6" numFmtId="167" xfId="0" applyAlignment="1" applyBorder="1" applyFont="1" applyNumberFormat="1">
      <alignment vertical="center"/>
    </xf>
    <xf borderId="6" fillId="6" fontId="7" numFmtId="0" xfId="0" applyAlignment="1" applyBorder="1" applyFont="1">
      <alignment horizontal="center" shrinkToFit="0" vertical="center" wrapText="1"/>
    </xf>
    <xf borderId="6" fillId="6" fontId="7" numFmtId="0" xfId="0" applyAlignment="1" applyBorder="1" applyFont="1">
      <alignment shrinkToFit="0" vertical="center" wrapText="1"/>
    </xf>
    <xf borderId="6" fillId="6" fontId="9" numFmtId="0" xfId="0" applyAlignment="1" applyBorder="1" applyFont="1">
      <alignment vertical="center"/>
    </xf>
    <xf borderId="5" fillId="4" fontId="6" numFmtId="2" xfId="0" applyAlignment="1" applyBorder="1" applyFont="1" applyNumberFormat="1">
      <alignment horizontal="center" vertical="center"/>
    </xf>
    <xf borderId="5" fillId="4" fontId="6" numFmtId="0" xfId="0" applyAlignment="1" applyBorder="1" applyFont="1">
      <alignment shrinkToFit="0" vertical="center" wrapText="1"/>
    </xf>
    <xf borderId="7" fillId="0" fontId="6" numFmtId="1" xfId="0" applyAlignment="1" applyBorder="1" applyFont="1" applyNumberFormat="1">
      <alignment readingOrder="0" vertical="center"/>
    </xf>
    <xf borderId="14" fillId="0" fontId="6" numFmtId="0" xfId="0" applyAlignment="1" applyBorder="1" applyFont="1">
      <alignment vertical="center"/>
    </xf>
    <xf borderId="0" fillId="0" fontId="5" numFmtId="0" xfId="0" applyAlignment="1" applyFont="1">
      <alignment horizontal="center" vertical="center"/>
    </xf>
    <xf borderId="0" fillId="0" fontId="5" numFmtId="164" xfId="0" applyAlignment="1" applyFont="1" applyNumberFormat="1">
      <alignment vertical="center"/>
    </xf>
    <xf borderId="0" fillId="0" fontId="10" numFmtId="164" xfId="0" applyAlignment="1" applyFont="1" applyNumberFormat="1">
      <alignment horizontal="center" vertical="center"/>
    </xf>
    <xf borderId="0" fillId="0" fontId="11" numFmtId="0" xfId="0" applyAlignment="1" applyFont="1">
      <alignment vertical="center"/>
    </xf>
    <xf borderId="2" fillId="4" fontId="10" numFmtId="0" xfId="0" applyAlignment="1" applyBorder="1" applyFont="1">
      <alignment shrinkToFit="0" vertical="center" wrapText="1"/>
    </xf>
    <xf borderId="19" fillId="0" fontId="2" numFmtId="0" xfId="0" applyBorder="1" applyFont="1"/>
    <xf borderId="20" fillId="4" fontId="5" numFmtId="0" xfId="0" applyAlignment="1" applyBorder="1" applyFont="1">
      <alignment vertical="center"/>
    </xf>
    <xf borderId="21" fillId="4" fontId="5" numFmtId="165" xfId="0" applyAlignment="1" applyBorder="1" applyFont="1" applyNumberFormat="1">
      <alignment horizontal="center" vertical="center"/>
    </xf>
    <xf borderId="22" fillId="4" fontId="5" numFmtId="165" xfId="0" applyAlignment="1" applyBorder="1" applyFont="1" applyNumberFormat="1">
      <alignment horizontal="center" vertical="center"/>
    </xf>
    <xf borderId="22" fillId="4" fontId="5" numFmtId="0" xfId="0" applyAlignment="1" applyBorder="1" applyFont="1">
      <alignment vertical="center"/>
    </xf>
    <xf borderId="12" fillId="3" fontId="10" numFmtId="0" xfId="0" applyAlignment="1" applyBorder="1" applyFont="1">
      <alignment horizontal="center" shrinkToFit="0" vertical="center" wrapText="1"/>
    </xf>
    <xf borderId="5" fillId="3" fontId="10" numFmtId="164" xfId="0" applyAlignment="1" applyBorder="1" applyFont="1" applyNumberFormat="1">
      <alignment horizontal="center" shrinkToFit="0" vertical="center" wrapText="1"/>
    </xf>
    <xf borderId="12" fillId="3" fontId="10" numFmtId="164" xfId="0" applyAlignment="1" applyBorder="1" applyFont="1" applyNumberFormat="1">
      <alignment horizontal="center" shrinkToFit="0" vertical="center" wrapText="1"/>
    </xf>
    <xf borderId="2" fillId="3" fontId="10" numFmtId="0" xfId="0" applyAlignment="1" applyBorder="1" applyFont="1">
      <alignment horizontal="center" shrinkToFit="0" vertical="center" wrapText="1"/>
    </xf>
    <xf borderId="2" fillId="3" fontId="10" numFmtId="165" xfId="0" applyAlignment="1" applyBorder="1" applyFont="1" applyNumberFormat="1">
      <alignment horizontal="center" shrinkToFit="0" vertical="center" wrapText="1"/>
    </xf>
    <xf borderId="12" fillId="3" fontId="10" numFmtId="165" xfId="0" applyAlignment="1" applyBorder="1" applyFont="1" applyNumberFormat="1">
      <alignment horizontal="center" shrinkToFit="0" vertical="center" wrapText="1"/>
    </xf>
    <xf borderId="5" fillId="3" fontId="10" numFmtId="164" xfId="0" applyAlignment="1" applyBorder="1" applyFont="1" applyNumberFormat="1">
      <alignment horizontal="center" vertical="center"/>
    </xf>
    <xf borderId="5" fillId="3" fontId="10" numFmtId="165" xfId="0" applyAlignment="1" applyBorder="1" applyFont="1" applyNumberFormat="1">
      <alignment horizontal="center" vertical="center"/>
    </xf>
    <xf borderId="16" fillId="0" fontId="10" numFmtId="168" xfId="0" applyAlignment="1" applyBorder="1" applyFont="1" applyNumberFormat="1">
      <alignment horizontal="center" shrinkToFit="0" vertical="center" wrapText="1"/>
    </xf>
    <xf borderId="23" fillId="4" fontId="10" numFmtId="0" xfId="0" applyAlignment="1" applyBorder="1" applyFont="1">
      <alignment shrinkToFit="0" vertical="center" wrapText="1"/>
    </xf>
    <xf borderId="23" fillId="4" fontId="5" numFmtId="0" xfId="0" applyAlignment="1" applyBorder="1" applyFont="1">
      <alignment vertical="center"/>
    </xf>
    <xf borderId="16" fillId="0" fontId="5" numFmtId="0" xfId="0" applyAlignment="1" applyBorder="1" applyFont="1">
      <alignment vertical="center"/>
    </xf>
    <xf borderId="16" fillId="0" fontId="5" numFmtId="165" xfId="0" applyAlignment="1" applyBorder="1" applyFont="1" applyNumberFormat="1">
      <alignment horizontal="center" vertical="center"/>
    </xf>
    <xf borderId="16" fillId="0" fontId="5" numFmtId="3" xfId="0" applyAlignment="1" applyBorder="1" applyFont="1" applyNumberFormat="1">
      <alignment vertical="center"/>
    </xf>
    <xf borderId="7" fillId="0" fontId="5" numFmtId="0" xfId="0" applyAlignment="1" applyBorder="1" applyFont="1">
      <alignment vertical="center"/>
    </xf>
    <xf borderId="5" fillId="0" fontId="5" numFmtId="0" xfId="0" applyAlignment="1" applyBorder="1" applyFont="1">
      <alignment shrinkToFit="0" vertical="center" wrapText="1"/>
    </xf>
    <xf borderId="7" fillId="4" fontId="5" numFmtId="0" xfId="0" applyAlignment="1" applyBorder="1" applyFont="1">
      <alignment horizontal="center" vertical="center"/>
    </xf>
    <xf borderId="7" fillId="0" fontId="5" numFmtId="3" xfId="0" applyAlignment="1" applyBorder="1" applyFont="1" applyNumberFormat="1">
      <alignment horizontal="center" vertical="center"/>
    </xf>
    <xf borderId="7" fillId="0" fontId="5" numFmtId="164" xfId="0" applyAlignment="1" applyBorder="1" applyFont="1" applyNumberFormat="1">
      <alignment vertical="center"/>
    </xf>
    <xf borderId="7" fillId="0" fontId="5" numFmtId="164" xfId="0" applyAlignment="1" applyBorder="1" applyFont="1" applyNumberFormat="1">
      <alignment readingOrder="0" vertical="center"/>
    </xf>
    <xf borderId="7" fillId="0" fontId="5" numFmtId="165" xfId="0" applyAlignment="1" applyBorder="1" applyFont="1" applyNumberFormat="1">
      <alignment horizontal="center" vertical="center"/>
    </xf>
    <xf borderId="7" fillId="0" fontId="5" numFmtId="165" xfId="0" applyAlignment="1" applyBorder="1" applyFont="1" applyNumberFormat="1">
      <alignment horizontal="center" shrinkToFit="0" vertical="center" wrapText="1"/>
    </xf>
    <xf borderId="7" fillId="0" fontId="5" numFmtId="3" xfId="0" applyAlignment="1" applyBorder="1" applyFont="1" applyNumberFormat="1">
      <alignment horizontal="right" shrinkToFit="0" vertical="center" wrapText="1"/>
    </xf>
    <xf borderId="7" fillId="4" fontId="5" numFmtId="0" xfId="0" applyAlignment="1" applyBorder="1" applyFont="1">
      <alignment vertical="center"/>
    </xf>
    <xf borderId="7" fillId="0" fontId="5" numFmtId="3" xfId="0" applyAlignment="1" applyBorder="1" applyFont="1" applyNumberFormat="1">
      <alignment vertical="center"/>
    </xf>
    <xf borderId="7" fillId="4" fontId="10" numFmtId="0" xfId="0" applyAlignment="1" applyBorder="1" applyFont="1">
      <alignment horizontal="center" shrinkToFit="0" vertical="center" wrapText="1"/>
    </xf>
    <xf borderId="7" fillId="4" fontId="10" numFmtId="0" xfId="0" applyAlignment="1" applyBorder="1" applyFont="1">
      <alignment shrinkToFit="0" vertical="center" wrapText="1"/>
    </xf>
    <xf borderId="7" fillId="4" fontId="5" numFmtId="0" xfId="0" applyAlignment="1" applyBorder="1" applyFont="1">
      <alignment shrinkToFit="0" vertical="center" wrapText="1"/>
    </xf>
    <xf borderId="7" fillId="4" fontId="5" numFmtId="0" xfId="0" applyAlignment="1" applyBorder="1" applyFont="1">
      <alignment horizontal="center" shrinkToFit="0" vertical="center" wrapText="1"/>
    </xf>
    <xf borderId="7" fillId="0" fontId="5" numFmtId="3" xfId="0" applyAlignment="1" applyBorder="1" applyFont="1" applyNumberFormat="1">
      <alignment horizontal="right" vertical="center"/>
    </xf>
    <xf borderId="7" fillId="0" fontId="10" numFmtId="168" xfId="0" applyAlignment="1" applyBorder="1" applyFont="1" applyNumberFormat="1">
      <alignment horizontal="center" shrinkToFit="0" vertical="center" wrapText="1"/>
    </xf>
    <xf borderId="7" fillId="0" fontId="10" numFmtId="0" xfId="0" applyAlignment="1" applyBorder="1" applyFont="1">
      <alignment shrinkToFit="0" vertical="center" wrapText="1"/>
    </xf>
    <xf borderId="7" fillId="0" fontId="5" numFmtId="0" xfId="0" applyAlignment="1" applyBorder="1" applyFont="1">
      <alignment shrinkToFit="0" vertical="center" wrapText="1"/>
    </xf>
    <xf borderId="7" fillId="4" fontId="5" numFmtId="168" xfId="0" applyAlignment="1" applyBorder="1" applyFont="1" applyNumberFormat="1">
      <alignment vertical="center"/>
    </xf>
    <xf borderId="7" fillId="4" fontId="5" numFmtId="169" xfId="0" applyAlignment="1" applyBorder="1" applyFont="1" applyNumberFormat="1">
      <alignment horizontal="center" shrinkToFit="0" vertical="center" wrapText="1"/>
    </xf>
    <xf borderId="7" fillId="0" fontId="5" numFmtId="0" xfId="0" applyAlignment="1" applyBorder="1" applyFont="1">
      <alignment horizontal="center" vertical="center"/>
    </xf>
    <xf borderId="7" fillId="4" fontId="5" numFmtId="168" xfId="0" applyAlignment="1" applyBorder="1" applyFont="1" applyNumberFormat="1">
      <alignment horizontal="center" shrinkToFit="0" vertical="center" wrapText="1"/>
    </xf>
    <xf borderId="7" fillId="7" fontId="5" numFmtId="164" xfId="0" applyAlignment="1" applyBorder="1" applyFill="1" applyFont="1" applyNumberFormat="1">
      <alignment readingOrder="0" vertical="center"/>
    </xf>
    <xf borderId="14" fillId="0" fontId="5" numFmtId="0" xfId="0" applyAlignment="1" applyBorder="1" applyFont="1">
      <alignment vertical="center"/>
    </xf>
    <xf borderId="18" fillId="4" fontId="5" numFmtId="0" xfId="0" applyAlignment="1" applyBorder="1" applyFont="1">
      <alignment vertical="center"/>
    </xf>
    <xf borderId="14" fillId="0" fontId="5" numFmtId="164" xfId="0" applyAlignment="1" applyBorder="1" applyFont="1" applyNumberFormat="1">
      <alignment vertical="center"/>
    </xf>
    <xf borderId="14" fillId="0" fontId="5" numFmtId="3" xfId="0" applyAlignment="1" applyBorder="1" applyFont="1" applyNumberFormat="1">
      <alignment vertical="center"/>
    </xf>
    <xf borderId="14" fillId="0" fontId="5" numFmtId="165" xfId="0" applyAlignment="1" applyBorder="1" applyFont="1" applyNumberFormat="1">
      <alignment horizontal="center" vertical="center"/>
    </xf>
    <xf borderId="5" fillId="3" fontId="5" numFmtId="168" xfId="0" applyAlignment="1" applyBorder="1" applyFont="1" applyNumberFormat="1">
      <alignment vertical="center"/>
    </xf>
    <xf borderId="5" fillId="3" fontId="10" numFmtId="170" xfId="0" applyAlignment="1" applyBorder="1" applyFont="1" applyNumberFormat="1">
      <alignment shrinkToFit="0" vertical="center" wrapText="1"/>
    </xf>
    <xf borderId="5" fillId="3" fontId="5" numFmtId="170" xfId="0" applyAlignment="1" applyBorder="1" applyFont="1" applyNumberFormat="1">
      <alignment vertical="center"/>
    </xf>
    <xf borderId="5" fillId="3" fontId="5" numFmtId="164" xfId="0" applyAlignment="1" applyBorder="1" applyFont="1" applyNumberFormat="1">
      <alignment vertical="center"/>
    </xf>
    <xf borderId="5" fillId="3" fontId="5" numFmtId="165" xfId="0" applyAlignment="1" applyBorder="1" applyFont="1" applyNumberFormat="1">
      <alignment horizontal="center" vertical="center"/>
    </xf>
    <xf borderId="5" fillId="3" fontId="5" numFmtId="164" xfId="0" applyAlignment="1" applyBorder="1" applyFont="1" applyNumberFormat="1">
      <alignment horizontal="center" vertical="center"/>
    </xf>
    <xf borderId="0" fillId="0" fontId="5" numFmtId="165" xfId="0" applyAlignment="1" applyFont="1" applyNumberFormat="1">
      <alignment horizontal="center" vertical="center"/>
    </xf>
    <xf borderId="24" fillId="4" fontId="10" numFmtId="0" xfId="0" applyAlignment="1" applyBorder="1" applyFont="1">
      <alignment horizontal="center" vertical="center"/>
    </xf>
    <xf borderId="22" fillId="4" fontId="10" numFmtId="0" xfId="0" applyAlignment="1" applyBorder="1" applyFont="1">
      <alignment vertical="center"/>
    </xf>
    <xf borderId="22" fillId="4" fontId="10" numFmtId="0" xfId="0" applyAlignment="1" applyBorder="1" applyFont="1">
      <alignment shrinkToFit="0" vertical="center" wrapText="1"/>
    </xf>
    <xf borderId="22" fillId="4" fontId="10" numFmtId="171" xfId="0" applyAlignment="1" applyBorder="1" applyFont="1" applyNumberFormat="1">
      <alignment vertical="center"/>
    </xf>
    <xf borderId="22" fillId="4" fontId="10" numFmtId="172" xfId="0" applyAlignment="1" applyBorder="1" applyFont="1" applyNumberFormat="1">
      <alignment vertical="center"/>
    </xf>
    <xf borderId="0" fillId="0" fontId="10" numFmtId="0" xfId="0" applyAlignment="1" applyFont="1">
      <alignment vertical="center"/>
    </xf>
    <xf borderId="12" fillId="3" fontId="10" numFmtId="0" xfId="0" applyAlignment="1" applyBorder="1" applyFont="1">
      <alignment horizontal="center" vertical="center"/>
    </xf>
    <xf borderId="12" fillId="3" fontId="10" numFmtId="171" xfId="0" applyAlignment="1" applyBorder="1" applyFont="1" applyNumberFormat="1">
      <alignment horizontal="center" shrinkToFit="0" vertical="center" wrapText="1"/>
    </xf>
    <xf borderId="7" fillId="4" fontId="5" numFmtId="1" xfId="0" applyAlignment="1" applyBorder="1" applyFont="1" applyNumberFormat="1">
      <alignment vertical="center"/>
    </xf>
    <xf borderId="7" fillId="4" fontId="5" numFmtId="171" xfId="0" applyAlignment="1" applyBorder="1" applyFont="1" applyNumberFormat="1">
      <alignment vertical="center"/>
    </xf>
    <xf borderId="7" fillId="0" fontId="5" numFmtId="171" xfId="0" applyAlignment="1" applyBorder="1" applyFont="1" applyNumberFormat="1">
      <alignment vertical="center"/>
    </xf>
    <xf borderId="7" fillId="4" fontId="12" numFmtId="0" xfId="0" applyAlignment="1" applyBorder="1" applyFont="1">
      <alignment shrinkToFit="0" vertical="center" wrapText="1"/>
    </xf>
    <xf borderId="7" fillId="0" fontId="10" numFmtId="0" xfId="0" applyAlignment="1" applyBorder="1" applyFont="1">
      <alignment horizontal="center" vertical="center"/>
    </xf>
    <xf borderId="7" fillId="0" fontId="5" numFmtId="1" xfId="0" applyAlignment="1" applyBorder="1" applyFont="1" applyNumberFormat="1">
      <alignment horizontal="right" vertical="center"/>
    </xf>
    <xf borderId="7" fillId="7" fontId="5" numFmtId="171" xfId="0" applyAlignment="1" applyBorder="1" applyFont="1" applyNumberFormat="1">
      <alignment vertical="center"/>
    </xf>
    <xf borderId="7" fillId="4" fontId="5" numFmtId="165" xfId="0" applyAlignment="1" applyBorder="1" applyFont="1" applyNumberFormat="1">
      <alignment horizontal="center" shrinkToFit="0" vertical="center" wrapText="1"/>
    </xf>
    <xf borderId="7" fillId="0" fontId="5" numFmtId="1" xfId="0" applyAlignment="1" applyBorder="1" applyFont="1" applyNumberFormat="1">
      <alignment vertical="center"/>
    </xf>
    <xf borderId="18" fillId="4" fontId="5" numFmtId="1" xfId="0" applyAlignment="1" applyBorder="1" applyFont="1" applyNumberFormat="1">
      <alignment vertical="center"/>
    </xf>
    <xf borderId="18" fillId="4" fontId="5" numFmtId="171" xfId="0" applyAlignment="1" applyBorder="1" applyFont="1" applyNumberFormat="1">
      <alignment vertical="center"/>
    </xf>
    <xf borderId="14" fillId="0" fontId="5" numFmtId="171" xfId="0" applyAlignment="1" applyBorder="1" applyFont="1" applyNumberFormat="1">
      <alignment vertical="center"/>
    </xf>
    <xf borderId="5" fillId="3" fontId="5" numFmtId="0" xfId="0" applyAlignment="1" applyBorder="1" applyFont="1">
      <alignment vertical="center"/>
    </xf>
    <xf borderId="5" fillId="3" fontId="10" numFmtId="0" xfId="0" applyAlignment="1" applyBorder="1" applyFont="1">
      <alignment horizontal="center" shrinkToFit="0" vertical="center" wrapText="1"/>
    </xf>
    <xf borderId="5" fillId="3" fontId="5" numFmtId="171" xfId="0" applyAlignment="1" applyBorder="1" applyFont="1" applyNumberFormat="1">
      <alignment vertical="center"/>
    </xf>
    <xf borderId="5" fillId="3" fontId="10" numFmtId="165" xfId="0" applyAlignment="1" applyBorder="1" applyFont="1" applyNumberFormat="1">
      <alignment horizontal="center" shrinkToFit="0" vertical="center" wrapText="1"/>
    </xf>
    <xf borderId="0" fillId="0" fontId="5" numFmtId="171" xfId="0" applyAlignment="1" applyFont="1" applyNumberFormat="1">
      <alignment vertical="center"/>
    </xf>
    <xf borderId="0" fillId="0" fontId="3" numFmtId="0" xfId="0" applyAlignment="1" applyFont="1">
      <alignment vertical="center"/>
    </xf>
    <xf borderId="0" fillId="0" fontId="11" numFmtId="0" xfId="0" applyAlignment="1" applyFont="1">
      <alignment horizontal="left" vertical="center"/>
    </xf>
    <xf borderId="0" fillId="0" fontId="11" numFmtId="0" xfId="0" applyAlignment="1" applyFont="1">
      <alignment horizontal="center" vertical="center"/>
    </xf>
    <xf borderId="5" fillId="3" fontId="13" numFmtId="0" xfId="0" applyAlignment="1" applyBorder="1" applyFont="1">
      <alignment horizontal="center" vertical="center"/>
    </xf>
    <xf borderId="0" fillId="0"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38"/>
    <col customWidth="1" min="2" max="2" width="33.38"/>
    <col customWidth="1" min="3" max="3" width="13.25"/>
    <col customWidth="1" min="4" max="4" width="9.88"/>
    <col customWidth="1" min="5" max="5" width="11.75"/>
    <col customWidth="1" min="6" max="6" width="9.13"/>
    <col customWidth="1" min="7" max="26" width="8.63"/>
  </cols>
  <sheetData>
    <row r="1" ht="14.25" customHeight="1">
      <c r="A1" s="1" t="s">
        <v>0</v>
      </c>
      <c r="B1" s="1"/>
      <c r="C1" s="2"/>
      <c r="D1" s="1"/>
      <c r="E1" s="1"/>
      <c r="F1" s="1"/>
      <c r="G1" s="1"/>
      <c r="H1" s="1"/>
      <c r="I1" s="1"/>
      <c r="J1" s="1"/>
      <c r="K1" s="1"/>
      <c r="L1" s="1"/>
      <c r="M1" s="1"/>
      <c r="N1" s="1"/>
      <c r="O1" s="1"/>
      <c r="P1" s="1"/>
      <c r="Q1" s="1"/>
      <c r="R1" s="1"/>
      <c r="S1" s="1"/>
      <c r="T1" s="1"/>
      <c r="U1" s="1"/>
      <c r="V1" s="1"/>
      <c r="W1" s="1"/>
      <c r="X1" s="1"/>
      <c r="Y1" s="1"/>
      <c r="Z1" s="1"/>
    </row>
    <row r="2" ht="14.25" customHeight="1">
      <c r="A2" s="1" t="s">
        <v>1</v>
      </c>
      <c r="B2" s="1"/>
      <c r="C2" s="2"/>
      <c r="D2" s="1"/>
      <c r="E2" s="1"/>
      <c r="F2" s="1"/>
      <c r="G2" s="1"/>
      <c r="H2" s="1"/>
      <c r="I2" s="1"/>
      <c r="J2" s="1"/>
      <c r="K2" s="1"/>
      <c r="L2" s="1"/>
      <c r="M2" s="1"/>
      <c r="N2" s="1"/>
      <c r="O2" s="1"/>
      <c r="P2" s="1"/>
      <c r="Q2" s="1"/>
      <c r="R2" s="1"/>
      <c r="S2" s="1"/>
      <c r="T2" s="1"/>
      <c r="U2" s="1"/>
      <c r="V2" s="1"/>
      <c r="W2" s="1"/>
      <c r="X2" s="1"/>
      <c r="Y2" s="1"/>
      <c r="Z2" s="1"/>
    </row>
    <row r="3" ht="14.25" customHeight="1">
      <c r="A3" s="1" t="s">
        <v>2</v>
      </c>
      <c r="B3" s="1"/>
      <c r="C3" s="2"/>
      <c r="D3" s="1"/>
      <c r="E3" s="1"/>
      <c r="F3" s="1"/>
      <c r="G3" s="1"/>
      <c r="H3" s="1"/>
      <c r="I3" s="1"/>
      <c r="J3" s="1"/>
      <c r="K3" s="1"/>
      <c r="L3" s="1"/>
      <c r="M3" s="1"/>
      <c r="N3" s="1"/>
      <c r="O3" s="1"/>
      <c r="P3" s="1"/>
      <c r="Q3" s="1"/>
      <c r="R3" s="1"/>
      <c r="S3" s="1"/>
      <c r="T3" s="1"/>
      <c r="U3" s="1"/>
      <c r="V3" s="1"/>
      <c r="W3" s="1"/>
      <c r="X3" s="1"/>
      <c r="Y3" s="1"/>
      <c r="Z3" s="1"/>
    </row>
    <row r="4" ht="14.25" customHeight="1">
      <c r="A4" s="3" t="s">
        <v>3</v>
      </c>
      <c r="B4" s="4"/>
      <c r="C4" s="4"/>
      <c r="D4" s="5"/>
      <c r="E4" s="6"/>
      <c r="F4" s="6"/>
      <c r="G4" s="6"/>
      <c r="H4" s="6"/>
      <c r="I4" s="6"/>
      <c r="J4" s="6"/>
      <c r="K4" s="6"/>
      <c r="L4" s="6"/>
      <c r="M4" s="6"/>
      <c r="N4" s="6"/>
      <c r="O4" s="6"/>
      <c r="P4" s="6"/>
      <c r="Q4" s="6"/>
      <c r="R4" s="6"/>
      <c r="S4" s="6"/>
      <c r="T4" s="6"/>
      <c r="U4" s="6"/>
      <c r="V4" s="6"/>
      <c r="W4" s="6"/>
      <c r="X4" s="6"/>
      <c r="Y4" s="6"/>
      <c r="Z4" s="6"/>
    </row>
    <row r="5" ht="14.25" customHeight="1">
      <c r="A5" s="7" t="s">
        <v>4</v>
      </c>
      <c r="B5" s="7" t="s">
        <v>5</v>
      </c>
      <c r="C5" s="8" t="s">
        <v>6</v>
      </c>
      <c r="D5" s="7" t="s">
        <v>7</v>
      </c>
      <c r="E5" s="6"/>
      <c r="F5" s="6"/>
      <c r="G5" s="6"/>
      <c r="H5" s="6"/>
      <c r="I5" s="6"/>
      <c r="J5" s="6"/>
      <c r="K5" s="6"/>
      <c r="L5" s="6"/>
      <c r="M5" s="6"/>
      <c r="N5" s="6"/>
      <c r="O5" s="6"/>
      <c r="P5" s="6"/>
      <c r="Q5" s="6"/>
      <c r="R5" s="6"/>
      <c r="S5" s="6"/>
      <c r="T5" s="6"/>
      <c r="U5" s="6"/>
      <c r="V5" s="6"/>
      <c r="W5" s="6"/>
      <c r="X5" s="6"/>
      <c r="Y5" s="6"/>
      <c r="Z5" s="6"/>
    </row>
    <row r="6" ht="14.25" customHeight="1">
      <c r="A6" s="9"/>
      <c r="B6" s="9"/>
      <c r="C6" s="10"/>
      <c r="D6" s="9"/>
      <c r="E6" s="6"/>
      <c r="F6" s="6"/>
      <c r="G6" s="6"/>
      <c r="H6" s="6"/>
      <c r="I6" s="6"/>
      <c r="J6" s="6"/>
      <c r="K6" s="6"/>
      <c r="L6" s="6"/>
      <c r="M6" s="6"/>
      <c r="N6" s="6"/>
      <c r="O6" s="6"/>
      <c r="P6" s="6"/>
      <c r="Q6" s="6"/>
      <c r="R6" s="6"/>
      <c r="S6" s="6"/>
      <c r="T6" s="6"/>
      <c r="U6" s="6"/>
      <c r="V6" s="6"/>
      <c r="W6" s="6"/>
      <c r="X6" s="6"/>
      <c r="Y6" s="6"/>
      <c r="Z6" s="6"/>
    </row>
    <row r="7" ht="14.25" customHeight="1">
      <c r="A7" s="11">
        <v>1.0</v>
      </c>
      <c r="B7" s="12" t="s">
        <v>8</v>
      </c>
      <c r="C7" s="13">
        <f>'BOQ_HVAC Lowside works'!L296</f>
        <v>6931014</v>
      </c>
      <c r="D7" s="12"/>
      <c r="E7" s="6"/>
      <c r="F7" s="6"/>
      <c r="G7" s="6"/>
      <c r="H7" s="6"/>
      <c r="I7" s="6"/>
      <c r="J7" s="6"/>
      <c r="K7" s="6"/>
      <c r="L7" s="6"/>
      <c r="M7" s="6"/>
      <c r="N7" s="6"/>
      <c r="O7" s="6"/>
      <c r="P7" s="6"/>
      <c r="Q7" s="6"/>
      <c r="R7" s="6"/>
      <c r="S7" s="6"/>
      <c r="T7" s="6"/>
      <c r="U7" s="6"/>
      <c r="V7" s="6"/>
      <c r="W7" s="6"/>
      <c r="X7" s="6"/>
      <c r="Y7" s="6"/>
      <c r="Z7" s="6"/>
    </row>
    <row r="8" ht="14.25" customHeight="1">
      <c r="A8" s="11">
        <v>2.0</v>
      </c>
      <c r="B8" s="12" t="s">
        <v>9</v>
      </c>
      <c r="C8" s="13">
        <f>'BOQ_HVAC LEED &amp; WELL'!K27</f>
        <v>479250</v>
      </c>
      <c r="D8" s="12"/>
      <c r="E8" s="6"/>
      <c r="F8" s="6"/>
      <c r="G8" s="6"/>
      <c r="H8" s="6"/>
      <c r="I8" s="6"/>
      <c r="J8" s="6"/>
      <c r="K8" s="6"/>
      <c r="L8" s="6"/>
      <c r="M8" s="6"/>
      <c r="N8" s="6"/>
      <c r="O8" s="6"/>
      <c r="P8" s="6"/>
      <c r="Q8" s="6"/>
      <c r="R8" s="6"/>
      <c r="S8" s="6"/>
      <c r="T8" s="6"/>
      <c r="U8" s="6"/>
      <c r="V8" s="6"/>
      <c r="W8" s="6"/>
      <c r="X8" s="6"/>
      <c r="Y8" s="6"/>
      <c r="Z8" s="6"/>
    </row>
    <row r="9" ht="14.25" customHeight="1">
      <c r="A9" s="11">
        <v>3.0</v>
      </c>
      <c r="B9" s="12" t="s">
        <v>10</v>
      </c>
      <c r="C9" s="13">
        <f>BOQ_LEED!H18</f>
        <v>0</v>
      </c>
      <c r="D9" s="12"/>
      <c r="E9" s="6"/>
      <c r="F9" s="6"/>
      <c r="G9" s="6"/>
      <c r="H9" s="6"/>
      <c r="I9" s="6"/>
      <c r="J9" s="6"/>
      <c r="K9" s="6"/>
      <c r="L9" s="6"/>
      <c r="M9" s="6"/>
      <c r="N9" s="6"/>
      <c r="O9" s="6"/>
      <c r="P9" s="6"/>
      <c r="Q9" s="6"/>
      <c r="R9" s="6"/>
      <c r="S9" s="6"/>
      <c r="T9" s="6"/>
      <c r="U9" s="6"/>
      <c r="V9" s="6"/>
      <c r="W9" s="6"/>
      <c r="X9" s="6"/>
      <c r="Y9" s="6"/>
      <c r="Z9" s="6"/>
    </row>
    <row r="10" ht="14.25" customHeight="1">
      <c r="A10" s="14"/>
      <c r="B10" s="14"/>
      <c r="C10" s="15"/>
      <c r="D10" s="14"/>
      <c r="E10" s="6"/>
      <c r="F10" s="6"/>
      <c r="G10" s="6"/>
      <c r="H10" s="6"/>
      <c r="I10" s="6"/>
      <c r="J10" s="6"/>
      <c r="K10" s="6"/>
      <c r="L10" s="6"/>
      <c r="M10" s="6"/>
      <c r="N10" s="6"/>
      <c r="O10" s="6"/>
      <c r="P10" s="6"/>
      <c r="Q10" s="6"/>
      <c r="R10" s="6"/>
      <c r="S10" s="6"/>
      <c r="T10" s="6"/>
      <c r="U10" s="6"/>
      <c r="V10" s="6"/>
      <c r="W10" s="6"/>
      <c r="X10" s="6"/>
      <c r="Y10" s="6"/>
      <c r="Z10" s="6"/>
    </row>
    <row r="11" ht="14.25" customHeight="1">
      <c r="A11" s="7"/>
      <c r="B11" s="16" t="s">
        <v>11</v>
      </c>
      <c r="C11" s="8">
        <f>SUM(C7:C9)</f>
        <v>7410264</v>
      </c>
      <c r="D11" s="17"/>
      <c r="E11" s="18">
        <f>'BOQ_HVAC Lowside works'!N296+'BOQ_HVAC LEED &amp; WELL'!M27+BOQ_LEED!J18</f>
        <v>7410264</v>
      </c>
      <c r="F11" s="19" t="b">
        <f>E11=C11</f>
        <v>1</v>
      </c>
      <c r="G11" s="6"/>
      <c r="H11" s="6"/>
      <c r="I11" s="6"/>
      <c r="J11" s="6"/>
      <c r="K11" s="6"/>
      <c r="L11" s="6"/>
      <c r="M11" s="6"/>
      <c r="N11" s="6"/>
      <c r="O11" s="6"/>
      <c r="P11" s="6"/>
      <c r="Q11" s="6"/>
      <c r="R11" s="6"/>
      <c r="S11" s="6"/>
      <c r="T11" s="6"/>
      <c r="U11" s="6"/>
      <c r="V11" s="6"/>
      <c r="W11" s="6"/>
      <c r="X11" s="6"/>
      <c r="Y11" s="6"/>
      <c r="Z11" s="6"/>
    </row>
    <row r="12" ht="14.25" customHeight="1">
      <c r="A12" s="6"/>
      <c r="B12" s="6"/>
      <c r="C12" s="20"/>
      <c r="D12" s="6"/>
      <c r="E12" s="6"/>
      <c r="F12" s="6"/>
      <c r="G12" s="6"/>
      <c r="H12" s="6"/>
      <c r="I12" s="6"/>
      <c r="J12" s="6"/>
      <c r="K12" s="6"/>
      <c r="L12" s="6"/>
      <c r="M12" s="6"/>
      <c r="N12" s="6"/>
      <c r="O12" s="6"/>
      <c r="P12" s="6"/>
      <c r="Q12" s="6"/>
      <c r="R12" s="6"/>
      <c r="S12" s="6"/>
      <c r="T12" s="6"/>
      <c r="U12" s="6"/>
      <c r="V12" s="6"/>
      <c r="W12" s="6"/>
      <c r="X12" s="6"/>
      <c r="Y12" s="6"/>
      <c r="Z12" s="6"/>
    </row>
    <row r="13" ht="14.25" customHeight="1">
      <c r="A13" s="6"/>
      <c r="B13" s="6"/>
      <c r="C13" s="20"/>
      <c r="D13" s="6"/>
      <c r="E13" s="6"/>
      <c r="F13" s="6"/>
      <c r="G13" s="6"/>
      <c r="H13" s="6"/>
      <c r="I13" s="6"/>
      <c r="J13" s="6"/>
      <c r="K13" s="6"/>
      <c r="L13" s="6"/>
      <c r="M13" s="6"/>
      <c r="N13" s="6"/>
      <c r="O13" s="6"/>
      <c r="P13" s="6"/>
      <c r="Q13" s="6"/>
      <c r="R13" s="6"/>
      <c r="S13" s="6"/>
      <c r="T13" s="6"/>
      <c r="U13" s="6"/>
      <c r="V13" s="6"/>
      <c r="W13" s="6"/>
      <c r="X13" s="6"/>
      <c r="Y13" s="6"/>
      <c r="Z13" s="6"/>
    </row>
    <row r="14" ht="14.25" customHeight="1">
      <c r="A14" s="6"/>
      <c r="B14" s="6"/>
      <c r="C14" s="20"/>
      <c r="D14" s="6"/>
      <c r="E14" s="6"/>
      <c r="F14" s="6"/>
      <c r="G14" s="6"/>
      <c r="H14" s="6"/>
      <c r="I14" s="6"/>
      <c r="J14" s="6"/>
      <c r="K14" s="6"/>
      <c r="L14" s="6"/>
      <c r="M14" s="6"/>
      <c r="N14" s="6"/>
      <c r="O14" s="6"/>
      <c r="P14" s="6"/>
      <c r="Q14" s="6"/>
      <c r="R14" s="6"/>
      <c r="S14" s="6"/>
      <c r="T14" s="6"/>
      <c r="U14" s="6"/>
      <c r="V14" s="6"/>
      <c r="W14" s="6"/>
      <c r="X14" s="6"/>
      <c r="Y14" s="6"/>
      <c r="Z14" s="6"/>
    </row>
    <row r="15" ht="14.25" customHeight="1">
      <c r="A15" s="6"/>
      <c r="B15" s="6"/>
      <c r="C15" s="20"/>
      <c r="D15" s="6"/>
      <c r="E15" s="6"/>
      <c r="F15" s="6"/>
      <c r="G15" s="6"/>
      <c r="H15" s="6"/>
      <c r="I15" s="6"/>
      <c r="J15" s="6"/>
      <c r="K15" s="6"/>
      <c r="L15" s="6"/>
      <c r="M15" s="6"/>
      <c r="N15" s="6"/>
      <c r="O15" s="6"/>
      <c r="P15" s="6"/>
      <c r="Q15" s="6"/>
      <c r="R15" s="6"/>
      <c r="S15" s="6"/>
      <c r="T15" s="6"/>
      <c r="U15" s="6"/>
      <c r="V15" s="6"/>
      <c r="W15" s="6"/>
      <c r="X15" s="6"/>
      <c r="Y15" s="6"/>
      <c r="Z15" s="6"/>
    </row>
    <row r="16" ht="14.25" customHeight="1">
      <c r="A16" s="6"/>
      <c r="B16" s="6"/>
      <c r="C16" s="20"/>
      <c r="D16" s="6"/>
      <c r="E16" s="6"/>
      <c r="F16" s="6"/>
      <c r="G16" s="6"/>
      <c r="H16" s="6"/>
      <c r="I16" s="6"/>
      <c r="J16" s="6"/>
      <c r="K16" s="6"/>
      <c r="L16" s="6"/>
      <c r="M16" s="6"/>
      <c r="N16" s="6"/>
      <c r="O16" s="6"/>
      <c r="P16" s="6"/>
      <c r="Q16" s="6"/>
      <c r="R16" s="6"/>
      <c r="S16" s="6"/>
      <c r="T16" s="6"/>
      <c r="U16" s="6"/>
      <c r="V16" s="6"/>
      <c r="W16" s="6"/>
      <c r="X16" s="6"/>
      <c r="Y16" s="6"/>
      <c r="Z16" s="6"/>
    </row>
    <row r="17" ht="14.25" customHeight="1">
      <c r="A17" s="6"/>
      <c r="B17" s="6"/>
      <c r="C17" s="20"/>
      <c r="D17" s="6"/>
      <c r="E17" s="6"/>
      <c r="F17" s="6"/>
      <c r="G17" s="6"/>
      <c r="H17" s="6"/>
      <c r="I17" s="6"/>
      <c r="J17" s="6"/>
      <c r="K17" s="6"/>
      <c r="L17" s="6"/>
      <c r="M17" s="6"/>
      <c r="N17" s="6"/>
      <c r="O17" s="6"/>
      <c r="P17" s="6"/>
      <c r="Q17" s="6"/>
      <c r="R17" s="6"/>
      <c r="S17" s="6"/>
      <c r="T17" s="6"/>
      <c r="U17" s="6"/>
      <c r="V17" s="6"/>
      <c r="W17" s="6"/>
      <c r="X17" s="6"/>
      <c r="Y17" s="6"/>
      <c r="Z17" s="6"/>
    </row>
    <row r="18" ht="14.25" customHeight="1">
      <c r="A18" s="6"/>
      <c r="B18" s="6"/>
      <c r="C18" s="20"/>
      <c r="D18" s="6"/>
      <c r="E18" s="6"/>
      <c r="F18" s="6"/>
      <c r="G18" s="6"/>
      <c r="H18" s="6"/>
      <c r="I18" s="6"/>
      <c r="J18" s="6"/>
      <c r="K18" s="6"/>
      <c r="L18" s="6"/>
      <c r="M18" s="6"/>
      <c r="N18" s="6"/>
      <c r="O18" s="6"/>
      <c r="P18" s="6"/>
      <c r="Q18" s="6"/>
      <c r="R18" s="6"/>
      <c r="S18" s="6"/>
      <c r="T18" s="6"/>
      <c r="U18" s="6"/>
      <c r="V18" s="6"/>
      <c r="W18" s="6"/>
      <c r="X18" s="6"/>
      <c r="Y18" s="6"/>
      <c r="Z18" s="6"/>
    </row>
    <row r="19" ht="14.25" customHeight="1">
      <c r="A19" s="6"/>
      <c r="B19" s="6"/>
      <c r="C19" s="20"/>
      <c r="D19" s="6"/>
      <c r="E19" s="6"/>
      <c r="F19" s="6"/>
      <c r="G19" s="6"/>
      <c r="H19" s="6"/>
      <c r="I19" s="6"/>
      <c r="J19" s="6"/>
      <c r="K19" s="6"/>
      <c r="L19" s="6"/>
      <c r="M19" s="6"/>
      <c r="N19" s="6"/>
      <c r="O19" s="6"/>
      <c r="P19" s="6"/>
      <c r="Q19" s="6"/>
      <c r="R19" s="6"/>
      <c r="S19" s="6"/>
      <c r="T19" s="6"/>
      <c r="U19" s="6"/>
      <c r="V19" s="6"/>
      <c r="W19" s="6"/>
      <c r="X19" s="6"/>
      <c r="Y19" s="6"/>
      <c r="Z19" s="6"/>
    </row>
    <row r="20" ht="14.25" customHeight="1">
      <c r="A20" s="6"/>
      <c r="B20" s="6"/>
      <c r="C20" s="20"/>
      <c r="D20" s="6"/>
      <c r="E20" s="6"/>
      <c r="F20" s="6"/>
      <c r="G20" s="6"/>
      <c r="H20" s="6"/>
      <c r="I20" s="6"/>
      <c r="J20" s="6"/>
      <c r="K20" s="6"/>
      <c r="L20" s="6"/>
      <c r="M20" s="6"/>
      <c r="N20" s="6"/>
      <c r="O20" s="6"/>
      <c r="P20" s="6"/>
      <c r="Q20" s="6"/>
      <c r="R20" s="6"/>
      <c r="S20" s="6"/>
      <c r="T20" s="6"/>
      <c r="U20" s="6"/>
      <c r="V20" s="6"/>
      <c r="W20" s="6"/>
      <c r="X20" s="6"/>
      <c r="Y20" s="6"/>
      <c r="Z20" s="6"/>
    </row>
    <row r="21" ht="14.25" customHeight="1">
      <c r="A21" s="6"/>
      <c r="B21" s="6"/>
      <c r="C21" s="20"/>
      <c r="D21" s="6"/>
      <c r="E21" s="6"/>
      <c r="F21" s="6"/>
      <c r="G21" s="6"/>
      <c r="H21" s="6"/>
      <c r="I21" s="6"/>
      <c r="J21" s="6"/>
      <c r="K21" s="6"/>
      <c r="L21" s="6"/>
      <c r="M21" s="6"/>
      <c r="N21" s="6"/>
      <c r="O21" s="6"/>
      <c r="P21" s="6"/>
      <c r="Q21" s="6"/>
      <c r="R21" s="6"/>
      <c r="S21" s="6"/>
      <c r="T21" s="6"/>
      <c r="U21" s="6"/>
      <c r="V21" s="6"/>
      <c r="W21" s="6"/>
      <c r="X21" s="6"/>
      <c r="Y21" s="6"/>
      <c r="Z21" s="6"/>
    </row>
    <row r="22" ht="14.25" customHeight="1">
      <c r="A22" s="6"/>
      <c r="B22" s="6"/>
      <c r="C22" s="20"/>
      <c r="D22" s="6"/>
      <c r="E22" s="6"/>
      <c r="F22" s="6"/>
      <c r="G22" s="6"/>
      <c r="H22" s="6"/>
      <c r="I22" s="6"/>
      <c r="J22" s="6"/>
      <c r="K22" s="6"/>
      <c r="L22" s="6"/>
      <c r="M22" s="6"/>
      <c r="N22" s="6"/>
      <c r="O22" s="6"/>
      <c r="P22" s="6"/>
      <c r="Q22" s="6"/>
      <c r="R22" s="6"/>
      <c r="S22" s="6"/>
      <c r="T22" s="6"/>
      <c r="U22" s="6"/>
      <c r="V22" s="6"/>
      <c r="W22" s="6"/>
      <c r="X22" s="6"/>
      <c r="Y22" s="6"/>
      <c r="Z22" s="6"/>
    </row>
    <row r="23" ht="14.25" customHeight="1">
      <c r="A23" s="6"/>
      <c r="B23" s="6"/>
      <c r="C23" s="20"/>
      <c r="D23" s="6"/>
      <c r="E23" s="6"/>
      <c r="F23" s="6"/>
      <c r="G23" s="6"/>
      <c r="H23" s="6"/>
      <c r="I23" s="6"/>
      <c r="J23" s="6"/>
      <c r="K23" s="6"/>
      <c r="L23" s="6"/>
      <c r="M23" s="6"/>
      <c r="N23" s="6"/>
      <c r="O23" s="6"/>
      <c r="P23" s="6"/>
      <c r="Q23" s="6"/>
      <c r="R23" s="6"/>
      <c r="S23" s="6"/>
      <c r="T23" s="6"/>
      <c r="U23" s="6"/>
      <c r="V23" s="6"/>
      <c r="W23" s="6"/>
      <c r="X23" s="6"/>
      <c r="Y23" s="6"/>
      <c r="Z23" s="6"/>
    </row>
    <row r="24" ht="14.25" customHeight="1">
      <c r="A24" s="6"/>
      <c r="B24" s="6"/>
      <c r="C24" s="20"/>
      <c r="D24" s="6"/>
      <c r="E24" s="6"/>
      <c r="F24" s="6"/>
      <c r="G24" s="6"/>
      <c r="H24" s="6"/>
      <c r="I24" s="6"/>
      <c r="J24" s="6"/>
      <c r="K24" s="6"/>
      <c r="L24" s="6"/>
      <c r="M24" s="6"/>
      <c r="N24" s="6"/>
      <c r="O24" s="6"/>
      <c r="P24" s="6"/>
      <c r="Q24" s="6"/>
      <c r="R24" s="6"/>
      <c r="S24" s="6"/>
      <c r="T24" s="6"/>
      <c r="U24" s="6"/>
      <c r="V24" s="6"/>
      <c r="W24" s="6"/>
      <c r="X24" s="6"/>
      <c r="Y24" s="6"/>
      <c r="Z24" s="6"/>
    </row>
    <row r="25" ht="14.25" customHeight="1">
      <c r="A25" s="6"/>
      <c r="B25" s="6"/>
      <c r="C25" s="20"/>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20"/>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20"/>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20"/>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20"/>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20"/>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20"/>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20"/>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20"/>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20"/>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20"/>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20"/>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20"/>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20"/>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20"/>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20"/>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20"/>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20"/>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20"/>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20"/>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20"/>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20"/>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20"/>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20"/>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20"/>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20"/>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20"/>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20"/>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20"/>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20"/>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20"/>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20"/>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20"/>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20"/>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20"/>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20"/>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20"/>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20"/>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20"/>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20"/>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20"/>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20"/>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20"/>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20"/>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20"/>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20"/>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20"/>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20"/>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20"/>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20"/>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20"/>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20"/>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20"/>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20"/>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20"/>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20"/>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20"/>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20"/>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20"/>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20"/>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20"/>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20"/>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20"/>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20"/>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20"/>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20"/>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20"/>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20"/>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20"/>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20"/>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20"/>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20"/>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20"/>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20"/>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20"/>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20"/>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20"/>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20"/>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20"/>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20"/>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20"/>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20"/>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20"/>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20"/>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20"/>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20"/>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20"/>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20"/>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20"/>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20"/>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20"/>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20"/>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20"/>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20"/>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20"/>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20"/>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20"/>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20"/>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20"/>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20"/>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20"/>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20"/>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20"/>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20"/>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20"/>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20"/>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20"/>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20"/>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20"/>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20"/>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20"/>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20"/>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20"/>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20"/>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20"/>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20"/>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20"/>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20"/>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20"/>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20"/>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20"/>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20"/>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20"/>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20"/>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20"/>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20"/>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20"/>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20"/>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20"/>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20"/>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20"/>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20"/>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20"/>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20"/>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20"/>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20"/>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20"/>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20"/>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20"/>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20"/>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20"/>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20"/>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20"/>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20"/>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20"/>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20"/>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20"/>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20"/>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20"/>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20"/>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20"/>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20"/>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20"/>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20"/>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20"/>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20"/>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20"/>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20"/>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20"/>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20"/>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20"/>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20"/>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20"/>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20"/>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20"/>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20"/>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20"/>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20"/>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20"/>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20"/>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20"/>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20"/>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20"/>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20"/>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20"/>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20"/>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20"/>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20"/>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20"/>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20"/>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20"/>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20"/>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20"/>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20"/>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20"/>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20"/>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20"/>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20"/>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20"/>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20"/>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20"/>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20"/>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20"/>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20"/>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20"/>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20"/>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20"/>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20"/>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20"/>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20"/>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20"/>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20"/>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20"/>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20"/>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20"/>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20"/>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20"/>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20"/>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20"/>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20"/>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20"/>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20"/>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20"/>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20"/>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20"/>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20"/>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20"/>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20"/>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20"/>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20"/>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20"/>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20"/>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20"/>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20"/>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20"/>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20"/>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20"/>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20"/>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20"/>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20"/>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20"/>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20"/>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20"/>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20"/>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20"/>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20"/>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20"/>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20"/>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20"/>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20"/>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20"/>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20"/>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20"/>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20"/>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20"/>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20"/>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20"/>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20"/>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20"/>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20"/>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20"/>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20"/>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20"/>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20"/>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20"/>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20"/>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20"/>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20"/>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20"/>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20"/>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20"/>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20"/>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20"/>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20"/>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20"/>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20"/>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20"/>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20"/>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20"/>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20"/>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20"/>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20"/>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20"/>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20"/>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20"/>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20"/>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20"/>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20"/>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20"/>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20"/>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20"/>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20"/>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20"/>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20"/>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20"/>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20"/>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20"/>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20"/>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20"/>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20"/>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20"/>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20"/>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20"/>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20"/>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20"/>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20"/>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20"/>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20"/>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20"/>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20"/>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20"/>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20"/>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20"/>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20"/>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20"/>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20"/>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20"/>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20"/>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20"/>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20"/>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20"/>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20"/>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20"/>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20"/>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20"/>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20"/>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20"/>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20"/>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20"/>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20"/>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20"/>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20"/>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20"/>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20"/>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20"/>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20"/>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20"/>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20"/>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20"/>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20"/>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20"/>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20"/>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20"/>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20"/>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20"/>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20"/>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20"/>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20"/>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20"/>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20"/>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20"/>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20"/>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20"/>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20"/>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20"/>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20"/>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20"/>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20"/>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20"/>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20"/>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20"/>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20"/>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20"/>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20"/>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20"/>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20"/>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20"/>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20"/>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20"/>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20"/>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20"/>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20"/>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20"/>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20"/>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20"/>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20"/>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20"/>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20"/>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20"/>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20"/>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20"/>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20"/>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20"/>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20"/>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20"/>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20"/>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20"/>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20"/>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20"/>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20"/>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20"/>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20"/>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20"/>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20"/>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20"/>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20"/>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20"/>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20"/>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20"/>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20"/>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20"/>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20"/>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20"/>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20"/>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20"/>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20"/>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20"/>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20"/>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20"/>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20"/>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20"/>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20"/>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20"/>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20"/>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20"/>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20"/>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20"/>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20"/>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20"/>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20"/>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20"/>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20"/>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20"/>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20"/>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20"/>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20"/>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20"/>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20"/>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20"/>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20"/>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20"/>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20"/>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20"/>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20"/>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20"/>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20"/>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20"/>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20"/>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20"/>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20"/>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20"/>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20"/>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20"/>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20"/>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20"/>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20"/>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20"/>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20"/>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20"/>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20"/>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20"/>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20"/>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20"/>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20"/>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20"/>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20"/>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20"/>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20"/>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20"/>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20"/>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20"/>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20"/>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20"/>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20"/>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20"/>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20"/>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20"/>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20"/>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20"/>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20"/>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20"/>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20"/>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20"/>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20"/>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20"/>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20"/>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20"/>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20"/>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20"/>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20"/>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20"/>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20"/>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20"/>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20"/>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20"/>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20"/>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20"/>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20"/>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20"/>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20"/>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20"/>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20"/>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20"/>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20"/>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20"/>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20"/>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20"/>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20"/>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20"/>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20"/>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20"/>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20"/>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20"/>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20"/>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20"/>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20"/>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20"/>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20"/>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20"/>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20"/>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20"/>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20"/>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20"/>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20"/>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20"/>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20"/>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20"/>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20"/>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20"/>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20"/>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20"/>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20"/>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20"/>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20"/>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20"/>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20"/>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20"/>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20"/>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20"/>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20"/>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20"/>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20"/>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20"/>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20"/>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20"/>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20"/>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20"/>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20"/>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20"/>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20"/>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20"/>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20"/>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20"/>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20"/>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20"/>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20"/>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20"/>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20"/>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20"/>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20"/>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20"/>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20"/>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20"/>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20"/>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20"/>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20"/>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20"/>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20"/>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20"/>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20"/>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20"/>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20"/>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20"/>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20"/>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20"/>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20"/>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20"/>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20"/>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20"/>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20"/>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20"/>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20"/>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20"/>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20"/>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20"/>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20"/>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20"/>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20"/>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20"/>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20"/>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20"/>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20"/>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20"/>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20"/>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20"/>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20"/>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20"/>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20"/>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20"/>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20"/>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20"/>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20"/>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20"/>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20"/>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20"/>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20"/>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20"/>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20"/>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20"/>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20"/>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20"/>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20"/>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20"/>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20"/>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20"/>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20"/>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20"/>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20"/>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20"/>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20"/>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20"/>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20"/>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20"/>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20"/>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20"/>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20"/>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20"/>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20"/>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20"/>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20"/>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20"/>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20"/>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20"/>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20"/>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20"/>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20"/>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20"/>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20"/>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20"/>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20"/>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20"/>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20"/>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20"/>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20"/>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20"/>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20"/>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20"/>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20"/>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20"/>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20"/>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20"/>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20"/>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20"/>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20"/>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20"/>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20"/>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20"/>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20"/>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20"/>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20"/>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20"/>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20"/>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20"/>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20"/>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20"/>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20"/>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20"/>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20"/>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20"/>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20"/>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20"/>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20"/>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20"/>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20"/>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20"/>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20"/>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20"/>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20"/>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20"/>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20"/>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20"/>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20"/>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20"/>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20"/>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20"/>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20"/>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20"/>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20"/>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20"/>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20"/>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20"/>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20"/>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20"/>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20"/>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20"/>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20"/>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20"/>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20"/>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20"/>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20"/>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20"/>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20"/>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20"/>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20"/>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20"/>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20"/>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20"/>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20"/>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20"/>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20"/>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20"/>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20"/>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20"/>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20"/>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20"/>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20"/>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20"/>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20"/>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20"/>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20"/>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20"/>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20"/>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20"/>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20"/>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20"/>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20"/>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20"/>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20"/>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20"/>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20"/>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20"/>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20"/>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20"/>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20"/>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20"/>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20"/>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20"/>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20"/>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20"/>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20"/>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20"/>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20"/>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20"/>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20"/>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20"/>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20"/>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20"/>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20"/>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20"/>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20"/>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20"/>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20"/>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20"/>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20"/>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20"/>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20"/>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20"/>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20"/>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20"/>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20"/>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20"/>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20"/>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20"/>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20"/>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20"/>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20"/>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20"/>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20"/>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20"/>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20"/>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20"/>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20"/>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20"/>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20"/>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20"/>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20"/>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20"/>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20"/>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20"/>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20"/>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20"/>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20"/>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20"/>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20"/>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20"/>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20"/>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20"/>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20"/>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20"/>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20"/>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20"/>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20"/>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20"/>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20"/>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20"/>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20"/>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20"/>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20"/>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20"/>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20"/>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20"/>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20"/>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20"/>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20"/>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20"/>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20"/>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20"/>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20"/>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20"/>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20"/>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20"/>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20"/>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20"/>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20"/>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20"/>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20"/>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20"/>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20"/>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20"/>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20"/>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20"/>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20"/>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20"/>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20"/>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20"/>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20"/>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20"/>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20"/>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20"/>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20"/>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20"/>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20"/>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20"/>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20"/>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20"/>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20"/>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20"/>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20"/>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20"/>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20"/>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20"/>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20"/>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20"/>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20"/>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20"/>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20"/>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20"/>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20"/>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20"/>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20"/>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20"/>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20"/>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20"/>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20"/>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20"/>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20"/>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20"/>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20"/>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20"/>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20"/>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20"/>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20"/>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20"/>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20"/>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20"/>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20"/>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20"/>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20"/>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20"/>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20"/>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20"/>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20"/>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20"/>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20"/>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20"/>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20"/>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20"/>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20"/>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20"/>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20"/>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20"/>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20"/>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20"/>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20"/>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20"/>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20"/>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20"/>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20"/>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20"/>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20"/>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20"/>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20"/>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20"/>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20"/>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20"/>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20"/>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20"/>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20"/>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20"/>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20"/>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20"/>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20"/>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20"/>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20"/>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20"/>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20"/>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20"/>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20"/>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20"/>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20"/>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20"/>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20"/>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20"/>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20"/>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20"/>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20"/>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20"/>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20"/>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20"/>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20"/>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20"/>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20"/>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20"/>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20"/>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20"/>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20"/>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20"/>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20"/>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20"/>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20"/>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20"/>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20"/>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20"/>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20"/>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20"/>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20"/>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20"/>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20"/>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20"/>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20"/>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20"/>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20"/>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20"/>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20"/>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20"/>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20"/>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20"/>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20"/>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20"/>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20"/>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20"/>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20"/>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20"/>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20"/>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20"/>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20"/>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20"/>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20"/>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20"/>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20"/>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20"/>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20"/>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20"/>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20"/>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20"/>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20"/>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20"/>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20"/>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20"/>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20"/>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20"/>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20"/>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20"/>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20"/>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20"/>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20"/>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20"/>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20"/>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20"/>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20"/>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20"/>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20"/>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20"/>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20"/>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20"/>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20"/>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20"/>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20"/>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20"/>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20"/>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20"/>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20"/>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20"/>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20"/>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20"/>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20"/>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4:D4"/>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7.13"/>
    <col customWidth="1" min="2" max="2" width="62.0"/>
    <col customWidth="1" min="3" max="3" width="5.13"/>
    <col customWidth="1" hidden="1" min="4" max="4" width="11.75"/>
    <col customWidth="1" hidden="1" min="5" max="5" width="11.25"/>
    <col customWidth="1" hidden="1" min="6" max="6" width="12.88"/>
    <col customWidth="1" min="7" max="7" width="10.25"/>
    <col customWidth="1" min="8" max="8" width="10.88"/>
    <col customWidth="1" min="9" max="9" width="12.13"/>
    <col customWidth="1" min="10" max="10" width="11.25"/>
    <col customWidth="1" min="11" max="11" width="13.75"/>
    <col customWidth="1" min="12" max="12" width="13.38"/>
    <col customWidth="1" min="13" max="13" width="9.88"/>
  </cols>
  <sheetData>
    <row r="1">
      <c r="A1" s="21" t="s">
        <v>12</v>
      </c>
      <c r="B1" s="22"/>
      <c r="C1" s="22"/>
      <c r="D1" s="22"/>
      <c r="E1" s="22"/>
      <c r="F1" s="22"/>
      <c r="G1" s="22"/>
      <c r="H1" s="22"/>
      <c r="I1" s="22"/>
      <c r="J1" s="22"/>
      <c r="K1" s="22"/>
      <c r="L1" s="22"/>
      <c r="M1" s="23"/>
      <c r="N1" s="24"/>
      <c r="O1" s="24"/>
      <c r="P1" s="24"/>
      <c r="Q1" s="24"/>
      <c r="R1" s="24"/>
    </row>
    <row r="2">
      <c r="A2" s="25" t="s">
        <v>4</v>
      </c>
      <c r="B2" s="25" t="s">
        <v>5</v>
      </c>
      <c r="C2" s="25" t="s">
        <v>13</v>
      </c>
      <c r="D2" s="26" t="s">
        <v>14</v>
      </c>
      <c r="E2" s="27" t="s">
        <v>15</v>
      </c>
      <c r="F2" s="5"/>
      <c r="G2" s="28" t="s">
        <v>16</v>
      </c>
      <c r="H2" s="27" t="s">
        <v>17</v>
      </c>
      <c r="I2" s="5"/>
      <c r="J2" s="27" t="s">
        <v>6</v>
      </c>
      <c r="K2" s="5"/>
      <c r="L2" s="25" t="s">
        <v>18</v>
      </c>
      <c r="M2" s="25" t="s">
        <v>7</v>
      </c>
      <c r="N2" s="24"/>
      <c r="O2" s="24"/>
      <c r="P2" s="24"/>
      <c r="Q2" s="24"/>
      <c r="R2" s="24"/>
    </row>
    <row r="3">
      <c r="A3" s="29"/>
      <c r="B3" s="29"/>
      <c r="C3" s="29"/>
      <c r="D3" s="30" t="s">
        <v>19</v>
      </c>
      <c r="E3" s="30" t="s">
        <v>20</v>
      </c>
      <c r="F3" s="30" t="s">
        <v>21</v>
      </c>
      <c r="G3" s="29"/>
      <c r="H3" s="26" t="s">
        <v>22</v>
      </c>
      <c r="I3" s="26" t="s">
        <v>23</v>
      </c>
      <c r="J3" s="26" t="s">
        <v>22</v>
      </c>
      <c r="K3" s="26" t="s">
        <v>23</v>
      </c>
      <c r="L3" s="29"/>
      <c r="M3" s="29"/>
      <c r="N3" s="24"/>
      <c r="O3" s="24"/>
      <c r="P3" s="24"/>
      <c r="Q3" s="24"/>
      <c r="R3" s="24"/>
    </row>
    <row r="4">
      <c r="A4" s="31"/>
      <c r="B4" s="32"/>
      <c r="C4" s="33"/>
      <c r="D4" s="34"/>
      <c r="E4" s="34"/>
      <c r="F4" s="34"/>
      <c r="G4" s="34"/>
      <c r="H4" s="34"/>
      <c r="I4" s="34"/>
      <c r="J4" s="34"/>
      <c r="K4" s="34"/>
      <c r="L4" s="34"/>
      <c r="M4" s="34"/>
      <c r="N4" s="24"/>
      <c r="O4" s="24"/>
      <c r="P4" s="24"/>
      <c r="Q4" s="24"/>
      <c r="R4" s="24"/>
    </row>
    <row r="5">
      <c r="A5" s="35" t="s">
        <v>24</v>
      </c>
      <c r="B5" s="36" t="s">
        <v>25</v>
      </c>
      <c r="C5" s="37"/>
      <c r="D5" s="37"/>
      <c r="E5" s="37"/>
      <c r="F5" s="37"/>
      <c r="G5" s="37"/>
      <c r="H5" s="37"/>
      <c r="I5" s="37"/>
      <c r="J5" s="37"/>
      <c r="K5" s="37"/>
      <c r="L5" s="37"/>
      <c r="M5" s="37"/>
      <c r="N5" s="24"/>
      <c r="O5" s="24"/>
      <c r="P5" s="24"/>
      <c r="Q5" s="24"/>
      <c r="R5" s="24"/>
    </row>
    <row r="6">
      <c r="A6" s="38">
        <v>1.0</v>
      </c>
      <c r="B6" s="39" t="s">
        <v>26</v>
      </c>
      <c r="C6" s="37"/>
      <c r="D6" s="37"/>
      <c r="E6" s="37"/>
      <c r="F6" s="37"/>
      <c r="G6" s="37"/>
      <c r="H6" s="37"/>
      <c r="I6" s="37"/>
      <c r="J6" s="37"/>
      <c r="K6" s="37"/>
      <c r="L6" s="37"/>
      <c r="M6" s="37"/>
      <c r="N6" s="24"/>
      <c r="O6" s="24"/>
      <c r="P6" s="24"/>
      <c r="Q6" s="24"/>
      <c r="R6" s="24"/>
    </row>
    <row r="7">
      <c r="A7" s="40"/>
      <c r="B7" s="41" t="s">
        <v>27</v>
      </c>
      <c r="C7" s="37"/>
      <c r="D7" s="37"/>
      <c r="E7" s="37"/>
      <c r="F7" s="37"/>
      <c r="G7" s="37"/>
      <c r="H7" s="37"/>
      <c r="I7" s="37"/>
      <c r="J7" s="37"/>
      <c r="K7" s="37"/>
      <c r="L7" s="37"/>
      <c r="M7" s="37"/>
      <c r="N7" s="24"/>
      <c r="O7" s="24"/>
      <c r="P7" s="24"/>
      <c r="Q7" s="24"/>
      <c r="R7" s="24"/>
    </row>
    <row r="8">
      <c r="A8" s="38" t="s">
        <v>28</v>
      </c>
      <c r="B8" s="39" t="s">
        <v>29</v>
      </c>
      <c r="C8" s="42" t="s">
        <v>30</v>
      </c>
      <c r="D8" s="42">
        <v>94.0</v>
      </c>
      <c r="E8" s="42">
        <v>320.0</v>
      </c>
      <c r="F8" s="42">
        <v>40.0</v>
      </c>
      <c r="G8" s="42">
        <f t="shared" ref="G8:G162" si="1">SUM(D8:F8)</f>
        <v>454</v>
      </c>
      <c r="H8" s="43">
        <v>836.0</v>
      </c>
      <c r="I8" s="43">
        <v>228.0</v>
      </c>
      <c r="J8" s="42">
        <f t="shared" ref="J8:J10" si="2">G8*H8</f>
        <v>379544</v>
      </c>
      <c r="K8" s="42">
        <f t="shared" ref="K8:K10" si="3">G8*I8</f>
        <v>103512</v>
      </c>
      <c r="L8" s="42">
        <f t="shared" ref="L8:L10" si="4">SUM(J8:K8)</f>
        <v>483056</v>
      </c>
      <c r="M8" s="42"/>
      <c r="N8" s="44">
        <f t="shared" ref="N8:N10" si="5">G8*(H8+I8)</f>
        <v>483056</v>
      </c>
      <c r="O8" s="24"/>
      <c r="P8" s="24"/>
      <c r="Q8" s="24"/>
      <c r="R8" s="24"/>
    </row>
    <row r="9">
      <c r="A9" s="38" t="s">
        <v>31</v>
      </c>
      <c r="B9" s="39" t="s">
        <v>32</v>
      </c>
      <c r="C9" s="42" t="s">
        <v>30</v>
      </c>
      <c r="D9" s="42">
        <v>90.0</v>
      </c>
      <c r="E9" s="42">
        <v>94.0</v>
      </c>
      <c r="F9" s="42">
        <v>0.0</v>
      </c>
      <c r="G9" s="42">
        <f t="shared" si="1"/>
        <v>184</v>
      </c>
      <c r="H9" s="43">
        <v>922.0</v>
      </c>
      <c r="I9" s="43">
        <v>228.0</v>
      </c>
      <c r="J9" s="42">
        <f t="shared" si="2"/>
        <v>169648</v>
      </c>
      <c r="K9" s="42">
        <f t="shared" si="3"/>
        <v>41952</v>
      </c>
      <c r="L9" s="42">
        <f t="shared" si="4"/>
        <v>211600</v>
      </c>
      <c r="M9" s="42"/>
      <c r="N9" s="44">
        <f t="shared" si="5"/>
        <v>211600</v>
      </c>
      <c r="O9" s="24"/>
      <c r="P9" s="24"/>
      <c r="Q9" s="24"/>
      <c r="R9" s="24"/>
    </row>
    <row r="10">
      <c r="A10" s="38" t="s">
        <v>33</v>
      </c>
      <c r="B10" s="39" t="s">
        <v>34</v>
      </c>
      <c r="C10" s="42" t="s">
        <v>30</v>
      </c>
      <c r="D10" s="42">
        <v>19.0</v>
      </c>
      <c r="E10" s="42">
        <v>29.0</v>
      </c>
      <c r="F10" s="42">
        <v>0.0</v>
      </c>
      <c r="G10" s="42">
        <f t="shared" si="1"/>
        <v>48</v>
      </c>
      <c r="H10" s="43">
        <v>1007.0</v>
      </c>
      <c r="I10" s="43">
        <v>228.0</v>
      </c>
      <c r="J10" s="42">
        <f t="shared" si="2"/>
        <v>48336</v>
      </c>
      <c r="K10" s="42">
        <f t="shared" si="3"/>
        <v>10944</v>
      </c>
      <c r="L10" s="42">
        <f t="shared" si="4"/>
        <v>59280</v>
      </c>
      <c r="M10" s="42"/>
      <c r="N10" s="44">
        <f t="shared" si="5"/>
        <v>59280</v>
      </c>
      <c r="O10" s="24"/>
      <c r="P10" s="24"/>
      <c r="Q10" s="24"/>
      <c r="R10" s="24"/>
    </row>
    <row r="11">
      <c r="A11" s="40"/>
      <c r="B11" s="39"/>
      <c r="C11" s="37"/>
      <c r="D11" s="37"/>
      <c r="E11" s="37"/>
      <c r="F11" s="37"/>
      <c r="G11" s="42">
        <f t="shared" si="1"/>
        <v>0</v>
      </c>
      <c r="H11" s="43" t="s">
        <v>35</v>
      </c>
      <c r="I11" s="43" t="s">
        <v>35</v>
      </c>
      <c r="J11" s="42"/>
      <c r="K11" s="42"/>
      <c r="L11" s="42"/>
      <c r="M11" s="42"/>
      <c r="N11" s="44"/>
      <c r="O11" s="24"/>
      <c r="P11" s="24"/>
      <c r="Q11" s="24"/>
      <c r="R11" s="24"/>
    </row>
    <row r="12">
      <c r="A12" s="38">
        <f>A6+0.01</f>
        <v>1.01</v>
      </c>
      <c r="B12" s="41" t="s">
        <v>36</v>
      </c>
      <c r="C12" s="37"/>
      <c r="D12" s="37"/>
      <c r="E12" s="37"/>
      <c r="F12" s="37"/>
      <c r="G12" s="42">
        <f t="shared" si="1"/>
        <v>0</v>
      </c>
      <c r="H12" s="43" t="s">
        <v>35</v>
      </c>
      <c r="I12" s="43" t="s">
        <v>35</v>
      </c>
      <c r="J12" s="42"/>
      <c r="K12" s="42"/>
      <c r="L12" s="42"/>
      <c r="M12" s="42"/>
      <c r="N12" s="44"/>
      <c r="O12" s="24"/>
      <c r="P12" s="24"/>
      <c r="Q12" s="24"/>
      <c r="R12" s="24"/>
    </row>
    <row r="13">
      <c r="A13" s="38" t="s">
        <v>28</v>
      </c>
      <c r="B13" s="39" t="s">
        <v>29</v>
      </c>
      <c r="C13" s="42" t="s">
        <v>30</v>
      </c>
      <c r="D13" s="42">
        <v>5.0</v>
      </c>
      <c r="E13" s="42">
        <v>5.0</v>
      </c>
      <c r="F13" s="42" t="s">
        <v>37</v>
      </c>
      <c r="G13" s="42">
        <f t="shared" si="1"/>
        <v>10</v>
      </c>
      <c r="H13" s="43">
        <v>836.0</v>
      </c>
      <c r="I13" s="43">
        <v>228.0</v>
      </c>
      <c r="J13" s="42">
        <f t="shared" ref="J13:J14" si="6">G13*H13</f>
        <v>8360</v>
      </c>
      <c r="K13" s="42">
        <f t="shared" ref="K13:K14" si="7">G13*I13</f>
        <v>2280</v>
      </c>
      <c r="L13" s="42">
        <f t="shared" ref="L13:L14" si="8">SUM(J13:K13)</f>
        <v>10640</v>
      </c>
      <c r="M13" s="42"/>
      <c r="N13" s="44">
        <f t="shared" ref="N13:N14" si="9">G13*(H13+I13)</f>
        <v>10640</v>
      </c>
      <c r="O13" s="24"/>
      <c r="P13" s="24"/>
      <c r="Q13" s="24"/>
      <c r="R13" s="24"/>
    </row>
    <row r="14">
      <c r="A14" s="38" t="s">
        <v>31</v>
      </c>
      <c r="B14" s="39" t="s">
        <v>32</v>
      </c>
      <c r="C14" s="42" t="s">
        <v>30</v>
      </c>
      <c r="D14" s="42">
        <v>5.0</v>
      </c>
      <c r="E14" s="42">
        <v>5.0</v>
      </c>
      <c r="F14" s="42" t="s">
        <v>37</v>
      </c>
      <c r="G14" s="42">
        <f t="shared" si="1"/>
        <v>10</v>
      </c>
      <c r="H14" s="43">
        <v>922.0</v>
      </c>
      <c r="I14" s="43">
        <v>228.0</v>
      </c>
      <c r="J14" s="42">
        <f t="shared" si="6"/>
        <v>9220</v>
      </c>
      <c r="K14" s="42">
        <f t="shared" si="7"/>
        <v>2280</v>
      </c>
      <c r="L14" s="42">
        <f t="shared" si="8"/>
        <v>11500</v>
      </c>
      <c r="M14" s="42"/>
      <c r="N14" s="44">
        <f t="shared" si="9"/>
        <v>11500</v>
      </c>
      <c r="O14" s="24"/>
      <c r="P14" s="24"/>
      <c r="Q14" s="24"/>
      <c r="R14" s="24"/>
    </row>
    <row r="15">
      <c r="A15" s="40"/>
      <c r="B15" s="39"/>
      <c r="C15" s="37"/>
      <c r="D15" s="37"/>
      <c r="E15" s="37"/>
      <c r="F15" s="37"/>
      <c r="G15" s="42">
        <f t="shared" si="1"/>
        <v>0</v>
      </c>
      <c r="H15" s="43" t="s">
        <v>35</v>
      </c>
      <c r="I15" s="43" t="s">
        <v>35</v>
      </c>
      <c r="J15" s="42"/>
      <c r="K15" s="42"/>
      <c r="L15" s="42"/>
      <c r="M15" s="42"/>
      <c r="N15" s="44"/>
      <c r="O15" s="24"/>
      <c r="P15" s="24"/>
      <c r="Q15" s="24"/>
      <c r="R15" s="24"/>
    </row>
    <row r="16">
      <c r="A16" s="38">
        <f>A12+0.01</f>
        <v>1.02</v>
      </c>
      <c r="B16" s="41" t="s">
        <v>38</v>
      </c>
      <c r="C16" s="37"/>
      <c r="D16" s="37"/>
      <c r="E16" s="37"/>
      <c r="F16" s="37"/>
      <c r="G16" s="42">
        <f t="shared" si="1"/>
        <v>0</v>
      </c>
      <c r="H16" s="43" t="s">
        <v>35</v>
      </c>
      <c r="I16" s="43" t="s">
        <v>35</v>
      </c>
      <c r="J16" s="42"/>
      <c r="K16" s="42"/>
      <c r="L16" s="42"/>
      <c r="M16" s="42"/>
      <c r="N16" s="44"/>
      <c r="O16" s="24"/>
      <c r="P16" s="24"/>
      <c r="Q16" s="24"/>
      <c r="R16" s="24"/>
    </row>
    <row r="17">
      <c r="A17" s="40"/>
      <c r="B17" s="39" t="s">
        <v>39</v>
      </c>
      <c r="C17" s="37"/>
      <c r="D17" s="37"/>
      <c r="E17" s="37"/>
      <c r="F17" s="37"/>
      <c r="G17" s="42">
        <f t="shared" si="1"/>
        <v>0</v>
      </c>
      <c r="H17" s="43" t="s">
        <v>35</v>
      </c>
      <c r="I17" s="43" t="s">
        <v>35</v>
      </c>
      <c r="J17" s="42"/>
      <c r="K17" s="42"/>
      <c r="L17" s="42"/>
      <c r="M17" s="42"/>
      <c r="N17" s="44"/>
      <c r="O17" s="24"/>
      <c r="P17" s="24"/>
      <c r="Q17" s="24"/>
      <c r="R17" s="24"/>
    </row>
    <row r="18">
      <c r="A18" s="38" t="s">
        <v>28</v>
      </c>
      <c r="B18" s="39" t="s">
        <v>40</v>
      </c>
      <c r="C18" s="42" t="s">
        <v>30</v>
      </c>
      <c r="D18" s="42">
        <v>290.0</v>
      </c>
      <c r="E18" s="42">
        <v>20.0</v>
      </c>
      <c r="F18" s="42">
        <v>0.0</v>
      </c>
      <c r="G18" s="42">
        <f t="shared" si="1"/>
        <v>310</v>
      </c>
      <c r="H18" s="43">
        <v>1450.0</v>
      </c>
      <c r="I18" s="43">
        <v>390.0</v>
      </c>
      <c r="J18" s="42">
        <f t="shared" ref="J18:J21" si="10">G18*H18</f>
        <v>449500</v>
      </c>
      <c r="K18" s="42">
        <f t="shared" ref="K18:K21" si="11">G18*I18</f>
        <v>120900</v>
      </c>
      <c r="L18" s="42">
        <f t="shared" ref="L18:L21" si="12">SUM(J18:K18)</f>
        <v>570400</v>
      </c>
      <c r="M18" s="42"/>
      <c r="N18" s="44">
        <f t="shared" ref="N18:N21" si="13">G18*(H18+I18)</f>
        <v>570400</v>
      </c>
      <c r="O18" s="24"/>
      <c r="P18" s="24"/>
      <c r="Q18" s="24"/>
      <c r="R18" s="24"/>
    </row>
    <row r="19">
      <c r="A19" s="38" t="s">
        <v>31</v>
      </c>
      <c r="B19" s="39" t="s">
        <v>41</v>
      </c>
      <c r="C19" s="42" t="s">
        <v>30</v>
      </c>
      <c r="D19" s="42">
        <v>300.0</v>
      </c>
      <c r="E19" s="42">
        <v>10.0</v>
      </c>
      <c r="F19" s="42">
        <v>0.0</v>
      </c>
      <c r="G19" s="42">
        <f t="shared" si="1"/>
        <v>310</v>
      </c>
      <c r="H19" s="43">
        <v>1550.0</v>
      </c>
      <c r="I19" s="43">
        <v>390.0</v>
      </c>
      <c r="J19" s="42">
        <f t="shared" si="10"/>
        <v>480500</v>
      </c>
      <c r="K19" s="42">
        <f t="shared" si="11"/>
        <v>120900</v>
      </c>
      <c r="L19" s="42">
        <f t="shared" si="12"/>
        <v>601400</v>
      </c>
      <c r="M19" s="42"/>
      <c r="N19" s="44">
        <f t="shared" si="13"/>
        <v>601400</v>
      </c>
      <c r="O19" s="24"/>
      <c r="P19" s="24"/>
      <c r="Q19" s="24"/>
      <c r="R19" s="24"/>
    </row>
    <row r="20">
      <c r="A20" s="38" t="s">
        <v>33</v>
      </c>
      <c r="B20" s="39" t="s">
        <v>42</v>
      </c>
      <c r="C20" s="42" t="s">
        <v>30</v>
      </c>
      <c r="D20" s="42">
        <v>20.0</v>
      </c>
      <c r="E20" s="42">
        <v>5.0</v>
      </c>
      <c r="F20" s="42">
        <v>0.0</v>
      </c>
      <c r="G20" s="42">
        <f t="shared" si="1"/>
        <v>25</v>
      </c>
      <c r="H20" s="43">
        <v>1650.0</v>
      </c>
      <c r="I20" s="43">
        <v>390.0</v>
      </c>
      <c r="J20" s="42">
        <f t="shared" si="10"/>
        <v>41250</v>
      </c>
      <c r="K20" s="42">
        <f t="shared" si="11"/>
        <v>9750</v>
      </c>
      <c r="L20" s="42">
        <f t="shared" si="12"/>
        <v>51000</v>
      </c>
      <c r="M20" s="42"/>
      <c r="N20" s="44">
        <f t="shared" si="13"/>
        <v>51000</v>
      </c>
      <c r="O20" s="24"/>
      <c r="P20" s="24"/>
      <c r="Q20" s="24"/>
      <c r="R20" s="24"/>
    </row>
    <row r="21">
      <c r="A21" s="38" t="s">
        <v>43</v>
      </c>
      <c r="B21" s="39" t="s">
        <v>44</v>
      </c>
      <c r="C21" s="42" t="s">
        <v>30</v>
      </c>
      <c r="D21" s="42">
        <v>30.0</v>
      </c>
      <c r="E21" s="42">
        <v>5.0</v>
      </c>
      <c r="F21" s="42">
        <v>0.0</v>
      </c>
      <c r="G21" s="42">
        <f t="shared" si="1"/>
        <v>35</v>
      </c>
      <c r="H21" s="43">
        <v>1850.0</v>
      </c>
      <c r="I21" s="43">
        <v>390.0</v>
      </c>
      <c r="J21" s="42">
        <f t="shared" si="10"/>
        <v>64750</v>
      </c>
      <c r="K21" s="42">
        <f t="shared" si="11"/>
        <v>13650</v>
      </c>
      <c r="L21" s="42">
        <f t="shared" si="12"/>
        <v>78400</v>
      </c>
      <c r="M21" s="42"/>
      <c r="N21" s="44">
        <f t="shared" si="13"/>
        <v>78400</v>
      </c>
      <c r="O21" s="24"/>
      <c r="P21" s="24"/>
      <c r="Q21" s="24"/>
      <c r="R21" s="24"/>
    </row>
    <row r="22">
      <c r="A22" s="40"/>
      <c r="B22" s="39"/>
      <c r="C22" s="37"/>
      <c r="D22" s="37"/>
      <c r="E22" s="37"/>
      <c r="F22" s="37"/>
      <c r="G22" s="42">
        <f t="shared" si="1"/>
        <v>0</v>
      </c>
      <c r="H22" s="43" t="s">
        <v>35</v>
      </c>
      <c r="I22" s="43" t="s">
        <v>35</v>
      </c>
      <c r="J22" s="42"/>
      <c r="K22" s="42"/>
      <c r="L22" s="42"/>
      <c r="M22" s="42"/>
      <c r="N22" s="44"/>
      <c r="O22" s="24"/>
      <c r="P22" s="24"/>
      <c r="Q22" s="24"/>
      <c r="R22" s="24"/>
    </row>
    <row r="23">
      <c r="A23" s="38">
        <f>A16+0.01</f>
        <v>1.03</v>
      </c>
      <c r="B23" s="41" t="s">
        <v>45</v>
      </c>
      <c r="C23" s="42" t="s">
        <v>30</v>
      </c>
      <c r="D23" s="42">
        <v>20.0</v>
      </c>
      <c r="E23" s="42">
        <v>16.0</v>
      </c>
      <c r="F23" s="42" t="s">
        <v>37</v>
      </c>
      <c r="G23" s="42">
        <f t="shared" si="1"/>
        <v>36</v>
      </c>
      <c r="H23" s="43">
        <v>5605.0</v>
      </c>
      <c r="I23" s="43">
        <v>665.0</v>
      </c>
      <c r="J23" s="42">
        <f>G23*H23</f>
        <v>201780</v>
      </c>
      <c r="K23" s="42">
        <f>G23*I23</f>
        <v>23940</v>
      </c>
      <c r="L23" s="42">
        <f>SUM(J23:K23)</f>
        <v>225720</v>
      </c>
      <c r="M23" s="42"/>
      <c r="N23" s="44">
        <f>G23*(H23+I23)</f>
        <v>225720</v>
      </c>
      <c r="O23" s="24"/>
      <c r="P23" s="24"/>
      <c r="Q23" s="24"/>
      <c r="R23" s="24"/>
    </row>
    <row r="24">
      <c r="A24" s="40"/>
      <c r="B24" s="39"/>
      <c r="C24" s="37"/>
      <c r="D24" s="37"/>
      <c r="E24" s="37"/>
      <c r="F24" s="37"/>
      <c r="G24" s="42">
        <f t="shared" si="1"/>
        <v>0</v>
      </c>
      <c r="H24" s="43" t="s">
        <v>35</v>
      </c>
      <c r="I24" s="43" t="s">
        <v>35</v>
      </c>
      <c r="J24" s="42"/>
      <c r="K24" s="42"/>
      <c r="L24" s="42"/>
      <c r="M24" s="42"/>
      <c r="N24" s="44"/>
      <c r="O24" s="24"/>
      <c r="P24" s="24"/>
      <c r="Q24" s="24"/>
      <c r="R24" s="24"/>
    </row>
    <row r="25">
      <c r="A25" s="38">
        <f>A23+0.01</f>
        <v>1.04</v>
      </c>
      <c r="B25" s="39" t="s">
        <v>46</v>
      </c>
      <c r="C25" s="42" t="s">
        <v>30</v>
      </c>
      <c r="D25" s="42">
        <v>25.0</v>
      </c>
      <c r="E25" s="42">
        <v>25.0</v>
      </c>
      <c r="F25" s="42" t="s">
        <v>37</v>
      </c>
      <c r="G25" s="42">
        <f t="shared" si="1"/>
        <v>50</v>
      </c>
      <c r="H25" s="43">
        <v>2850.0</v>
      </c>
      <c r="I25" s="43">
        <v>380.0</v>
      </c>
      <c r="J25" s="42">
        <f>G25*H25</f>
        <v>142500</v>
      </c>
      <c r="K25" s="42">
        <f>G25*I25</f>
        <v>19000</v>
      </c>
      <c r="L25" s="42">
        <f>SUM(J25:K25)</f>
        <v>161500</v>
      </c>
      <c r="M25" s="42"/>
      <c r="N25" s="44">
        <f>G25*(H25+I25)</f>
        <v>161500</v>
      </c>
      <c r="O25" s="24"/>
      <c r="P25" s="24"/>
      <c r="Q25" s="24"/>
      <c r="R25" s="24"/>
    </row>
    <row r="26">
      <c r="A26" s="40"/>
      <c r="B26" s="39"/>
      <c r="C26" s="37"/>
      <c r="D26" s="37"/>
      <c r="E26" s="37"/>
      <c r="F26" s="37"/>
      <c r="G26" s="42">
        <f t="shared" si="1"/>
        <v>0</v>
      </c>
      <c r="H26" s="43" t="s">
        <v>35</v>
      </c>
      <c r="I26" s="43" t="s">
        <v>35</v>
      </c>
      <c r="J26" s="42"/>
      <c r="K26" s="42"/>
      <c r="L26" s="42"/>
      <c r="M26" s="42"/>
      <c r="N26" s="44"/>
      <c r="O26" s="24"/>
      <c r="P26" s="24"/>
      <c r="Q26" s="24"/>
      <c r="R26" s="24"/>
    </row>
    <row r="27">
      <c r="A27" s="38">
        <f>A25+0.01</f>
        <v>1.05</v>
      </c>
      <c r="B27" s="39" t="s">
        <v>47</v>
      </c>
      <c r="C27" s="42" t="s">
        <v>30</v>
      </c>
      <c r="D27" s="42">
        <v>3.0</v>
      </c>
      <c r="E27" s="42">
        <v>1.0</v>
      </c>
      <c r="F27" s="42" t="s">
        <v>37</v>
      </c>
      <c r="G27" s="42">
        <f t="shared" si="1"/>
        <v>4</v>
      </c>
      <c r="H27" s="43">
        <v>1378.0</v>
      </c>
      <c r="I27" s="43">
        <v>1140.0</v>
      </c>
      <c r="J27" s="42">
        <f>G27*H27</f>
        <v>5512</v>
      </c>
      <c r="K27" s="42">
        <f>G27*I27</f>
        <v>4560</v>
      </c>
      <c r="L27" s="42">
        <f>SUM(J27:K27)</f>
        <v>10072</v>
      </c>
      <c r="M27" s="42"/>
      <c r="N27" s="44">
        <f>G27*(H27+I27)</f>
        <v>10072</v>
      </c>
      <c r="O27" s="24"/>
      <c r="P27" s="24"/>
      <c r="Q27" s="24"/>
      <c r="R27" s="24"/>
    </row>
    <row r="28">
      <c r="A28" s="40"/>
      <c r="B28" s="39"/>
      <c r="C28" s="37"/>
      <c r="D28" s="37"/>
      <c r="E28" s="37"/>
      <c r="F28" s="37"/>
      <c r="G28" s="42">
        <f t="shared" si="1"/>
        <v>0</v>
      </c>
      <c r="H28" s="43" t="s">
        <v>35</v>
      </c>
      <c r="I28" s="43" t="s">
        <v>35</v>
      </c>
      <c r="J28" s="42"/>
      <c r="K28" s="42"/>
      <c r="L28" s="42"/>
      <c r="M28" s="42"/>
      <c r="N28" s="44"/>
      <c r="O28" s="24"/>
      <c r="P28" s="24"/>
      <c r="Q28" s="24"/>
      <c r="R28" s="24"/>
    </row>
    <row r="29">
      <c r="A29" s="38">
        <f>A27+0.01</f>
        <v>1.06</v>
      </c>
      <c r="B29" s="39" t="s">
        <v>48</v>
      </c>
      <c r="C29" s="37"/>
      <c r="D29" s="37"/>
      <c r="E29" s="37"/>
      <c r="F29" s="37"/>
      <c r="G29" s="42">
        <f t="shared" si="1"/>
        <v>0</v>
      </c>
      <c r="H29" s="43" t="s">
        <v>35</v>
      </c>
      <c r="I29" s="43" t="s">
        <v>35</v>
      </c>
      <c r="J29" s="42"/>
      <c r="K29" s="42"/>
      <c r="L29" s="42"/>
      <c r="M29" s="42"/>
      <c r="N29" s="44"/>
      <c r="O29" s="24"/>
      <c r="P29" s="24"/>
      <c r="Q29" s="24"/>
      <c r="R29" s="24"/>
    </row>
    <row r="30">
      <c r="A30" s="38" t="s">
        <v>28</v>
      </c>
      <c r="B30" s="39" t="s">
        <v>49</v>
      </c>
      <c r="C30" s="42" t="s">
        <v>30</v>
      </c>
      <c r="D30" s="42">
        <v>4.0</v>
      </c>
      <c r="E30" s="42">
        <v>8.0</v>
      </c>
      <c r="F30" s="42">
        <v>1.0</v>
      </c>
      <c r="G30" s="42">
        <f t="shared" si="1"/>
        <v>13</v>
      </c>
      <c r="H30" s="43">
        <v>6000.0</v>
      </c>
      <c r="I30" s="43">
        <v>1300.0</v>
      </c>
      <c r="J30" s="42">
        <f t="shared" ref="J30:J31" si="14">G30*H30</f>
        <v>78000</v>
      </c>
      <c r="K30" s="42">
        <f t="shared" ref="K30:K31" si="15">G30*I30</f>
        <v>16900</v>
      </c>
      <c r="L30" s="42">
        <f t="shared" ref="L30:L31" si="16">SUM(J30:K30)</f>
        <v>94900</v>
      </c>
      <c r="M30" s="42"/>
      <c r="N30" s="44">
        <f t="shared" ref="N30:N31" si="17">G30*(H30+I30)</f>
        <v>94900</v>
      </c>
      <c r="O30" s="24"/>
      <c r="P30" s="24"/>
      <c r="Q30" s="24"/>
      <c r="R30" s="24"/>
    </row>
    <row r="31">
      <c r="A31" s="38" t="s">
        <v>31</v>
      </c>
      <c r="B31" s="39" t="s">
        <v>50</v>
      </c>
      <c r="C31" s="42" t="s">
        <v>30</v>
      </c>
      <c r="D31" s="42">
        <v>15.0</v>
      </c>
      <c r="E31" s="42">
        <v>1.0</v>
      </c>
      <c r="F31" s="42">
        <v>0.0</v>
      </c>
      <c r="G31" s="42">
        <f t="shared" si="1"/>
        <v>16</v>
      </c>
      <c r="H31" s="43">
        <v>8900.0</v>
      </c>
      <c r="I31" s="43">
        <v>1300.0</v>
      </c>
      <c r="J31" s="42">
        <f t="shared" si="14"/>
        <v>142400</v>
      </c>
      <c r="K31" s="42">
        <f t="shared" si="15"/>
        <v>20800</v>
      </c>
      <c r="L31" s="42">
        <f t="shared" si="16"/>
        <v>163200</v>
      </c>
      <c r="M31" s="42"/>
      <c r="N31" s="44">
        <f t="shared" si="17"/>
        <v>163200</v>
      </c>
      <c r="O31" s="24"/>
      <c r="P31" s="24"/>
      <c r="Q31" s="24"/>
      <c r="R31" s="24"/>
    </row>
    <row r="32">
      <c r="A32" s="40"/>
      <c r="B32" s="39"/>
      <c r="C32" s="37"/>
      <c r="D32" s="37"/>
      <c r="E32" s="37"/>
      <c r="F32" s="37"/>
      <c r="G32" s="42">
        <f t="shared" si="1"/>
        <v>0</v>
      </c>
      <c r="H32" s="43" t="s">
        <v>35</v>
      </c>
      <c r="I32" s="43" t="s">
        <v>35</v>
      </c>
      <c r="J32" s="42"/>
      <c r="K32" s="42"/>
      <c r="L32" s="42"/>
      <c r="M32" s="42"/>
      <c r="N32" s="44"/>
      <c r="O32" s="24"/>
      <c r="P32" s="24"/>
      <c r="Q32" s="24"/>
      <c r="R32" s="24"/>
    </row>
    <row r="33">
      <c r="A33" s="38">
        <f>A29+0.01</f>
        <v>1.07</v>
      </c>
      <c r="B33" s="41" t="s">
        <v>51</v>
      </c>
      <c r="C33" s="42" t="s">
        <v>30</v>
      </c>
      <c r="D33" s="42">
        <v>10.0</v>
      </c>
      <c r="E33" s="42">
        <v>1.0</v>
      </c>
      <c r="F33" s="42" t="s">
        <v>37</v>
      </c>
      <c r="G33" s="42">
        <f t="shared" si="1"/>
        <v>11</v>
      </c>
      <c r="H33" s="43">
        <v>9300.0</v>
      </c>
      <c r="I33" s="43">
        <v>1500.0</v>
      </c>
      <c r="J33" s="42">
        <f>G33*H33</f>
        <v>102300</v>
      </c>
      <c r="K33" s="42">
        <f>G33*I33</f>
        <v>16500</v>
      </c>
      <c r="L33" s="42">
        <f>SUM(J33:K33)</f>
        <v>118800</v>
      </c>
      <c r="M33" s="42"/>
      <c r="N33" s="44">
        <f>G33*(H33+I33)</f>
        <v>118800</v>
      </c>
      <c r="O33" s="24"/>
      <c r="P33" s="24"/>
      <c r="Q33" s="24"/>
      <c r="R33" s="24"/>
    </row>
    <row r="34">
      <c r="A34" s="40"/>
      <c r="B34" s="39"/>
      <c r="C34" s="45"/>
      <c r="D34" s="37"/>
      <c r="E34" s="37"/>
      <c r="F34" s="37"/>
      <c r="G34" s="42">
        <f t="shared" si="1"/>
        <v>0</v>
      </c>
      <c r="H34" s="43" t="s">
        <v>35</v>
      </c>
      <c r="I34" s="43" t="s">
        <v>35</v>
      </c>
      <c r="J34" s="42"/>
      <c r="K34" s="42"/>
      <c r="L34" s="42"/>
      <c r="M34" s="42"/>
      <c r="N34" s="44"/>
      <c r="O34" s="24"/>
      <c r="P34" s="24"/>
      <c r="Q34" s="24"/>
      <c r="R34" s="24"/>
    </row>
    <row r="35">
      <c r="A35" s="38">
        <f>A33+0.01</f>
        <v>1.08</v>
      </c>
      <c r="B35" s="41" t="s">
        <v>52</v>
      </c>
      <c r="C35" s="42" t="s">
        <v>53</v>
      </c>
      <c r="D35" s="42">
        <v>12.0</v>
      </c>
      <c r="E35" s="42">
        <v>10.0</v>
      </c>
      <c r="F35" s="42" t="s">
        <v>37</v>
      </c>
      <c r="G35" s="42">
        <f t="shared" si="1"/>
        <v>22</v>
      </c>
      <c r="H35" s="43">
        <v>9000.0</v>
      </c>
      <c r="I35" s="43">
        <v>1200.0</v>
      </c>
      <c r="J35" s="42">
        <f>G35*H35</f>
        <v>198000</v>
      </c>
      <c r="K35" s="42">
        <f>G35*I35</f>
        <v>26400</v>
      </c>
      <c r="L35" s="42">
        <f>SUM(J35:K35)</f>
        <v>224400</v>
      </c>
      <c r="M35" s="42"/>
      <c r="N35" s="44">
        <f>G35*(H35+I35)</f>
        <v>224400</v>
      </c>
      <c r="O35" s="24"/>
      <c r="P35" s="24"/>
      <c r="Q35" s="24"/>
      <c r="R35" s="24"/>
    </row>
    <row r="36">
      <c r="A36" s="40"/>
      <c r="B36" s="39"/>
      <c r="C36" s="37"/>
      <c r="D36" s="37"/>
      <c r="E36" s="37"/>
      <c r="F36" s="37"/>
      <c r="G36" s="42">
        <f t="shared" si="1"/>
        <v>0</v>
      </c>
      <c r="H36" s="43" t="s">
        <v>35</v>
      </c>
      <c r="I36" s="43" t="s">
        <v>35</v>
      </c>
      <c r="J36" s="42"/>
      <c r="K36" s="42"/>
      <c r="L36" s="42"/>
      <c r="M36" s="42"/>
      <c r="N36" s="44"/>
      <c r="O36" s="24"/>
      <c r="P36" s="24"/>
      <c r="Q36" s="24"/>
      <c r="R36" s="24"/>
    </row>
    <row r="37">
      <c r="A37" s="38">
        <f>A35+0.01</f>
        <v>1.09</v>
      </c>
      <c r="B37" s="41" t="s">
        <v>54</v>
      </c>
      <c r="C37" s="42" t="s">
        <v>53</v>
      </c>
      <c r="D37" s="42">
        <v>2.0</v>
      </c>
      <c r="E37" s="42">
        <v>1.0</v>
      </c>
      <c r="F37" s="42" t="s">
        <v>37</v>
      </c>
      <c r="G37" s="42">
        <f t="shared" si="1"/>
        <v>3</v>
      </c>
      <c r="H37" s="43">
        <v>15960.0</v>
      </c>
      <c r="I37" s="43">
        <v>1425.0</v>
      </c>
      <c r="J37" s="42">
        <f>G37*H37</f>
        <v>47880</v>
      </c>
      <c r="K37" s="42">
        <f>G37*I37</f>
        <v>4275</v>
      </c>
      <c r="L37" s="42">
        <f>SUM(J37:K37)</f>
        <v>52155</v>
      </c>
      <c r="M37" s="42"/>
      <c r="N37" s="44">
        <f>G37*(H37+I37)</f>
        <v>52155</v>
      </c>
      <c r="O37" s="24"/>
      <c r="P37" s="24"/>
      <c r="Q37" s="24"/>
      <c r="R37" s="24"/>
    </row>
    <row r="38">
      <c r="A38" s="40"/>
      <c r="B38" s="41"/>
      <c r="C38" s="37"/>
      <c r="D38" s="37"/>
      <c r="E38" s="37"/>
      <c r="F38" s="37"/>
      <c r="G38" s="42">
        <f t="shared" si="1"/>
        <v>0</v>
      </c>
      <c r="H38" s="43" t="s">
        <v>35</v>
      </c>
      <c r="I38" s="43" t="s">
        <v>35</v>
      </c>
      <c r="J38" s="42"/>
      <c r="K38" s="42"/>
      <c r="L38" s="42"/>
      <c r="M38" s="42"/>
      <c r="N38" s="44"/>
      <c r="O38" s="24"/>
      <c r="P38" s="24"/>
      <c r="Q38" s="24"/>
      <c r="R38" s="24"/>
    </row>
    <row r="39">
      <c r="A39" s="38">
        <f>A37+0.01</f>
        <v>1.1</v>
      </c>
      <c r="B39" s="41" t="s">
        <v>55</v>
      </c>
      <c r="C39" s="37"/>
      <c r="D39" s="37"/>
      <c r="E39" s="37"/>
      <c r="F39" s="37"/>
      <c r="G39" s="42">
        <f t="shared" si="1"/>
        <v>0</v>
      </c>
      <c r="H39" s="43" t="s">
        <v>35</v>
      </c>
      <c r="I39" s="43" t="s">
        <v>35</v>
      </c>
      <c r="J39" s="42"/>
      <c r="K39" s="42"/>
      <c r="L39" s="42"/>
      <c r="M39" s="42"/>
      <c r="N39" s="44"/>
      <c r="O39" s="24"/>
      <c r="P39" s="24"/>
      <c r="Q39" s="24"/>
      <c r="R39" s="24"/>
    </row>
    <row r="40">
      <c r="A40" s="40"/>
      <c r="B40" s="41" t="s">
        <v>56</v>
      </c>
      <c r="C40" s="37"/>
      <c r="D40" s="37"/>
      <c r="E40" s="37"/>
      <c r="F40" s="37"/>
      <c r="G40" s="42">
        <f t="shared" si="1"/>
        <v>0</v>
      </c>
      <c r="H40" s="43" t="s">
        <v>35</v>
      </c>
      <c r="I40" s="43" t="s">
        <v>35</v>
      </c>
      <c r="J40" s="42"/>
      <c r="K40" s="42"/>
      <c r="L40" s="42"/>
      <c r="M40" s="42"/>
      <c r="N40" s="44"/>
      <c r="O40" s="24"/>
      <c r="P40" s="24"/>
      <c r="Q40" s="24"/>
      <c r="R40" s="24"/>
    </row>
    <row r="41">
      <c r="A41" s="40"/>
      <c r="B41" s="41" t="s">
        <v>57</v>
      </c>
      <c r="C41" s="37"/>
      <c r="D41" s="37"/>
      <c r="E41" s="37"/>
      <c r="F41" s="37"/>
      <c r="G41" s="42">
        <f t="shared" si="1"/>
        <v>0</v>
      </c>
      <c r="H41" s="43" t="s">
        <v>35</v>
      </c>
      <c r="I41" s="43" t="s">
        <v>35</v>
      </c>
      <c r="J41" s="42"/>
      <c r="K41" s="42"/>
      <c r="L41" s="42"/>
      <c r="M41" s="42"/>
      <c r="N41" s="44"/>
      <c r="O41" s="24"/>
      <c r="P41" s="24"/>
      <c r="Q41" s="24"/>
      <c r="R41" s="24"/>
    </row>
    <row r="42">
      <c r="A42" s="40"/>
      <c r="B42" s="41" t="s">
        <v>58</v>
      </c>
      <c r="C42" s="37"/>
      <c r="D42" s="37"/>
      <c r="E42" s="37"/>
      <c r="F42" s="37"/>
      <c r="G42" s="42">
        <f t="shared" si="1"/>
        <v>0</v>
      </c>
      <c r="H42" s="43" t="s">
        <v>35</v>
      </c>
      <c r="I42" s="43" t="s">
        <v>35</v>
      </c>
      <c r="J42" s="42"/>
      <c r="K42" s="42"/>
      <c r="L42" s="42"/>
      <c r="M42" s="42"/>
      <c r="N42" s="44"/>
      <c r="O42" s="24"/>
      <c r="P42" s="24"/>
      <c r="Q42" s="24"/>
      <c r="R42" s="24"/>
    </row>
    <row r="43">
      <c r="A43" s="38" t="s">
        <v>59</v>
      </c>
      <c r="B43" s="41" t="s">
        <v>60</v>
      </c>
      <c r="C43" s="42" t="s">
        <v>30</v>
      </c>
      <c r="D43" s="42" t="s">
        <v>37</v>
      </c>
      <c r="E43" s="42" t="s">
        <v>37</v>
      </c>
      <c r="F43" s="42" t="s">
        <v>37</v>
      </c>
      <c r="G43" s="42">
        <f t="shared" si="1"/>
        <v>0</v>
      </c>
      <c r="H43" s="43" t="s">
        <v>35</v>
      </c>
      <c r="I43" s="43" t="s">
        <v>35</v>
      </c>
      <c r="J43" s="42"/>
      <c r="K43" s="42"/>
      <c r="L43" s="42"/>
      <c r="M43" s="42"/>
      <c r="N43" s="44"/>
      <c r="O43" s="24"/>
      <c r="P43" s="24"/>
      <c r="Q43" s="24"/>
      <c r="R43" s="24"/>
    </row>
    <row r="44">
      <c r="A44" s="38" t="s">
        <v>61</v>
      </c>
      <c r="B44" s="41" t="s">
        <v>62</v>
      </c>
      <c r="C44" s="42" t="s">
        <v>63</v>
      </c>
      <c r="D44" s="42" t="s">
        <v>37</v>
      </c>
      <c r="E44" s="42" t="s">
        <v>37</v>
      </c>
      <c r="F44" s="42" t="s">
        <v>37</v>
      </c>
      <c r="G44" s="42">
        <f t="shared" si="1"/>
        <v>0</v>
      </c>
      <c r="H44" s="43" t="s">
        <v>35</v>
      </c>
      <c r="I44" s="43" t="s">
        <v>35</v>
      </c>
      <c r="J44" s="42"/>
      <c r="K44" s="42"/>
      <c r="L44" s="42"/>
      <c r="M44" s="42"/>
      <c r="N44" s="44"/>
      <c r="O44" s="24"/>
      <c r="P44" s="24"/>
      <c r="Q44" s="24"/>
      <c r="R44" s="24"/>
    </row>
    <row r="45">
      <c r="A45" s="40"/>
      <c r="B45" s="41"/>
      <c r="C45" s="37"/>
      <c r="D45" s="37"/>
      <c r="E45" s="37"/>
      <c r="F45" s="37"/>
      <c r="G45" s="42">
        <f t="shared" si="1"/>
        <v>0</v>
      </c>
      <c r="H45" s="43" t="s">
        <v>35</v>
      </c>
      <c r="I45" s="43" t="s">
        <v>35</v>
      </c>
      <c r="J45" s="42"/>
      <c r="K45" s="42"/>
      <c r="L45" s="42"/>
      <c r="M45" s="42"/>
      <c r="N45" s="44"/>
      <c r="O45" s="24"/>
      <c r="P45" s="24"/>
      <c r="Q45" s="24"/>
      <c r="R45" s="24"/>
    </row>
    <row r="46">
      <c r="A46" s="38">
        <f>A39+0.01</f>
        <v>1.11</v>
      </c>
      <c r="B46" s="41" t="s">
        <v>64</v>
      </c>
      <c r="C46" s="42" t="s">
        <v>30</v>
      </c>
      <c r="D46" s="42">
        <v>1.0</v>
      </c>
      <c r="E46" s="42">
        <v>1.0</v>
      </c>
      <c r="F46" s="42"/>
      <c r="G46" s="42">
        <f t="shared" si="1"/>
        <v>2</v>
      </c>
      <c r="H46" s="43">
        <v>8265.0</v>
      </c>
      <c r="I46" s="43">
        <v>1710.0</v>
      </c>
      <c r="J46" s="42">
        <f>G46*H46</f>
        <v>16530</v>
      </c>
      <c r="K46" s="42">
        <f>G46*I46</f>
        <v>3420</v>
      </c>
      <c r="L46" s="42">
        <f>SUM(J46:K46)</f>
        <v>19950</v>
      </c>
      <c r="M46" s="42"/>
      <c r="N46" s="44">
        <f>G46*(H46+I46)</f>
        <v>19950</v>
      </c>
      <c r="O46" s="24"/>
      <c r="P46" s="24"/>
      <c r="Q46" s="24"/>
      <c r="R46" s="24"/>
    </row>
    <row r="47">
      <c r="A47" s="40"/>
      <c r="B47" s="39"/>
      <c r="C47" s="37"/>
      <c r="D47" s="37"/>
      <c r="E47" s="37"/>
      <c r="F47" s="37"/>
      <c r="G47" s="42">
        <f t="shared" si="1"/>
        <v>0</v>
      </c>
      <c r="H47" s="43" t="s">
        <v>35</v>
      </c>
      <c r="I47" s="43" t="s">
        <v>35</v>
      </c>
      <c r="J47" s="42"/>
      <c r="K47" s="42"/>
      <c r="L47" s="42"/>
      <c r="M47" s="42"/>
      <c r="N47" s="44"/>
      <c r="O47" s="24"/>
      <c r="P47" s="24"/>
      <c r="Q47" s="24"/>
      <c r="R47" s="24"/>
    </row>
    <row r="48">
      <c r="A48" s="38">
        <f>A46+0.01</f>
        <v>1.12</v>
      </c>
      <c r="B48" s="39" t="s">
        <v>65</v>
      </c>
      <c r="C48" s="37"/>
      <c r="D48" s="37"/>
      <c r="E48" s="37"/>
      <c r="F48" s="37"/>
      <c r="G48" s="42">
        <f t="shared" si="1"/>
        <v>0</v>
      </c>
      <c r="H48" s="43" t="s">
        <v>35</v>
      </c>
      <c r="I48" s="43" t="s">
        <v>35</v>
      </c>
      <c r="J48" s="42"/>
      <c r="K48" s="42"/>
      <c r="L48" s="42"/>
      <c r="M48" s="42"/>
      <c r="N48" s="44"/>
      <c r="O48" s="24"/>
      <c r="P48" s="24"/>
      <c r="Q48" s="24"/>
      <c r="R48" s="24"/>
    </row>
    <row r="49">
      <c r="A49" s="40"/>
      <c r="B49" s="39" t="s">
        <v>66</v>
      </c>
      <c r="C49" s="37"/>
      <c r="D49" s="37"/>
      <c r="E49" s="37"/>
      <c r="F49" s="37"/>
      <c r="G49" s="42">
        <f t="shared" si="1"/>
        <v>0</v>
      </c>
      <c r="H49" s="43" t="s">
        <v>35</v>
      </c>
      <c r="I49" s="43" t="s">
        <v>35</v>
      </c>
      <c r="J49" s="42"/>
      <c r="K49" s="42"/>
      <c r="L49" s="42"/>
      <c r="M49" s="42"/>
      <c r="N49" s="44"/>
      <c r="O49" s="24"/>
      <c r="P49" s="24"/>
      <c r="Q49" s="24"/>
      <c r="R49" s="24"/>
    </row>
    <row r="50">
      <c r="A50" s="38" t="s">
        <v>28</v>
      </c>
      <c r="B50" s="39" t="s">
        <v>67</v>
      </c>
      <c r="C50" s="42" t="s">
        <v>53</v>
      </c>
      <c r="D50" s="42" t="s">
        <v>37</v>
      </c>
      <c r="E50" s="42" t="s">
        <v>37</v>
      </c>
      <c r="F50" s="42" t="s">
        <v>37</v>
      </c>
      <c r="G50" s="42">
        <f t="shared" si="1"/>
        <v>0</v>
      </c>
      <c r="H50" s="43" t="s">
        <v>35</v>
      </c>
      <c r="I50" s="43" t="s">
        <v>35</v>
      </c>
      <c r="J50" s="42"/>
      <c r="K50" s="42"/>
      <c r="L50" s="42"/>
      <c r="M50" s="42"/>
      <c r="N50" s="44"/>
      <c r="O50" s="24"/>
      <c r="P50" s="24"/>
      <c r="Q50" s="24"/>
      <c r="R50" s="24"/>
    </row>
    <row r="51">
      <c r="A51" s="38" t="s">
        <v>31</v>
      </c>
      <c r="B51" s="39" t="s">
        <v>68</v>
      </c>
      <c r="C51" s="42" t="s">
        <v>53</v>
      </c>
      <c r="D51" s="42" t="s">
        <v>37</v>
      </c>
      <c r="E51" s="42" t="s">
        <v>37</v>
      </c>
      <c r="F51" s="42" t="s">
        <v>37</v>
      </c>
      <c r="G51" s="42">
        <f t="shared" si="1"/>
        <v>0</v>
      </c>
      <c r="H51" s="43" t="s">
        <v>35</v>
      </c>
      <c r="I51" s="43" t="s">
        <v>35</v>
      </c>
      <c r="J51" s="42"/>
      <c r="K51" s="42"/>
      <c r="L51" s="42"/>
      <c r="M51" s="42"/>
      <c r="N51" s="44"/>
      <c r="O51" s="24"/>
      <c r="P51" s="24"/>
      <c r="Q51" s="24"/>
      <c r="R51" s="24"/>
    </row>
    <row r="52">
      <c r="A52" s="38" t="s">
        <v>33</v>
      </c>
      <c r="B52" s="39" t="s">
        <v>69</v>
      </c>
      <c r="C52" s="42" t="s">
        <v>53</v>
      </c>
      <c r="D52" s="42" t="s">
        <v>37</v>
      </c>
      <c r="E52" s="42" t="s">
        <v>37</v>
      </c>
      <c r="F52" s="42" t="s">
        <v>37</v>
      </c>
      <c r="G52" s="42">
        <f t="shared" si="1"/>
        <v>0</v>
      </c>
      <c r="H52" s="43" t="s">
        <v>35</v>
      </c>
      <c r="I52" s="43" t="s">
        <v>35</v>
      </c>
      <c r="J52" s="42"/>
      <c r="K52" s="42"/>
      <c r="L52" s="42"/>
      <c r="M52" s="42"/>
      <c r="N52" s="44"/>
      <c r="O52" s="24"/>
      <c r="P52" s="24"/>
      <c r="Q52" s="24"/>
      <c r="R52" s="24"/>
    </row>
    <row r="53">
      <c r="A53" s="38" t="s">
        <v>43</v>
      </c>
      <c r="B53" s="39" t="s">
        <v>70</v>
      </c>
      <c r="C53" s="42" t="s">
        <v>53</v>
      </c>
      <c r="D53" s="42">
        <v>1.0</v>
      </c>
      <c r="E53" s="42" t="s">
        <v>37</v>
      </c>
      <c r="F53" s="42" t="s">
        <v>37</v>
      </c>
      <c r="G53" s="42">
        <f t="shared" si="1"/>
        <v>1</v>
      </c>
      <c r="H53" s="43">
        <v>1378.0</v>
      </c>
      <c r="I53" s="43">
        <v>357.0</v>
      </c>
      <c r="J53" s="42">
        <f>G53*H53</f>
        <v>1378</v>
      </c>
      <c r="K53" s="42">
        <f>G53*I53</f>
        <v>357</v>
      </c>
      <c r="L53" s="42">
        <f>SUM(J53:K53)</f>
        <v>1735</v>
      </c>
      <c r="M53" s="42"/>
      <c r="N53" s="44">
        <f>G53*(H53+I53)</f>
        <v>1735</v>
      </c>
      <c r="O53" s="24"/>
      <c r="P53" s="24"/>
      <c r="Q53" s="24"/>
      <c r="R53" s="24"/>
    </row>
    <row r="54">
      <c r="A54" s="40"/>
      <c r="B54" s="39"/>
      <c r="C54" s="37"/>
      <c r="D54" s="37"/>
      <c r="E54" s="37"/>
      <c r="F54" s="37"/>
      <c r="G54" s="42">
        <f t="shared" si="1"/>
        <v>0</v>
      </c>
      <c r="H54" s="43" t="s">
        <v>35</v>
      </c>
      <c r="I54" s="43" t="s">
        <v>35</v>
      </c>
      <c r="J54" s="42"/>
      <c r="K54" s="42"/>
      <c r="L54" s="42"/>
      <c r="M54" s="42"/>
      <c r="N54" s="44"/>
      <c r="O54" s="24"/>
      <c r="P54" s="24"/>
      <c r="Q54" s="24"/>
      <c r="R54" s="24"/>
    </row>
    <row r="55">
      <c r="A55" s="38">
        <f>A48+0.01</f>
        <v>1.13</v>
      </c>
      <c r="B55" s="39" t="s">
        <v>71</v>
      </c>
      <c r="C55" s="37"/>
      <c r="D55" s="37"/>
      <c r="E55" s="37"/>
      <c r="F55" s="37"/>
      <c r="G55" s="42">
        <f t="shared" si="1"/>
        <v>0</v>
      </c>
      <c r="H55" s="43" t="s">
        <v>35</v>
      </c>
      <c r="I55" s="43" t="s">
        <v>35</v>
      </c>
      <c r="J55" s="42"/>
      <c r="K55" s="42"/>
      <c r="L55" s="42"/>
      <c r="M55" s="42"/>
      <c r="N55" s="44"/>
      <c r="O55" s="24"/>
      <c r="P55" s="24"/>
      <c r="Q55" s="24"/>
      <c r="R55" s="24"/>
    </row>
    <row r="56">
      <c r="A56" s="40"/>
      <c r="B56" s="39" t="s">
        <v>66</v>
      </c>
      <c r="C56" s="37"/>
      <c r="D56" s="37"/>
      <c r="E56" s="37"/>
      <c r="F56" s="37"/>
      <c r="G56" s="42">
        <f t="shared" si="1"/>
        <v>0</v>
      </c>
      <c r="H56" s="43" t="s">
        <v>35</v>
      </c>
      <c r="I56" s="43" t="s">
        <v>35</v>
      </c>
      <c r="J56" s="42"/>
      <c r="K56" s="42"/>
      <c r="L56" s="42"/>
      <c r="M56" s="42"/>
      <c r="N56" s="44"/>
      <c r="O56" s="24"/>
      <c r="P56" s="24"/>
      <c r="Q56" s="24"/>
      <c r="R56" s="24"/>
    </row>
    <row r="57">
      <c r="A57" s="38" t="s">
        <v>28</v>
      </c>
      <c r="B57" s="39" t="s">
        <v>67</v>
      </c>
      <c r="C57" s="42" t="s">
        <v>53</v>
      </c>
      <c r="D57" s="42" t="s">
        <v>37</v>
      </c>
      <c r="E57" s="42" t="s">
        <v>37</v>
      </c>
      <c r="F57" s="42" t="s">
        <v>37</v>
      </c>
      <c r="G57" s="42">
        <f t="shared" si="1"/>
        <v>0</v>
      </c>
      <c r="H57" s="43" t="s">
        <v>35</v>
      </c>
      <c r="I57" s="43" t="s">
        <v>35</v>
      </c>
      <c r="J57" s="42"/>
      <c r="K57" s="42"/>
      <c r="L57" s="42"/>
      <c r="M57" s="42"/>
      <c r="N57" s="44"/>
      <c r="O57" s="24"/>
      <c r="P57" s="24"/>
      <c r="Q57" s="24"/>
      <c r="R57" s="24"/>
    </row>
    <row r="58">
      <c r="A58" s="38" t="s">
        <v>31</v>
      </c>
      <c r="B58" s="39" t="s">
        <v>68</v>
      </c>
      <c r="C58" s="42" t="s">
        <v>53</v>
      </c>
      <c r="D58" s="42" t="s">
        <v>37</v>
      </c>
      <c r="E58" s="42" t="s">
        <v>37</v>
      </c>
      <c r="F58" s="42" t="s">
        <v>37</v>
      </c>
      <c r="G58" s="42">
        <f t="shared" si="1"/>
        <v>0</v>
      </c>
      <c r="H58" s="43" t="s">
        <v>35</v>
      </c>
      <c r="I58" s="43" t="s">
        <v>35</v>
      </c>
      <c r="J58" s="42"/>
      <c r="K58" s="42"/>
      <c r="L58" s="42"/>
      <c r="M58" s="42"/>
      <c r="N58" s="44"/>
      <c r="O58" s="24"/>
      <c r="P58" s="24"/>
      <c r="Q58" s="24"/>
      <c r="R58" s="24"/>
    </row>
    <row r="59">
      <c r="A59" s="38" t="s">
        <v>33</v>
      </c>
      <c r="B59" s="39" t="s">
        <v>69</v>
      </c>
      <c r="C59" s="42" t="s">
        <v>53</v>
      </c>
      <c r="D59" s="42" t="s">
        <v>37</v>
      </c>
      <c r="E59" s="42" t="s">
        <v>37</v>
      </c>
      <c r="F59" s="42" t="s">
        <v>37</v>
      </c>
      <c r="G59" s="42">
        <f t="shared" si="1"/>
        <v>0</v>
      </c>
      <c r="H59" s="43" t="s">
        <v>35</v>
      </c>
      <c r="I59" s="43" t="s">
        <v>35</v>
      </c>
      <c r="J59" s="42"/>
      <c r="K59" s="42"/>
      <c r="L59" s="42"/>
      <c r="M59" s="42"/>
      <c r="N59" s="44"/>
      <c r="O59" s="24"/>
      <c r="P59" s="24"/>
      <c r="Q59" s="24"/>
      <c r="R59" s="24"/>
    </row>
    <row r="60">
      <c r="A60" s="38" t="s">
        <v>43</v>
      </c>
      <c r="B60" s="39" t="s">
        <v>72</v>
      </c>
      <c r="C60" s="42" t="s">
        <v>53</v>
      </c>
      <c r="D60" s="42" t="s">
        <v>37</v>
      </c>
      <c r="E60" s="42" t="s">
        <v>37</v>
      </c>
      <c r="F60" s="42" t="s">
        <v>37</v>
      </c>
      <c r="G60" s="42">
        <f t="shared" si="1"/>
        <v>0</v>
      </c>
      <c r="H60" s="43" t="s">
        <v>35</v>
      </c>
      <c r="I60" s="43" t="s">
        <v>35</v>
      </c>
      <c r="J60" s="42"/>
      <c r="K60" s="42"/>
      <c r="L60" s="42"/>
      <c r="M60" s="42"/>
      <c r="N60" s="44"/>
      <c r="O60" s="24"/>
      <c r="P60" s="24"/>
      <c r="Q60" s="24"/>
      <c r="R60" s="24"/>
    </row>
    <row r="61">
      <c r="A61" s="40"/>
      <c r="B61" s="39"/>
      <c r="C61" s="37"/>
      <c r="D61" s="37"/>
      <c r="E61" s="37"/>
      <c r="F61" s="37"/>
      <c r="G61" s="42">
        <f t="shared" si="1"/>
        <v>0</v>
      </c>
      <c r="H61" s="43" t="s">
        <v>35</v>
      </c>
      <c r="I61" s="43" t="s">
        <v>35</v>
      </c>
      <c r="J61" s="42"/>
      <c r="K61" s="42"/>
      <c r="L61" s="42"/>
      <c r="M61" s="42"/>
      <c r="N61" s="44"/>
      <c r="O61" s="24"/>
      <c r="P61" s="24"/>
      <c r="Q61" s="24"/>
      <c r="R61" s="24"/>
    </row>
    <row r="62">
      <c r="A62" s="38">
        <f>A55+0.01</f>
        <v>1.14</v>
      </c>
      <c r="B62" s="39" t="s">
        <v>73</v>
      </c>
      <c r="C62" s="37"/>
      <c r="D62" s="37"/>
      <c r="E62" s="37"/>
      <c r="F62" s="37"/>
      <c r="G62" s="42">
        <f t="shared" si="1"/>
        <v>0</v>
      </c>
      <c r="H62" s="43" t="s">
        <v>35</v>
      </c>
      <c r="I62" s="43" t="s">
        <v>35</v>
      </c>
      <c r="J62" s="42"/>
      <c r="K62" s="42"/>
      <c r="L62" s="42"/>
      <c r="M62" s="42"/>
      <c r="N62" s="44"/>
      <c r="O62" s="24"/>
      <c r="P62" s="24"/>
      <c r="Q62" s="24"/>
      <c r="R62" s="24"/>
    </row>
    <row r="63">
      <c r="A63" s="38" t="s">
        <v>28</v>
      </c>
      <c r="B63" s="39" t="s">
        <v>74</v>
      </c>
      <c r="C63" s="42" t="s">
        <v>75</v>
      </c>
      <c r="D63" s="42" t="s">
        <v>37</v>
      </c>
      <c r="E63" s="42" t="s">
        <v>37</v>
      </c>
      <c r="F63" s="42" t="s">
        <v>37</v>
      </c>
      <c r="G63" s="42">
        <f t="shared" si="1"/>
        <v>0</v>
      </c>
      <c r="H63" s="43" t="s">
        <v>35</v>
      </c>
      <c r="I63" s="43" t="s">
        <v>35</v>
      </c>
      <c r="J63" s="42"/>
      <c r="K63" s="42"/>
      <c r="L63" s="42"/>
      <c r="M63" s="42"/>
      <c r="N63" s="44"/>
      <c r="O63" s="24"/>
      <c r="P63" s="24"/>
      <c r="Q63" s="24"/>
      <c r="R63" s="24"/>
    </row>
    <row r="64">
      <c r="A64" s="38" t="s">
        <v>31</v>
      </c>
      <c r="B64" s="39" t="s">
        <v>76</v>
      </c>
      <c r="C64" s="42" t="s">
        <v>75</v>
      </c>
      <c r="D64" s="42" t="s">
        <v>37</v>
      </c>
      <c r="E64" s="42" t="s">
        <v>37</v>
      </c>
      <c r="F64" s="42" t="s">
        <v>37</v>
      </c>
      <c r="G64" s="42">
        <f t="shared" si="1"/>
        <v>0</v>
      </c>
      <c r="H64" s="43" t="s">
        <v>35</v>
      </c>
      <c r="I64" s="43" t="s">
        <v>35</v>
      </c>
      <c r="J64" s="42"/>
      <c r="K64" s="42"/>
      <c r="L64" s="42"/>
      <c r="M64" s="42"/>
      <c r="N64" s="44"/>
      <c r="O64" s="24"/>
      <c r="P64" s="24"/>
      <c r="Q64" s="24"/>
      <c r="R64" s="24"/>
    </row>
    <row r="65">
      <c r="A65" s="38" t="s">
        <v>33</v>
      </c>
      <c r="B65" s="39" t="s">
        <v>77</v>
      </c>
      <c r="C65" s="42" t="s">
        <v>63</v>
      </c>
      <c r="D65" s="42" t="s">
        <v>37</v>
      </c>
      <c r="E65" s="42" t="s">
        <v>37</v>
      </c>
      <c r="F65" s="42" t="s">
        <v>37</v>
      </c>
      <c r="G65" s="42">
        <f t="shared" si="1"/>
        <v>0</v>
      </c>
      <c r="H65" s="43" t="s">
        <v>35</v>
      </c>
      <c r="I65" s="43" t="s">
        <v>35</v>
      </c>
      <c r="J65" s="42"/>
      <c r="K65" s="42"/>
      <c r="L65" s="42"/>
      <c r="M65" s="42"/>
      <c r="N65" s="44"/>
      <c r="O65" s="24"/>
      <c r="P65" s="24"/>
      <c r="Q65" s="24"/>
      <c r="R65" s="24"/>
    </row>
    <row r="66">
      <c r="A66" s="38" t="s">
        <v>43</v>
      </c>
      <c r="B66" s="39" t="s">
        <v>78</v>
      </c>
      <c r="C66" s="42" t="s">
        <v>79</v>
      </c>
      <c r="D66" s="42">
        <v>3.0</v>
      </c>
      <c r="E66" s="42">
        <v>3.0</v>
      </c>
      <c r="F66" s="42">
        <v>1.5</v>
      </c>
      <c r="G66" s="42">
        <f t="shared" si="1"/>
        <v>7.5</v>
      </c>
      <c r="H66" s="43">
        <v>4589.0</v>
      </c>
      <c r="I66" s="43">
        <v>1045.0</v>
      </c>
      <c r="J66" s="42">
        <f>G66*H66</f>
        <v>34417.5</v>
      </c>
      <c r="K66" s="42">
        <f>G66*I66</f>
        <v>7837.5</v>
      </c>
      <c r="L66" s="42">
        <f>SUM(J66:K66)</f>
        <v>42255</v>
      </c>
      <c r="M66" s="42"/>
      <c r="N66" s="44">
        <f>G66*(H66+I66)</f>
        <v>42255</v>
      </c>
      <c r="O66" s="24"/>
      <c r="P66" s="24"/>
      <c r="Q66" s="24"/>
      <c r="R66" s="24"/>
    </row>
    <row r="67">
      <c r="A67" s="38" t="s">
        <v>80</v>
      </c>
      <c r="B67" s="39" t="s">
        <v>81</v>
      </c>
      <c r="C67" s="42" t="s">
        <v>63</v>
      </c>
      <c r="D67" s="42" t="s">
        <v>37</v>
      </c>
      <c r="E67" s="42" t="s">
        <v>37</v>
      </c>
      <c r="F67" s="42" t="s">
        <v>37</v>
      </c>
      <c r="G67" s="42">
        <f t="shared" si="1"/>
        <v>0</v>
      </c>
      <c r="H67" s="43" t="s">
        <v>35</v>
      </c>
      <c r="I67" s="43" t="s">
        <v>35</v>
      </c>
      <c r="J67" s="42"/>
      <c r="K67" s="42"/>
      <c r="L67" s="42"/>
      <c r="M67" s="42"/>
      <c r="N67" s="44"/>
      <c r="O67" s="24"/>
      <c r="P67" s="24"/>
      <c r="Q67" s="24"/>
      <c r="R67" s="24"/>
    </row>
    <row r="68">
      <c r="A68" s="40"/>
      <c r="B68" s="39"/>
      <c r="C68" s="37"/>
      <c r="D68" s="37"/>
      <c r="E68" s="37"/>
      <c r="F68" s="37"/>
      <c r="G68" s="42">
        <f t="shared" si="1"/>
        <v>0</v>
      </c>
      <c r="H68" s="43" t="s">
        <v>35</v>
      </c>
      <c r="I68" s="43" t="s">
        <v>35</v>
      </c>
      <c r="J68" s="42"/>
      <c r="K68" s="42"/>
      <c r="L68" s="42"/>
      <c r="M68" s="42"/>
      <c r="N68" s="44"/>
      <c r="O68" s="24"/>
      <c r="P68" s="24"/>
      <c r="Q68" s="24"/>
      <c r="R68" s="24"/>
    </row>
    <row r="69">
      <c r="A69" s="38">
        <f>A62+0.01</f>
        <v>1.15</v>
      </c>
      <c r="B69" s="39" t="s">
        <v>82</v>
      </c>
      <c r="C69" s="42" t="s">
        <v>30</v>
      </c>
      <c r="D69" s="42">
        <v>1.0</v>
      </c>
      <c r="E69" s="42">
        <v>2.0</v>
      </c>
      <c r="F69" s="42">
        <v>2.0</v>
      </c>
      <c r="G69" s="42">
        <f t="shared" si="1"/>
        <v>5</v>
      </c>
      <c r="H69" s="43">
        <v>4750.0</v>
      </c>
      <c r="I69" s="43">
        <v>475.0</v>
      </c>
      <c r="J69" s="42">
        <f>G69*H69</f>
        <v>23750</v>
      </c>
      <c r="K69" s="42">
        <f>G69*I69</f>
        <v>2375</v>
      </c>
      <c r="L69" s="42">
        <f>SUM(J69:K69)</f>
        <v>26125</v>
      </c>
      <c r="M69" s="42"/>
      <c r="N69" s="44">
        <f>G69*(H69+I69)</f>
        <v>26125</v>
      </c>
      <c r="O69" s="24"/>
      <c r="P69" s="24"/>
      <c r="Q69" s="24"/>
      <c r="R69" s="24"/>
    </row>
    <row r="70">
      <c r="A70" s="40"/>
      <c r="B70" s="39"/>
      <c r="C70" s="37"/>
      <c r="D70" s="37"/>
      <c r="E70" s="37"/>
      <c r="F70" s="37"/>
      <c r="G70" s="42">
        <f t="shared" si="1"/>
        <v>0</v>
      </c>
      <c r="H70" s="43" t="s">
        <v>35</v>
      </c>
      <c r="I70" s="43" t="s">
        <v>35</v>
      </c>
      <c r="J70" s="42"/>
      <c r="K70" s="42"/>
      <c r="L70" s="42"/>
      <c r="M70" s="42"/>
      <c r="N70" s="44"/>
      <c r="O70" s="24"/>
      <c r="P70" s="24"/>
      <c r="Q70" s="24"/>
      <c r="R70" s="24"/>
    </row>
    <row r="71">
      <c r="A71" s="38">
        <f>A69+0.01</f>
        <v>1.16</v>
      </c>
      <c r="B71" s="41" t="s">
        <v>83</v>
      </c>
      <c r="C71" s="42" t="s">
        <v>63</v>
      </c>
      <c r="D71" s="42" t="s">
        <v>37</v>
      </c>
      <c r="E71" s="42" t="s">
        <v>37</v>
      </c>
      <c r="F71" s="42" t="s">
        <v>37</v>
      </c>
      <c r="G71" s="42">
        <f t="shared" si="1"/>
        <v>0</v>
      </c>
      <c r="H71" s="43" t="s">
        <v>35</v>
      </c>
      <c r="I71" s="43" t="s">
        <v>35</v>
      </c>
      <c r="J71" s="42"/>
      <c r="K71" s="42"/>
      <c r="L71" s="42"/>
      <c r="M71" s="42"/>
      <c r="N71" s="44"/>
      <c r="O71" s="24"/>
      <c r="P71" s="24"/>
      <c r="Q71" s="24"/>
      <c r="R71" s="24"/>
    </row>
    <row r="72">
      <c r="A72" s="40"/>
      <c r="B72" s="39"/>
      <c r="C72" s="37"/>
      <c r="D72" s="37"/>
      <c r="E72" s="37"/>
      <c r="F72" s="37"/>
      <c r="G72" s="42">
        <f t="shared" si="1"/>
        <v>0</v>
      </c>
      <c r="H72" s="43" t="s">
        <v>35</v>
      </c>
      <c r="I72" s="43" t="s">
        <v>35</v>
      </c>
      <c r="J72" s="42"/>
      <c r="K72" s="42"/>
      <c r="L72" s="42"/>
      <c r="M72" s="42"/>
      <c r="N72" s="44"/>
      <c r="O72" s="24"/>
      <c r="P72" s="24"/>
      <c r="Q72" s="24"/>
      <c r="R72" s="24"/>
    </row>
    <row r="73">
      <c r="A73" s="38">
        <f>A71+0.01</f>
        <v>1.17</v>
      </c>
      <c r="B73" s="41" t="s">
        <v>84</v>
      </c>
      <c r="C73" s="42" t="s">
        <v>30</v>
      </c>
      <c r="D73" s="42">
        <v>6.0</v>
      </c>
      <c r="E73" s="42">
        <v>5.0</v>
      </c>
      <c r="F73" s="42" t="s">
        <v>37</v>
      </c>
      <c r="G73" s="42">
        <f t="shared" si="1"/>
        <v>11</v>
      </c>
      <c r="H73" s="43">
        <v>10194.0</v>
      </c>
      <c r="I73" s="43">
        <v>3325.0</v>
      </c>
      <c r="J73" s="42">
        <f>G73*H73</f>
        <v>112134</v>
      </c>
      <c r="K73" s="42">
        <f>G73*I73</f>
        <v>36575</v>
      </c>
      <c r="L73" s="42">
        <f>SUM(J73:K73)</f>
        <v>148709</v>
      </c>
      <c r="M73" s="42"/>
      <c r="N73" s="44">
        <f>G73*(H73+I73)</f>
        <v>148709</v>
      </c>
      <c r="O73" s="24"/>
      <c r="P73" s="24"/>
      <c r="Q73" s="24"/>
      <c r="R73" s="24"/>
    </row>
    <row r="74">
      <c r="A74" s="40"/>
      <c r="B74" s="39"/>
      <c r="C74" s="37"/>
      <c r="D74" s="37"/>
      <c r="E74" s="37"/>
      <c r="F74" s="37"/>
      <c r="G74" s="42">
        <f t="shared" si="1"/>
        <v>0</v>
      </c>
      <c r="H74" s="43" t="s">
        <v>35</v>
      </c>
      <c r="I74" s="43" t="s">
        <v>35</v>
      </c>
      <c r="J74" s="42"/>
      <c r="K74" s="42"/>
      <c r="L74" s="42"/>
      <c r="M74" s="42"/>
      <c r="N74" s="44"/>
      <c r="O74" s="24"/>
      <c r="P74" s="24"/>
      <c r="Q74" s="24"/>
      <c r="R74" s="24"/>
    </row>
    <row r="75">
      <c r="A75" s="38">
        <f>A73+0.01</f>
        <v>1.18</v>
      </c>
      <c r="B75" s="41" t="s">
        <v>85</v>
      </c>
      <c r="C75" s="37"/>
      <c r="D75" s="37"/>
      <c r="E75" s="37"/>
      <c r="F75" s="37"/>
      <c r="G75" s="42">
        <f t="shared" si="1"/>
        <v>0</v>
      </c>
      <c r="H75" s="43" t="s">
        <v>35</v>
      </c>
      <c r="I75" s="43" t="s">
        <v>35</v>
      </c>
      <c r="J75" s="42"/>
      <c r="K75" s="42"/>
      <c r="L75" s="42"/>
      <c r="M75" s="42"/>
      <c r="N75" s="44"/>
      <c r="O75" s="24"/>
      <c r="P75" s="24"/>
      <c r="Q75" s="24"/>
      <c r="R75" s="24"/>
    </row>
    <row r="76">
      <c r="A76" s="38" t="s">
        <v>28</v>
      </c>
      <c r="B76" s="41" t="s">
        <v>86</v>
      </c>
      <c r="C76" s="42" t="s">
        <v>75</v>
      </c>
      <c r="D76" s="42" t="s">
        <v>37</v>
      </c>
      <c r="E76" s="42" t="s">
        <v>37</v>
      </c>
      <c r="F76" s="42" t="s">
        <v>37</v>
      </c>
      <c r="G76" s="42">
        <f t="shared" si="1"/>
        <v>0</v>
      </c>
      <c r="H76" s="43" t="s">
        <v>35</v>
      </c>
      <c r="I76" s="43" t="s">
        <v>35</v>
      </c>
      <c r="J76" s="42"/>
      <c r="K76" s="42"/>
      <c r="L76" s="42"/>
      <c r="M76" s="42"/>
      <c r="N76" s="44"/>
      <c r="O76" s="24"/>
      <c r="P76" s="24"/>
      <c r="Q76" s="24"/>
      <c r="R76" s="24"/>
    </row>
    <row r="77">
      <c r="A77" s="38" t="s">
        <v>31</v>
      </c>
      <c r="B77" s="41" t="s">
        <v>87</v>
      </c>
      <c r="C77" s="42" t="s">
        <v>75</v>
      </c>
      <c r="D77" s="42">
        <v>7.0</v>
      </c>
      <c r="E77" s="42">
        <v>9.0</v>
      </c>
      <c r="F77" s="42" t="s">
        <v>37</v>
      </c>
      <c r="G77" s="42">
        <f t="shared" si="1"/>
        <v>16</v>
      </c>
      <c r="H77" s="43">
        <v>600.0</v>
      </c>
      <c r="I77" s="43">
        <v>120.0</v>
      </c>
      <c r="J77" s="42">
        <f t="shared" ref="J77:J78" si="18">G77*H77</f>
        <v>9600</v>
      </c>
      <c r="K77" s="42">
        <f t="shared" ref="K77:K78" si="19">G77*I77</f>
        <v>1920</v>
      </c>
      <c r="L77" s="42">
        <f t="shared" ref="L77:L78" si="20">SUM(J77:K77)</f>
        <v>11520</v>
      </c>
      <c r="M77" s="42"/>
      <c r="N77" s="44">
        <f t="shared" ref="N77:N78" si="21">G77*(H77+I77)</f>
        <v>11520</v>
      </c>
      <c r="O77" s="24"/>
      <c r="P77" s="24"/>
      <c r="Q77" s="24"/>
      <c r="R77" s="24"/>
    </row>
    <row r="78">
      <c r="A78" s="38" t="s">
        <v>33</v>
      </c>
      <c r="B78" s="41" t="s">
        <v>88</v>
      </c>
      <c r="C78" s="42" t="s">
        <v>75</v>
      </c>
      <c r="D78" s="42" t="s">
        <v>37</v>
      </c>
      <c r="E78" s="42">
        <v>62.0</v>
      </c>
      <c r="F78" s="42" t="s">
        <v>37</v>
      </c>
      <c r="G78" s="42">
        <f t="shared" si="1"/>
        <v>62</v>
      </c>
      <c r="H78" s="43">
        <v>750.0</v>
      </c>
      <c r="I78" s="43">
        <v>140.0</v>
      </c>
      <c r="J78" s="42">
        <f t="shared" si="18"/>
        <v>46500</v>
      </c>
      <c r="K78" s="42">
        <f t="shared" si="19"/>
        <v>8680</v>
      </c>
      <c r="L78" s="42">
        <f t="shared" si="20"/>
        <v>55180</v>
      </c>
      <c r="M78" s="42"/>
      <c r="N78" s="44">
        <f t="shared" si="21"/>
        <v>55180</v>
      </c>
      <c r="O78" s="24"/>
      <c r="P78" s="24"/>
      <c r="Q78" s="24"/>
      <c r="R78" s="24"/>
    </row>
    <row r="79">
      <c r="A79" s="40"/>
      <c r="B79" s="39"/>
      <c r="C79" s="37"/>
      <c r="D79" s="37"/>
      <c r="E79" s="37"/>
      <c r="F79" s="37"/>
      <c r="G79" s="42">
        <f t="shared" si="1"/>
        <v>0</v>
      </c>
      <c r="H79" s="43" t="s">
        <v>35</v>
      </c>
      <c r="I79" s="43" t="s">
        <v>35</v>
      </c>
      <c r="J79" s="42"/>
      <c r="K79" s="42"/>
      <c r="L79" s="42"/>
      <c r="M79" s="42"/>
      <c r="N79" s="44"/>
      <c r="O79" s="24"/>
      <c r="P79" s="24"/>
      <c r="Q79" s="24"/>
      <c r="R79" s="24"/>
    </row>
    <row r="80">
      <c r="A80" s="38">
        <f>A75+0.01</f>
        <v>1.19</v>
      </c>
      <c r="B80" s="41" t="s">
        <v>89</v>
      </c>
      <c r="C80" s="37"/>
      <c r="D80" s="37"/>
      <c r="E80" s="37"/>
      <c r="F80" s="37"/>
      <c r="G80" s="42">
        <f t="shared" si="1"/>
        <v>0</v>
      </c>
      <c r="H80" s="43" t="s">
        <v>35</v>
      </c>
      <c r="I80" s="43" t="s">
        <v>35</v>
      </c>
      <c r="J80" s="42"/>
      <c r="K80" s="42"/>
      <c r="L80" s="42"/>
      <c r="M80" s="42"/>
      <c r="N80" s="44"/>
      <c r="O80" s="24"/>
      <c r="P80" s="24"/>
      <c r="Q80" s="24"/>
      <c r="R80" s="24"/>
    </row>
    <row r="81">
      <c r="A81" s="38" t="s">
        <v>28</v>
      </c>
      <c r="B81" s="41" t="s">
        <v>86</v>
      </c>
      <c r="C81" s="42" t="s">
        <v>53</v>
      </c>
      <c r="D81" s="42" t="s">
        <v>37</v>
      </c>
      <c r="E81" s="42" t="s">
        <v>37</v>
      </c>
      <c r="F81" s="42" t="s">
        <v>37</v>
      </c>
      <c r="G81" s="42">
        <f t="shared" si="1"/>
        <v>0</v>
      </c>
      <c r="H81" s="43" t="s">
        <v>35</v>
      </c>
      <c r="I81" s="43" t="s">
        <v>35</v>
      </c>
      <c r="J81" s="42"/>
      <c r="K81" s="42"/>
      <c r="L81" s="42"/>
      <c r="M81" s="42"/>
      <c r="N81" s="44"/>
      <c r="O81" s="24"/>
      <c r="P81" s="24"/>
      <c r="Q81" s="24"/>
      <c r="R81" s="24"/>
    </row>
    <row r="82">
      <c r="A82" s="38" t="s">
        <v>31</v>
      </c>
      <c r="B82" s="41" t="s">
        <v>87</v>
      </c>
      <c r="C82" s="42" t="s">
        <v>53</v>
      </c>
      <c r="D82" s="42">
        <v>7.0</v>
      </c>
      <c r="E82" s="42">
        <v>9.0</v>
      </c>
      <c r="F82" s="42" t="s">
        <v>37</v>
      </c>
      <c r="G82" s="42">
        <f t="shared" si="1"/>
        <v>16</v>
      </c>
      <c r="H82" s="43">
        <v>965.0</v>
      </c>
      <c r="I82" s="43">
        <v>193.0</v>
      </c>
      <c r="J82" s="42">
        <f t="shared" ref="J82:J83" si="22">G82*H82</f>
        <v>15440</v>
      </c>
      <c r="K82" s="42">
        <f t="shared" ref="K82:K83" si="23">G82*I82</f>
        <v>3088</v>
      </c>
      <c r="L82" s="42">
        <f t="shared" ref="L82:L83" si="24">SUM(J82:K82)</f>
        <v>18528</v>
      </c>
      <c r="M82" s="42"/>
      <c r="N82" s="44">
        <f t="shared" ref="N82:N83" si="25">G82*(H82+I82)</f>
        <v>18528</v>
      </c>
      <c r="O82" s="24"/>
      <c r="P82" s="24"/>
      <c r="Q82" s="24"/>
      <c r="R82" s="24"/>
    </row>
    <row r="83">
      <c r="A83" s="38" t="s">
        <v>33</v>
      </c>
      <c r="B83" s="41" t="s">
        <v>88</v>
      </c>
      <c r="C83" s="42" t="s">
        <v>53</v>
      </c>
      <c r="D83" s="42" t="s">
        <v>37</v>
      </c>
      <c r="E83" s="42">
        <v>62.0</v>
      </c>
      <c r="F83" s="42" t="s">
        <v>37</v>
      </c>
      <c r="G83" s="42">
        <f t="shared" si="1"/>
        <v>62</v>
      </c>
      <c r="H83" s="43">
        <v>1240.0</v>
      </c>
      <c r="I83" s="43">
        <v>248.0</v>
      </c>
      <c r="J83" s="42">
        <f t="shared" si="22"/>
        <v>76880</v>
      </c>
      <c r="K83" s="42">
        <f t="shared" si="23"/>
        <v>15376</v>
      </c>
      <c r="L83" s="42">
        <f t="shared" si="24"/>
        <v>92256</v>
      </c>
      <c r="M83" s="42"/>
      <c r="N83" s="44">
        <f t="shared" si="25"/>
        <v>92256</v>
      </c>
      <c r="O83" s="24"/>
      <c r="P83" s="24"/>
      <c r="Q83" s="24"/>
      <c r="R83" s="24"/>
    </row>
    <row r="84">
      <c r="A84" s="38" t="s">
        <v>43</v>
      </c>
      <c r="B84" s="41" t="s">
        <v>90</v>
      </c>
      <c r="C84" s="42" t="s">
        <v>53</v>
      </c>
      <c r="D84" s="42" t="s">
        <v>37</v>
      </c>
      <c r="E84" s="42" t="s">
        <v>37</v>
      </c>
      <c r="F84" s="42" t="s">
        <v>37</v>
      </c>
      <c r="G84" s="42">
        <f t="shared" si="1"/>
        <v>0</v>
      </c>
      <c r="H84" s="43" t="s">
        <v>35</v>
      </c>
      <c r="I84" s="43" t="s">
        <v>35</v>
      </c>
      <c r="J84" s="42"/>
      <c r="K84" s="42"/>
      <c r="L84" s="42"/>
      <c r="M84" s="42"/>
      <c r="N84" s="44"/>
      <c r="O84" s="24"/>
      <c r="P84" s="24"/>
      <c r="Q84" s="24"/>
      <c r="R84" s="24"/>
    </row>
    <row r="85">
      <c r="A85" s="40"/>
      <c r="B85" s="41"/>
      <c r="C85" s="37"/>
      <c r="D85" s="37"/>
      <c r="E85" s="37"/>
      <c r="F85" s="37"/>
      <c r="G85" s="42">
        <f t="shared" si="1"/>
        <v>0</v>
      </c>
      <c r="H85" s="43" t="s">
        <v>35</v>
      </c>
      <c r="I85" s="43" t="s">
        <v>35</v>
      </c>
      <c r="J85" s="42"/>
      <c r="K85" s="42"/>
      <c r="L85" s="42"/>
      <c r="M85" s="42"/>
      <c r="N85" s="44"/>
      <c r="O85" s="24"/>
      <c r="P85" s="24"/>
      <c r="Q85" s="24"/>
      <c r="R85" s="24"/>
    </row>
    <row r="86">
      <c r="A86" s="38">
        <f>A80+0.01</f>
        <v>1.2</v>
      </c>
      <c r="B86" s="41" t="s">
        <v>91</v>
      </c>
      <c r="C86" s="37"/>
      <c r="D86" s="37"/>
      <c r="E86" s="37"/>
      <c r="F86" s="37"/>
      <c r="G86" s="42">
        <f t="shared" si="1"/>
        <v>0</v>
      </c>
      <c r="H86" s="43" t="s">
        <v>35</v>
      </c>
      <c r="I86" s="43" t="s">
        <v>35</v>
      </c>
      <c r="J86" s="42"/>
      <c r="K86" s="42"/>
      <c r="L86" s="42"/>
      <c r="M86" s="42"/>
      <c r="N86" s="44"/>
      <c r="O86" s="24"/>
      <c r="P86" s="24"/>
      <c r="Q86" s="24"/>
      <c r="R86" s="24"/>
    </row>
    <row r="87">
      <c r="A87" s="38" t="s">
        <v>28</v>
      </c>
      <c r="B87" s="41" t="s">
        <v>86</v>
      </c>
      <c r="C87" s="42" t="s">
        <v>75</v>
      </c>
      <c r="D87" s="42" t="s">
        <v>37</v>
      </c>
      <c r="E87" s="42" t="s">
        <v>37</v>
      </c>
      <c r="F87" s="42" t="s">
        <v>37</v>
      </c>
      <c r="G87" s="42">
        <f t="shared" si="1"/>
        <v>0</v>
      </c>
      <c r="H87" s="43" t="s">
        <v>35</v>
      </c>
      <c r="I87" s="43" t="s">
        <v>35</v>
      </c>
      <c r="J87" s="42"/>
      <c r="K87" s="42"/>
      <c r="L87" s="42"/>
      <c r="M87" s="42"/>
      <c r="N87" s="44"/>
      <c r="O87" s="24"/>
      <c r="P87" s="24"/>
      <c r="Q87" s="24"/>
      <c r="R87" s="24"/>
    </row>
    <row r="88">
      <c r="A88" s="38" t="s">
        <v>31</v>
      </c>
      <c r="B88" s="41" t="s">
        <v>87</v>
      </c>
      <c r="C88" s="42" t="s">
        <v>75</v>
      </c>
      <c r="D88" s="42">
        <v>7.0</v>
      </c>
      <c r="E88" s="42">
        <v>9.0</v>
      </c>
      <c r="F88" s="42" t="s">
        <v>37</v>
      </c>
      <c r="G88" s="42">
        <f t="shared" si="1"/>
        <v>16</v>
      </c>
      <c r="H88" s="43">
        <v>221.0</v>
      </c>
      <c r="I88" s="43">
        <v>57.0</v>
      </c>
      <c r="J88" s="42">
        <f t="shared" ref="J88:J89" si="26">G88*H88</f>
        <v>3536</v>
      </c>
      <c r="K88" s="42">
        <f t="shared" ref="K88:K89" si="27">G88*I88</f>
        <v>912</v>
      </c>
      <c r="L88" s="42">
        <f t="shared" ref="L88:L89" si="28">SUM(J88:K88)</f>
        <v>4448</v>
      </c>
      <c r="M88" s="42"/>
      <c r="N88" s="44">
        <f t="shared" ref="N88:N89" si="29">G88*(H88+I88)</f>
        <v>4448</v>
      </c>
      <c r="O88" s="24"/>
      <c r="P88" s="24"/>
      <c r="Q88" s="24"/>
      <c r="R88" s="24"/>
    </row>
    <row r="89">
      <c r="A89" s="38" t="s">
        <v>33</v>
      </c>
      <c r="B89" s="41" t="s">
        <v>88</v>
      </c>
      <c r="C89" s="42" t="s">
        <v>75</v>
      </c>
      <c r="D89" s="42" t="s">
        <v>37</v>
      </c>
      <c r="E89" s="42">
        <v>62.0</v>
      </c>
      <c r="F89" s="42" t="s">
        <v>37</v>
      </c>
      <c r="G89" s="42">
        <f t="shared" si="1"/>
        <v>62</v>
      </c>
      <c r="H89" s="43">
        <v>242.0</v>
      </c>
      <c r="I89" s="43">
        <v>57.0</v>
      </c>
      <c r="J89" s="42">
        <f t="shared" si="26"/>
        <v>15004</v>
      </c>
      <c r="K89" s="42">
        <f t="shared" si="27"/>
        <v>3534</v>
      </c>
      <c r="L89" s="42">
        <f t="shared" si="28"/>
        <v>18538</v>
      </c>
      <c r="M89" s="42"/>
      <c r="N89" s="44">
        <f t="shared" si="29"/>
        <v>18538</v>
      </c>
      <c r="O89" s="24"/>
      <c r="P89" s="24"/>
      <c r="Q89" s="24"/>
      <c r="R89" s="24"/>
    </row>
    <row r="90">
      <c r="A90" s="38" t="s">
        <v>43</v>
      </c>
      <c r="B90" s="41" t="s">
        <v>90</v>
      </c>
      <c r="C90" s="42" t="s">
        <v>75</v>
      </c>
      <c r="D90" s="42" t="s">
        <v>37</v>
      </c>
      <c r="E90" s="42" t="s">
        <v>37</v>
      </c>
      <c r="F90" s="42" t="s">
        <v>37</v>
      </c>
      <c r="G90" s="42">
        <f t="shared" si="1"/>
        <v>0</v>
      </c>
      <c r="H90" s="43" t="s">
        <v>35</v>
      </c>
      <c r="I90" s="43" t="s">
        <v>35</v>
      </c>
      <c r="J90" s="42"/>
      <c r="K90" s="42"/>
      <c r="L90" s="42"/>
      <c r="M90" s="42"/>
      <c r="N90" s="44"/>
      <c r="O90" s="24"/>
      <c r="P90" s="24"/>
      <c r="Q90" s="24"/>
      <c r="R90" s="24"/>
    </row>
    <row r="91">
      <c r="A91" s="40"/>
      <c r="B91" s="39"/>
      <c r="C91" s="37"/>
      <c r="D91" s="37"/>
      <c r="E91" s="37"/>
      <c r="F91" s="37"/>
      <c r="G91" s="42">
        <f t="shared" si="1"/>
        <v>0</v>
      </c>
      <c r="H91" s="43" t="s">
        <v>35</v>
      </c>
      <c r="I91" s="43" t="s">
        <v>35</v>
      </c>
      <c r="J91" s="42"/>
      <c r="K91" s="42"/>
      <c r="L91" s="42"/>
      <c r="M91" s="42"/>
      <c r="N91" s="44"/>
      <c r="O91" s="24"/>
      <c r="P91" s="24"/>
      <c r="Q91" s="24"/>
      <c r="R91" s="24"/>
    </row>
    <row r="92">
      <c r="A92" s="38">
        <f>A86+0.01</f>
        <v>1.21</v>
      </c>
      <c r="B92" s="41" t="s">
        <v>92</v>
      </c>
      <c r="C92" s="42" t="s">
        <v>53</v>
      </c>
      <c r="D92" s="42">
        <v>7.0</v>
      </c>
      <c r="E92" s="42">
        <v>71.0</v>
      </c>
      <c r="F92" s="42" t="s">
        <v>37</v>
      </c>
      <c r="G92" s="42">
        <f t="shared" si="1"/>
        <v>78</v>
      </c>
      <c r="H92" s="43">
        <v>1650.0</v>
      </c>
      <c r="I92" s="43">
        <v>440.0</v>
      </c>
      <c r="J92" s="42">
        <f>G92*H92</f>
        <v>128700</v>
      </c>
      <c r="K92" s="42">
        <f>G92*I92</f>
        <v>34320</v>
      </c>
      <c r="L92" s="42">
        <f>SUM(J92:K92)</f>
        <v>163020</v>
      </c>
      <c r="M92" s="42"/>
      <c r="N92" s="44">
        <f>G92*(H92+I92)</f>
        <v>163020</v>
      </c>
      <c r="O92" s="24"/>
      <c r="P92" s="24"/>
      <c r="Q92" s="24"/>
      <c r="R92" s="24"/>
    </row>
    <row r="93">
      <c r="A93" s="40"/>
      <c r="B93" s="41"/>
      <c r="C93" s="37"/>
      <c r="D93" s="37"/>
      <c r="E93" s="37"/>
      <c r="F93" s="37"/>
      <c r="G93" s="42">
        <f t="shared" si="1"/>
        <v>0</v>
      </c>
      <c r="H93" s="43" t="s">
        <v>35</v>
      </c>
      <c r="I93" s="43" t="s">
        <v>35</v>
      </c>
      <c r="J93" s="42"/>
      <c r="K93" s="42"/>
      <c r="L93" s="42"/>
      <c r="M93" s="42"/>
      <c r="N93" s="44"/>
      <c r="O93" s="24"/>
      <c r="P93" s="24"/>
      <c r="Q93" s="24"/>
      <c r="R93" s="24"/>
    </row>
    <row r="94">
      <c r="A94" s="38">
        <f>A92+0.01</f>
        <v>1.22</v>
      </c>
      <c r="B94" s="41" t="s">
        <v>93</v>
      </c>
      <c r="C94" s="42" t="s">
        <v>53</v>
      </c>
      <c r="D94" s="42" t="s">
        <v>37</v>
      </c>
      <c r="E94" s="42" t="s">
        <v>37</v>
      </c>
      <c r="F94" s="42" t="s">
        <v>37</v>
      </c>
      <c r="G94" s="42">
        <f t="shared" si="1"/>
        <v>0</v>
      </c>
      <c r="H94" s="43" t="s">
        <v>35</v>
      </c>
      <c r="I94" s="43" t="s">
        <v>35</v>
      </c>
      <c r="J94" s="42"/>
      <c r="K94" s="42"/>
      <c r="L94" s="42"/>
      <c r="M94" s="42"/>
      <c r="N94" s="44"/>
      <c r="O94" s="24"/>
      <c r="P94" s="24"/>
      <c r="Q94" s="24"/>
      <c r="R94" s="24"/>
    </row>
    <row r="95">
      <c r="A95" s="40"/>
      <c r="B95" s="41"/>
      <c r="C95" s="37"/>
      <c r="D95" s="37"/>
      <c r="E95" s="37"/>
      <c r="F95" s="37"/>
      <c r="G95" s="42">
        <f t="shared" si="1"/>
        <v>0</v>
      </c>
      <c r="H95" s="43" t="s">
        <v>35</v>
      </c>
      <c r="I95" s="43" t="s">
        <v>35</v>
      </c>
      <c r="J95" s="42"/>
      <c r="K95" s="42"/>
      <c r="L95" s="42"/>
      <c r="M95" s="42"/>
      <c r="N95" s="44"/>
      <c r="O95" s="24"/>
      <c r="P95" s="24"/>
      <c r="Q95" s="24"/>
      <c r="R95" s="24"/>
    </row>
    <row r="96">
      <c r="A96" s="38">
        <f>A94+0.01</f>
        <v>1.23</v>
      </c>
      <c r="B96" s="41" t="s">
        <v>94</v>
      </c>
      <c r="C96" s="42" t="s">
        <v>53</v>
      </c>
      <c r="D96" s="42" t="s">
        <v>37</v>
      </c>
      <c r="E96" s="42" t="s">
        <v>37</v>
      </c>
      <c r="F96" s="42" t="s">
        <v>37</v>
      </c>
      <c r="G96" s="42">
        <f t="shared" si="1"/>
        <v>0</v>
      </c>
      <c r="H96" s="43" t="s">
        <v>35</v>
      </c>
      <c r="I96" s="43" t="s">
        <v>35</v>
      </c>
      <c r="J96" s="42"/>
      <c r="K96" s="42"/>
      <c r="L96" s="42"/>
      <c r="M96" s="42"/>
      <c r="N96" s="44"/>
      <c r="O96" s="24"/>
      <c r="P96" s="24"/>
      <c r="Q96" s="24"/>
      <c r="R96" s="24"/>
    </row>
    <row r="97">
      <c r="A97" s="40"/>
      <c r="B97" s="41"/>
      <c r="C97" s="37"/>
      <c r="D97" s="37"/>
      <c r="E97" s="37"/>
      <c r="F97" s="37"/>
      <c r="G97" s="42">
        <f t="shared" si="1"/>
        <v>0</v>
      </c>
      <c r="H97" s="43" t="s">
        <v>35</v>
      </c>
      <c r="I97" s="43" t="s">
        <v>35</v>
      </c>
      <c r="J97" s="42"/>
      <c r="K97" s="42"/>
      <c r="L97" s="42"/>
      <c r="M97" s="42"/>
      <c r="N97" s="44"/>
      <c r="O97" s="24"/>
      <c r="P97" s="24"/>
      <c r="Q97" s="24"/>
      <c r="R97" s="24"/>
    </row>
    <row r="98">
      <c r="A98" s="38">
        <f>A96+0.01</f>
        <v>1.24</v>
      </c>
      <c r="B98" s="41" t="s">
        <v>95</v>
      </c>
      <c r="C98" s="37"/>
      <c r="D98" s="37"/>
      <c r="E98" s="37"/>
      <c r="F98" s="37"/>
      <c r="G98" s="42">
        <f t="shared" si="1"/>
        <v>0</v>
      </c>
      <c r="H98" s="43" t="s">
        <v>35</v>
      </c>
      <c r="I98" s="43" t="s">
        <v>35</v>
      </c>
      <c r="J98" s="42"/>
      <c r="K98" s="42"/>
      <c r="L98" s="42"/>
      <c r="M98" s="42"/>
      <c r="N98" s="44"/>
      <c r="O98" s="24"/>
      <c r="P98" s="24"/>
      <c r="Q98" s="24"/>
      <c r="R98" s="24"/>
    </row>
    <row r="99">
      <c r="A99" s="38" t="s">
        <v>28</v>
      </c>
      <c r="B99" s="41" t="s">
        <v>96</v>
      </c>
      <c r="C99" s="42" t="s">
        <v>63</v>
      </c>
      <c r="D99" s="42" t="s">
        <v>37</v>
      </c>
      <c r="E99" s="42" t="s">
        <v>37</v>
      </c>
      <c r="F99" s="42" t="s">
        <v>37</v>
      </c>
      <c r="G99" s="42">
        <f t="shared" si="1"/>
        <v>0</v>
      </c>
      <c r="H99" s="43" t="s">
        <v>35</v>
      </c>
      <c r="I99" s="43" t="s">
        <v>35</v>
      </c>
      <c r="J99" s="42"/>
      <c r="K99" s="42"/>
      <c r="L99" s="42"/>
      <c r="M99" s="42"/>
      <c r="N99" s="44"/>
      <c r="O99" s="24"/>
      <c r="P99" s="24"/>
      <c r="Q99" s="24"/>
      <c r="R99" s="24"/>
    </row>
    <row r="100">
      <c r="A100" s="38" t="s">
        <v>31</v>
      </c>
      <c r="B100" s="41" t="s">
        <v>97</v>
      </c>
      <c r="C100" s="42" t="s">
        <v>63</v>
      </c>
      <c r="D100" s="42">
        <v>7.0</v>
      </c>
      <c r="E100" s="42">
        <v>7.0</v>
      </c>
      <c r="F100" s="42" t="s">
        <v>37</v>
      </c>
      <c r="G100" s="42">
        <f t="shared" si="1"/>
        <v>14</v>
      </c>
      <c r="H100" s="43">
        <v>2375.0</v>
      </c>
      <c r="I100" s="43">
        <v>475.0</v>
      </c>
      <c r="J100" s="42">
        <f>G100*H100</f>
        <v>33250</v>
      </c>
      <c r="K100" s="42">
        <f>G100*I100</f>
        <v>6650</v>
      </c>
      <c r="L100" s="42">
        <f>SUM(J100:K100)</f>
        <v>39900</v>
      </c>
      <c r="M100" s="42"/>
      <c r="N100" s="44">
        <f>G100*(H100+I100)</f>
        <v>39900</v>
      </c>
      <c r="O100" s="24"/>
      <c r="P100" s="24"/>
      <c r="Q100" s="24"/>
      <c r="R100" s="24"/>
    </row>
    <row r="101">
      <c r="A101" s="38" t="s">
        <v>33</v>
      </c>
      <c r="B101" s="41" t="s">
        <v>98</v>
      </c>
      <c r="C101" s="42" t="s">
        <v>63</v>
      </c>
      <c r="D101" s="42" t="s">
        <v>37</v>
      </c>
      <c r="E101" s="42" t="s">
        <v>37</v>
      </c>
      <c r="F101" s="42" t="s">
        <v>37</v>
      </c>
      <c r="G101" s="42">
        <f t="shared" si="1"/>
        <v>0</v>
      </c>
      <c r="H101" s="43" t="s">
        <v>35</v>
      </c>
      <c r="I101" s="43" t="s">
        <v>35</v>
      </c>
      <c r="J101" s="42"/>
      <c r="K101" s="42"/>
      <c r="L101" s="42"/>
      <c r="M101" s="42"/>
      <c r="N101" s="44"/>
      <c r="O101" s="24"/>
      <c r="P101" s="24"/>
      <c r="Q101" s="24"/>
      <c r="R101" s="24"/>
    </row>
    <row r="102">
      <c r="A102" s="38" t="s">
        <v>43</v>
      </c>
      <c r="B102" s="41" t="s">
        <v>99</v>
      </c>
      <c r="C102" s="42" t="s">
        <v>63</v>
      </c>
      <c r="D102" s="42" t="s">
        <v>37</v>
      </c>
      <c r="E102" s="42" t="s">
        <v>37</v>
      </c>
      <c r="F102" s="42" t="s">
        <v>37</v>
      </c>
      <c r="G102" s="42">
        <f t="shared" si="1"/>
        <v>0</v>
      </c>
      <c r="H102" s="43" t="s">
        <v>35</v>
      </c>
      <c r="I102" s="43" t="s">
        <v>35</v>
      </c>
      <c r="J102" s="42"/>
      <c r="K102" s="42"/>
      <c r="L102" s="42"/>
      <c r="M102" s="42"/>
      <c r="N102" s="44"/>
      <c r="O102" s="24"/>
      <c r="P102" s="24"/>
      <c r="Q102" s="24"/>
      <c r="R102" s="24"/>
    </row>
    <row r="103">
      <c r="A103" s="38" t="s">
        <v>80</v>
      </c>
      <c r="B103" s="41" t="s">
        <v>100</v>
      </c>
      <c r="C103" s="42" t="s">
        <v>63</v>
      </c>
      <c r="D103" s="42" t="s">
        <v>37</v>
      </c>
      <c r="E103" s="42" t="s">
        <v>37</v>
      </c>
      <c r="F103" s="42" t="s">
        <v>37</v>
      </c>
      <c r="G103" s="42">
        <f t="shared" si="1"/>
        <v>0</v>
      </c>
      <c r="H103" s="43" t="s">
        <v>35</v>
      </c>
      <c r="I103" s="43" t="s">
        <v>35</v>
      </c>
      <c r="J103" s="42"/>
      <c r="K103" s="42"/>
      <c r="L103" s="42"/>
      <c r="M103" s="42"/>
      <c r="N103" s="44"/>
      <c r="O103" s="24"/>
      <c r="P103" s="24"/>
      <c r="Q103" s="24"/>
      <c r="R103" s="24"/>
    </row>
    <row r="104">
      <c r="A104" s="40"/>
      <c r="B104" s="39"/>
      <c r="C104" s="37"/>
      <c r="D104" s="37"/>
      <c r="E104" s="37"/>
      <c r="F104" s="37"/>
      <c r="G104" s="42">
        <f t="shared" si="1"/>
        <v>0</v>
      </c>
      <c r="H104" s="43" t="s">
        <v>35</v>
      </c>
      <c r="I104" s="43" t="s">
        <v>35</v>
      </c>
      <c r="J104" s="42"/>
      <c r="K104" s="42"/>
      <c r="L104" s="42"/>
      <c r="M104" s="42"/>
      <c r="N104" s="44"/>
      <c r="O104" s="24"/>
      <c r="P104" s="24"/>
      <c r="Q104" s="24"/>
      <c r="R104" s="24"/>
    </row>
    <row r="105">
      <c r="A105" s="38">
        <f>A98+0.01</f>
        <v>1.25</v>
      </c>
      <c r="B105" s="39" t="s">
        <v>101</v>
      </c>
      <c r="C105" s="37"/>
      <c r="D105" s="37"/>
      <c r="E105" s="37"/>
      <c r="F105" s="37"/>
      <c r="G105" s="42">
        <f t="shared" si="1"/>
        <v>0</v>
      </c>
      <c r="H105" s="43" t="s">
        <v>35</v>
      </c>
      <c r="I105" s="43" t="s">
        <v>35</v>
      </c>
      <c r="J105" s="42"/>
      <c r="K105" s="42"/>
      <c r="L105" s="42"/>
      <c r="M105" s="42"/>
      <c r="N105" s="44"/>
      <c r="O105" s="24"/>
      <c r="P105" s="24"/>
      <c r="Q105" s="24"/>
      <c r="R105" s="24"/>
    </row>
    <row r="106">
      <c r="A106" s="38" t="s">
        <v>28</v>
      </c>
      <c r="B106" s="39" t="s">
        <v>102</v>
      </c>
      <c r="C106" s="42" t="s">
        <v>75</v>
      </c>
      <c r="D106" s="42">
        <v>10.0</v>
      </c>
      <c r="E106" s="42">
        <v>10.0</v>
      </c>
      <c r="F106" s="42" t="s">
        <v>37</v>
      </c>
      <c r="G106" s="42">
        <f t="shared" si="1"/>
        <v>20</v>
      </c>
      <c r="H106" s="43">
        <v>1300.0</v>
      </c>
      <c r="I106" s="43">
        <v>260.0</v>
      </c>
      <c r="J106" s="42">
        <f t="shared" ref="J106:J107" si="30">G106*H106</f>
        <v>26000</v>
      </c>
      <c r="K106" s="42">
        <f t="shared" ref="K106:K107" si="31">G106*I106</f>
        <v>5200</v>
      </c>
      <c r="L106" s="42">
        <f t="shared" ref="L106:L107" si="32">SUM(J106:K106)</f>
        <v>31200</v>
      </c>
      <c r="M106" s="42"/>
      <c r="N106" s="44">
        <f t="shared" ref="N106:N107" si="33">G106*(H106+I106)</f>
        <v>31200</v>
      </c>
      <c r="O106" s="24"/>
      <c r="P106" s="24"/>
      <c r="Q106" s="24"/>
      <c r="R106" s="24"/>
    </row>
    <row r="107">
      <c r="A107" s="38" t="s">
        <v>31</v>
      </c>
      <c r="B107" s="39" t="s">
        <v>103</v>
      </c>
      <c r="C107" s="42" t="s">
        <v>75</v>
      </c>
      <c r="D107" s="42">
        <v>20.0</v>
      </c>
      <c r="E107" s="42">
        <v>20.0</v>
      </c>
      <c r="F107" s="42" t="s">
        <v>37</v>
      </c>
      <c r="G107" s="42">
        <f t="shared" si="1"/>
        <v>40</v>
      </c>
      <c r="H107" s="43">
        <v>1100.0</v>
      </c>
      <c r="I107" s="43">
        <v>210.0</v>
      </c>
      <c r="J107" s="42">
        <f t="shared" si="30"/>
        <v>44000</v>
      </c>
      <c r="K107" s="42">
        <f t="shared" si="31"/>
        <v>8400</v>
      </c>
      <c r="L107" s="42">
        <f t="shared" si="32"/>
        <v>52400</v>
      </c>
      <c r="M107" s="42"/>
      <c r="N107" s="44">
        <f t="shared" si="33"/>
        <v>52400</v>
      </c>
      <c r="O107" s="24"/>
      <c r="P107" s="24"/>
      <c r="Q107" s="24"/>
      <c r="R107" s="24"/>
    </row>
    <row r="108">
      <c r="A108" s="40"/>
      <c r="B108" s="39"/>
      <c r="C108" s="37"/>
      <c r="D108" s="37"/>
      <c r="E108" s="37"/>
      <c r="F108" s="37"/>
      <c r="G108" s="42">
        <f t="shared" si="1"/>
        <v>0</v>
      </c>
      <c r="H108" s="43" t="s">
        <v>35</v>
      </c>
      <c r="I108" s="43" t="s">
        <v>35</v>
      </c>
      <c r="J108" s="42"/>
      <c r="K108" s="42"/>
      <c r="L108" s="42"/>
      <c r="M108" s="42"/>
      <c r="N108" s="44"/>
      <c r="O108" s="24"/>
      <c r="P108" s="24"/>
      <c r="Q108" s="24"/>
      <c r="R108" s="24"/>
    </row>
    <row r="109">
      <c r="A109" s="38">
        <f>A105+0.01</f>
        <v>1.26</v>
      </c>
      <c r="B109" s="39" t="s">
        <v>104</v>
      </c>
      <c r="C109" s="42" t="s">
        <v>53</v>
      </c>
      <c r="D109" s="42">
        <v>1.0</v>
      </c>
      <c r="E109" s="42">
        <v>1.0</v>
      </c>
      <c r="F109" s="42">
        <v>1.0</v>
      </c>
      <c r="G109" s="42">
        <f t="shared" si="1"/>
        <v>3</v>
      </c>
      <c r="H109" s="46"/>
      <c r="I109" s="43">
        <v>80750.0</v>
      </c>
      <c r="J109" s="42"/>
      <c r="K109" s="42">
        <f>G109*I109</f>
        <v>242250</v>
      </c>
      <c r="L109" s="42">
        <f>SUM(J109:K109)</f>
        <v>242250</v>
      </c>
      <c r="M109" s="42"/>
      <c r="N109" s="44">
        <f>G109*(H109+I109)</f>
        <v>242250</v>
      </c>
      <c r="O109" s="24"/>
      <c r="P109" s="24"/>
      <c r="Q109" s="24"/>
      <c r="R109" s="24"/>
    </row>
    <row r="110">
      <c r="A110" s="40"/>
      <c r="B110" s="39"/>
      <c r="C110" s="37"/>
      <c r="D110" s="37"/>
      <c r="E110" s="37"/>
      <c r="F110" s="37"/>
      <c r="G110" s="42">
        <f t="shared" si="1"/>
        <v>0</v>
      </c>
      <c r="H110" s="43" t="s">
        <v>35</v>
      </c>
      <c r="I110" s="43" t="s">
        <v>35</v>
      </c>
      <c r="J110" s="42"/>
      <c r="K110" s="42"/>
      <c r="L110" s="42"/>
      <c r="M110" s="42"/>
      <c r="N110" s="44"/>
      <c r="O110" s="24"/>
      <c r="P110" s="24"/>
      <c r="Q110" s="24"/>
      <c r="R110" s="24"/>
    </row>
    <row r="111">
      <c r="A111" s="38">
        <f>A109+0.01</f>
        <v>1.27</v>
      </c>
      <c r="B111" s="41" t="s">
        <v>105</v>
      </c>
      <c r="C111" s="42" t="s">
        <v>106</v>
      </c>
      <c r="D111" s="42" t="s">
        <v>37</v>
      </c>
      <c r="E111" s="42" t="s">
        <v>37</v>
      </c>
      <c r="F111" s="42" t="s">
        <v>37</v>
      </c>
      <c r="G111" s="42">
        <f t="shared" si="1"/>
        <v>0</v>
      </c>
      <c r="H111" s="43" t="s">
        <v>35</v>
      </c>
      <c r="I111" s="43" t="s">
        <v>35</v>
      </c>
      <c r="J111" s="42"/>
      <c r="K111" s="42"/>
      <c r="L111" s="42"/>
      <c r="M111" s="42"/>
      <c r="N111" s="44"/>
      <c r="O111" s="24"/>
      <c r="P111" s="24"/>
      <c r="Q111" s="24"/>
      <c r="R111" s="24"/>
    </row>
    <row r="112">
      <c r="A112" s="40"/>
      <c r="B112" s="39"/>
      <c r="C112" s="37"/>
      <c r="D112" s="37"/>
      <c r="E112" s="37"/>
      <c r="F112" s="37"/>
      <c r="G112" s="42">
        <f t="shared" si="1"/>
        <v>0</v>
      </c>
      <c r="H112" s="43" t="s">
        <v>35</v>
      </c>
      <c r="I112" s="43" t="s">
        <v>35</v>
      </c>
      <c r="J112" s="42"/>
      <c r="K112" s="42"/>
      <c r="L112" s="42"/>
      <c r="M112" s="42"/>
      <c r="N112" s="44"/>
      <c r="O112" s="24"/>
      <c r="P112" s="24"/>
      <c r="Q112" s="24"/>
      <c r="R112" s="24"/>
    </row>
    <row r="113">
      <c r="A113" s="38">
        <f>A111+0.01</f>
        <v>1.28</v>
      </c>
      <c r="B113" s="39" t="s">
        <v>107</v>
      </c>
      <c r="C113" s="42" t="s">
        <v>30</v>
      </c>
      <c r="D113" s="42" t="s">
        <v>37</v>
      </c>
      <c r="E113" s="42">
        <v>1.0</v>
      </c>
      <c r="F113" s="42" t="s">
        <v>37</v>
      </c>
      <c r="G113" s="42">
        <f t="shared" si="1"/>
        <v>1</v>
      </c>
      <c r="H113" s="43">
        <v>6888.0</v>
      </c>
      <c r="I113" s="43">
        <v>3325.0</v>
      </c>
      <c r="J113" s="42">
        <f>G113*H113</f>
        <v>6888</v>
      </c>
      <c r="K113" s="42">
        <f>G113*I113</f>
        <v>3325</v>
      </c>
      <c r="L113" s="42">
        <f>SUM(J113:K113)</f>
        <v>10213</v>
      </c>
      <c r="M113" s="42"/>
      <c r="N113" s="44">
        <f>G113*(H113+I113)</f>
        <v>10213</v>
      </c>
      <c r="O113" s="24"/>
      <c r="P113" s="24"/>
      <c r="Q113" s="24"/>
      <c r="R113" s="24"/>
    </row>
    <row r="114">
      <c r="A114" s="40"/>
      <c r="B114" s="39"/>
      <c r="C114" s="37"/>
      <c r="D114" s="37"/>
      <c r="E114" s="37"/>
      <c r="F114" s="37"/>
      <c r="G114" s="42">
        <f t="shared" si="1"/>
        <v>0</v>
      </c>
      <c r="H114" s="43" t="s">
        <v>35</v>
      </c>
      <c r="I114" s="43" t="s">
        <v>35</v>
      </c>
      <c r="J114" s="42"/>
      <c r="K114" s="42"/>
      <c r="L114" s="42"/>
      <c r="M114" s="42"/>
      <c r="N114" s="44"/>
      <c r="O114" s="24"/>
      <c r="P114" s="24"/>
      <c r="Q114" s="24"/>
      <c r="R114" s="24"/>
    </row>
    <row r="115">
      <c r="A115" s="38">
        <f>A113+0.01</f>
        <v>1.29</v>
      </c>
      <c r="B115" s="39" t="s">
        <v>108</v>
      </c>
      <c r="C115" s="42" t="s">
        <v>53</v>
      </c>
      <c r="D115" s="42">
        <v>2.0</v>
      </c>
      <c r="E115" s="47">
        <v>1.0</v>
      </c>
      <c r="F115" s="42" t="s">
        <v>37</v>
      </c>
      <c r="G115" s="42">
        <f t="shared" si="1"/>
        <v>3</v>
      </c>
      <c r="H115" s="43">
        <v>4275.0</v>
      </c>
      <c r="I115" s="43">
        <v>475.0</v>
      </c>
      <c r="J115" s="42">
        <f>G115*H115</f>
        <v>12825</v>
      </c>
      <c r="K115" s="42">
        <f>G115*I115</f>
        <v>1425</v>
      </c>
      <c r="L115" s="42">
        <f>SUM(J115:K115)</f>
        <v>14250</v>
      </c>
      <c r="M115" s="42"/>
      <c r="N115" s="44">
        <f>G115*(H115+I115)</f>
        <v>14250</v>
      </c>
      <c r="O115" s="24"/>
      <c r="P115" s="24"/>
      <c r="Q115" s="24"/>
      <c r="R115" s="24"/>
    </row>
    <row r="116">
      <c r="A116" s="40"/>
      <c r="B116" s="39"/>
      <c r="C116" s="37"/>
      <c r="D116" s="37"/>
      <c r="E116" s="37"/>
      <c r="F116" s="37"/>
      <c r="G116" s="42">
        <f t="shared" si="1"/>
        <v>0</v>
      </c>
      <c r="H116" s="43" t="s">
        <v>35</v>
      </c>
      <c r="I116" s="43" t="s">
        <v>35</v>
      </c>
      <c r="J116" s="42"/>
      <c r="K116" s="42"/>
      <c r="L116" s="42"/>
      <c r="M116" s="42"/>
      <c r="N116" s="44"/>
      <c r="O116" s="24"/>
      <c r="P116" s="24"/>
      <c r="Q116" s="24"/>
      <c r="R116" s="24"/>
    </row>
    <row r="117">
      <c r="A117" s="38">
        <f>A115+0.01</f>
        <v>1.3</v>
      </c>
      <c r="B117" s="39" t="s">
        <v>109</v>
      </c>
      <c r="C117" s="42" t="s">
        <v>63</v>
      </c>
      <c r="D117" s="42" t="s">
        <v>37</v>
      </c>
      <c r="E117" s="42" t="s">
        <v>37</v>
      </c>
      <c r="F117" s="42" t="s">
        <v>37</v>
      </c>
      <c r="G117" s="42">
        <f t="shared" si="1"/>
        <v>0</v>
      </c>
      <c r="H117" s="43" t="s">
        <v>35</v>
      </c>
      <c r="I117" s="43" t="s">
        <v>35</v>
      </c>
      <c r="J117" s="42"/>
      <c r="K117" s="42"/>
      <c r="L117" s="42"/>
      <c r="M117" s="42"/>
      <c r="N117" s="44"/>
      <c r="O117" s="24"/>
      <c r="P117" s="24"/>
      <c r="Q117" s="24"/>
      <c r="R117" s="24"/>
    </row>
    <row r="118">
      <c r="A118" s="40"/>
      <c r="B118" s="39"/>
      <c r="C118" s="37"/>
      <c r="D118" s="42"/>
      <c r="E118" s="42"/>
      <c r="F118" s="42"/>
      <c r="G118" s="42">
        <f t="shared" si="1"/>
        <v>0</v>
      </c>
      <c r="H118" s="43" t="s">
        <v>35</v>
      </c>
      <c r="I118" s="43" t="s">
        <v>35</v>
      </c>
      <c r="J118" s="42"/>
      <c r="K118" s="42"/>
      <c r="L118" s="42"/>
      <c r="M118" s="42"/>
      <c r="N118" s="44"/>
      <c r="O118" s="24"/>
      <c r="P118" s="24"/>
      <c r="Q118" s="24"/>
      <c r="R118" s="24"/>
    </row>
    <row r="119">
      <c r="A119" s="38">
        <f>A117+0.01</f>
        <v>1.31</v>
      </c>
      <c r="B119" s="39" t="s">
        <v>110</v>
      </c>
      <c r="C119" s="42" t="s">
        <v>75</v>
      </c>
      <c r="D119" s="42" t="s">
        <v>37</v>
      </c>
      <c r="E119" s="42" t="s">
        <v>37</v>
      </c>
      <c r="F119" s="42" t="s">
        <v>37</v>
      </c>
      <c r="G119" s="42">
        <f t="shared" si="1"/>
        <v>0</v>
      </c>
      <c r="H119" s="43" t="s">
        <v>35</v>
      </c>
      <c r="I119" s="43" t="s">
        <v>35</v>
      </c>
      <c r="J119" s="42"/>
      <c r="K119" s="42"/>
      <c r="L119" s="42"/>
      <c r="M119" s="42"/>
      <c r="N119" s="44"/>
      <c r="O119" s="24"/>
      <c r="P119" s="24"/>
      <c r="Q119" s="24"/>
      <c r="R119" s="24"/>
    </row>
    <row r="120">
      <c r="A120" s="40"/>
      <c r="B120" s="39"/>
      <c r="C120" s="37"/>
      <c r="D120" s="42"/>
      <c r="E120" s="42"/>
      <c r="F120" s="42"/>
      <c r="G120" s="42">
        <f t="shared" si="1"/>
        <v>0</v>
      </c>
      <c r="H120" s="43" t="s">
        <v>35</v>
      </c>
      <c r="I120" s="43" t="s">
        <v>35</v>
      </c>
      <c r="J120" s="42"/>
      <c r="K120" s="42"/>
      <c r="L120" s="42"/>
      <c r="M120" s="42"/>
      <c r="N120" s="44"/>
      <c r="O120" s="24"/>
      <c r="P120" s="24"/>
      <c r="Q120" s="24"/>
      <c r="R120" s="24"/>
    </row>
    <row r="121">
      <c r="A121" s="38">
        <f>A119+0.01</f>
        <v>1.32</v>
      </c>
      <c r="B121" s="39" t="s">
        <v>111</v>
      </c>
      <c r="C121" s="42" t="s">
        <v>63</v>
      </c>
      <c r="D121" s="42" t="s">
        <v>37</v>
      </c>
      <c r="E121" s="42" t="s">
        <v>37</v>
      </c>
      <c r="F121" s="42" t="s">
        <v>37</v>
      </c>
      <c r="G121" s="42">
        <f t="shared" si="1"/>
        <v>0</v>
      </c>
      <c r="H121" s="43" t="s">
        <v>35</v>
      </c>
      <c r="I121" s="43" t="s">
        <v>35</v>
      </c>
      <c r="J121" s="42"/>
      <c r="K121" s="42"/>
      <c r="L121" s="42"/>
      <c r="M121" s="42"/>
      <c r="N121" s="44"/>
      <c r="O121" s="24"/>
      <c r="P121" s="24"/>
      <c r="Q121" s="24"/>
      <c r="R121" s="24"/>
    </row>
    <row r="122">
      <c r="A122" s="40"/>
      <c r="B122" s="39"/>
      <c r="C122" s="37"/>
      <c r="D122" s="37"/>
      <c r="E122" s="37"/>
      <c r="F122" s="37"/>
      <c r="G122" s="42">
        <f t="shared" si="1"/>
        <v>0</v>
      </c>
      <c r="H122" s="43" t="s">
        <v>35</v>
      </c>
      <c r="I122" s="43" t="s">
        <v>35</v>
      </c>
      <c r="J122" s="42"/>
      <c r="K122" s="42"/>
      <c r="L122" s="42"/>
      <c r="M122" s="42"/>
      <c r="N122" s="44"/>
      <c r="O122" s="24"/>
      <c r="P122" s="24"/>
      <c r="Q122" s="24"/>
      <c r="R122" s="24"/>
    </row>
    <row r="123">
      <c r="A123" s="48" t="s">
        <v>112</v>
      </c>
      <c r="B123" s="49" t="s">
        <v>113</v>
      </c>
      <c r="C123" s="37"/>
      <c r="D123" s="37"/>
      <c r="E123" s="37"/>
      <c r="F123" s="37"/>
      <c r="G123" s="42">
        <f t="shared" si="1"/>
        <v>0</v>
      </c>
      <c r="H123" s="43" t="s">
        <v>35</v>
      </c>
      <c r="I123" s="43" t="s">
        <v>35</v>
      </c>
      <c r="J123" s="42"/>
      <c r="K123" s="42"/>
      <c r="L123" s="42"/>
      <c r="M123" s="42"/>
      <c r="N123" s="44"/>
      <c r="O123" s="24"/>
      <c r="P123" s="24"/>
      <c r="Q123" s="24"/>
      <c r="R123" s="24"/>
    </row>
    <row r="124">
      <c r="A124" s="42">
        <v>1.0</v>
      </c>
      <c r="B124" s="41" t="s">
        <v>114</v>
      </c>
      <c r="C124" s="42" t="s">
        <v>30</v>
      </c>
      <c r="D124" s="42">
        <v>55.0</v>
      </c>
      <c r="E124" s="42">
        <v>65.0</v>
      </c>
      <c r="F124" s="42">
        <v>40.0</v>
      </c>
      <c r="G124" s="42">
        <f t="shared" si="1"/>
        <v>160</v>
      </c>
      <c r="H124" s="43">
        <v>900.0</v>
      </c>
      <c r="I124" s="43">
        <v>150.0</v>
      </c>
      <c r="J124" s="42">
        <f>G124*H124</f>
        <v>144000</v>
      </c>
      <c r="K124" s="42">
        <f>G124*I124</f>
        <v>24000</v>
      </c>
      <c r="L124" s="42">
        <f>SUM(J124:K124)</f>
        <v>168000</v>
      </c>
      <c r="M124" s="42"/>
      <c r="N124" s="44">
        <f>G124*(H124+I124)</f>
        <v>168000</v>
      </c>
      <c r="O124" s="24"/>
      <c r="P124" s="24"/>
      <c r="Q124" s="24"/>
      <c r="R124" s="24"/>
    </row>
    <row r="125">
      <c r="A125" s="50"/>
      <c r="B125" s="39"/>
      <c r="C125" s="37"/>
      <c r="D125" s="37"/>
      <c r="E125" s="37"/>
      <c r="F125" s="37"/>
      <c r="G125" s="42">
        <f t="shared" si="1"/>
        <v>0</v>
      </c>
      <c r="H125" s="43" t="s">
        <v>35</v>
      </c>
      <c r="I125" s="43" t="s">
        <v>35</v>
      </c>
      <c r="J125" s="42"/>
      <c r="K125" s="42"/>
      <c r="L125" s="42"/>
      <c r="M125" s="42"/>
      <c r="N125" s="44"/>
      <c r="O125" s="24"/>
      <c r="P125" s="24"/>
      <c r="Q125" s="24"/>
      <c r="R125" s="24"/>
    </row>
    <row r="126">
      <c r="A126" s="42">
        <v>2.0</v>
      </c>
      <c r="B126" s="41" t="s">
        <v>115</v>
      </c>
      <c r="C126" s="42" t="s">
        <v>30</v>
      </c>
      <c r="D126" s="42">
        <v>30.0</v>
      </c>
      <c r="E126" s="42">
        <v>385.0</v>
      </c>
      <c r="F126" s="42">
        <v>0.0</v>
      </c>
      <c r="G126" s="42">
        <f t="shared" si="1"/>
        <v>415</v>
      </c>
      <c r="H126" s="43">
        <v>310.0</v>
      </c>
      <c r="I126" s="43">
        <v>110.0</v>
      </c>
      <c r="J126" s="42">
        <f>G126*H126</f>
        <v>128650</v>
      </c>
      <c r="K126" s="42">
        <f>G126*I126</f>
        <v>45650</v>
      </c>
      <c r="L126" s="42">
        <f>SUM(J126:K126)</f>
        <v>174300</v>
      </c>
      <c r="M126" s="42"/>
      <c r="N126" s="44">
        <f>G126*(H126+I126)</f>
        <v>174300</v>
      </c>
      <c r="O126" s="24"/>
      <c r="P126" s="24"/>
      <c r="Q126" s="24"/>
      <c r="R126" s="24"/>
    </row>
    <row r="127">
      <c r="A127" s="50"/>
      <c r="B127" s="39"/>
      <c r="C127" s="37"/>
      <c r="D127" s="37"/>
      <c r="E127" s="37"/>
      <c r="F127" s="37"/>
      <c r="G127" s="42">
        <f t="shared" si="1"/>
        <v>0</v>
      </c>
      <c r="H127" s="43" t="s">
        <v>35</v>
      </c>
      <c r="I127" s="43" t="s">
        <v>35</v>
      </c>
      <c r="J127" s="42"/>
      <c r="K127" s="42"/>
      <c r="L127" s="42"/>
      <c r="M127" s="42"/>
      <c r="N127" s="44"/>
      <c r="O127" s="24"/>
      <c r="P127" s="24"/>
      <c r="Q127" s="24"/>
      <c r="R127" s="24"/>
    </row>
    <row r="128">
      <c r="A128" s="42">
        <v>3.0</v>
      </c>
      <c r="B128" s="41" t="s">
        <v>116</v>
      </c>
      <c r="C128" s="42" t="s">
        <v>30</v>
      </c>
      <c r="D128" s="42" t="s">
        <v>37</v>
      </c>
      <c r="E128" s="42" t="s">
        <v>37</v>
      </c>
      <c r="F128" s="42" t="s">
        <v>37</v>
      </c>
      <c r="G128" s="42">
        <f t="shared" si="1"/>
        <v>0</v>
      </c>
      <c r="H128" s="43" t="s">
        <v>35</v>
      </c>
      <c r="I128" s="43" t="s">
        <v>35</v>
      </c>
      <c r="J128" s="42"/>
      <c r="K128" s="42"/>
      <c r="L128" s="42"/>
      <c r="M128" s="42"/>
      <c r="N128" s="44"/>
      <c r="O128" s="24"/>
      <c r="P128" s="24"/>
      <c r="Q128" s="24"/>
      <c r="R128" s="24"/>
    </row>
    <row r="129">
      <c r="A129" s="50"/>
      <c r="B129" s="39"/>
      <c r="C129" s="37"/>
      <c r="D129" s="37"/>
      <c r="E129" s="37"/>
      <c r="F129" s="37"/>
      <c r="G129" s="42">
        <f t="shared" si="1"/>
        <v>0</v>
      </c>
      <c r="H129" s="43" t="s">
        <v>35</v>
      </c>
      <c r="I129" s="43" t="s">
        <v>35</v>
      </c>
      <c r="J129" s="42"/>
      <c r="K129" s="42"/>
      <c r="L129" s="42"/>
      <c r="M129" s="42"/>
      <c r="N129" s="44"/>
      <c r="O129" s="24"/>
      <c r="P129" s="24"/>
      <c r="Q129" s="24"/>
      <c r="R129" s="24"/>
    </row>
    <row r="130">
      <c r="A130" s="42">
        <v>4.0</v>
      </c>
      <c r="B130" s="49" t="s">
        <v>117</v>
      </c>
      <c r="C130" s="37"/>
      <c r="D130" s="37"/>
      <c r="E130" s="37"/>
      <c r="F130" s="37"/>
      <c r="G130" s="42">
        <f t="shared" si="1"/>
        <v>0</v>
      </c>
      <c r="H130" s="43" t="s">
        <v>35</v>
      </c>
      <c r="I130" s="43" t="s">
        <v>35</v>
      </c>
      <c r="J130" s="42"/>
      <c r="K130" s="42"/>
      <c r="L130" s="42"/>
      <c r="M130" s="42"/>
      <c r="N130" s="44"/>
      <c r="O130" s="24"/>
      <c r="P130" s="24"/>
      <c r="Q130" s="24"/>
      <c r="R130" s="24"/>
    </row>
    <row r="131">
      <c r="A131" s="42">
        <v>5.0</v>
      </c>
      <c r="B131" s="41" t="s">
        <v>118</v>
      </c>
      <c r="C131" s="37"/>
      <c r="D131" s="37"/>
      <c r="E131" s="37"/>
      <c r="F131" s="37"/>
      <c r="G131" s="42">
        <f t="shared" si="1"/>
        <v>0</v>
      </c>
      <c r="H131" s="43" t="s">
        <v>35</v>
      </c>
      <c r="I131" s="43" t="s">
        <v>35</v>
      </c>
      <c r="J131" s="42"/>
      <c r="K131" s="42"/>
      <c r="L131" s="42"/>
      <c r="M131" s="42"/>
      <c r="N131" s="44"/>
      <c r="O131" s="24"/>
      <c r="P131" s="24"/>
      <c r="Q131" s="24"/>
      <c r="R131" s="24"/>
    </row>
    <row r="132">
      <c r="A132" s="42" t="s">
        <v>28</v>
      </c>
      <c r="B132" s="39" t="s">
        <v>119</v>
      </c>
      <c r="C132" s="42" t="s">
        <v>63</v>
      </c>
      <c r="D132" s="42" t="s">
        <v>37</v>
      </c>
      <c r="E132" s="42" t="s">
        <v>37</v>
      </c>
      <c r="F132" s="42" t="s">
        <v>37</v>
      </c>
      <c r="G132" s="42">
        <f t="shared" si="1"/>
        <v>0</v>
      </c>
      <c r="H132" s="43" t="s">
        <v>35</v>
      </c>
      <c r="I132" s="43" t="s">
        <v>35</v>
      </c>
      <c r="J132" s="42"/>
      <c r="K132" s="42"/>
      <c r="L132" s="42"/>
      <c r="M132" s="42"/>
      <c r="N132" s="44"/>
      <c r="O132" s="24"/>
      <c r="P132" s="24"/>
      <c r="Q132" s="24"/>
      <c r="R132" s="24"/>
    </row>
    <row r="133">
      <c r="A133" s="42" t="s">
        <v>31</v>
      </c>
      <c r="B133" s="39" t="s">
        <v>120</v>
      </c>
      <c r="C133" s="42" t="s">
        <v>63</v>
      </c>
      <c r="D133" s="42" t="s">
        <v>37</v>
      </c>
      <c r="E133" s="42" t="s">
        <v>37</v>
      </c>
      <c r="F133" s="42" t="s">
        <v>37</v>
      </c>
      <c r="G133" s="42">
        <f t="shared" si="1"/>
        <v>0</v>
      </c>
      <c r="H133" s="43" t="s">
        <v>35</v>
      </c>
      <c r="I133" s="43" t="s">
        <v>35</v>
      </c>
      <c r="J133" s="42"/>
      <c r="K133" s="42"/>
      <c r="L133" s="42"/>
      <c r="M133" s="42"/>
      <c r="N133" s="44"/>
      <c r="O133" s="24"/>
      <c r="P133" s="24"/>
      <c r="Q133" s="24"/>
      <c r="R133" s="24"/>
    </row>
    <row r="134">
      <c r="A134" s="50"/>
      <c r="B134" s="39"/>
      <c r="C134" s="37"/>
      <c r="D134" s="37"/>
      <c r="E134" s="37"/>
      <c r="F134" s="37"/>
      <c r="G134" s="42">
        <f t="shared" si="1"/>
        <v>0</v>
      </c>
      <c r="H134" s="43" t="s">
        <v>35</v>
      </c>
      <c r="I134" s="43" t="s">
        <v>35</v>
      </c>
      <c r="J134" s="42"/>
      <c r="K134" s="42"/>
      <c r="L134" s="42"/>
      <c r="M134" s="42"/>
      <c r="N134" s="44"/>
      <c r="O134" s="24"/>
      <c r="P134" s="24"/>
      <c r="Q134" s="24"/>
      <c r="R134" s="24"/>
    </row>
    <row r="135">
      <c r="A135" s="50">
        <v>6.0</v>
      </c>
      <c r="B135" s="51" t="s">
        <v>121</v>
      </c>
      <c r="C135" s="37"/>
      <c r="D135" s="37"/>
      <c r="E135" s="37"/>
      <c r="F135" s="37"/>
      <c r="G135" s="42">
        <f t="shared" si="1"/>
        <v>0</v>
      </c>
      <c r="H135" s="43" t="s">
        <v>35</v>
      </c>
      <c r="I135" s="43" t="s">
        <v>35</v>
      </c>
      <c r="J135" s="42"/>
      <c r="K135" s="42"/>
      <c r="L135" s="42"/>
      <c r="M135" s="42"/>
      <c r="N135" s="44"/>
      <c r="O135" s="24"/>
      <c r="P135" s="24"/>
      <c r="Q135" s="24"/>
      <c r="R135" s="24"/>
    </row>
    <row r="136">
      <c r="A136" s="42" t="s">
        <v>28</v>
      </c>
      <c r="B136" s="39" t="s">
        <v>122</v>
      </c>
      <c r="C136" s="42" t="s">
        <v>63</v>
      </c>
      <c r="D136" s="42" t="s">
        <v>37</v>
      </c>
      <c r="E136" s="42" t="s">
        <v>37</v>
      </c>
      <c r="F136" s="42" t="s">
        <v>37</v>
      </c>
      <c r="G136" s="42">
        <f t="shared" si="1"/>
        <v>0</v>
      </c>
      <c r="H136" s="43" t="s">
        <v>35</v>
      </c>
      <c r="I136" s="43" t="s">
        <v>35</v>
      </c>
      <c r="J136" s="42"/>
      <c r="K136" s="42"/>
      <c r="L136" s="42"/>
      <c r="M136" s="42"/>
      <c r="N136" s="44"/>
      <c r="O136" s="24"/>
      <c r="P136" s="24"/>
      <c r="Q136" s="24"/>
      <c r="R136" s="24"/>
    </row>
    <row r="137">
      <c r="A137" s="42" t="s">
        <v>31</v>
      </c>
      <c r="B137" s="39" t="s">
        <v>123</v>
      </c>
      <c r="C137" s="42" t="s">
        <v>63</v>
      </c>
      <c r="D137" s="42" t="s">
        <v>37</v>
      </c>
      <c r="E137" s="42" t="s">
        <v>37</v>
      </c>
      <c r="F137" s="42" t="s">
        <v>37</v>
      </c>
      <c r="G137" s="42">
        <f t="shared" si="1"/>
        <v>0</v>
      </c>
      <c r="H137" s="43" t="s">
        <v>35</v>
      </c>
      <c r="I137" s="43" t="s">
        <v>35</v>
      </c>
      <c r="J137" s="42"/>
      <c r="K137" s="42"/>
      <c r="L137" s="42"/>
      <c r="M137" s="42"/>
      <c r="N137" s="44"/>
      <c r="O137" s="24"/>
      <c r="P137" s="24"/>
      <c r="Q137" s="24"/>
      <c r="R137" s="24"/>
    </row>
    <row r="138">
      <c r="A138" s="42"/>
      <c r="B138" s="41"/>
      <c r="C138" s="42"/>
      <c r="D138" s="42"/>
      <c r="E138" s="37"/>
      <c r="F138" s="37"/>
      <c r="G138" s="42">
        <f t="shared" si="1"/>
        <v>0</v>
      </c>
      <c r="H138" s="43" t="s">
        <v>35</v>
      </c>
      <c r="I138" s="43" t="s">
        <v>35</v>
      </c>
      <c r="J138" s="42"/>
      <c r="K138" s="42"/>
      <c r="L138" s="42"/>
      <c r="M138" s="42"/>
      <c r="N138" s="44"/>
      <c r="O138" s="24"/>
      <c r="P138" s="24"/>
      <c r="Q138" s="24"/>
      <c r="R138" s="24"/>
    </row>
    <row r="139">
      <c r="A139" s="42">
        <v>7.0</v>
      </c>
      <c r="B139" s="41" t="s">
        <v>124</v>
      </c>
      <c r="C139" s="42" t="s">
        <v>63</v>
      </c>
      <c r="D139" s="42" t="s">
        <v>37</v>
      </c>
      <c r="E139" s="42" t="s">
        <v>37</v>
      </c>
      <c r="F139" s="42" t="s">
        <v>37</v>
      </c>
      <c r="G139" s="42">
        <f t="shared" si="1"/>
        <v>0</v>
      </c>
      <c r="H139" s="43" t="s">
        <v>35</v>
      </c>
      <c r="I139" s="43" t="s">
        <v>35</v>
      </c>
      <c r="J139" s="42"/>
      <c r="K139" s="42"/>
      <c r="L139" s="42"/>
      <c r="M139" s="42"/>
      <c r="N139" s="44"/>
      <c r="O139" s="24"/>
      <c r="P139" s="24"/>
      <c r="Q139" s="24"/>
      <c r="R139" s="24"/>
    </row>
    <row r="140">
      <c r="A140" s="50"/>
      <c r="B140" s="39"/>
      <c r="C140" s="37"/>
      <c r="D140" s="37"/>
      <c r="E140" s="37"/>
      <c r="F140" s="37"/>
      <c r="G140" s="42">
        <f t="shared" si="1"/>
        <v>0</v>
      </c>
      <c r="H140" s="43" t="s">
        <v>35</v>
      </c>
      <c r="I140" s="43" t="s">
        <v>35</v>
      </c>
      <c r="J140" s="42"/>
      <c r="K140" s="42"/>
      <c r="L140" s="42"/>
      <c r="M140" s="42"/>
      <c r="N140" s="44"/>
      <c r="O140" s="24"/>
      <c r="P140" s="24"/>
      <c r="Q140" s="24"/>
      <c r="R140" s="24"/>
    </row>
    <row r="141">
      <c r="A141" s="42">
        <v>8.0</v>
      </c>
      <c r="B141" s="39" t="s">
        <v>125</v>
      </c>
      <c r="C141" s="37"/>
      <c r="D141" s="37"/>
      <c r="E141" s="37"/>
      <c r="F141" s="37"/>
      <c r="G141" s="42">
        <f t="shared" si="1"/>
        <v>0</v>
      </c>
      <c r="H141" s="43" t="s">
        <v>35</v>
      </c>
      <c r="I141" s="43" t="s">
        <v>35</v>
      </c>
      <c r="J141" s="42"/>
      <c r="K141" s="42"/>
      <c r="L141" s="42"/>
      <c r="M141" s="42"/>
      <c r="N141" s="44"/>
      <c r="O141" s="24"/>
      <c r="P141" s="24"/>
      <c r="Q141" s="24"/>
      <c r="R141" s="24"/>
    </row>
    <row r="142">
      <c r="A142" s="50"/>
      <c r="B142" s="39" t="s">
        <v>126</v>
      </c>
      <c r="C142" s="37"/>
      <c r="D142" s="37"/>
      <c r="E142" s="37"/>
      <c r="F142" s="37"/>
      <c r="G142" s="42">
        <f t="shared" si="1"/>
        <v>0</v>
      </c>
      <c r="H142" s="43" t="s">
        <v>35</v>
      </c>
      <c r="I142" s="43" t="s">
        <v>35</v>
      </c>
      <c r="J142" s="42"/>
      <c r="K142" s="42"/>
      <c r="L142" s="42"/>
      <c r="M142" s="42"/>
      <c r="N142" s="44"/>
      <c r="O142" s="24"/>
      <c r="P142" s="24"/>
      <c r="Q142" s="24"/>
      <c r="R142" s="24"/>
    </row>
    <row r="143">
      <c r="A143" s="42" t="s">
        <v>28</v>
      </c>
      <c r="B143" s="39" t="s">
        <v>127</v>
      </c>
      <c r="C143" s="42" t="s">
        <v>75</v>
      </c>
      <c r="D143" s="42" t="s">
        <v>37</v>
      </c>
      <c r="E143" s="42" t="s">
        <v>37</v>
      </c>
      <c r="F143" s="42" t="s">
        <v>37</v>
      </c>
      <c r="G143" s="42">
        <f t="shared" si="1"/>
        <v>0</v>
      </c>
      <c r="H143" s="43" t="s">
        <v>35</v>
      </c>
      <c r="I143" s="43" t="s">
        <v>35</v>
      </c>
      <c r="J143" s="42"/>
      <c r="K143" s="42"/>
      <c r="L143" s="42"/>
      <c r="M143" s="42"/>
      <c r="N143" s="44"/>
      <c r="O143" s="24"/>
      <c r="P143" s="24"/>
      <c r="Q143" s="24"/>
      <c r="R143" s="24"/>
    </row>
    <row r="144">
      <c r="A144" s="42" t="s">
        <v>31</v>
      </c>
      <c r="B144" s="39" t="s">
        <v>128</v>
      </c>
      <c r="C144" s="42" t="s">
        <v>75</v>
      </c>
      <c r="D144" s="42" t="s">
        <v>37</v>
      </c>
      <c r="E144" s="42" t="s">
        <v>37</v>
      </c>
      <c r="F144" s="42" t="s">
        <v>37</v>
      </c>
      <c r="G144" s="42">
        <f t="shared" si="1"/>
        <v>0</v>
      </c>
      <c r="H144" s="43" t="s">
        <v>35</v>
      </c>
      <c r="I144" s="43" t="s">
        <v>35</v>
      </c>
      <c r="J144" s="42"/>
      <c r="K144" s="42"/>
      <c r="L144" s="42"/>
      <c r="M144" s="42"/>
      <c r="N144" s="44"/>
      <c r="O144" s="24"/>
      <c r="P144" s="24"/>
      <c r="Q144" s="24"/>
      <c r="R144" s="24"/>
    </row>
    <row r="145">
      <c r="A145" s="42" t="s">
        <v>33</v>
      </c>
      <c r="B145" s="39" t="s">
        <v>129</v>
      </c>
      <c r="C145" s="42" t="s">
        <v>75</v>
      </c>
      <c r="D145" s="42" t="s">
        <v>37</v>
      </c>
      <c r="E145" s="42" t="s">
        <v>37</v>
      </c>
      <c r="F145" s="42" t="s">
        <v>37</v>
      </c>
      <c r="G145" s="42">
        <f t="shared" si="1"/>
        <v>0</v>
      </c>
      <c r="H145" s="43" t="s">
        <v>35</v>
      </c>
      <c r="I145" s="43" t="s">
        <v>35</v>
      </c>
      <c r="J145" s="42"/>
      <c r="K145" s="42"/>
      <c r="L145" s="42"/>
      <c r="M145" s="42"/>
      <c r="N145" s="44"/>
      <c r="O145" s="24"/>
      <c r="P145" s="24"/>
      <c r="Q145" s="24"/>
      <c r="R145" s="24"/>
    </row>
    <row r="146">
      <c r="A146" s="42" t="s">
        <v>43</v>
      </c>
      <c r="B146" s="39" t="s">
        <v>130</v>
      </c>
      <c r="C146" s="42" t="s">
        <v>75</v>
      </c>
      <c r="D146" s="42" t="s">
        <v>37</v>
      </c>
      <c r="E146" s="42" t="s">
        <v>37</v>
      </c>
      <c r="F146" s="37">
        <v>50.0</v>
      </c>
      <c r="G146" s="42">
        <f t="shared" si="1"/>
        <v>50</v>
      </c>
      <c r="H146" s="43">
        <v>108.0</v>
      </c>
      <c r="I146" s="43">
        <v>25.0</v>
      </c>
      <c r="J146" s="42">
        <f>G146*H146</f>
        <v>5400</v>
      </c>
      <c r="K146" s="42">
        <f>G146*I146</f>
        <v>1250</v>
      </c>
      <c r="L146" s="42">
        <f>SUM(J146:K146)</f>
        <v>6650</v>
      </c>
      <c r="M146" s="42"/>
      <c r="N146" s="44">
        <f>G146*(H146+I146)</f>
        <v>6650</v>
      </c>
      <c r="O146" s="24"/>
      <c r="P146" s="24"/>
      <c r="Q146" s="24"/>
      <c r="R146" s="24"/>
    </row>
    <row r="147">
      <c r="A147" s="42" t="s">
        <v>80</v>
      </c>
      <c r="B147" s="39" t="s">
        <v>131</v>
      </c>
      <c r="C147" s="42" t="s">
        <v>75</v>
      </c>
      <c r="D147" s="42" t="s">
        <v>37</v>
      </c>
      <c r="E147" s="42" t="s">
        <v>37</v>
      </c>
      <c r="F147" s="42" t="s">
        <v>37</v>
      </c>
      <c r="G147" s="42">
        <f t="shared" si="1"/>
        <v>0</v>
      </c>
      <c r="H147" s="43" t="s">
        <v>35</v>
      </c>
      <c r="I147" s="43" t="s">
        <v>35</v>
      </c>
      <c r="J147" s="42"/>
      <c r="K147" s="42"/>
      <c r="L147" s="42"/>
      <c r="M147" s="42"/>
      <c r="N147" s="44"/>
      <c r="O147" s="24"/>
      <c r="P147" s="24"/>
      <c r="Q147" s="24"/>
      <c r="R147" s="24"/>
    </row>
    <row r="148">
      <c r="A148" s="42" t="s">
        <v>132</v>
      </c>
      <c r="B148" s="39" t="s">
        <v>133</v>
      </c>
      <c r="C148" s="42" t="s">
        <v>75</v>
      </c>
      <c r="D148" s="42" t="s">
        <v>37</v>
      </c>
      <c r="E148" s="42" t="s">
        <v>37</v>
      </c>
      <c r="F148" s="42" t="s">
        <v>37</v>
      </c>
      <c r="G148" s="42">
        <f t="shared" si="1"/>
        <v>0</v>
      </c>
      <c r="H148" s="43" t="s">
        <v>35</v>
      </c>
      <c r="I148" s="43" t="s">
        <v>35</v>
      </c>
      <c r="J148" s="42"/>
      <c r="K148" s="42"/>
      <c r="L148" s="42"/>
      <c r="M148" s="42"/>
      <c r="N148" s="44"/>
      <c r="O148" s="24"/>
      <c r="P148" s="24"/>
      <c r="Q148" s="24"/>
      <c r="R148" s="24"/>
    </row>
    <row r="149">
      <c r="A149" s="42" t="s">
        <v>134</v>
      </c>
      <c r="B149" s="39" t="s">
        <v>135</v>
      </c>
      <c r="C149" s="42" t="s">
        <v>75</v>
      </c>
      <c r="D149" s="42" t="s">
        <v>37</v>
      </c>
      <c r="E149" s="42" t="s">
        <v>37</v>
      </c>
      <c r="F149" s="42" t="s">
        <v>37</v>
      </c>
      <c r="G149" s="42">
        <f t="shared" si="1"/>
        <v>0</v>
      </c>
      <c r="H149" s="43" t="s">
        <v>35</v>
      </c>
      <c r="I149" s="43" t="s">
        <v>35</v>
      </c>
      <c r="J149" s="42"/>
      <c r="K149" s="42"/>
      <c r="L149" s="42"/>
      <c r="M149" s="42"/>
      <c r="N149" s="44"/>
      <c r="O149" s="24"/>
      <c r="P149" s="24"/>
      <c r="Q149" s="24"/>
      <c r="R149" s="24"/>
    </row>
    <row r="150">
      <c r="A150" s="42" t="s">
        <v>136</v>
      </c>
      <c r="B150" s="39" t="s">
        <v>137</v>
      </c>
      <c r="C150" s="42" t="s">
        <v>75</v>
      </c>
      <c r="D150" s="42" t="s">
        <v>37</v>
      </c>
      <c r="E150" s="42" t="s">
        <v>37</v>
      </c>
      <c r="F150" s="42" t="s">
        <v>37</v>
      </c>
      <c r="G150" s="42">
        <f t="shared" si="1"/>
        <v>0</v>
      </c>
      <c r="H150" s="43" t="s">
        <v>35</v>
      </c>
      <c r="I150" s="43" t="s">
        <v>35</v>
      </c>
      <c r="J150" s="42"/>
      <c r="K150" s="42"/>
      <c r="L150" s="42"/>
      <c r="M150" s="42"/>
      <c r="N150" s="44"/>
      <c r="O150" s="24"/>
      <c r="P150" s="24"/>
      <c r="Q150" s="24"/>
      <c r="R150" s="24"/>
    </row>
    <row r="151">
      <c r="A151" s="50"/>
      <c r="B151" s="39"/>
      <c r="C151" s="37"/>
      <c r="D151" s="37"/>
      <c r="E151" s="37"/>
      <c r="F151" s="37"/>
      <c r="G151" s="42">
        <f t="shared" si="1"/>
        <v>0</v>
      </c>
      <c r="H151" s="43" t="s">
        <v>35</v>
      </c>
      <c r="I151" s="43" t="s">
        <v>35</v>
      </c>
      <c r="J151" s="42"/>
      <c r="K151" s="42"/>
      <c r="L151" s="42"/>
      <c r="M151" s="42"/>
      <c r="N151" s="44"/>
      <c r="O151" s="24"/>
      <c r="P151" s="24"/>
      <c r="Q151" s="24"/>
      <c r="R151" s="24"/>
    </row>
    <row r="152">
      <c r="A152" s="42">
        <v>9.0</v>
      </c>
      <c r="B152" s="39" t="s">
        <v>138</v>
      </c>
      <c r="C152" s="37"/>
      <c r="D152" s="37"/>
      <c r="E152" s="37"/>
      <c r="F152" s="37"/>
      <c r="G152" s="42">
        <f t="shared" si="1"/>
        <v>0</v>
      </c>
      <c r="H152" s="43" t="s">
        <v>35</v>
      </c>
      <c r="I152" s="43" t="s">
        <v>35</v>
      </c>
      <c r="J152" s="42"/>
      <c r="K152" s="42"/>
      <c r="L152" s="42"/>
      <c r="M152" s="42"/>
      <c r="N152" s="44"/>
      <c r="O152" s="24"/>
      <c r="P152" s="24"/>
      <c r="Q152" s="24"/>
      <c r="R152" s="24"/>
    </row>
    <row r="153">
      <c r="A153" s="42" t="s">
        <v>28</v>
      </c>
      <c r="B153" s="39" t="s">
        <v>139</v>
      </c>
      <c r="C153" s="42" t="s">
        <v>63</v>
      </c>
      <c r="D153" s="42" t="s">
        <v>37</v>
      </c>
      <c r="E153" s="42" t="s">
        <v>37</v>
      </c>
      <c r="F153" s="42" t="s">
        <v>37</v>
      </c>
      <c r="G153" s="42">
        <f t="shared" si="1"/>
        <v>0</v>
      </c>
      <c r="H153" s="43" t="s">
        <v>35</v>
      </c>
      <c r="I153" s="43" t="s">
        <v>35</v>
      </c>
      <c r="J153" s="42"/>
      <c r="K153" s="42"/>
      <c r="L153" s="42"/>
      <c r="M153" s="42"/>
      <c r="N153" s="44"/>
      <c r="O153" s="24"/>
      <c r="P153" s="24"/>
      <c r="Q153" s="24"/>
      <c r="R153" s="24"/>
    </row>
    <row r="154">
      <c r="A154" s="42" t="s">
        <v>31</v>
      </c>
      <c r="B154" s="39" t="s">
        <v>140</v>
      </c>
      <c r="C154" s="42" t="s">
        <v>63</v>
      </c>
      <c r="D154" s="42" t="s">
        <v>37</v>
      </c>
      <c r="E154" s="42" t="s">
        <v>37</v>
      </c>
      <c r="F154" s="42" t="s">
        <v>37</v>
      </c>
      <c r="G154" s="42">
        <f t="shared" si="1"/>
        <v>0</v>
      </c>
      <c r="H154" s="43" t="s">
        <v>35</v>
      </c>
      <c r="I154" s="43" t="s">
        <v>35</v>
      </c>
      <c r="J154" s="42"/>
      <c r="K154" s="42"/>
      <c r="L154" s="42"/>
      <c r="M154" s="42"/>
      <c r="N154" s="44"/>
      <c r="O154" s="24"/>
      <c r="P154" s="24"/>
      <c r="Q154" s="24"/>
      <c r="R154" s="24"/>
    </row>
    <row r="155">
      <c r="A155" s="42" t="s">
        <v>33</v>
      </c>
      <c r="B155" s="39" t="s">
        <v>141</v>
      </c>
      <c r="C155" s="42" t="s">
        <v>63</v>
      </c>
      <c r="D155" s="42" t="s">
        <v>37</v>
      </c>
      <c r="E155" s="42" t="s">
        <v>37</v>
      </c>
      <c r="F155" s="37">
        <v>1.0</v>
      </c>
      <c r="G155" s="42">
        <f t="shared" si="1"/>
        <v>1</v>
      </c>
      <c r="H155" s="43">
        <v>20900.0</v>
      </c>
      <c r="I155" s="43">
        <v>1425.0</v>
      </c>
      <c r="J155" s="42">
        <f>G155*H155</f>
        <v>20900</v>
      </c>
      <c r="K155" s="42">
        <f>G155*I155</f>
        <v>1425</v>
      </c>
      <c r="L155" s="42">
        <f>SUM(J155:K155)</f>
        <v>22325</v>
      </c>
      <c r="M155" s="42"/>
      <c r="N155" s="44">
        <f>G155*(H155+I155)</f>
        <v>22325</v>
      </c>
      <c r="O155" s="24"/>
      <c r="P155" s="24"/>
      <c r="Q155" s="24"/>
      <c r="R155" s="24"/>
    </row>
    <row r="156">
      <c r="A156" s="52"/>
      <c r="B156" s="53"/>
      <c r="C156" s="54"/>
      <c r="D156" s="54"/>
      <c r="E156" s="54"/>
      <c r="F156" s="54"/>
      <c r="G156" s="42">
        <f t="shared" si="1"/>
        <v>0</v>
      </c>
      <c r="H156" s="43" t="s">
        <v>35</v>
      </c>
      <c r="I156" s="43" t="s">
        <v>35</v>
      </c>
      <c r="J156" s="42"/>
      <c r="K156" s="42"/>
      <c r="L156" s="42"/>
      <c r="M156" s="42"/>
      <c r="N156" s="44"/>
      <c r="O156" s="24"/>
      <c r="P156" s="24"/>
      <c r="Q156" s="24"/>
      <c r="R156" s="24"/>
    </row>
    <row r="157">
      <c r="A157" s="48" t="s">
        <v>142</v>
      </c>
      <c r="B157" s="49" t="s">
        <v>143</v>
      </c>
      <c r="C157" s="54"/>
      <c r="D157" s="54"/>
      <c r="E157" s="54"/>
      <c r="F157" s="54"/>
      <c r="G157" s="42">
        <f t="shared" si="1"/>
        <v>0</v>
      </c>
      <c r="H157" s="43" t="s">
        <v>35</v>
      </c>
      <c r="I157" s="43" t="s">
        <v>35</v>
      </c>
      <c r="J157" s="42"/>
      <c r="K157" s="42"/>
      <c r="L157" s="42"/>
      <c r="M157" s="42"/>
      <c r="N157" s="44"/>
      <c r="O157" s="24"/>
      <c r="P157" s="24"/>
      <c r="Q157" s="24"/>
      <c r="R157" s="24"/>
    </row>
    <row r="158">
      <c r="A158" s="55">
        <v>1.0</v>
      </c>
      <c r="B158" s="53" t="s">
        <v>144</v>
      </c>
      <c r="C158" s="42" t="s">
        <v>30</v>
      </c>
      <c r="D158" s="42" t="s">
        <v>37</v>
      </c>
      <c r="E158" s="42" t="s">
        <v>37</v>
      </c>
      <c r="F158" s="56">
        <v>50.0</v>
      </c>
      <c r="G158" s="42">
        <f t="shared" si="1"/>
        <v>50</v>
      </c>
      <c r="H158" s="43"/>
      <c r="I158" s="43">
        <v>475.0</v>
      </c>
      <c r="J158" s="42"/>
      <c r="K158" s="42">
        <f>G158*I158</f>
        <v>23750</v>
      </c>
      <c r="L158" s="42">
        <f>SUM(J158:K158)</f>
        <v>23750</v>
      </c>
      <c r="M158" s="42"/>
      <c r="N158" s="57">
        <f>G158*(H158+I158)</f>
        <v>23750</v>
      </c>
      <c r="O158" s="24"/>
      <c r="P158" s="24"/>
      <c r="Q158" s="24"/>
      <c r="R158" s="24"/>
    </row>
    <row r="159">
      <c r="A159" s="55"/>
      <c r="B159" s="53"/>
      <c r="C159" s="54"/>
      <c r="D159" s="54"/>
      <c r="E159" s="54"/>
      <c r="F159" s="54"/>
      <c r="G159" s="42">
        <f t="shared" si="1"/>
        <v>0</v>
      </c>
      <c r="H159" s="43" t="s">
        <v>35</v>
      </c>
      <c r="I159" s="43" t="s">
        <v>35</v>
      </c>
      <c r="J159" s="42"/>
      <c r="K159" s="42"/>
      <c r="L159" s="42"/>
      <c r="M159" s="42"/>
      <c r="N159" s="44"/>
      <c r="O159" s="24"/>
      <c r="P159" s="24"/>
      <c r="Q159" s="24"/>
      <c r="R159" s="24"/>
    </row>
    <row r="160">
      <c r="A160" s="55">
        <v>2.0</v>
      </c>
      <c r="B160" s="53" t="s">
        <v>145</v>
      </c>
      <c r="C160" s="42" t="s">
        <v>30</v>
      </c>
      <c r="D160" s="42" t="s">
        <v>37</v>
      </c>
      <c r="E160" s="42" t="s">
        <v>37</v>
      </c>
      <c r="F160" s="42" t="s">
        <v>37</v>
      </c>
      <c r="G160" s="42">
        <f t="shared" si="1"/>
        <v>0</v>
      </c>
      <c r="H160" s="43" t="s">
        <v>35</v>
      </c>
      <c r="I160" s="43" t="s">
        <v>35</v>
      </c>
      <c r="J160" s="42"/>
      <c r="K160" s="42"/>
      <c r="L160" s="42"/>
      <c r="M160" s="42"/>
      <c r="N160" s="44"/>
      <c r="O160" s="24"/>
      <c r="P160" s="24"/>
      <c r="Q160" s="24"/>
      <c r="R160" s="24"/>
    </row>
    <row r="161">
      <c r="A161" s="55"/>
      <c r="B161" s="53"/>
      <c r="C161" s="54"/>
      <c r="D161" s="54"/>
      <c r="E161" s="54"/>
      <c r="F161" s="54"/>
      <c r="G161" s="42">
        <f t="shared" si="1"/>
        <v>0</v>
      </c>
      <c r="H161" s="43" t="s">
        <v>35</v>
      </c>
      <c r="I161" s="43" t="s">
        <v>35</v>
      </c>
      <c r="J161" s="42"/>
      <c r="K161" s="42"/>
      <c r="L161" s="42"/>
      <c r="M161" s="42"/>
      <c r="N161" s="44"/>
      <c r="O161" s="24"/>
      <c r="P161" s="24"/>
      <c r="Q161" s="24"/>
      <c r="R161" s="24"/>
    </row>
    <row r="162">
      <c r="A162" s="58">
        <v>3.0</v>
      </c>
      <c r="B162" s="53" t="s">
        <v>146</v>
      </c>
      <c r="C162" s="56" t="s">
        <v>106</v>
      </c>
      <c r="D162" s="56" t="s">
        <v>37</v>
      </c>
      <c r="E162" s="56" t="s">
        <v>37</v>
      </c>
      <c r="F162" s="56" t="s">
        <v>37</v>
      </c>
      <c r="G162" s="56">
        <f t="shared" si="1"/>
        <v>0</v>
      </c>
      <c r="H162" s="59" t="s">
        <v>35</v>
      </c>
      <c r="I162" s="59" t="s">
        <v>35</v>
      </c>
      <c r="J162" s="56"/>
      <c r="K162" s="56"/>
      <c r="L162" s="56"/>
      <c r="M162" s="56"/>
      <c r="N162" s="44"/>
      <c r="O162" s="24"/>
      <c r="P162" s="24"/>
      <c r="Q162" s="24"/>
      <c r="R162" s="24"/>
    </row>
    <row r="163">
      <c r="A163" s="60"/>
      <c r="B163" s="61" t="s">
        <v>147</v>
      </c>
      <c r="C163" s="62"/>
      <c r="D163" s="62"/>
      <c r="E163" s="62"/>
      <c r="F163" s="62"/>
      <c r="G163" s="62"/>
      <c r="H163" s="63" t="s">
        <v>35</v>
      </c>
      <c r="I163" s="63" t="s">
        <v>35</v>
      </c>
      <c r="J163" s="62">
        <f t="shared" ref="J163:L163" si="34">sum(J8:J162)</f>
        <v>3475262.5</v>
      </c>
      <c r="K163" s="62">
        <f t="shared" si="34"/>
        <v>1040262.5</v>
      </c>
      <c r="L163" s="62">
        <f t="shared" si="34"/>
        <v>4515525</v>
      </c>
      <c r="M163" s="62"/>
      <c r="N163" s="44"/>
      <c r="O163" s="24"/>
      <c r="P163" s="24"/>
      <c r="Q163" s="24"/>
      <c r="R163" s="24"/>
    </row>
    <row r="164">
      <c r="A164" s="64"/>
      <c r="B164" s="65"/>
      <c r="C164" s="66"/>
      <c r="D164" s="66"/>
      <c r="E164" s="66"/>
      <c r="F164" s="66"/>
      <c r="G164" s="67">
        <f t="shared" ref="G164:G191" si="35">SUM(D164:F164)</f>
        <v>0</v>
      </c>
      <c r="H164" s="68" t="s">
        <v>35</v>
      </c>
      <c r="I164" s="68" t="s">
        <v>35</v>
      </c>
      <c r="J164" s="66"/>
      <c r="K164" s="66"/>
      <c r="L164" s="66"/>
      <c r="M164" s="66"/>
      <c r="N164" s="44"/>
      <c r="O164" s="24"/>
      <c r="P164" s="24"/>
      <c r="Q164" s="24"/>
      <c r="R164" s="24"/>
    </row>
    <row r="165">
      <c r="A165" s="69" t="s">
        <v>24</v>
      </c>
      <c r="B165" s="70" t="s">
        <v>148</v>
      </c>
      <c r="C165" s="71"/>
      <c r="D165" s="71"/>
      <c r="E165" s="71"/>
      <c r="F165" s="71"/>
      <c r="G165" s="72">
        <f t="shared" si="35"/>
        <v>0</v>
      </c>
      <c r="H165" s="73" t="s">
        <v>35</v>
      </c>
      <c r="I165" s="73" t="s">
        <v>35</v>
      </c>
      <c r="J165" s="74"/>
      <c r="K165" s="74"/>
      <c r="L165" s="74"/>
      <c r="M165" s="74"/>
      <c r="N165" s="44"/>
      <c r="O165" s="24"/>
      <c r="P165" s="24"/>
      <c r="Q165" s="24"/>
      <c r="R165" s="24"/>
    </row>
    <row r="166">
      <c r="A166" s="55">
        <v>1.0</v>
      </c>
      <c r="B166" s="41" t="s">
        <v>149</v>
      </c>
      <c r="C166" s="75"/>
      <c r="D166" s="75"/>
      <c r="E166" s="75"/>
      <c r="F166" s="75"/>
      <c r="G166" s="42">
        <f t="shared" si="35"/>
        <v>0</v>
      </c>
      <c r="H166" s="43" t="s">
        <v>35</v>
      </c>
      <c r="I166" s="43" t="s">
        <v>35</v>
      </c>
      <c r="J166" s="56"/>
      <c r="K166" s="56"/>
      <c r="L166" s="56"/>
      <c r="M166" s="42"/>
      <c r="N166" s="44"/>
      <c r="O166" s="24"/>
      <c r="P166" s="24"/>
      <c r="Q166" s="24"/>
      <c r="R166" s="24"/>
    </row>
    <row r="167">
      <c r="A167" s="55" t="s">
        <v>59</v>
      </c>
      <c r="B167" s="41" t="s">
        <v>150</v>
      </c>
      <c r="C167" s="76" t="s">
        <v>63</v>
      </c>
      <c r="D167" s="42" t="s">
        <v>37</v>
      </c>
      <c r="E167" s="42" t="s">
        <v>37</v>
      </c>
      <c r="F167" s="42" t="s">
        <v>37</v>
      </c>
      <c r="G167" s="42">
        <f t="shared" si="35"/>
        <v>0</v>
      </c>
      <c r="H167" s="43" t="s">
        <v>35</v>
      </c>
      <c r="I167" s="43" t="s">
        <v>35</v>
      </c>
      <c r="J167" s="56"/>
      <c r="K167" s="56"/>
      <c r="L167" s="56"/>
      <c r="M167" s="42"/>
      <c r="N167" s="44"/>
      <c r="O167" s="24"/>
      <c r="P167" s="24"/>
      <c r="Q167" s="24"/>
      <c r="R167" s="24"/>
    </row>
    <row r="168">
      <c r="A168" s="77"/>
      <c r="B168" s="41"/>
      <c r="C168" s="75"/>
      <c r="D168" s="75"/>
      <c r="E168" s="75"/>
      <c r="F168" s="75"/>
      <c r="G168" s="42">
        <f t="shared" si="35"/>
        <v>0</v>
      </c>
      <c r="H168" s="43" t="s">
        <v>35</v>
      </c>
      <c r="I168" s="43" t="s">
        <v>35</v>
      </c>
      <c r="J168" s="56"/>
      <c r="K168" s="56"/>
      <c r="L168" s="56"/>
      <c r="M168" s="42"/>
      <c r="N168" s="44"/>
      <c r="O168" s="24"/>
      <c r="P168" s="24"/>
      <c r="Q168" s="24"/>
      <c r="R168" s="24"/>
    </row>
    <row r="169">
      <c r="A169" s="55">
        <v>2.0</v>
      </c>
      <c r="B169" s="41" t="s">
        <v>151</v>
      </c>
      <c r="C169" s="75"/>
      <c r="D169" s="75"/>
      <c r="E169" s="75"/>
      <c r="F169" s="75"/>
      <c r="G169" s="42">
        <f t="shared" si="35"/>
        <v>0</v>
      </c>
      <c r="H169" s="43" t="s">
        <v>35</v>
      </c>
      <c r="I169" s="43" t="s">
        <v>35</v>
      </c>
      <c r="J169" s="56"/>
      <c r="K169" s="56"/>
      <c r="L169" s="56"/>
      <c r="M169" s="42"/>
      <c r="N169" s="44"/>
      <c r="O169" s="24"/>
      <c r="P169" s="24"/>
      <c r="Q169" s="24"/>
      <c r="R169" s="24"/>
    </row>
    <row r="170">
      <c r="A170" s="55" t="s">
        <v>28</v>
      </c>
      <c r="B170" s="41" t="s">
        <v>152</v>
      </c>
      <c r="C170" s="76" t="s">
        <v>75</v>
      </c>
      <c r="D170" s="42" t="s">
        <v>37</v>
      </c>
      <c r="E170" s="42" t="s">
        <v>37</v>
      </c>
      <c r="F170" s="42" t="s">
        <v>37</v>
      </c>
      <c r="G170" s="42">
        <f t="shared" si="35"/>
        <v>0</v>
      </c>
      <c r="H170" s="43" t="s">
        <v>35</v>
      </c>
      <c r="I170" s="43" t="s">
        <v>35</v>
      </c>
      <c r="J170" s="56"/>
      <c r="K170" s="56"/>
      <c r="L170" s="56"/>
      <c r="M170" s="42"/>
      <c r="N170" s="44"/>
      <c r="O170" s="24"/>
      <c r="P170" s="24"/>
      <c r="Q170" s="24"/>
      <c r="R170" s="24"/>
    </row>
    <row r="171">
      <c r="A171" s="55" t="s">
        <v>31</v>
      </c>
      <c r="B171" s="41" t="s">
        <v>153</v>
      </c>
      <c r="C171" s="76" t="s">
        <v>75</v>
      </c>
      <c r="D171" s="42" t="s">
        <v>37</v>
      </c>
      <c r="E171" s="42" t="s">
        <v>37</v>
      </c>
      <c r="F171" s="42" t="s">
        <v>37</v>
      </c>
      <c r="G171" s="42">
        <f t="shared" si="35"/>
        <v>0</v>
      </c>
      <c r="H171" s="43" t="s">
        <v>35</v>
      </c>
      <c r="I171" s="43" t="s">
        <v>35</v>
      </c>
      <c r="J171" s="56"/>
      <c r="K171" s="56"/>
      <c r="L171" s="56"/>
      <c r="M171" s="42"/>
      <c r="N171" s="44"/>
      <c r="O171" s="24"/>
      <c r="P171" s="24"/>
      <c r="Q171" s="24"/>
      <c r="R171" s="24"/>
    </row>
    <row r="172">
      <c r="A172" s="55" t="s">
        <v>33</v>
      </c>
      <c r="B172" s="41" t="s">
        <v>154</v>
      </c>
      <c r="C172" s="76" t="s">
        <v>75</v>
      </c>
      <c r="D172" s="42" t="s">
        <v>37</v>
      </c>
      <c r="E172" s="42" t="s">
        <v>37</v>
      </c>
      <c r="F172" s="42" t="s">
        <v>37</v>
      </c>
      <c r="G172" s="42">
        <f t="shared" si="35"/>
        <v>0</v>
      </c>
      <c r="H172" s="43" t="s">
        <v>35</v>
      </c>
      <c r="I172" s="43" t="s">
        <v>35</v>
      </c>
      <c r="J172" s="56"/>
      <c r="K172" s="56"/>
      <c r="L172" s="56"/>
      <c r="M172" s="42"/>
      <c r="N172" s="44"/>
      <c r="O172" s="24"/>
      <c r="P172" s="24"/>
      <c r="Q172" s="24"/>
      <c r="R172" s="24"/>
    </row>
    <row r="173">
      <c r="A173" s="55" t="s">
        <v>43</v>
      </c>
      <c r="B173" s="41" t="s">
        <v>155</v>
      </c>
      <c r="C173" s="76" t="s">
        <v>75</v>
      </c>
      <c r="D173" s="42" t="s">
        <v>37</v>
      </c>
      <c r="E173" s="42" t="s">
        <v>37</v>
      </c>
      <c r="F173" s="42" t="s">
        <v>37</v>
      </c>
      <c r="G173" s="42">
        <f t="shared" si="35"/>
        <v>0</v>
      </c>
      <c r="H173" s="43" t="s">
        <v>35</v>
      </c>
      <c r="I173" s="43" t="s">
        <v>35</v>
      </c>
      <c r="J173" s="56"/>
      <c r="K173" s="56"/>
      <c r="L173" s="56"/>
      <c r="M173" s="42"/>
      <c r="N173" s="44"/>
      <c r="O173" s="24"/>
      <c r="P173" s="24"/>
      <c r="Q173" s="24"/>
      <c r="R173" s="24"/>
    </row>
    <row r="174">
      <c r="A174" s="55" t="s">
        <v>80</v>
      </c>
      <c r="B174" s="41" t="s">
        <v>156</v>
      </c>
      <c r="C174" s="76" t="s">
        <v>75</v>
      </c>
      <c r="D174" s="42" t="s">
        <v>37</v>
      </c>
      <c r="E174" s="42" t="s">
        <v>37</v>
      </c>
      <c r="F174" s="42" t="s">
        <v>37</v>
      </c>
      <c r="G174" s="42">
        <f t="shared" si="35"/>
        <v>0</v>
      </c>
      <c r="H174" s="43" t="s">
        <v>35</v>
      </c>
      <c r="I174" s="43" t="s">
        <v>35</v>
      </c>
      <c r="J174" s="56"/>
      <c r="K174" s="56"/>
      <c r="L174" s="56"/>
      <c r="M174" s="42"/>
      <c r="N174" s="44"/>
      <c r="O174" s="24"/>
      <c r="P174" s="24"/>
      <c r="Q174" s="24"/>
      <c r="R174" s="24"/>
    </row>
    <row r="175">
      <c r="A175" s="55" t="s">
        <v>132</v>
      </c>
      <c r="B175" s="41" t="s">
        <v>157</v>
      </c>
      <c r="C175" s="76" t="s">
        <v>75</v>
      </c>
      <c r="D175" s="42" t="s">
        <v>37</v>
      </c>
      <c r="E175" s="42" t="s">
        <v>37</v>
      </c>
      <c r="F175" s="42" t="s">
        <v>37</v>
      </c>
      <c r="G175" s="42">
        <f t="shared" si="35"/>
        <v>0</v>
      </c>
      <c r="H175" s="43" t="s">
        <v>35</v>
      </c>
      <c r="I175" s="43" t="s">
        <v>35</v>
      </c>
      <c r="J175" s="56"/>
      <c r="K175" s="56"/>
      <c r="L175" s="56"/>
      <c r="M175" s="42"/>
      <c r="N175" s="44"/>
      <c r="O175" s="24"/>
      <c r="P175" s="24"/>
      <c r="Q175" s="24"/>
      <c r="R175" s="24"/>
    </row>
    <row r="176">
      <c r="A176" s="77"/>
      <c r="B176" s="41"/>
      <c r="C176" s="75"/>
      <c r="D176" s="75"/>
      <c r="E176" s="75"/>
      <c r="F176" s="75"/>
      <c r="G176" s="42">
        <f t="shared" si="35"/>
        <v>0</v>
      </c>
      <c r="H176" s="43" t="s">
        <v>35</v>
      </c>
      <c r="I176" s="43" t="s">
        <v>35</v>
      </c>
      <c r="J176" s="56"/>
      <c r="K176" s="56"/>
      <c r="L176" s="56"/>
      <c r="M176" s="42"/>
      <c r="N176" s="44"/>
      <c r="O176" s="24"/>
      <c r="P176" s="24"/>
      <c r="Q176" s="24"/>
      <c r="R176" s="24"/>
    </row>
    <row r="177">
      <c r="A177" s="55">
        <v>3.0</v>
      </c>
      <c r="B177" s="41" t="s">
        <v>158</v>
      </c>
      <c r="C177" s="75"/>
      <c r="D177" s="75"/>
      <c r="E177" s="75"/>
      <c r="F177" s="75"/>
      <c r="G177" s="42">
        <f t="shared" si="35"/>
        <v>0</v>
      </c>
      <c r="H177" s="43" t="s">
        <v>35</v>
      </c>
      <c r="I177" s="43" t="s">
        <v>35</v>
      </c>
      <c r="J177" s="56"/>
      <c r="K177" s="56"/>
      <c r="L177" s="56"/>
      <c r="M177" s="42"/>
      <c r="N177" s="44"/>
      <c r="O177" s="24"/>
      <c r="P177" s="24"/>
      <c r="Q177" s="24"/>
      <c r="R177" s="24"/>
    </row>
    <row r="178">
      <c r="A178" s="55" t="s">
        <v>28</v>
      </c>
      <c r="B178" s="41" t="s">
        <v>159</v>
      </c>
      <c r="C178" s="76" t="s">
        <v>75</v>
      </c>
      <c r="D178" s="42" t="s">
        <v>37</v>
      </c>
      <c r="E178" s="42" t="s">
        <v>37</v>
      </c>
      <c r="F178" s="42" t="s">
        <v>37</v>
      </c>
      <c r="G178" s="42">
        <f t="shared" si="35"/>
        <v>0</v>
      </c>
      <c r="H178" s="43" t="s">
        <v>35</v>
      </c>
      <c r="I178" s="43" t="s">
        <v>35</v>
      </c>
      <c r="J178" s="56"/>
      <c r="K178" s="56"/>
      <c r="L178" s="56"/>
      <c r="M178" s="42"/>
      <c r="N178" s="44"/>
      <c r="O178" s="24"/>
      <c r="P178" s="24"/>
      <c r="Q178" s="24"/>
      <c r="R178" s="24"/>
    </row>
    <row r="179">
      <c r="A179" s="55" t="s">
        <v>31</v>
      </c>
      <c r="B179" s="41" t="s">
        <v>160</v>
      </c>
      <c r="C179" s="76" t="s">
        <v>75</v>
      </c>
      <c r="D179" s="42" t="s">
        <v>37</v>
      </c>
      <c r="E179" s="42" t="s">
        <v>37</v>
      </c>
      <c r="F179" s="42" t="s">
        <v>37</v>
      </c>
      <c r="G179" s="42">
        <f t="shared" si="35"/>
        <v>0</v>
      </c>
      <c r="H179" s="43" t="s">
        <v>35</v>
      </c>
      <c r="I179" s="43" t="s">
        <v>35</v>
      </c>
      <c r="J179" s="56"/>
      <c r="K179" s="56"/>
      <c r="L179" s="56"/>
      <c r="M179" s="42"/>
      <c r="N179" s="44"/>
      <c r="O179" s="24"/>
      <c r="P179" s="24"/>
      <c r="Q179" s="24"/>
      <c r="R179" s="24"/>
    </row>
    <row r="180">
      <c r="A180" s="55" t="s">
        <v>33</v>
      </c>
      <c r="B180" s="41" t="s">
        <v>161</v>
      </c>
      <c r="C180" s="76" t="s">
        <v>75</v>
      </c>
      <c r="D180" s="42" t="s">
        <v>37</v>
      </c>
      <c r="E180" s="42" t="s">
        <v>37</v>
      </c>
      <c r="F180" s="42" t="s">
        <v>37</v>
      </c>
      <c r="G180" s="42">
        <f t="shared" si="35"/>
        <v>0</v>
      </c>
      <c r="H180" s="43" t="s">
        <v>35</v>
      </c>
      <c r="I180" s="43" t="s">
        <v>35</v>
      </c>
      <c r="J180" s="56"/>
      <c r="K180" s="56"/>
      <c r="L180" s="56"/>
      <c r="M180" s="42"/>
      <c r="N180" s="44"/>
      <c r="O180" s="24"/>
      <c r="P180" s="24"/>
      <c r="Q180" s="24"/>
      <c r="R180" s="24"/>
    </row>
    <row r="181">
      <c r="A181" s="55" t="s">
        <v>43</v>
      </c>
      <c r="B181" s="41" t="s">
        <v>162</v>
      </c>
      <c r="C181" s="76" t="s">
        <v>75</v>
      </c>
      <c r="D181" s="42" t="s">
        <v>37</v>
      </c>
      <c r="E181" s="42" t="s">
        <v>37</v>
      </c>
      <c r="F181" s="42" t="s">
        <v>37</v>
      </c>
      <c r="G181" s="42">
        <f t="shared" si="35"/>
        <v>0</v>
      </c>
      <c r="H181" s="43" t="s">
        <v>35</v>
      </c>
      <c r="I181" s="43" t="s">
        <v>35</v>
      </c>
      <c r="J181" s="56"/>
      <c r="K181" s="56"/>
      <c r="L181" s="56"/>
      <c r="M181" s="42"/>
      <c r="N181" s="44"/>
      <c r="O181" s="24"/>
      <c r="P181" s="24"/>
      <c r="Q181" s="24"/>
      <c r="R181" s="24"/>
    </row>
    <row r="182">
      <c r="A182" s="55" t="s">
        <v>80</v>
      </c>
      <c r="B182" s="41" t="s">
        <v>163</v>
      </c>
      <c r="C182" s="76" t="s">
        <v>75</v>
      </c>
      <c r="D182" s="42" t="s">
        <v>37</v>
      </c>
      <c r="E182" s="42" t="s">
        <v>37</v>
      </c>
      <c r="F182" s="42" t="s">
        <v>37</v>
      </c>
      <c r="G182" s="42">
        <f t="shared" si="35"/>
        <v>0</v>
      </c>
      <c r="H182" s="43" t="s">
        <v>35</v>
      </c>
      <c r="I182" s="43" t="s">
        <v>35</v>
      </c>
      <c r="J182" s="56"/>
      <c r="K182" s="56"/>
      <c r="L182" s="56"/>
      <c r="M182" s="42"/>
      <c r="N182" s="44"/>
      <c r="O182" s="24"/>
      <c r="P182" s="24"/>
      <c r="Q182" s="24"/>
      <c r="R182" s="24"/>
    </row>
    <row r="183">
      <c r="A183" s="55" t="s">
        <v>132</v>
      </c>
      <c r="B183" s="41" t="s">
        <v>164</v>
      </c>
      <c r="C183" s="76" t="s">
        <v>75</v>
      </c>
      <c r="D183" s="42" t="s">
        <v>37</v>
      </c>
      <c r="E183" s="42" t="s">
        <v>37</v>
      </c>
      <c r="F183" s="42" t="s">
        <v>37</v>
      </c>
      <c r="G183" s="42">
        <f t="shared" si="35"/>
        <v>0</v>
      </c>
      <c r="H183" s="43" t="s">
        <v>35</v>
      </c>
      <c r="I183" s="43" t="s">
        <v>35</v>
      </c>
      <c r="J183" s="56"/>
      <c r="K183" s="56"/>
      <c r="L183" s="56"/>
      <c r="M183" s="42"/>
      <c r="N183" s="44"/>
      <c r="O183" s="24"/>
      <c r="P183" s="24"/>
      <c r="Q183" s="24"/>
      <c r="R183" s="24"/>
    </row>
    <row r="184">
      <c r="A184" s="77"/>
      <c r="B184" s="41"/>
      <c r="C184" s="75"/>
      <c r="D184" s="75"/>
      <c r="E184" s="75"/>
      <c r="F184" s="75"/>
      <c r="G184" s="42">
        <f t="shared" si="35"/>
        <v>0</v>
      </c>
      <c r="H184" s="43" t="s">
        <v>35</v>
      </c>
      <c r="I184" s="43" t="s">
        <v>35</v>
      </c>
      <c r="J184" s="56"/>
      <c r="K184" s="56"/>
      <c r="L184" s="56"/>
      <c r="M184" s="42"/>
      <c r="N184" s="44"/>
      <c r="O184" s="24"/>
      <c r="P184" s="24"/>
      <c r="Q184" s="24"/>
      <c r="R184" s="24"/>
    </row>
    <row r="185">
      <c r="A185" s="55">
        <v>4.0</v>
      </c>
      <c r="B185" s="41" t="s">
        <v>165</v>
      </c>
      <c r="C185" s="75"/>
      <c r="D185" s="75"/>
      <c r="E185" s="75"/>
      <c r="F185" s="75"/>
      <c r="G185" s="42">
        <f t="shared" si="35"/>
        <v>0</v>
      </c>
      <c r="H185" s="43" t="s">
        <v>35</v>
      </c>
      <c r="I185" s="43" t="s">
        <v>35</v>
      </c>
      <c r="J185" s="56"/>
      <c r="K185" s="56"/>
      <c r="L185" s="56"/>
      <c r="M185" s="42"/>
      <c r="N185" s="44"/>
      <c r="O185" s="24"/>
      <c r="P185" s="24"/>
      <c r="Q185" s="24"/>
      <c r="R185" s="24"/>
    </row>
    <row r="186">
      <c r="A186" s="55" t="s">
        <v>28</v>
      </c>
      <c r="B186" s="41" t="s">
        <v>152</v>
      </c>
      <c r="C186" s="76" t="s">
        <v>63</v>
      </c>
      <c r="D186" s="42" t="s">
        <v>37</v>
      </c>
      <c r="E186" s="42" t="s">
        <v>37</v>
      </c>
      <c r="F186" s="42" t="s">
        <v>37</v>
      </c>
      <c r="G186" s="42">
        <f t="shared" si="35"/>
        <v>0</v>
      </c>
      <c r="H186" s="43" t="s">
        <v>35</v>
      </c>
      <c r="I186" s="43" t="s">
        <v>35</v>
      </c>
      <c r="J186" s="56"/>
      <c r="K186" s="56"/>
      <c r="L186" s="56"/>
      <c r="M186" s="42"/>
      <c r="N186" s="44"/>
      <c r="O186" s="24"/>
      <c r="P186" s="24"/>
      <c r="Q186" s="24"/>
      <c r="R186" s="24"/>
    </row>
    <row r="187">
      <c r="A187" s="55" t="s">
        <v>31</v>
      </c>
      <c r="B187" s="41" t="s">
        <v>153</v>
      </c>
      <c r="C187" s="76" t="s">
        <v>63</v>
      </c>
      <c r="D187" s="42" t="s">
        <v>37</v>
      </c>
      <c r="E187" s="42" t="s">
        <v>37</v>
      </c>
      <c r="F187" s="42" t="s">
        <v>37</v>
      </c>
      <c r="G187" s="42">
        <f t="shared" si="35"/>
        <v>0</v>
      </c>
      <c r="H187" s="43" t="s">
        <v>35</v>
      </c>
      <c r="I187" s="43" t="s">
        <v>35</v>
      </c>
      <c r="J187" s="56"/>
      <c r="K187" s="56"/>
      <c r="L187" s="56"/>
      <c r="M187" s="42"/>
      <c r="N187" s="44"/>
      <c r="O187" s="24"/>
      <c r="P187" s="24"/>
      <c r="Q187" s="24"/>
      <c r="R187" s="24"/>
    </row>
    <row r="188">
      <c r="A188" s="55" t="s">
        <v>33</v>
      </c>
      <c r="B188" s="41" t="s">
        <v>154</v>
      </c>
      <c r="C188" s="76" t="s">
        <v>63</v>
      </c>
      <c r="D188" s="42" t="s">
        <v>37</v>
      </c>
      <c r="E188" s="42" t="s">
        <v>37</v>
      </c>
      <c r="F188" s="42" t="s">
        <v>37</v>
      </c>
      <c r="G188" s="42">
        <f t="shared" si="35"/>
        <v>0</v>
      </c>
      <c r="H188" s="43" t="s">
        <v>35</v>
      </c>
      <c r="I188" s="43" t="s">
        <v>35</v>
      </c>
      <c r="J188" s="56"/>
      <c r="K188" s="56"/>
      <c r="L188" s="56"/>
      <c r="M188" s="42"/>
      <c r="N188" s="44"/>
      <c r="O188" s="24"/>
      <c r="P188" s="24"/>
      <c r="Q188" s="24"/>
      <c r="R188" s="24"/>
    </row>
    <row r="189">
      <c r="A189" s="55" t="s">
        <v>43</v>
      </c>
      <c r="B189" s="41" t="s">
        <v>166</v>
      </c>
      <c r="C189" s="76" t="s">
        <v>63</v>
      </c>
      <c r="D189" s="42" t="s">
        <v>37</v>
      </c>
      <c r="E189" s="42" t="s">
        <v>37</v>
      </c>
      <c r="F189" s="42" t="s">
        <v>37</v>
      </c>
      <c r="G189" s="42">
        <f t="shared" si="35"/>
        <v>0</v>
      </c>
      <c r="H189" s="43" t="s">
        <v>35</v>
      </c>
      <c r="I189" s="43" t="s">
        <v>35</v>
      </c>
      <c r="J189" s="56"/>
      <c r="K189" s="56"/>
      <c r="L189" s="56"/>
      <c r="M189" s="42"/>
      <c r="N189" s="44"/>
      <c r="O189" s="24"/>
      <c r="P189" s="24"/>
      <c r="Q189" s="24"/>
      <c r="R189" s="24"/>
    </row>
    <row r="190">
      <c r="A190" s="55" t="s">
        <v>80</v>
      </c>
      <c r="B190" s="41" t="s">
        <v>167</v>
      </c>
      <c r="C190" s="76" t="s">
        <v>63</v>
      </c>
      <c r="D190" s="42" t="s">
        <v>37</v>
      </c>
      <c r="E190" s="42" t="s">
        <v>37</v>
      </c>
      <c r="F190" s="42" t="s">
        <v>37</v>
      </c>
      <c r="G190" s="42">
        <f t="shared" si="35"/>
        <v>0</v>
      </c>
      <c r="H190" s="43" t="s">
        <v>35</v>
      </c>
      <c r="I190" s="43" t="s">
        <v>35</v>
      </c>
      <c r="J190" s="56"/>
      <c r="K190" s="56"/>
      <c r="L190" s="56"/>
      <c r="M190" s="42"/>
      <c r="N190" s="44"/>
      <c r="O190" s="24"/>
      <c r="P190" s="24"/>
      <c r="Q190" s="24"/>
      <c r="R190" s="24"/>
    </row>
    <row r="191">
      <c r="A191" s="78"/>
      <c r="B191" s="79"/>
      <c r="C191" s="80"/>
      <c r="D191" s="80"/>
      <c r="E191" s="80"/>
      <c r="F191" s="80"/>
      <c r="G191" s="56">
        <f t="shared" si="35"/>
        <v>0</v>
      </c>
      <c r="H191" s="59" t="s">
        <v>35</v>
      </c>
      <c r="I191" s="59" t="s">
        <v>35</v>
      </c>
      <c r="J191" s="56">
        <f>IFERROR(E191*I191,0)</f>
        <v>0</v>
      </c>
      <c r="K191" s="56">
        <f>IFERROR(F191*I191,0)</f>
        <v>0</v>
      </c>
      <c r="L191" s="56">
        <f>SUM(J191:K191)</f>
        <v>0</v>
      </c>
      <c r="M191" s="56"/>
      <c r="N191" s="44"/>
      <c r="O191" s="24"/>
      <c r="P191" s="24"/>
      <c r="Q191" s="24"/>
      <c r="R191" s="24"/>
    </row>
    <row r="192">
      <c r="A192" s="60"/>
      <c r="B192" s="61" t="s">
        <v>168</v>
      </c>
      <c r="C192" s="62"/>
      <c r="D192" s="62"/>
      <c r="E192" s="62"/>
      <c r="F192" s="62"/>
      <c r="G192" s="62"/>
      <c r="H192" s="63" t="s">
        <v>35</v>
      </c>
      <c r="I192" s="63" t="s">
        <v>35</v>
      </c>
      <c r="J192" s="62"/>
      <c r="K192" s="62"/>
      <c r="L192" s="62"/>
      <c r="M192" s="62"/>
      <c r="N192" s="44"/>
      <c r="O192" s="24"/>
      <c r="P192" s="24"/>
      <c r="Q192" s="24"/>
      <c r="R192" s="24"/>
    </row>
    <row r="193">
      <c r="A193" s="81"/>
      <c r="B193" s="82"/>
      <c r="C193" s="83"/>
      <c r="D193" s="84"/>
      <c r="E193" s="84"/>
      <c r="F193" s="84"/>
      <c r="G193" s="85"/>
      <c r="H193" s="86" t="s">
        <v>35</v>
      </c>
      <c r="I193" s="86" t="s">
        <v>35</v>
      </c>
      <c r="J193" s="84"/>
      <c r="K193" s="84"/>
      <c r="L193" s="84"/>
      <c r="M193" s="84"/>
      <c r="N193" s="44"/>
      <c r="O193" s="24"/>
      <c r="P193" s="24"/>
      <c r="Q193" s="24"/>
      <c r="R193" s="24"/>
    </row>
    <row r="194">
      <c r="A194" s="87" t="s">
        <v>24</v>
      </c>
      <c r="B194" s="69" t="s">
        <v>169</v>
      </c>
      <c r="C194" s="88"/>
      <c r="D194" s="89"/>
      <c r="E194" s="89"/>
      <c r="F194" s="89"/>
      <c r="G194" s="72">
        <f t="shared" ref="G194:G257" si="36">SUM(D194:F194)</f>
        <v>0</v>
      </c>
      <c r="H194" s="90" t="s">
        <v>35</v>
      </c>
      <c r="I194" s="90" t="s">
        <v>35</v>
      </c>
      <c r="J194" s="89"/>
      <c r="K194" s="89"/>
      <c r="L194" s="89"/>
      <c r="M194" s="89"/>
      <c r="N194" s="44"/>
      <c r="O194" s="24"/>
      <c r="P194" s="24"/>
      <c r="Q194" s="24"/>
      <c r="R194" s="24"/>
    </row>
    <row r="195">
      <c r="A195" s="77"/>
      <c r="B195" s="41"/>
      <c r="C195" s="45"/>
      <c r="D195" s="54"/>
      <c r="E195" s="54"/>
      <c r="F195" s="54"/>
      <c r="G195" s="42">
        <f t="shared" si="36"/>
        <v>0</v>
      </c>
      <c r="H195" s="59" t="s">
        <v>35</v>
      </c>
      <c r="I195" s="59" t="s">
        <v>35</v>
      </c>
      <c r="J195" s="42">
        <f t="shared" ref="J195:J196" si="37">IFERROR(E195*I195,0)</f>
        <v>0</v>
      </c>
      <c r="K195" s="42">
        <f t="shared" ref="K195:K196" si="38">IFERROR(F195*I195,0)</f>
        <v>0</v>
      </c>
      <c r="L195" s="42">
        <f t="shared" ref="L195:L196" si="39">SUM(J195:K195)</f>
        <v>0</v>
      </c>
      <c r="M195" s="42"/>
      <c r="N195" s="44"/>
      <c r="O195" s="24"/>
      <c r="P195" s="24"/>
      <c r="Q195" s="24"/>
      <c r="R195" s="24"/>
    </row>
    <row r="196">
      <c r="A196" s="55"/>
      <c r="B196" s="41" t="s">
        <v>170</v>
      </c>
      <c r="C196" s="41"/>
      <c r="D196" s="53"/>
      <c r="E196" s="53"/>
      <c r="F196" s="53"/>
      <c r="G196" s="42">
        <f t="shared" si="36"/>
        <v>0</v>
      </c>
      <c r="H196" s="91" t="s">
        <v>35</v>
      </c>
      <c r="I196" s="91" t="s">
        <v>35</v>
      </c>
      <c r="J196" s="42">
        <f t="shared" si="37"/>
        <v>0</v>
      </c>
      <c r="K196" s="42">
        <f t="shared" si="38"/>
        <v>0</v>
      </c>
      <c r="L196" s="42">
        <f t="shared" si="39"/>
        <v>0</v>
      </c>
      <c r="M196" s="42"/>
      <c r="N196" s="44"/>
      <c r="O196" s="24"/>
      <c r="P196" s="24"/>
      <c r="Q196" s="24"/>
      <c r="R196" s="24"/>
    </row>
    <row r="197">
      <c r="A197" s="55">
        <v>1.0</v>
      </c>
      <c r="B197" s="41" t="s">
        <v>171</v>
      </c>
      <c r="C197" s="41"/>
      <c r="D197" s="53"/>
      <c r="E197" s="53"/>
      <c r="F197" s="53"/>
      <c r="G197" s="42">
        <f t="shared" si="36"/>
        <v>0</v>
      </c>
      <c r="H197" s="43" t="s">
        <v>35</v>
      </c>
      <c r="I197" s="43" t="s">
        <v>35</v>
      </c>
      <c r="J197" s="56"/>
      <c r="K197" s="56"/>
      <c r="L197" s="56"/>
      <c r="M197" s="42"/>
      <c r="N197" s="44"/>
      <c r="O197" s="24"/>
      <c r="P197" s="24"/>
      <c r="Q197" s="24"/>
      <c r="R197" s="24"/>
    </row>
    <row r="198">
      <c r="A198" s="55"/>
      <c r="B198" s="41" t="s">
        <v>172</v>
      </c>
      <c r="C198" s="41"/>
      <c r="D198" s="92"/>
      <c r="E198" s="53"/>
      <c r="F198" s="53"/>
      <c r="G198" s="42">
        <f t="shared" si="36"/>
        <v>0</v>
      </c>
      <c r="H198" s="43" t="s">
        <v>35</v>
      </c>
      <c r="I198" s="43" t="s">
        <v>35</v>
      </c>
      <c r="J198" s="56"/>
      <c r="K198" s="56"/>
      <c r="L198" s="56"/>
      <c r="M198" s="42"/>
      <c r="N198" s="44"/>
      <c r="O198" s="24"/>
      <c r="P198" s="24"/>
      <c r="Q198" s="24"/>
      <c r="R198" s="24"/>
    </row>
    <row r="199">
      <c r="A199" s="55" t="s">
        <v>28</v>
      </c>
      <c r="B199" s="41" t="s">
        <v>173</v>
      </c>
      <c r="C199" s="55" t="s">
        <v>63</v>
      </c>
      <c r="D199" s="76">
        <v>2.0</v>
      </c>
      <c r="E199" s="42" t="s">
        <v>37</v>
      </c>
      <c r="F199" s="42" t="s">
        <v>37</v>
      </c>
      <c r="G199" s="42">
        <f t="shared" si="36"/>
        <v>2</v>
      </c>
      <c r="H199" s="43">
        <v>128250.0</v>
      </c>
      <c r="I199" s="43">
        <v>5700.0</v>
      </c>
      <c r="J199" s="56">
        <f>G199*H199</f>
        <v>256500</v>
      </c>
      <c r="K199" s="56">
        <f>G199*I199</f>
        <v>11400</v>
      </c>
      <c r="L199" s="56">
        <f>SUM(J199:K199)</f>
        <v>267900</v>
      </c>
      <c r="M199" s="42"/>
      <c r="N199" s="44">
        <f>G199*(H199+I199)</f>
        <v>267900</v>
      </c>
      <c r="O199" s="24"/>
      <c r="P199" s="24"/>
      <c r="Q199" s="24"/>
      <c r="R199" s="24"/>
    </row>
    <row r="200">
      <c r="A200" s="55"/>
      <c r="B200" s="41"/>
      <c r="C200" s="41"/>
      <c r="D200" s="92"/>
      <c r="E200" s="53"/>
      <c r="F200" s="53"/>
      <c r="G200" s="42">
        <f t="shared" si="36"/>
        <v>0</v>
      </c>
      <c r="H200" s="43" t="s">
        <v>35</v>
      </c>
      <c r="I200" s="43" t="s">
        <v>35</v>
      </c>
      <c r="J200" s="56"/>
      <c r="K200" s="56"/>
      <c r="L200" s="56"/>
      <c r="M200" s="42"/>
      <c r="N200" s="44"/>
      <c r="O200" s="24"/>
      <c r="P200" s="24"/>
      <c r="Q200" s="24"/>
      <c r="R200" s="24"/>
    </row>
    <row r="201">
      <c r="A201" s="55">
        <v>2.0</v>
      </c>
      <c r="B201" s="41" t="s">
        <v>174</v>
      </c>
      <c r="C201" s="41"/>
      <c r="D201" s="92"/>
      <c r="E201" s="53"/>
      <c r="F201" s="53"/>
      <c r="G201" s="42">
        <f t="shared" si="36"/>
        <v>0</v>
      </c>
      <c r="H201" s="43" t="s">
        <v>35</v>
      </c>
      <c r="I201" s="43" t="s">
        <v>35</v>
      </c>
      <c r="J201" s="56"/>
      <c r="K201" s="56"/>
      <c r="L201" s="56"/>
      <c r="M201" s="42"/>
      <c r="N201" s="44"/>
      <c r="O201" s="24"/>
      <c r="P201" s="24"/>
      <c r="Q201" s="24"/>
      <c r="R201" s="24"/>
    </row>
    <row r="202">
      <c r="A202" s="55"/>
      <c r="B202" s="41" t="s">
        <v>175</v>
      </c>
      <c r="C202" s="41"/>
      <c r="D202" s="92"/>
      <c r="E202" s="53"/>
      <c r="F202" s="53"/>
      <c r="G202" s="42">
        <f t="shared" si="36"/>
        <v>0</v>
      </c>
      <c r="H202" s="43" t="s">
        <v>35</v>
      </c>
      <c r="I202" s="43" t="s">
        <v>35</v>
      </c>
      <c r="J202" s="56"/>
      <c r="K202" s="56"/>
      <c r="L202" s="56"/>
      <c r="M202" s="42"/>
      <c r="N202" s="44"/>
      <c r="O202" s="24"/>
      <c r="P202" s="24"/>
      <c r="Q202" s="24"/>
      <c r="R202" s="24"/>
    </row>
    <row r="203">
      <c r="A203" s="55"/>
      <c r="B203" s="41" t="s">
        <v>176</v>
      </c>
      <c r="C203" s="41"/>
      <c r="D203" s="92"/>
      <c r="E203" s="53"/>
      <c r="F203" s="53"/>
      <c r="G203" s="42">
        <f t="shared" si="36"/>
        <v>0</v>
      </c>
      <c r="H203" s="43" t="s">
        <v>35</v>
      </c>
      <c r="I203" s="43" t="s">
        <v>35</v>
      </c>
      <c r="J203" s="56"/>
      <c r="K203" s="56"/>
      <c r="L203" s="56"/>
      <c r="M203" s="42"/>
      <c r="N203" s="44"/>
      <c r="O203" s="24"/>
      <c r="P203" s="24"/>
      <c r="Q203" s="24"/>
      <c r="R203" s="24"/>
    </row>
    <row r="204">
      <c r="A204" s="55" t="s">
        <v>28</v>
      </c>
      <c r="B204" s="41" t="s">
        <v>177</v>
      </c>
      <c r="C204" s="55" t="s">
        <v>63</v>
      </c>
      <c r="D204" s="76">
        <v>2.0</v>
      </c>
      <c r="E204" s="42" t="s">
        <v>37</v>
      </c>
      <c r="F204" s="42" t="s">
        <v>37</v>
      </c>
      <c r="G204" s="42">
        <f t="shared" si="36"/>
        <v>2</v>
      </c>
      <c r="H204" s="43">
        <v>47500.0</v>
      </c>
      <c r="I204" s="43">
        <v>3800.0</v>
      </c>
      <c r="J204" s="56">
        <f>G204*H204</f>
        <v>95000</v>
      </c>
      <c r="K204" s="56">
        <f>G204*I204</f>
        <v>7600</v>
      </c>
      <c r="L204" s="56">
        <f>SUM(J204:K204)</f>
        <v>102600</v>
      </c>
      <c r="M204" s="42"/>
      <c r="N204" s="44">
        <f>G204*(H204+I204)</f>
        <v>102600</v>
      </c>
      <c r="O204" s="24"/>
      <c r="P204" s="24"/>
      <c r="Q204" s="24"/>
      <c r="R204" s="24"/>
    </row>
    <row r="205">
      <c r="A205" s="55"/>
      <c r="B205" s="41"/>
      <c r="C205" s="41"/>
      <c r="D205" s="92"/>
      <c r="E205" s="53"/>
      <c r="F205" s="53"/>
      <c r="G205" s="42">
        <f t="shared" si="36"/>
        <v>0</v>
      </c>
      <c r="H205" s="43" t="s">
        <v>35</v>
      </c>
      <c r="I205" s="43" t="s">
        <v>35</v>
      </c>
      <c r="J205" s="56"/>
      <c r="K205" s="56"/>
      <c r="L205" s="56"/>
      <c r="M205" s="42"/>
      <c r="N205" s="44"/>
      <c r="O205" s="24"/>
      <c r="P205" s="24"/>
      <c r="Q205" s="24"/>
      <c r="R205" s="24"/>
    </row>
    <row r="206">
      <c r="A206" s="55" t="s">
        <v>178</v>
      </c>
      <c r="B206" s="41" t="s">
        <v>179</v>
      </c>
      <c r="C206" s="41"/>
      <c r="D206" s="92"/>
      <c r="E206" s="53"/>
      <c r="F206" s="53"/>
      <c r="G206" s="42">
        <f t="shared" si="36"/>
        <v>0</v>
      </c>
      <c r="H206" s="43" t="s">
        <v>35</v>
      </c>
      <c r="I206" s="43" t="s">
        <v>35</v>
      </c>
      <c r="J206" s="56"/>
      <c r="K206" s="56"/>
      <c r="L206" s="56"/>
      <c r="M206" s="42"/>
      <c r="N206" s="44"/>
      <c r="O206" s="24"/>
      <c r="P206" s="24"/>
      <c r="Q206" s="24"/>
      <c r="R206" s="24"/>
    </row>
    <row r="207">
      <c r="A207" s="55"/>
      <c r="B207" s="41" t="s">
        <v>180</v>
      </c>
      <c r="C207" s="41"/>
      <c r="D207" s="92"/>
      <c r="E207" s="53"/>
      <c r="F207" s="53"/>
      <c r="G207" s="42">
        <f t="shared" si="36"/>
        <v>0</v>
      </c>
      <c r="H207" s="43" t="s">
        <v>35</v>
      </c>
      <c r="I207" s="43" t="s">
        <v>35</v>
      </c>
      <c r="J207" s="56"/>
      <c r="K207" s="56"/>
      <c r="L207" s="56"/>
      <c r="M207" s="42"/>
      <c r="N207" s="44"/>
      <c r="O207" s="24"/>
      <c r="P207" s="24"/>
      <c r="Q207" s="24"/>
      <c r="R207" s="24"/>
    </row>
    <row r="208">
      <c r="A208" s="55">
        <v>1.0</v>
      </c>
      <c r="B208" s="41" t="s">
        <v>181</v>
      </c>
      <c r="C208" s="41"/>
      <c r="D208" s="92"/>
      <c r="E208" s="53"/>
      <c r="F208" s="53"/>
      <c r="G208" s="42">
        <f t="shared" si="36"/>
        <v>0</v>
      </c>
      <c r="H208" s="43" t="s">
        <v>35</v>
      </c>
      <c r="I208" s="43" t="s">
        <v>35</v>
      </c>
      <c r="J208" s="56"/>
      <c r="K208" s="56"/>
      <c r="L208" s="56"/>
      <c r="M208" s="42"/>
      <c r="N208" s="44"/>
      <c r="O208" s="24"/>
      <c r="P208" s="24"/>
      <c r="Q208" s="24"/>
      <c r="R208" s="24"/>
    </row>
    <row r="209">
      <c r="A209" s="55"/>
      <c r="B209" s="41" t="s">
        <v>182</v>
      </c>
      <c r="C209" s="41"/>
      <c r="D209" s="92"/>
      <c r="E209" s="53"/>
      <c r="F209" s="53"/>
      <c r="G209" s="42">
        <f t="shared" si="36"/>
        <v>0</v>
      </c>
      <c r="H209" s="43" t="s">
        <v>35</v>
      </c>
      <c r="I209" s="43" t="s">
        <v>35</v>
      </c>
      <c r="J209" s="56"/>
      <c r="K209" s="56"/>
      <c r="L209" s="56"/>
      <c r="M209" s="42"/>
      <c r="N209" s="44"/>
      <c r="O209" s="24"/>
      <c r="P209" s="24"/>
      <c r="Q209" s="24"/>
      <c r="R209" s="24"/>
    </row>
    <row r="210">
      <c r="A210" s="55" t="s">
        <v>28</v>
      </c>
      <c r="B210" s="41" t="s">
        <v>183</v>
      </c>
      <c r="C210" s="55" t="s">
        <v>75</v>
      </c>
      <c r="D210" s="42" t="s">
        <v>37</v>
      </c>
      <c r="E210" s="42" t="s">
        <v>37</v>
      </c>
      <c r="F210" s="42" t="s">
        <v>37</v>
      </c>
      <c r="G210" s="42">
        <f t="shared" si="36"/>
        <v>0</v>
      </c>
      <c r="H210" s="43" t="s">
        <v>35</v>
      </c>
      <c r="I210" s="43" t="s">
        <v>35</v>
      </c>
      <c r="J210" s="56"/>
      <c r="K210" s="56"/>
      <c r="L210" s="56"/>
      <c r="M210" s="42"/>
      <c r="N210" s="44"/>
      <c r="O210" s="24"/>
      <c r="P210" s="24"/>
      <c r="Q210" s="24"/>
      <c r="R210" s="24"/>
    </row>
    <row r="211">
      <c r="A211" s="55" t="s">
        <v>31</v>
      </c>
      <c r="B211" s="41" t="s">
        <v>184</v>
      </c>
      <c r="C211" s="55" t="s">
        <v>75</v>
      </c>
      <c r="D211" s="42" t="s">
        <v>37</v>
      </c>
      <c r="E211" s="42" t="s">
        <v>37</v>
      </c>
      <c r="F211" s="42" t="s">
        <v>37</v>
      </c>
      <c r="G211" s="42">
        <f t="shared" si="36"/>
        <v>0</v>
      </c>
      <c r="H211" s="43" t="s">
        <v>35</v>
      </c>
      <c r="I211" s="43" t="s">
        <v>35</v>
      </c>
      <c r="J211" s="56"/>
      <c r="K211" s="56"/>
      <c r="L211" s="56"/>
      <c r="M211" s="42"/>
      <c r="N211" s="44"/>
      <c r="O211" s="24"/>
      <c r="P211" s="24"/>
      <c r="Q211" s="24"/>
      <c r="R211" s="24"/>
    </row>
    <row r="212">
      <c r="A212" s="55" t="s">
        <v>33</v>
      </c>
      <c r="B212" s="41" t="s">
        <v>185</v>
      </c>
      <c r="C212" s="55" t="s">
        <v>75</v>
      </c>
      <c r="D212" s="42" t="s">
        <v>37</v>
      </c>
      <c r="E212" s="42" t="s">
        <v>37</v>
      </c>
      <c r="F212" s="42" t="s">
        <v>37</v>
      </c>
      <c r="G212" s="42">
        <f t="shared" si="36"/>
        <v>0</v>
      </c>
      <c r="H212" s="43" t="s">
        <v>35</v>
      </c>
      <c r="I212" s="43" t="s">
        <v>35</v>
      </c>
      <c r="J212" s="56"/>
      <c r="K212" s="56"/>
      <c r="L212" s="56"/>
      <c r="M212" s="42"/>
      <c r="N212" s="44"/>
      <c r="O212" s="24"/>
      <c r="P212" s="24"/>
      <c r="Q212" s="24"/>
      <c r="R212" s="24"/>
    </row>
    <row r="213">
      <c r="A213" s="55" t="s">
        <v>43</v>
      </c>
      <c r="B213" s="41" t="s">
        <v>186</v>
      </c>
      <c r="C213" s="55" t="s">
        <v>75</v>
      </c>
      <c r="D213" s="42" t="s">
        <v>37</v>
      </c>
      <c r="E213" s="42" t="s">
        <v>37</v>
      </c>
      <c r="F213" s="42" t="s">
        <v>37</v>
      </c>
      <c r="G213" s="42">
        <f t="shared" si="36"/>
        <v>0</v>
      </c>
      <c r="H213" s="43" t="s">
        <v>35</v>
      </c>
      <c r="I213" s="43" t="s">
        <v>35</v>
      </c>
      <c r="J213" s="56"/>
      <c r="K213" s="56"/>
      <c r="L213" s="56"/>
      <c r="M213" s="42"/>
      <c r="N213" s="44"/>
      <c r="O213" s="24"/>
      <c r="P213" s="24"/>
      <c r="Q213" s="24"/>
      <c r="R213" s="24"/>
    </row>
    <row r="214">
      <c r="A214" s="55" t="s">
        <v>80</v>
      </c>
      <c r="B214" s="41" t="s">
        <v>187</v>
      </c>
      <c r="C214" s="55" t="s">
        <v>75</v>
      </c>
      <c r="D214" s="42" t="s">
        <v>37</v>
      </c>
      <c r="E214" s="42" t="s">
        <v>37</v>
      </c>
      <c r="F214" s="42" t="s">
        <v>37</v>
      </c>
      <c r="G214" s="42">
        <f t="shared" si="36"/>
        <v>0</v>
      </c>
      <c r="H214" s="43" t="s">
        <v>35</v>
      </c>
      <c r="I214" s="43" t="s">
        <v>35</v>
      </c>
      <c r="J214" s="56"/>
      <c r="K214" s="56"/>
      <c r="L214" s="56"/>
      <c r="M214" s="42"/>
      <c r="N214" s="44"/>
      <c r="O214" s="24"/>
      <c r="P214" s="24"/>
      <c r="Q214" s="24"/>
      <c r="R214" s="24"/>
    </row>
    <row r="215">
      <c r="A215" s="55" t="s">
        <v>132</v>
      </c>
      <c r="B215" s="41" t="s">
        <v>188</v>
      </c>
      <c r="C215" s="55" t="s">
        <v>75</v>
      </c>
      <c r="D215" s="42" t="s">
        <v>37</v>
      </c>
      <c r="E215" s="42" t="s">
        <v>37</v>
      </c>
      <c r="F215" s="42" t="s">
        <v>37</v>
      </c>
      <c r="G215" s="42">
        <f t="shared" si="36"/>
        <v>0</v>
      </c>
      <c r="H215" s="43" t="s">
        <v>35</v>
      </c>
      <c r="I215" s="43" t="s">
        <v>35</v>
      </c>
      <c r="J215" s="56"/>
      <c r="K215" s="56"/>
      <c r="L215" s="56"/>
      <c r="M215" s="42"/>
      <c r="N215" s="44"/>
      <c r="O215" s="24"/>
      <c r="P215" s="24"/>
      <c r="Q215" s="24"/>
      <c r="R215" s="24"/>
    </row>
    <row r="216">
      <c r="A216" s="55" t="s">
        <v>134</v>
      </c>
      <c r="B216" s="41" t="s">
        <v>189</v>
      </c>
      <c r="C216" s="55" t="s">
        <v>75</v>
      </c>
      <c r="D216" s="42" t="s">
        <v>37</v>
      </c>
      <c r="E216" s="42" t="s">
        <v>37</v>
      </c>
      <c r="F216" s="42" t="s">
        <v>37</v>
      </c>
      <c r="G216" s="42">
        <f t="shared" si="36"/>
        <v>0</v>
      </c>
      <c r="H216" s="43" t="s">
        <v>35</v>
      </c>
      <c r="I216" s="43" t="s">
        <v>35</v>
      </c>
      <c r="J216" s="56"/>
      <c r="K216" s="56"/>
      <c r="L216" s="56"/>
      <c r="M216" s="42"/>
      <c r="N216" s="44"/>
      <c r="O216" s="24"/>
      <c r="P216" s="24"/>
      <c r="Q216" s="24"/>
      <c r="R216" s="24"/>
    </row>
    <row r="217">
      <c r="A217" s="55" t="s">
        <v>136</v>
      </c>
      <c r="B217" s="41" t="s">
        <v>190</v>
      </c>
      <c r="C217" s="55" t="s">
        <v>75</v>
      </c>
      <c r="D217" s="42" t="s">
        <v>37</v>
      </c>
      <c r="E217" s="42" t="s">
        <v>37</v>
      </c>
      <c r="F217" s="42" t="s">
        <v>37</v>
      </c>
      <c r="G217" s="42">
        <f t="shared" si="36"/>
        <v>0</v>
      </c>
      <c r="H217" s="43" t="s">
        <v>35</v>
      </c>
      <c r="I217" s="43" t="s">
        <v>35</v>
      </c>
      <c r="J217" s="56"/>
      <c r="K217" s="56"/>
      <c r="L217" s="56"/>
      <c r="M217" s="42"/>
      <c r="N217" s="44"/>
      <c r="O217" s="24"/>
      <c r="P217" s="24"/>
      <c r="Q217" s="24"/>
      <c r="R217" s="24"/>
    </row>
    <row r="218">
      <c r="A218" s="55" t="s">
        <v>191</v>
      </c>
      <c r="B218" s="41" t="s">
        <v>192</v>
      </c>
      <c r="C218" s="55" t="s">
        <v>75</v>
      </c>
      <c r="D218" s="93">
        <v>160.0</v>
      </c>
      <c r="E218" s="42">
        <v>0.0</v>
      </c>
      <c r="F218" s="42">
        <v>0.0</v>
      </c>
      <c r="G218" s="42">
        <f t="shared" si="36"/>
        <v>160</v>
      </c>
      <c r="H218" s="43">
        <v>930.0</v>
      </c>
      <c r="I218" s="43">
        <v>190.0</v>
      </c>
      <c r="J218" s="56">
        <f>G218*H218</f>
        <v>148800</v>
      </c>
      <c r="K218" s="56">
        <f>G218*I218</f>
        <v>30400</v>
      </c>
      <c r="L218" s="56">
        <f>SUM(J218:K218)</f>
        <v>179200</v>
      </c>
      <c r="M218" s="42"/>
      <c r="N218" s="44">
        <f>G218*(H218+I218)</f>
        <v>179200</v>
      </c>
      <c r="O218" s="24"/>
      <c r="P218" s="24"/>
      <c r="Q218" s="24"/>
      <c r="R218" s="24"/>
    </row>
    <row r="219">
      <c r="A219" s="55" t="s">
        <v>193</v>
      </c>
      <c r="B219" s="41" t="s">
        <v>194</v>
      </c>
      <c r="C219" s="55" t="s">
        <v>75</v>
      </c>
      <c r="D219" s="42" t="s">
        <v>37</v>
      </c>
      <c r="E219" s="42" t="s">
        <v>37</v>
      </c>
      <c r="F219" s="42" t="s">
        <v>37</v>
      </c>
      <c r="G219" s="42">
        <f t="shared" si="36"/>
        <v>0</v>
      </c>
      <c r="H219" s="43" t="s">
        <v>35</v>
      </c>
      <c r="I219" s="43" t="s">
        <v>35</v>
      </c>
      <c r="J219" s="56"/>
      <c r="K219" s="56"/>
      <c r="L219" s="56"/>
      <c r="M219" s="42"/>
      <c r="N219" s="44"/>
      <c r="O219" s="24"/>
      <c r="P219" s="24"/>
      <c r="Q219" s="24"/>
      <c r="R219" s="24"/>
    </row>
    <row r="220">
      <c r="A220" s="55" t="s">
        <v>195</v>
      </c>
      <c r="B220" s="41" t="s">
        <v>196</v>
      </c>
      <c r="C220" s="55" t="s">
        <v>75</v>
      </c>
      <c r="D220" s="93">
        <v>160.0</v>
      </c>
      <c r="E220" s="42">
        <v>0.0</v>
      </c>
      <c r="F220" s="42">
        <v>0.0</v>
      </c>
      <c r="G220" s="42">
        <f t="shared" si="36"/>
        <v>160</v>
      </c>
      <c r="H220" s="43">
        <v>700.0</v>
      </c>
      <c r="I220" s="43">
        <v>210.0</v>
      </c>
      <c r="J220" s="56">
        <f>G220*H220</f>
        <v>112000</v>
      </c>
      <c r="K220" s="56">
        <f>G220*I220</f>
        <v>33600</v>
      </c>
      <c r="L220" s="56">
        <f>SUM(J220:K220)</f>
        <v>145600</v>
      </c>
      <c r="M220" s="42"/>
      <c r="N220" s="44">
        <f>G220*(H220+I220)</f>
        <v>145600</v>
      </c>
      <c r="O220" s="24"/>
      <c r="P220" s="24"/>
      <c r="Q220" s="24"/>
      <c r="R220" s="24"/>
    </row>
    <row r="221">
      <c r="A221" s="55" t="s">
        <v>197</v>
      </c>
      <c r="B221" s="41" t="s">
        <v>198</v>
      </c>
      <c r="C221" s="55" t="s">
        <v>75</v>
      </c>
      <c r="D221" s="42" t="s">
        <v>37</v>
      </c>
      <c r="E221" s="42" t="s">
        <v>37</v>
      </c>
      <c r="F221" s="42" t="s">
        <v>37</v>
      </c>
      <c r="G221" s="42">
        <f t="shared" si="36"/>
        <v>0</v>
      </c>
      <c r="H221" s="43" t="s">
        <v>35</v>
      </c>
      <c r="I221" s="43" t="s">
        <v>35</v>
      </c>
      <c r="J221" s="56"/>
      <c r="K221" s="56"/>
      <c r="L221" s="56"/>
      <c r="M221" s="42"/>
      <c r="N221" s="44"/>
      <c r="O221" s="24"/>
      <c r="P221" s="24"/>
      <c r="Q221" s="24"/>
      <c r="R221" s="24"/>
    </row>
    <row r="222">
      <c r="A222" s="77"/>
      <c r="B222" s="41"/>
      <c r="C222" s="45"/>
      <c r="D222" s="94"/>
      <c r="E222" s="54"/>
      <c r="F222" s="54"/>
      <c r="G222" s="42">
        <f t="shared" si="36"/>
        <v>0</v>
      </c>
      <c r="H222" s="43" t="s">
        <v>35</v>
      </c>
      <c r="I222" s="43" t="s">
        <v>35</v>
      </c>
      <c r="J222" s="56"/>
      <c r="K222" s="56"/>
      <c r="L222" s="56"/>
      <c r="M222" s="42"/>
      <c r="N222" s="44"/>
      <c r="O222" s="24"/>
      <c r="P222" s="24"/>
      <c r="Q222" s="24"/>
      <c r="R222" s="24"/>
    </row>
    <row r="223">
      <c r="A223" s="55">
        <v>2.0</v>
      </c>
      <c r="B223" s="41" t="s">
        <v>199</v>
      </c>
      <c r="C223" s="45"/>
      <c r="D223" s="75"/>
      <c r="E223" s="54"/>
      <c r="F223" s="54"/>
      <c r="G223" s="42">
        <f t="shared" si="36"/>
        <v>0</v>
      </c>
      <c r="H223" s="43" t="s">
        <v>35</v>
      </c>
      <c r="I223" s="43" t="s">
        <v>35</v>
      </c>
      <c r="J223" s="56"/>
      <c r="K223" s="56"/>
      <c r="L223" s="56"/>
      <c r="M223" s="42"/>
      <c r="N223" s="44"/>
      <c r="O223" s="24"/>
      <c r="P223" s="24"/>
      <c r="Q223" s="24"/>
      <c r="R223" s="24"/>
    </row>
    <row r="224">
      <c r="A224" s="55" t="s">
        <v>28</v>
      </c>
      <c r="B224" s="41" t="s">
        <v>200</v>
      </c>
      <c r="C224" s="45"/>
      <c r="D224" s="75"/>
      <c r="E224" s="54"/>
      <c r="F224" s="54"/>
      <c r="G224" s="42">
        <f t="shared" si="36"/>
        <v>0</v>
      </c>
      <c r="H224" s="43" t="s">
        <v>35</v>
      </c>
      <c r="I224" s="43" t="s">
        <v>35</v>
      </c>
      <c r="J224" s="56"/>
      <c r="K224" s="56"/>
      <c r="L224" s="56"/>
      <c r="M224" s="42"/>
      <c r="N224" s="44"/>
      <c r="O224" s="24"/>
      <c r="P224" s="24"/>
      <c r="Q224" s="24"/>
      <c r="R224" s="24"/>
    </row>
    <row r="225">
      <c r="A225" s="77"/>
      <c r="B225" s="41" t="s">
        <v>201</v>
      </c>
      <c r="C225" s="55" t="s">
        <v>75</v>
      </c>
      <c r="D225" s="76">
        <v>160.0</v>
      </c>
      <c r="E225" s="42">
        <v>0.0</v>
      </c>
      <c r="F225" s="42">
        <v>0.0</v>
      </c>
      <c r="G225" s="42">
        <f t="shared" si="36"/>
        <v>160</v>
      </c>
      <c r="H225" s="43">
        <v>108.0</v>
      </c>
      <c r="I225" s="43">
        <v>25.0</v>
      </c>
      <c r="J225" s="56">
        <f>G225*H225</f>
        <v>17280</v>
      </c>
      <c r="K225" s="56">
        <f>G225*I225</f>
        <v>4000</v>
      </c>
      <c r="L225" s="56">
        <f>SUM(J225:K225)</f>
        <v>21280</v>
      </c>
      <c r="M225" s="42"/>
      <c r="N225" s="44">
        <f>G225*(H225+I225)</f>
        <v>21280</v>
      </c>
      <c r="O225" s="24"/>
      <c r="P225" s="24"/>
      <c r="Q225" s="24"/>
      <c r="R225" s="24"/>
    </row>
    <row r="226">
      <c r="A226" s="55" t="s">
        <v>31</v>
      </c>
      <c r="B226" s="41" t="s">
        <v>202</v>
      </c>
      <c r="C226" s="55" t="s">
        <v>75</v>
      </c>
      <c r="D226" s="76" t="s">
        <v>37</v>
      </c>
      <c r="E226" s="42" t="s">
        <v>37</v>
      </c>
      <c r="F226" s="42" t="s">
        <v>37</v>
      </c>
      <c r="G226" s="42">
        <f t="shared" si="36"/>
        <v>0</v>
      </c>
      <c r="H226" s="43" t="s">
        <v>35</v>
      </c>
      <c r="I226" s="43" t="s">
        <v>35</v>
      </c>
      <c r="J226" s="56"/>
      <c r="K226" s="56"/>
      <c r="L226" s="56"/>
      <c r="M226" s="42"/>
      <c r="N226" s="44"/>
      <c r="O226" s="24"/>
      <c r="P226" s="24"/>
      <c r="Q226" s="24"/>
      <c r="R226" s="24"/>
    </row>
    <row r="227">
      <c r="A227" s="77"/>
      <c r="B227" s="41" t="s">
        <v>203</v>
      </c>
      <c r="C227" s="55" t="s">
        <v>75</v>
      </c>
      <c r="D227" s="76" t="s">
        <v>37</v>
      </c>
      <c r="E227" s="42" t="s">
        <v>37</v>
      </c>
      <c r="F227" s="42" t="s">
        <v>37</v>
      </c>
      <c r="G227" s="42">
        <f t="shared" si="36"/>
        <v>0</v>
      </c>
      <c r="H227" s="43" t="s">
        <v>35</v>
      </c>
      <c r="I227" s="43" t="s">
        <v>35</v>
      </c>
      <c r="J227" s="56"/>
      <c r="K227" s="56"/>
      <c r="L227" s="56"/>
      <c r="M227" s="42"/>
      <c r="N227" s="44"/>
      <c r="O227" s="24"/>
      <c r="P227" s="24"/>
      <c r="Q227" s="24"/>
      <c r="R227" s="24"/>
    </row>
    <row r="228">
      <c r="A228" s="77"/>
      <c r="B228" s="41"/>
      <c r="C228" s="45"/>
      <c r="D228" s="75"/>
      <c r="E228" s="54"/>
      <c r="F228" s="54"/>
      <c r="G228" s="42">
        <f t="shared" si="36"/>
        <v>0</v>
      </c>
      <c r="H228" s="43" t="s">
        <v>35</v>
      </c>
      <c r="I228" s="43" t="s">
        <v>35</v>
      </c>
      <c r="J228" s="56"/>
      <c r="K228" s="56"/>
      <c r="L228" s="56"/>
      <c r="M228" s="42"/>
      <c r="N228" s="44"/>
      <c r="O228" s="24"/>
      <c r="P228" s="24"/>
      <c r="Q228" s="24"/>
      <c r="R228" s="24"/>
    </row>
    <row r="229">
      <c r="A229" s="55">
        <v>3.0</v>
      </c>
      <c r="B229" s="41" t="s">
        <v>204</v>
      </c>
      <c r="C229" s="55" t="s">
        <v>205</v>
      </c>
      <c r="D229" s="95">
        <v>8.0</v>
      </c>
      <c r="E229" s="42" t="s">
        <v>37</v>
      </c>
      <c r="F229" s="42" t="s">
        <v>37</v>
      </c>
      <c r="G229" s="42">
        <f t="shared" si="36"/>
        <v>8</v>
      </c>
      <c r="H229" s="43">
        <v>950.0</v>
      </c>
      <c r="I229" s="43">
        <v>333.0</v>
      </c>
      <c r="J229" s="56">
        <f>G229*H229</f>
        <v>7600</v>
      </c>
      <c r="K229" s="56">
        <f>G229*I229</f>
        <v>2664</v>
      </c>
      <c r="L229" s="56">
        <f>SUM(J229:K229)</f>
        <v>10264</v>
      </c>
      <c r="M229" s="42"/>
      <c r="N229" s="44">
        <f>G229*(H229+I229)</f>
        <v>10264</v>
      </c>
      <c r="O229" s="24"/>
      <c r="P229" s="24"/>
      <c r="Q229" s="24"/>
      <c r="R229" s="24"/>
    </row>
    <row r="230">
      <c r="A230" s="77"/>
      <c r="B230" s="41"/>
      <c r="C230" s="75"/>
      <c r="D230" s="75"/>
      <c r="E230" s="54"/>
      <c r="F230" s="54"/>
      <c r="G230" s="42">
        <f t="shared" si="36"/>
        <v>0</v>
      </c>
      <c r="H230" s="43" t="s">
        <v>35</v>
      </c>
      <c r="I230" s="43" t="s">
        <v>35</v>
      </c>
      <c r="J230" s="56"/>
      <c r="K230" s="56"/>
      <c r="L230" s="56"/>
      <c r="M230" s="42"/>
      <c r="N230" s="44"/>
      <c r="O230" s="24"/>
      <c r="P230" s="24"/>
      <c r="Q230" s="24"/>
      <c r="R230" s="24"/>
    </row>
    <row r="231">
      <c r="A231" s="55">
        <v>4.0</v>
      </c>
      <c r="B231" s="41" t="s">
        <v>206</v>
      </c>
      <c r="C231" s="76" t="s">
        <v>207</v>
      </c>
      <c r="D231" s="93">
        <v>1.0</v>
      </c>
      <c r="E231" s="42" t="s">
        <v>37</v>
      </c>
      <c r="F231" s="42" t="s">
        <v>37</v>
      </c>
      <c r="G231" s="42">
        <f t="shared" si="36"/>
        <v>1</v>
      </c>
      <c r="H231" s="43">
        <v>19000.0</v>
      </c>
      <c r="I231" s="43">
        <v>2375.0</v>
      </c>
      <c r="J231" s="56">
        <f>G231*H231</f>
        <v>19000</v>
      </c>
      <c r="K231" s="56">
        <f>G231*I231</f>
        <v>2375</v>
      </c>
      <c r="L231" s="56">
        <f>SUM(J231:K231)</f>
        <v>21375</v>
      </c>
      <c r="M231" s="42"/>
      <c r="N231" s="44">
        <f>G231*(H231+I231)</f>
        <v>21375</v>
      </c>
      <c r="O231" s="24"/>
      <c r="P231" s="24"/>
      <c r="Q231" s="24"/>
      <c r="R231" s="24"/>
    </row>
    <row r="232">
      <c r="A232" s="77"/>
      <c r="B232" s="41" t="s">
        <v>208</v>
      </c>
      <c r="C232" s="75"/>
      <c r="D232" s="94"/>
      <c r="E232" s="54"/>
      <c r="F232" s="54"/>
      <c r="G232" s="42">
        <f t="shared" si="36"/>
        <v>0</v>
      </c>
      <c r="H232" s="43" t="s">
        <v>35</v>
      </c>
      <c r="I232" s="43" t="s">
        <v>35</v>
      </c>
      <c r="J232" s="56"/>
      <c r="K232" s="56"/>
      <c r="L232" s="56"/>
      <c r="M232" s="42"/>
      <c r="N232" s="44"/>
      <c r="O232" s="24"/>
      <c r="P232" s="24"/>
      <c r="Q232" s="24"/>
      <c r="R232" s="24"/>
    </row>
    <row r="233">
      <c r="A233" s="77"/>
      <c r="B233" s="41" t="s">
        <v>209</v>
      </c>
      <c r="C233" s="75"/>
      <c r="D233" s="94"/>
      <c r="E233" s="54"/>
      <c r="F233" s="54"/>
      <c r="G233" s="42">
        <f t="shared" si="36"/>
        <v>0</v>
      </c>
      <c r="H233" s="43" t="s">
        <v>35</v>
      </c>
      <c r="I233" s="43" t="s">
        <v>35</v>
      </c>
      <c r="J233" s="56"/>
      <c r="K233" s="56"/>
      <c r="L233" s="56"/>
      <c r="M233" s="42"/>
      <c r="N233" s="44"/>
      <c r="O233" s="24"/>
      <c r="P233" s="24"/>
      <c r="Q233" s="24"/>
      <c r="R233" s="24"/>
    </row>
    <row r="234">
      <c r="A234" s="77"/>
      <c r="B234" s="92"/>
      <c r="C234" s="75"/>
      <c r="D234" s="75"/>
      <c r="E234" s="54"/>
      <c r="F234" s="54"/>
      <c r="G234" s="42">
        <f t="shared" si="36"/>
        <v>0</v>
      </c>
      <c r="H234" s="43" t="s">
        <v>35</v>
      </c>
      <c r="I234" s="43" t="s">
        <v>35</v>
      </c>
      <c r="J234" s="56"/>
      <c r="K234" s="56"/>
      <c r="L234" s="56"/>
      <c r="M234" s="42"/>
      <c r="N234" s="44"/>
      <c r="O234" s="24"/>
      <c r="P234" s="24"/>
      <c r="Q234" s="24"/>
      <c r="R234" s="24"/>
    </row>
    <row r="235">
      <c r="A235" s="55">
        <v>6.0</v>
      </c>
      <c r="B235" s="92" t="s">
        <v>210</v>
      </c>
      <c r="C235" s="80"/>
      <c r="D235" s="54"/>
      <c r="E235" s="54"/>
      <c r="F235" s="54"/>
      <c r="G235" s="42">
        <f t="shared" si="36"/>
        <v>0</v>
      </c>
      <c r="H235" s="43" t="s">
        <v>35</v>
      </c>
      <c r="I235" s="43" t="s">
        <v>35</v>
      </c>
      <c r="J235" s="56"/>
      <c r="K235" s="56"/>
      <c r="L235" s="56"/>
      <c r="M235" s="42"/>
      <c r="N235" s="44"/>
      <c r="O235" s="24"/>
      <c r="P235" s="24"/>
      <c r="Q235" s="24"/>
      <c r="R235" s="24"/>
    </row>
    <row r="236">
      <c r="A236" s="55" t="s">
        <v>28</v>
      </c>
      <c r="B236" s="92" t="s">
        <v>211</v>
      </c>
      <c r="C236" s="76" t="s">
        <v>75</v>
      </c>
      <c r="D236" s="42" t="s">
        <v>37</v>
      </c>
      <c r="E236" s="42" t="s">
        <v>37</v>
      </c>
      <c r="F236" s="42" t="s">
        <v>37</v>
      </c>
      <c r="G236" s="42">
        <f t="shared" si="36"/>
        <v>0</v>
      </c>
      <c r="H236" s="43" t="s">
        <v>35</v>
      </c>
      <c r="I236" s="43" t="s">
        <v>35</v>
      </c>
      <c r="J236" s="56"/>
      <c r="K236" s="56"/>
      <c r="L236" s="56"/>
      <c r="M236" s="42"/>
      <c r="N236" s="44"/>
      <c r="O236" s="24"/>
      <c r="P236" s="24"/>
      <c r="Q236" s="24"/>
      <c r="R236" s="24"/>
    </row>
    <row r="237">
      <c r="A237" s="76" t="s">
        <v>31</v>
      </c>
      <c r="B237" s="92" t="s">
        <v>212</v>
      </c>
      <c r="C237" s="76" t="s">
        <v>75</v>
      </c>
      <c r="D237" s="42" t="s">
        <v>37</v>
      </c>
      <c r="E237" s="42" t="s">
        <v>37</v>
      </c>
      <c r="F237" s="42" t="s">
        <v>37</v>
      </c>
      <c r="G237" s="42">
        <f t="shared" si="36"/>
        <v>0</v>
      </c>
      <c r="H237" s="43" t="s">
        <v>35</v>
      </c>
      <c r="I237" s="43" t="s">
        <v>35</v>
      </c>
      <c r="J237" s="56"/>
      <c r="K237" s="56"/>
      <c r="L237" s="56"/>
      <c r="M237" s="42"/>
      <c r="N237" s="44"/>
      <c r="O237" s="24"/>
      <c r="P237" s="24"/>
      <c r="Q237" s="24"/>
      <c r="R237" s="24"/>
    </row>
    <row r="238">
      <c r="A238" s="55" t="s">
        <v>33</v>
      </c>
      <c r="B238" s="41" t="s">
        <v>213</v>
      </c>
      <c r="C238" s="76" t="s">
        <v>75</v>
      </c>
      <c r="D238" s="96">
        <v>10.0</v>
      </c>
      <c r="E238" s="42" t="s">
        <v>37</v>
      </c>
      <c r="F238" s="42" t="s">
        <v>37</v>
      </c>
      <c r="G238" s="42">
        <f t="shared" si="36"/>
        <v>10</v>
      </c>
      <c r="H238" s="43">
        <v>447.0</v>
      </c>
      <c r="I238" s="43">
        <v>100.0</v>
      </c>
      <c r="J238" s="56">
        <f>G238*H238</f>
        <v>4470</v>
      </c>
      <c r="K238" s="56">
        <f>G238*I238</f>
        <v>1000</v>
      </c>
      <c r="L238" s="56">
        <f>SUM(J238:K238)</f>
        <v>5470</v>
      </c>
      <c r="M238" s="42"/>
      <c r="N238" s="44">
        <f>G238*(H238+I238)</f>
        <v>5470</v>
      </c>
      <c r="O238" s="24"/>
      <c r="P238" s="24"/>
      <c r="Q238" s="24"/>
      <c r="R238" s="24"/>
    </row>
    <row r="239">
      <c r="A239" s="76" t="s">
        <v>43</v>
      </c>
      <c r="B239" s="92" t="s">
        <v>214</v>
      </c>
      <c r="C239" s="76" t="s">
        <v>75</v>
      </c>
      <c r="D239" s="42" t="s">
        <v>37</v>
      </c>
      <c r="E239" s="42" t="s">
        <v>37</v>
      </c>
      <c r="F239" s="42" t="s">
        <v>37</v>
      </c>
      <c r="G239" s="42">
        <f t="shared" si="36"/>
        <v>0</v>
      </c>
      <c r="H239" s="43" t="s">
        <v>35</v>
      </c>
      <c r="I239" s="43" t="s">
        <v>35</v>
      </c>
      <c r="J239" s="56"/>
      <c r="K239" s="56"/>
      <c r="L239" s="56"/>
      <c r="M239" s="42"/>
      <c r="N239" s="44"/>
      <c r="O239" s="24"/>
      <c r="P239" s="24"/>
      <c r="Q239" s="24"/>
      <c r="R239" s="24"/>
    </row>
    <row r="240">
      <c r="A240" s="42" t="s">
        <v>80</v>
      </c>
      <c r="B240" s="39" t="s">
        <v>215</v>
      </c>
      <c r="C240" s="42" t="s">
        <v>75</v>
      </c>
      <c r="D240" s="96">
        <v>65.0</v>
      </c>
      <c r="E240" s="42">
        <v>0.0</v>
      </c>
      <c r="F240" s="42">
        <v>0.0</v>
      </c>
      <c r="G240" s="42">
        <f t="shared" si="36"/>
        <v>65</v>
      </c>
      <c r="H240" s="43">
        <v>900.0</v>
      </c>
      <c r="I240" s="43">
        <v>90.0</v>
      </c>
      <c r="J240" s="56">
        <f t="shared" ref="J240:J241" si="40">G240*H240</f>
        <v>58500</v>
      </c>
      <c r="K240" s="56">
        <f t="shared" ref="K240:K241" si="41">G240*I240</f>
        <v>5850</v>
      </c>
      <c r="L240" s="56">
        <f t="shared" ref="L240:L241" si="42">SUM(J240:K240)</f>
        <v>64350</v>
      </c>
      <c r="M240" s="42"/>
      <c r="N240" s="44">
        <f t="shared" ref="N240:N241" si="43">G240*(H240+I240)</f>
        <v>64350</v>
      </c>
      <c r="O240" s="24"/>
      <c r="P240" s="24"/>
      <c r="Q240" s="24"/>
      <c r="R240" s="24"/>
    </row>
    <row r="241">
      <c r="A241" s="42" t="s">
        <v>132</v>
      </c>
      <c r="B241" s="39" t="s">
        <v>216</v>
      </c>
      <c r="C241" s="42" t="s">
        <v>75</v>
      </c>
      <c r="D241" s="96">
        <v>20.0</v>
      </c>
      <c r="E241" s="42">
        <v>0.0</v>
      </c>
      <c r="F241" s="42">
        <v>0.0</v>
      </c>
      <c r="G241" s="42">
        <f t="shared" si="36"/>
        <v>20</v>
      </c>
      <c r="H241" s="43">
        <v>50.0</v>
      </c>
      <c r="I241" s="43">
        <v>90.0</v>
      </c>
      <c r="J241" s="56">
        <f t="shared" si="40"/>
        <v>1000</v>
      </c>
      <c r="K241" s="56">
        <f t="shared" si="41"/>
        <v>1800</v>
      </c>
      <c r="L241" s="56">
        <f t="shared" si="42"/>
        <v>2800</v>
      </c>
      <c r="M241" s="42"/>
      <c r="N241" s="44">
        <f t="shared" si="43"/>
        <v>2800</v>
      </c>
      <c r="O241" s="24"/>
      <c r="P241" s="24"/>
      <c r="Q241" s="24"/>
      <c r="R241" s="24"/>
    </row>
    <row r="242">
      <c r="A242" s="77"/>
      <c r="B242" s="41"/>
      <c r="C242" s="80"/>
      <c r="D242" s="54"/>
      <c r="E242" s="54"/>
      <c r="F242" s="54"/>
      <c r="G242" s="42">
        <f t="shared" si="36"/>
        <v>0</v>
      </c>
      <c r="H242" s="43" t="s">
        <v>35</v>
      </c>
      <c r="I242" s="43" t="s">
        <v>35</v>
      </c>
      <c r="J242" s="56"/>
      <c r="K242" s="56"/>
      <c r="L242" s="56"/>
      <c r="M242" s="42"/>
      <c r="N242" s="44"/>
      <c r="O242" s="24"/>
      <c r="P242" s="24"/>
      <c r="Q242" s="24"/>
      <c r="R242" s="24"/>
    </row>
    <row r="243">
      <c r="A243" s="97">
        <v>7.0</v>
      </c>
      <c r="B243" s="41" t="s">
        <v>217</v>
      </c>
      <c r="C243" s="80"/>
      <c r="D243" s="54"/>
      <c r="E243" s="54"/>
      <c r="F243" s="54"/>
      <c r="G243" s="42">
        <f t="shared" si="36"/>
        <v>0</v>
      </c>
      <c r="H243" s="43" t="s">
        <v>35</v>
      </c>
      <c r="I243" s="43" t="s">
        <v>35</v>
      </c>
      <c r="J243" s="56"/>
      <c r="K243" s="56"/>
      <c r="L243" s="56"/>
      <c r="M243" s="42"/>
      <c r="N243" s="44"/>
      <c r="O243" s="24"/>
      <c r="P243" s="24"/>
      <c r="Q243" s="24"/>
      <c r="R243" s="24"/>
    </row>
    <row r="244">
      <c r="A244" s="55" t="s">
        <v>28</v>
      </c>
      <c r="B244" s="41" t="s">
        <v>218</v>
      </c>
      <c r="C244" s="55" t="s">
        <v>75</v>
      </c>
      <c r="D244" s="42" t="s">
        <v>37</v>
      </c>
      <c r="E244" s="42" t="s">
        <v>37</v>
      </c>
      <c r="F244" s="42" t="s">
        <v>37</v>
      </c>
      <c r="G244" s="42">
        <f t="shared" si="36"/>
        <v>0</v>
      </c>
      <c r="H244" s="43" t="s">
        <v>35</v>
      </c>
      <c r="I244" s="43" t="s">
        <v>35</v>
      </c>
      <c r="J244" s="56"/>
      <c r="K244" s="56"/>
      <c r="L244" s="56"/>
      <c r="M244" s="42"/>
      <c r="N244" s="44"/>
      <c r="O244" s="24"/>
      <c r="P244" s="24"/>
      <c r="Q244" s="24"/>
      <c r="R244" s="24"/>
    </row>
    <row r="245">
      <c r="A245" s="55" t="s">
        <v>31</v>
      </c>
      <c r="B245" s="41" t="s">
        <v>219</v>
      </c>
      <c r="C245" s="55" t="s">
        <v>75</v>
      </c>
      <c r="D245" s="96">
        <v>25.0</v>
      </c>
      <c r="E245" s="42" t="s">
        <v>37</v>
      </c>
      <c r="F245" s="42" t="s">
        <v>37</v>
      </c>
      <c r="G245" s="42">
        <f t="shared" si="36"/>
        <v>25</v>
      </c>
      <c r="H245" s="43">
        <v>190.0</v>
      </c>
      <c r="I245" s="43">
        <v>48.0</v>
      </c>
      <c r="J245" s="56">
        <f>G245*H245</f>
        <v>4750</v>
      </c>
      <c r="K245" s="56">
        <f>G245*I245</f>
        <v>1200</v>
      </c>
      <c r="L245" s="56">
        <f>SUM(J245:K245)</f>
        <v>5950</v>
      </c>
      <c r="M245" s="42"/>
      <c r="N245" s="44">
        <f>G245*(H245+I245)</f>
        <v>5950</v>
      </c>
      <c r="O245" s="24"/>
      <c r="P245" s="24"/>
      <c r="Q245" s="24"/>
      <c r="R245" s="24"/>
    </row>
    <row r="246">
      <c r="A246" s="55" t="s">
        <v>33</v>
      </c>
      <c r="B246" s="41" t="s">
        <v>220</v>
      </c>
      <c r="C246" s="55" t="s">
        <v>75</v>
      </c>
      <c r="D246" s="42" t="s">
        <v>37</v>
      </c>
      <c r="E246" s="42" t="s">
        <v>37</v>
      </c>
      <c r="F246" s="42" t="s">
        <v>37</v>
      </c>
      <c r="G246" s="42">
        <f t="shared" si="36"/>
        <v>0</v>
      </c>
      <c r="H246" s="43" t="s">
        <v>35</v>
      </c>
      <c r="I246" s="43" t="s">
        <v>35</v>
      </c>
      <c r="J246" s="56"/>
      <c r="K246" s="56"/>
      <c r="L246" s="56"/>
      <c r="M246" s="42"/>
      <c r="N246" s="44"/>
      <c r="O246" s="24"/>
      <c r="P246" s="24"/>
      <c r="Q246" s="24"/>
      <c r="R246" s="24"/>
    </row>
    <row r="247">
      <c r="A247" s="55" t="s">
        <v>43</v>
      </c>
      <c r="B247" s="41" t="s">
        <v>221</v>
      </c>
      <c r="C247" s="55" t="s">
        <v>75</v>
      </c>
      <c r="D247" s="42" t="s">
        <v>37</v>
      </c>
      <c r="E247" s="42" t="s">
        <v>37</v>
      </c>
      <c r="F247" s="42" t="s">
        <v>37</v>
      </c>
      <c r="G247" s="42">
        <f t="shared" si="36"/>
        <v>0</v>
      </c>
      <c r="H247" s="43" t="s">
        <v>35</v>
      </c>
      <c r="I247" s="43" t="s">
        <v>35</v>
      </c>
      <c r="J247" s="56"/>
      <c r="K247" s="56"/>
      <c r="L247" s="56"/>
      <c r="M247" s="42"/>
      <c r="N247" s="44"/>
      <c r="O247" s="24"/>
      <c r="P247" s="24"/>
      <c r="Q247" s="24"/>
      <c r="R247" s="24"/>
    </row>
    <row r="248">
      <c r="A248" s="77"/>
      <c r="B248" s="41"/>
      <c r="C248" s="80"/>
      <c r="D248" s="54"/>
      <c r="E248" s="54"/>
      <c r="F248" s="54"/>
      <c r="G248" s="42">
        <f t="shared" si="36"/>
        <v>0</v>
      </c>
      <c r="H248" s="43" t="s">
        <v>35</v>
      </c>
      <c r="I248" s="43" t="s">
        <v>35</v>
      </c>
      <c r="J248" s="56"/>
      <c r="K248" s="56"/>
      <c r="L248" s="56"/>
      <c r="M248" s="42"/>
      <c r="N248" s="44"/>
      <c r="O248" s="24"/>
      <c r="P248" s="24"/>
      <c r="Q248" s="24"/>
      <c r="R248" s="24"/>
    </row>
    <row r="249">
      <c r="A249" s="55">
        <v>8.0</v>
      </c>
      <c r="B249" s="41" t="s">
        <v>222</v>
      </c>
      <c r="C249" s="80"/>
      <c r="D249" s="54"/>
      <c r="E249" s="54"/>
      <c r="F249" s="54"/>
      <c r="G249" s="42">
        <f t="shared" si="36"/>
        <v>0</v>
      </c>
      <c r="H249" s="43" t="s">
        <v>35</v>
      </c>
      <c r="I249" s="43" t="s">
        <v>35</v>
      </c>
      <c r="J249" s="56"/>
      <c r="K249" s="56"/>
      <c r="L249" s="56"/>
      <c r="M249" s="42"/>
      <c r="N249" s="44"/>
      <c r="O249" s="24"/>
      <c r="P249" s="24"/>
      <c r="Q249" s="24"/>
      <c r="R249" s="24"/>
    </row>
    <row r="250">
      <c r="A250" s="55" t="s">
        <v>28</v>
      </c>
      <c r="B250" s="41" t="s">
        <v>223</v>
      </c>
      <c r="C250" s="55" t="s">
        <v>75</v>
      </c>
      <c r="D250" s="42" t="s">
        <v>37</v>
      </c>
      <c r="E250" s="42" t="s">
        <v>37</v>
      </c>
      <c r="F250" s="42" t="s">
        <v>37</v>
      </c>
      <c r="G250" s="42">
        <f t="shared" si="36"/>
        <v>0</v>
      </c>
      <c r="H250" s="43" t="s">
        <v>35</v>
      </c>
      <c r="I250" s="43" t="s">
        <v>35</v>
      </c>
      <c r="J250" s="56"/>
      <c r="K250" s="56"/>
      <c r="L250" s="56"/>
      <c r="M250" s="42"/>
      <c r="N250" s="44"/>
      <c r="O250" s="24"/>
      <c r="P250" s="24"/>
      <c r="Q250" s="24"/>
      <c r="R250" s="24"/>
    </row>
    <row r="251">
      <c r="A251" s="55" t="s">
        <v>31</v>
      </c>
      <c r="B251" s="41" t="s">
        <v>224</v>
      </c>
      <c r="C251" s="55" t="s">
        <v>75</v>
      </c>
      <c r="D251" s="96">
        <v>25.0</v>
      </c>
      <c r="E251" s="42" t="s">
        <v>37</v>
      </c>
      <c r="F251" s="42" t="s">
        <v>37</v>
      </c>
      <c r="G251" s="42">
        <f t="shared" si="36"/>
        <v>25</v>
      </c>
      <c r="H251" s="43">
        <v>390.0</v>
      </c>
      <c r="I251" s="43">
        <v>86.0</v>
      </c>
      <c r="J251" s="56">
        <f>G251*H251</f>
        <v>9750</v>
      </c>
      <c r="K251" s="56">
        <f>G251*I251</f>
        <v>2150</v>
      </c>
      <c r="L251" s="56">
        <f>SUM(J251:K251)</f>
        <v>11900</v>
      </c>
      <c r="M251" s="42"/>
      <c r="N251" s="44">
        <f>G251*(H251+I251)</f>
        <v>11900</v>
      </c>
      <c r="O251" s="24"/>
      <c r="P251" s="24"/>
      <c r="Q251" s="24"/>
      <c r="R251" s="24"/>
    </row>
    <row r="252">
      <c r="A252" s="77"/>
      <c r="B252" s="41"/>
      <c r="C252" s="80"/>
      <c r="D252" s="54"/>
      <c r="E252" s="54"/>
      <c r="F252" s="54"/>
      <c r="G252" s="42">
        <f t="shared" si="36"/>
        <v>0</v>
      </c>
      <c r="H252" s="43" t="s">
        <v>35</v>
      </c>
      <c r="I252" s="43" t="s">
        <v>35</v>
      </c>
      <c r="J252" s="56"/>
      <c r="K252" s="56"/>
      <c r="L252" s="56"/>
      <c r="M252" s="42"/>
      <c r="N252" s="44"/>
      <c r="O252" s="24"/>
      <c r="P252" s="24"/>
      <c r="Q252" s="24"/>
      <c r="R252" s="24"/>
    </row>
    <row r="253">
      <c r="A253" s="55">
        <v>9.0</v>
      </c>
      <c r="B253" s="41" t="s">
        <v>225</v>
      </c>
      <c r="C253" s="80"/>
      <c r="D253" s="54"/>
      <c r="E253" s="54"/>
      <c r="F253" s="54"/>
      <c r="G253" s="42">
        <f t="shared" si="36"/>
        <v>0</v>
      </c>
      <c r="H253" s="43" t="s">
        <v>35</v>
      </c>
      <c r="I253" s="43" t="s">
        <v>35</v>
      </c>
      <c r="J253" s="56"/>
      <c r="K253" s="56"/>
      <c r="L253" s="56"/>
      <c r="M253" s="42"/>
      <c r="N253" s="44"/>
      <c r="O253" s="24"/>
      <c r="P253" s="24"/>
      <c r="Q253" s="24"/>
      <c r="R253" s="24"/>
    </row>
    <row r="254">
      <c r="A254" s="55" t="s">
        <v>28</v>
      </c>
      <c r="B254" s="41" t="s">
        <v>226</v>
      </c>
      <c r="C254" s="55" t="s">
        <v>75</v>
      </c>
      <c r="D254" s="96">
        <v>10.0</v>
      </c>
      <c r="E254" s="42" t="s">
        <v>37</v>
      </c>
      <c r="F254" s="42" t="s">
        <v>37</v>
      </c>
      <c r="G254" s="42">
        <f t="shared" si="36"/>
        <v>10</v>
      </c>
      <c r="H254" s="43">
        <v>796.0</v>
      </c>
      <c r="I254" s="43">
        <v>29.0</v>
      </c>
      <c r="J254" s="56">
        <f>G254*H254</f>
        <v>7960</v>
      </c>
      <c r="K254" s="56">
        <f>G254*I254</f>
        <v>290</v>
      </c>
      <c r="L254" s="56">
        <f>SUM(J254:K254)</f>
        <v>8250</v>
      </c>
      <c r="M254" s="42"/>
      <c r="N254" s="44">
        <f>G254*(H254+I254)</f>
        <v>8250</v>
      </c>
      <c r="O254" s="24"/>
      <c r="P254" s="24"/>
      <c r="Q254" s="24"/>
      <c r="R254" s="24"/>
    </row>
    <row r="255">
      <c r="A255" s="77"/>
      <c r="B255" s="41"/>
      <c r="C255" s="80"/>
      <c r="D255" s="54"/>
      <c r="E255" s="54"/>
      <c r="F255" s="54"/>
      <c r="G255" s="42">
        <f t="shared" si="36"/>
        <v>0</v>
      </c>
      <c r="H255" s="43" t="s">
        <v>35</v>
      </c>
      <c r="I255" s="43" t="s">
        <v>35</v>
      </c>
      <c r="J255" s="56"/>
      <c r="K255" s="56"/>
      <c r="L255" s="56"/>
      <c r="M255" s="42"/>
      <c r="N255" s="44"/>
      <c r="O255" s="24"/>
      <c r="P255" s="24"/>
      <c r="Q255" s="24"/>
      <c r="R255" s="24"/>
    </row>
    <row r="256">
      <c r="A256" s="55">
        <v>10.0</v>
      </c>
      <c r="B256" s="41" t="s">
        <v>227</v>
      </c>
      <c r="C256" s="76" t="s">
        <v>207</v>
      </c>
      <c r="D256" s="96">
        <v>2.0</v>
      </c>
      <c r="E256" s="42" t="s">
        <v>37</v>
      </c>
      <c r="F256" s="42" t="s">
        <v>37</v>
      </c>
      <c r="G256" s="42">
        <f t="shared" si="36"/>
        <v>2</v>
      </c>
      <c r="H256" s="43">
        <v>4750.0</v>
      </c>
      <c r="I256" s="43">
        <v>475.0</v>
      </c>
      <c r="J256" s="56">
        <f>G256*H256</f>
        <v>9500</v>
      </c>
      <c r="K256" s="56">
        <f>G256*I256</f>
        <v>950</v>
      </c>
      <c r="L256" s="56">
        <f t="shared" ref="L256:L257" si="44">SUM(J256:K256)</f>
        <v>10450</v>
      </c>
      <c r="M256" s="42"/>
      <c r="N256" s="44">
        <f>G256*(H256+I256)</f>
        <v>10450</v>
      </c>
      <c r="O256" s="24"/>
      <c r="P256" s="24"/>
      <c r="Q256" s="24"/>
      <c r="R256" s="24"/>
    </row>
    <row r="257">
      <c r="A257" s="78"/>
      <c r="B257" s="79"/>
      <c r="C257" s="80"/>
      <c r="D257" s="54"/>
      <c r="E257" s="54"/>
      <c r="F257" s="54"/>
      <c r="G257" s="56">
        <f t="shared" si="36"/>
        <v>0</v>
      </c>
      <c r="H257" s="98" t="s">
        <v>35</v>
      </c>
      <c r="I257" s="98" t="s">
        <v>35</v>
      </c>
      <c r="J257" s="56">
        <f>IFERROR(E257*I257,0)</f>
        <v>0</v>
      </c>
      <c r="K257" s="56">
        <f>IFERROR(F257*I257,0)</f>
        <v>0</v>
      </c>
      <c r="L257" s="56">
        <f t="shared" si="44"/>
        <v>0</v>
      </c>
      <c r="M257" s="56"/>
      <c r="N257" s="44"/>
      <c r="O257" s="24"/>
      <c r="P257" s="24"/>
      <c r="Q257" s="24"/>
      <c r="R257" s="24"/>
    </row>
    <row r="258">
      <c r="A258" s="60"/>
      <c r="B258" s="61" t="s">
        <v>228</v>
      </c>
      <c r="C258" s="62"/>
      <c r="D258" s="62"/>
      <c r="E258" s="62"/>
      <c r="F258" s="62"/>
      <c r="G258" s="62"/>
      <c r="H258" s="63" t="s">
        <v>35</v>
      </c>
      <c r="I258" s="63" t="s">
        <v>35</v>
      </c>
      <c r="J258" s="62">
        <f t="shared" ref="J258:L258" si="45">sum(J195:J257)</f>
        <v>752110</v>
      </c>
      <c r="K258" s="62">
        <f t="shared" si="45"/>
        <v>105279</v>
      </c>
      <c r="L258" s="62">
        <f t="shared" si="45"/>
        <v>857389</v>
      </c>
      <c r="M258" s="62"/>
      <c r="N258" s="44"/>
      <c r="O258" s="24"/>
      <c r="P258" s="24"/>
      <c r="Q258" s="24"/>
      <c r="R258" s="24"/>
    </row>
    <row r="259">
      <c r="A259" s="64"/>
      <c r="B259" s="65"/>
      <c r="C259" s="66"/>
      <c r="D259" s="66"/>
      <c r="E259" s="99"/>
      <c r="F259" s="99"/>
      <c r="G259" s="67">
        <f t="shared" ref="G259:G293" si="46">SUM(D259:F259)</f>
        <v>0</v>
      </c>
      <c r="H259" s="100" t="s">
        <v>35</v>
      </c>
      <c r="I259" s="100" t="s">
        <v>35</v>
      </c>
      <c r="J259" s="101"/>
      <c r="K259" s="101"/>
      <c r="L259" s="101"/>
      <c r="M259" s="101"/>
      <c r="N259" s="44"/>
      <c r="O259" s="24"/>
      <c r="P259" s="24"/>
      <c r="Q259" s="24"/>
      <c r="R259" s="24"/>
    </row>
    <row r="260">
      <c r="A260" s="102" t="s">
        <v>24</v>
      </c>
      <c r="B260" s="103" t="s">
        <v>229</v>
      </c>
      <c r="C260" s="104"/>
      <c r="D260" s="89"/>
      <c r="E260" s="89"/>
      <c r="F260" s="89"/>
      <c r="G260" s="72">
        <f t="shared" si="46"/>
        <v>0</v>
      </c>
      <c r="H260" s="90" t="s">
        <v>35</v>
      </c>
      <c r="I260" s="90" t="s">
        <v>35</v>
      </c>
      <c r="J260" s="89"/>
      <c r="K260" s="89"/>
      <c r="L260" s="89"/>
      <c r="M260" s="89"/>
      <c r="N260" s="44"/>
      <c r="O260" s="24"/>
      <c r="P260" s="24"/>
      <c r="Q260" s="24"/>
      <c r="R260" s="24"/>
    </row>
    <row r="261">
      <c r="A261" s="105"/>
      <c r="B261" s="106"/>
      <c r="C261" s="45"/>
      <c r="D261" s="45"/>
      <c r="E261" s="45"/>
      <c r="F261" s="45"/>
      <c r="G261" s="42">
        <f t="shared" si="46"/>
        <v>0</v>
      </c>
      <c r="H261" s="107" t="s">
        <v>35</v>
      </c>
      <c r="I261" s="107" t="s">
        <v>35</v>
      </c>
      <c r="J261" s="42">
        <f>IFERROR(E261*I261,0)</f>
        <v>0</v>
      </c>
      <c r="K261" s="42">
        <f>IFERROR(F261*I261,0)</f>
        <v>0</v>
      </c>
      <c r="L261" s="42">
        <f>SUM(J261:K261)</f>
        <v>0</v>
      </c>
      <c r="M261" s="42"/>
      <c r="N261" s="44"/>
      <c r="O261" s="24"/>
      <c r="P261" s="24"/>
      <c r="Q261" s="24"/>
      <c r="R261" s="24"/>
    </row>
    <row r="262">
      <c r="A262" s="55">
        <v>1.0</v>
      </c>
      <c r="B262" s="41" t="s">
        <v>230</v>
      </c>
      <c r="C262" s="45"/>
      <c r="D262" s="45"/>
      <c r="E262" s="45"/>
      <c r="F262" s="45"/>
      <c r="G262" s="42">
        <f t="shared" si="46"/>
        <v>0</v>
      </c>
      <c r="H262" s="107" t="s">
        <v>35</v>
      </c>
      <c r="I262" s="107" t="s">
        <v>35</v>
      </c>
      <c r="J262" s="56"/>
      <c r="K262" s="56"/>
      <c r="L262" s="56"/>
      <c r="M262" s="42"/>
      <c r="N262" s="44"/>
      <c r="O262" s="24"/>
      <c r="P262" s="24"/>
      <c r="Q262" s="24"/>
      <c r="R262" s="24"/>
    </row>
    <row r="263">
      <c r="A263" s="77"/>
      <c r="B263" s="41" t="s">
        <v>231</v>
      </c>
      <c r="C263" s="45"/>
      <c r="D263" s="45"/>
      <c r="E263" s="45"/>
      <c r="F263" s="45"/>
      <c r="G263" s="42">
        <f t="shared" si="46"/>
        <v>0</v>
      </c>
      <c r="H263" s="107" t="s">
        <v>35</v>
      </c>
      <c r="I263" s="107" t="s">
        <v>35</v>
      </c>
      <c r="J263" s="56"/>
      <c r="K263" s="56"/>
      <c r="L263" s="56"/>
      <c r="M263" s="42"/>
      <c r="N263" s="44"/>
      <c r="O263" s="24"/>
      <c r="P263" s="24"/>
      <c r="Q263" s="24"/>
      <c r="R263" s="24"/>
    </row>
    <row r="264">
      <c r="A264" s="77"/>
      <c r="B264" s="41" t="s">
        <v>232</v>
      </c>
      <c r="C264" s="75"/>
      <c r="D264" s="45"/>
      <c r="E264" s="45"/>
      <c r="F264" s="45"/>
      <c r="G264" s="42">
        <f t="shared" si="46"/>
        <v>0</v>
      </c>
      <c r="H264" s="107" t="s">
        <v>35</v>
      </c>
      <c r="I264" s="107" t="s">
        <v>35</v>
      </c>
      <c r="J264" s="56"/>
      <c r="K264" s="56"/>
      <c r="L264" s="56"/>
      <c r="M264" s="42"/>
      <c r="N264" s="44"/>
      <c r="O264" s="24"/>
      <c r="P264" s="24"/>
      <c r="Q264" s="24"/>
      <c r="R264" s="24"/>
    </row>
    <row r="265">
      <c r="A265" s="77"/>
      <c r="B265" s="41" t="s">
        <v>233</v>
      </c>
      <c r="C265" s="75"/>
      <c r="D265" s="45"/>
      <c r="E265" s="45"/>
      <c r="F265" s="45"/>
      <c r="G265" s="42">
        <f t="shared" si="46"/>
        <v>0</v>
      </c>
      <c r="H265" s="43" t="s">
        <v>35</v>
      </c>
      <c r="I265" s="43" t="s">
        <v>35</v>
      </c>
      <c r="J265" s="56"/>
      <c r="K265" s="56"/>
      <c r="L265" s="56"/>
      <c r="M265" s="42"/>
      <c r="N265" s="44"/>
      <c r="O265" s="24"/>
      <c r="P265" s="24"/>
      <c r="Q265" s="24"/>
      <c r="R265" s="24"/>
    </row>
    <row r="266">
      <c r="A266" s="55">
        <v>1.1</v>
      </c>
      <c r="B266" s="41" t="s">
        <v>234</v>
      </c>
      <c r="C266" s="75"/>
      <c r="D266" s="45"/>
      <c r="E266" s="45"/>
      <c r="F266" s="45"/>
      <c r="G266" s="42">
        <f t="shared" si="46"/>
        <v>0</v>
      </c>
      <c r="H266" s="43" t="s">
        <v>35</v>
      </c>
      <c r="I266" s="43" t="s">
        <v>35</v>
      </c>
      <c r="J266" s="56"/>
      <c r="K266" s="56"/>
      <c r="L266" s="56"/>
      <c r="M266" s="42"/>
      <c r="N266" s="44"/>
      <c r="O266" s="24"/>
      <c r="P266" s="24"/>
      <c r="Q266" s="24"/>
      <c r="R266" s="24"/>
    </row>
    <row r="267">
      <c r="A267" s="77"/>
      <c r="B267" s="41"/>
      <c r="C267" s="45"/>
      <c r="D267" s="45"/>
      <c r="E267" s="45"/>
      <c r="F267" s="45"/>
      <c r="G267" s="42">
        <f t="shared" si="46"/>
        <v>0</v>
      </c>
      <c r="H267" s="43" t="s">
        <v>35</v>
      </c>
      <c r="I267" s="43" t="s">
        <v>35</v>
      </c>
      <c r="J267" s="56"/>
      <c r="K267" s="56"/>
      <c r="L267" s="56"/>
      <c r="M267" s="42"/>
      <c r="N267" s="44"/>
      <c r="O267" s="24"/>
      <c r="P267" s="24"/>
      <c r="Q267" s="24"/>
      <c r="R267" s="24"/>
    </row>
    <row r="268">
      <c r="A268" s="55" t="s">
        <v>59</v>
      </c>
      <c r="B268" s="41" t="s">
        <v>235</v>
      </c>
      <c r="C268" s="55" t="s">
        <v>63</v>
      </c>
      <c r="D268" s="55">
        <v>9.0</v>
      </c>
      <c r="E268" s="55">
        <v>10.0</v>
      </c>
      <c r="F268" s="42" t="s">
        <v>37</v>
      </c>
      <c r="G268" s="42">
        <f t="shared" si="46"/>
        <v>19</v>
      </c>
      <c r="H268" s="43">
        <v>20900.0</v>
      </c>
      <c r="I268" s="43">
        <v>2375.0</v>
      </c>
      <c r="J268" s="56">
        <f>G268*H268</f>
        <v>397100</v>
      </c>
      <c r="K268" s="56">
        <f>G268*I268</f>
        <v>45125</v>
      </c>
      <c r="L268" s="56">
        <f>SUM(J268:K268)</f>
        <v>442225</v>
      </c>
      <c r="M268" s="42"/>
      <c r="N268" s="44">
        <f>G268*(H268+I268)</f>
        <v>442225</v>
      </c>
      <c r="O268" s="24"/>
      <c r="P268" s="24"/>
      <c r="Q268" s="24"/>
      <c r="R268" s="24"/>
    </row>
    <row r="269">
      <c r="A269" s="77"/>
      <c r="B269" s="41"/>
      <c r="C269" s="75"/>
      <c r="D269" s="45"/>
      <c r="E269" s="45"/>
      <c r="F269" s="45"/>
      <c r="G269" s="42">
        <f t="shared" si="46"/>
        <v>0</v>
      </c>
      <c r="H269" s="43" t="s">
        <v>35</v>
      </c>
      <c r="I269" s="43" t="s">
        <v>35</v>
      </c>
      <c r="J269" s="56"/>
      <c r="K269" s="56"/>
      <c r="L269" s="56"/>
      <c r="M269" s="42"/>
      <c r="N269" s="44"/>
      <c r="O269" s="24"/>
      <c r="P269" s="24"/>
      <c r="Q269" s="24"/>
      <c r="R269" s="24"/>
    </row>
    <row r="270">
      <c r="A270" s="55" t="s">
        <v>61</v>
      </c>
      <c r="B270" s="41" t="s">
        <v>236</v>
      </c>
      <c r="C270" s="55" t="s">
        <v>63</v>
      </c>
      <c r="D270" s="55">
        <v>5.0</v>
      </c>
      <c r="E270" s="55">
        <v>10.0</v>
      </c>
      <c r="F270" s="55">
        <v>1.0</v>
      </c>
      <c r="G270" s="42">
        <f t="shared" si="46"/>
        <v>16</v>
      </c>
      <c r="H270" s="43">
        <v>21375.0</v>
      </c>
      <c r="I270" s="43">
        <v>2375.0</v>
      </c>
      <c r="J270" s="56">
        <f>G270*H270</f>
        <v>342000</v>
      </c>
      <c r="K270" s="56">
        <f>G270*I270</f>
        <v>38000</v>
      </c>
      <c r="L270" s="56">
        <f>SUM(J270:K270)</f>
        <v>380000</v>
      </c>
      <c r="M270" s="42"/>
      <c r="N270" s="44">
        <f>G270*(H270+I270)</f>
        <v>380000</v>
      </c>
      <c r="O270" s="24"/>
      <c r="P270" s="24"/>
      <c r="Q270" s="24"/>
      <c r="R270" s="24"/>
    </row>
    <row r="271">
      <c r="A271" s="77"/>
      <c r="B271" s="41"/>
      <c r="C271" s="75"/>
      <c r="D271" s="45"/>
      <c r="E271" s="45"/>
      <c r="F271" s="45"/>
      <c r="G271" s="42">
        <f t="shared" si="46"/>
        <v>0</v>
      </c>
      <c r="H271" s="43" t="s">
        <v>35</v>
      </c>
      <c r="I271" s="43" t="s">
        <v>35</v>
      </c>
      <c r="J271" s="56"/>
      <c r="K271" s="56"/>
      <c r="L271" s="56"/>
      <c r="M271" s="42"/>
      <c r="N271" s="44"/>
      <c r="O271" s="24"/>
      <c r="P271" s="24"/>
      <c r="Q271" s="24"/>
      <c r="R271" s="24"/>
    </row>
    <row r="272">
      <c r="A272" s="55" t="s">
        <v>237</v>
      </c>
      <c r="B272" s="41" t="s">
        <v>238</v>
      </c>
      <c r="C272" s="76" t="s">
        <v>63</v>
      </c>
      <c r="D272" s="55">
        <v>3.0</v>
      </c>
      <c r="E272" s="55">
        <v>5.0</v>
      </c>
      <c r="F272" s="42" t="s">
        <v>37</v>
      </c>
      <c r="G272" s="42">
        <f t="shared" si="46"/>
        <v>8</v>
      </c>
      <c r="H272" s="43">
        <v>21850.0</v>
      </c>
      <c r="I272" s="43">
        <v>2375.0</v>
      </c>
      <c r="J272" s="56">
        <f>G272*H272</f>
        <v>174800</v>
      </c>
      <c r="K272" s="56">
        <f>G272*I272</f>
        <v>19000</v>
      </c>
      <c r="L272" s="56">
        <f>SUM(J272:K272)</f>
        <v>193800</v>
      </c>
      <c r="M272" s="42"/>
      <c r="N272" s="44">
        <f>G272*(H272+I272)</f>
        <v>193800</v>
      </c>
      <c r="O272" s="24"/>
      <c r="P272" s="24"/>
      <c r="Q272" s="24"/>
      <c r="R272" s="24"/>
    </row>
    <row r="273">
      <c r="A273" s="50"/>
      <c r="B273" s="39"/>
      <c r="C273" s="37"/>
      <c r="D273" s="37"/>
      <c r="E273" s="37"/>
      <c r="F273" s="37"/>
      <c r="G273" s="42">
        <f t="shared" si="46"/>
        <v>0</v>
      </c>
      <c r="H273" s="43" t="s">
        <v>35</v>
      </c>
      <c r="I273" s="43" t="s">
        <v>35</v>
      </c>
      <c r="J273" s="56"/>
      <c r="K273" s="56"/>
      <c r="L273" s="56"/>
      <c r="M273" s="42"/>
      <c r="N273" s="44"/>
      <c r="O273" s="24"/>
      <c r="P273" s="24"/>
      <c r="Q273" s="24"/>
      <c r="R273" s="24"/>
    </row>
    <row r="274">
      <c r="A274" s="55" t="s">
        <v>239</v>
      </c>
      <c r="B274" s="41" t="s">
        <v>240</v>
      </c>
      <c r="C274" s="55" t="s">
        <v>63</v>
      </c>
      <c r="D274" s="55">
        <v>5.0</v>
      </c>
      <c r="E274" s="55">
        <v>1.0</v>
      </c>
      <c r="F274" s="55">
        <v>1.0</v>
      </c>
      <c r="G274" s="42">
        <f t="shared" si="46"/>
        <v>7</v>
      </c>
      <c r="H274" s="43">
        <v>22800.0</v>
      </c>
      <c r="I274" s="43">
        <v>2375.0</v>
      </c>
      <c r="J274" s="56">
        <f>G274*H274</f>
        <v>159600</v>
      </c>
      <c r="K274" s="56">
        <f>G274*I274</f>
        <v>16625</v>
      </c>
      <c r="L274" s="56">
        <f>SUM(J274:K274)</f>
        <v>176225</v>
      </c>
      <c r="M274" s="42"/>
      <c r="N274" s="44">
        <f>G274*(H274+I274)</f>
        <v>176225</v>
      </c>
      <c r="O274" s="24"/>
      <c r="P274" s="24"/>
      <c r="Q274" s="24"/>
      <c r="R274" s="24"/>
    </row>
    <row r="275">
      <c r="A275" s="77"/>
      <c r="B275" s="41"/>
      <c r="C275" s="45"/>
      <c r="D275" s="45"/>
      <c r="E275" s="45"/>
      <c r="F275" s="45"/>
      <c r="G275" s="42">
        <f t="shared" si="46"/>
        <v>0</v>
      </c>
      <c r="H275" s="43" t="s">
        <v>35</v>
      </c>
      <c r="I275" s="43" t="s">
        <v>35</v>
      </c>
      <c r="J275" s="56"/>
      <c r="K275" s="56"/>
      <c r="L275" s="56"/>
      <c r="M275" s="42"/>
      <c r="N275" s="44"/>
      <c r="O275" s="24"/>
      <c r="P275" s="24"/>
      <c r="Q275" s="24"/>
      <c r="R275" s="24"/>
    </row>
    <row r="276">
      <c r="A276" s="55" t="s">
        <v>241</v>
      </c>
      <c r="B276" s="41" t="s">
        <v>242</v>
      </c>
      <c r="C276" s="55" t="s">
        <v>63</v>
      </c>
      <c r="D276" s="55" t="s">
        <v>37</v>
      </c>
      <c r="E276" s="55" t="s">
        <v>37</v>
      </c>
      <c r="F276" s="42" t="s">
        <v>37</v>
      </c>
      <c r="G276" s="42">
        <f t="shared" si="46"/>
        <v>0</v>
      </c>
      <c r="H276" s="43" t="s">
        <v>35</v>
      </c>
      <c r="I276" s="43" t="s">
        <v>35</v>
      </c>
      <c r="J276" s="56"/>
      <c r="K276" s="56"/>
      <c r="L276" s="56"/>
      <c r="M276" s="42"/>
      <c r="N276" s="44"/>
      <c r="O276" s="24"/>
      <c r="P276" s="24"/>
      <c r="Q276" s="24"/>
      <c r="R276" s="24"/>
    </row>
    <row r="277">
      <c r="A277" s="77"/>
      <c r="B277" s="41"/>
      <c r="C277" s="45"/>
      <c r="D277" s="45"/>
      <c r="E277" s="45"/>
      <c r="F277" s="45"/>
      <c r="G277" s="42">
        <f t="shared" si="46"/>
        <v>0</v>
      </c>
      <c r="H277" s="43" t="s">
        <v>35</v>
      </c>
      <c r="I277" s="43" t="s">
        <v>35</v>
      </c>
      <c r="J277" s="56"/>
      <c r="K277" s="56"/>
      <c r="L277" s="56"/>
      <c r="M277" s="42"/>
      <c r="N277" s="44"/>
      <c r="O277" s="24"/>
      <c r="P277" s="24"/>
      <c r="Q277" s="24"/>
      <c r="R277" s="24"/>
    </row>
    <row r="278">
      <c r="A278" s="55" t="s">
        <v>243</v>
      </c>
      <c r="B278" s="41" t="s">
        <v>244</v>
      </c>
      <c r="C278" s="55" t="s">
        <v>63</v>
      </c>
      <c r="D278" s="55">
        <v>1.0</v>
      </c>
      <c r="E278" s="55" t="s">
        <v>37</v>
      </c>
      <c r="F278" s="42" t="s">
        <v>37</v>
      </c>
      <c r="G278" s="42">
        <f t="shared" si="46"/>
        <v>1</v>
      </c>
      <c r="H278" s="43">
        <v>24225.0</v>
      </c>
      <c r="I278" s="43">
        <v>2375.0</v>
      </c>
      <c r="J278" s="56">
        <f>G278*H278</f>
        <v>24225</v>
      </c>
      <c r="K278" s="56">
        <f>G278*I278</f>
        <v>2375</v>
      </c>
      <c r="L278" s="56">
        <f>SUM(J278:K278)</f>
        <v>26600</v>
      </c>
      <c r="M278" s="42"/>
      <c r="N278" s="44">
        <f>G278*(H278+I278)</f>
        <v>26600</v>
      </c>
      <c r="O278" s="24"/>
      <c r="P278" s="24"/>
      <c r="Q278" s="24"/>
      <c r="R278" s="24"/>
    </row>
    <row r="279">
      <c r="A279" s="77"/>
      <c r="B279" s="41"/>
      <c r="C279" s="45"/>
      <c r="D279" s="45"/>
      <c r="E279" s="45"/>
      <c r="F279" s="45"/>
      <c r="G279" s="42">
        <f t="shared" si="46"/>
        <v>0</v>
      </c>
      <c r="H279" s="43" t="s">
        <v>35</v>
      </c>
      <c r="I279" s="43" t="s">
        <v>35</v>
      </c>
      <c r="J279" s="56"/>
      <c r="K279" s="56"/>
      <c r="L279" s="56"/>
      <c r="M279" s="42"/>
      <c r="N279" s="44"/>
      <c r="O279" s="24"/>
      <c r="P279" s="24"/>
      <c r="Q279" s="24"/>
      <c r="R279" s="24"/>
    </row>
    <row r="280">
      <c r="A280" s="55">
        <v>1.2</v>
      </c>
      <c r="B280" s="41" t="s">
        <v>245</v>
      </c>
      <c r="C280" s="55" t="s">
        <v>246</v>
      </c>
      <c r="D280" s="55">
        <v>330.0</v>
      </c>
      <c r="E280" s="55">
        <v>390.0</v>
      </c>
      <c r="F280" s="55">
        <v>30.0</v>
      </c>
      <c r="G280" s="42">
        <f t="shared" si="46"/>
        <v>750</v>
      </c>
      <c r="H280" s="43">
        <v>50.0</v>
      </c>
      <c r="I280" s="43">
        <v>15.0</v>
      </c>
      <c r="J280" s="56">
        <f>G280*H280</f>
        <v>37500</v>
      </c>
      <c r="K280" s="56">
        <f>G280*I280</f>
        <v>11250</v>
      </c>
      <c r="L280" s="56">
        <f>SUM(J280:K280)</f>
        <v>48750</v>
      </c>
      <c r="M280" s="42"/>
      <c r="N280" s="44">
        <f>G280*(H280+I280)</f>
        <v>48750</v>
      </c>
      <c r="O280" s="24"/>
      <c r="P280" s="24"/>
      <c r="Q280" s="24"/>
      <c r="R280" s="24"/>
    </row>
    <row r="281">
      <c r="A281" s="77"/>
      <c r="B281" s="41"/>
      <c r="C281" s="45"/>
      <c r="D281" s="45"/>
      <c r="E281" s="45"/>
      <c r="F281" s="45"/>
      <c r="G281" s="42">
        <f t="shared" si="46"/>
        <v>0</v>
      </c>
      <c r="H281" s="43" t="s">
        <v>35</v>
      </c>
      <c r="I281" s="43" t="s">
        <v>35</v>
      </c>
      <c r="J281" s="56"/>
      <c r="K281" s="56"/>
      <c r="L281" s="56"/>
      <c r="M281" s="42"/>
      <c r="N281" s="44"/>
      <c r="O281" s="24"/>
      <c r="P281" s="24"/>
      <c r="Q281" s="24"/>
      <c r="R281" s="24"/>
    </row>
    <row r="282">
      <c r="A282" s="55">
        <v>1.3</v>
      </c>
      <c r="B282" s="41" t="s">
        <v>247</v>
      </c>
      <c r="C282" s="45"/>
      <c r="D282" s="45"/>
      <c r="E282" s="45"/>
      <c r="F282" s="45"/>
      <c r="G282" s="42">
        <f t="shared" si="46"/>
        <v>0</v>
      </c>
      <c r="H282" s="43" t="s">
        <v>35</v>
      </c>
      <c r="I282" s="43" t="s">
        <v>35</v>
      </c>
      <c r="J282" s="56"/>
      <c r="K282" s="56"/>
      <c r="L282" s="56"/>
      <c r="M282" s="42"/>
      <c r="N282" s="44"/>
      <c r="O282" s="24"/>
      <c r="P282" s="24"/>
      <c r="Q282" s="24"/>
      <c r="R282" s="24"/>
    </row>
    <row r="283">
      <c r="A283" s="55" t="s">
        <v>28</v>
      </c>
      <c r="B283" s="41" t="s">
        <v>248</v>
      </c>
      <c r="C283" s="76" t="s">
        <v>75</v>
      </c>
      <c r="D283" s="55">
        <v>330.0</v>
      </c>
      <c r="E283" s="55">
        <v>390.0</v>
      </c>
      <c r="F283" s="55">
        <v>30.0</v>
      </c>
      <c r="G283" s="42">
        <f t="shared" si="46"/>
        <v>750</v>
      </c>
      <c r="H283" s="43">
        <v>175.0</v>
      </c>
      <c r="I283" s="43">
        <v>35.0</v>
      </c>
      <c r="J283" s="56">
        <f>G283*H283</f>
        <v>131250</v>
      </c>
      <c r="K283" s="56">
        <f>G283*I283</f>
        <v>26250</v>
      </c>
      <c r="L283" s="56">
        <f>SUM(J283:K283)</f>
        <v>157500</v>
      </c>
      <c r="M283" s="42"/>
      <c r="N283" s="44">
        <f>G283*(H283+I283)</f>
        <v>157500</v>
      </c>
      <c r="O283" s="24"/>
      <c r="P283" s="24"/>
      <c r="Q283" s="24"/>
      <c r="R283" s="24"/>
    </row>
    <row r="284">
      <c r="A284" s="55" t="s">
        <v>31</v>
      </c>
      <c r="B284" s="41" t="s">
        <v>249</v>
      </c>
      <c r="C284" s="76" t="s">
        <v>75</v>
      </c>
      <c r="D284" s="55" t="s">
        <v>37</v>
      </c>
      <c r="E284" s="55" t="s">
        <v>37</v>
      </c>
      <c r="F284" s="42" t="s">
        <v>37</v>
      </c>
      <c r="G284" s="42">
        <f t="shared" si="46"/>
        <v>0</v>
      </c>
      <c r="H284" s="43" t="s">
        <v>35</v>
      </c>
      <c r="I284" s="43" t="s">
        <v>35</v>
      </c>
      <c r="J284" s="56"/>
      <c r="K284" s="56"/>
      <c r="L284" s="56"/>
      <c r="M284" s="42"/>
      <c r="N284" s="44"/>
      <c r="O284" s="24"/>
      <c r="P284" s="24"/>
      <c r="Q284" s="24"/>
      <c r="R284" s="24"/>
    </row>
    <row r="285">
      <c r="A285" s="55" t="s">
        <v>250</v>
      </c>
      <c r="B285" s="41" t="s">
        <v>251</v>
      </c>
      <c r="C285" s="76" t="s">
        <v>75</v>
      </c>
      <c r="D285" s="55" t="s">
        <v>37</v>
      </c>
      <c r="E285" s="55" t="s">
        <v>37</v>
      </c>
      <c r="F285" s="42" t="s">
        <v>37</v>
      </c>
      <c r="G285" s="42">
        <f t="shared" si="46"/>
        <v>0</v>
      </c>
      <c r="H285" s="43" t="s">
        <v>35</v>
      </c>
      <c r="I285" s="43" t="s">
        <v>35</v>
      </c>
      <c r="J285" s="56"/>
      <c r="K285" s="56"/>
      <c r="L285" s="56"/>
      <c r="M285" s="42"/>
      <c r="N285" s="44"/>
      <c r="O285" s="24"/>
      <c r="P285" s="24"/>
      <c r="Q285" s="24"/>
      <c r="R285" s="24"/>
    </row>
    <row r="286">
      <c r="A286" s="77"/>
      <c r="B286" s="41"/>
      <c r="C286" s="45"/>
      <c r="D286" s="45"/>
      <c r="E286" s="45"/>
      <c r="F286" s="45"/>
      <c r="G286" s="42">
        <f t="shared" si="46"/>
        <v>0</v>
      </c>
      <c r="H286" s="43" t="s">
        <v>35</v>
      </c>
      <c r="I286" s="43" t="s">
        <v>35</v>
      </c>
      <c r="J286" s="56"/>
      <c r="K286" s="56"/>
      <c r="L286" s="56"/>
      <c r="M286" s="42"/>
      <c r="N286" s="44"/>
      <c r="O286" s="24"/>
      <c r="P286" s="24"/>
      <c r="Q286" s="24"/>
      <c r="R286" s="24"/>
    </row>
    <row r="287">
      <c r="A287" s="55">
        <v>1.4</v>
      </c>
      <c r="B287" s="41" t="s">
        <v>252</v>
      </c>
      <c r="C287" s="45"/>
      <c r="D287" s="45"/>
      <c r="E287" s="45"/>
      <c r="F287" s="45"/>
      <c r="G287" s="42">
        <f t="shared" si="46"/>
        <v>0</v>
      </c>
      <c r="H287" s="43" t="s">
        <v>35</v>
      </c>
      <c r="I287" s="43" t="s">
        <v>35</v>
      </c>
      <c r="J287" s="56"/>
      <c r="K287" s="56"/>
      <c r="L287" s="56"/>
      <c r="M287" s="42"/>
      <c r="N287" s="44"/>
      <c r="O287" s="24"/>
      <c r="P287" s="24"/>
      <c r="Q287" s="24"/>
      <c r="R287" s="24"/>
    </row>
    <row r="288">
      <c r="A288" s="55" t="s">
        <v>28</v>
      </c>
      <c r="B288" s="41" t="s">
        <v>253</v>
      </c>
      <c r="C288" s="76" t="s">
        <v>75</v>
      </c>
      <c r="D288" s="55" t="s">
        <v>37</v>
      </c>
      <c r="E288" s="55" t="s">
        <v>37</v>
      </c>
      <c r="F288" s="42" t="s">
        <v>37</v>
      </c>
      <c r="G288" s="42">
        <f t="shared" si="46"/>
        <v>0</v>
      </c>
      <c r="H288" s="43" t="s">
        <v>35</v>
      </c>
      <c r="I288" s="43" t="s">
        <v>35</v>
      </c>
      <c r="J288" s="56"/>
      <c r="K288" s="56"/>
      <c r="L288" s="56"/>
      <c r="M288" s="42"/>
      <c r="N288" s="44"/>
      <c r="O288" s="24"/>
      <c r="P288" s="24"/>
      <c r="Q288" s="24"/>
      <c r="R288" s="24"/>
    </row>
    <row r="289">
      <c r="A289" s="77"/>
      <c r="B289" s="41"/>
      <c r="C289" s="45"/>
      <c r="D289" s="45"/>
      <c r="E289" s="45"/>
      <c r="F289" s="45"/>
      <c r="G289" s="42">
        <f t="shared" si="46"/>
        <v>0</v>
      </c>
      <c r="H289" s="43" t="s">
        <v>35</v>
      </c>
      <c r="I289" s="43" t="s">
        <v>35</v>
      </c>
      <c r="J289" s="56"/>
      <c r="K289" s="56"/>
      <c r="L289" s="56"/>
      <c r="M289" s="42"/>
      <c r="N289" s="44"/>
      <c r="O289" s="24"/>
      <c r="P289" s="24"/>
      <c r="Q289" s="24"/>
      <c r="R289" s="24"/>
    </row>
    <row r="290">
      <c r="A290" s="55">
        <f>A287+0.1</f>
        <v>1.5</v>
      </c>
      <c r="B290" s="41" t="s">
        <v>254</v>
      </c>
      <c r="C290" s="76" t="s">
        <v>63</v>
      </c>
      <c r="D290" s="55">
        <v>1.0</v>
      </c>
      <c r="E290" s="55">
        <v>1.0</v>
      </c>
      <c r="F290" s="42" t="s">
        <v>37</v>
      </c>
      <c r="G290" s="42">
        <f t="shared" si="46"/>
        <v>2</v>
      </c>
      <c r="H290" s="43">
        <v>61750.0</v>
      </c>
      <c r="I290" s="43">
        <v>4750.0</v>
      </c>
      <c r="J290" s="56">
        <f t="shared" ref="J290:J292" si="47">G290*H290</f>
        <v>123500</v>
      </c>
      <c r="K290" s="56">
        <f t="shared" ref="K290:K292" si="48">G290*I290</f>
        <v>9500</v>
      </c>
      <c r="L290" s="56">
        <f t="shared" ref="L290:L293" si="49">SUM(J290:K290)</f>
        <v>133000</v>
      </c>
      <c r="M290" s="42"/>
      <c r="N290" s="44">
        <f t="shared" ref="N290:N292" si="50">G290*(H290+I290)</f>
        <v>133000</v>
      </c>
      <c r="O290" s="24"/>
      <c r="P290" s="24"/>
      <c r="Q290" s="24"/>
      <c r="R290" s="24"/>
    </row>
    <row r="291">
      <c r="A291" s="77"/>
      <c r="B291" s="41"/>
      <c r="C291" s="75"/>
      <c r="D291" s="45"/>
      <c r="E291" s="45"/>
      <c r="F291" s="45"/>
      <c r="G291" s="42">
        <f t="shared" si="46"/>
        <v>0</v>
      </c>
      <c r="H291" s="37"/>
      <c r="I291" s="37"/>
      <c r="J291" s="56">
        <f t="shared" si="47"/>
        <v>0</v>
      </c>
      <c r="K291" s="56">
        <f t="shared" si="48"/>
        <v>0</v>
      </c>
      <c r="L291" s="56">
        <f t="shared" si="49"/>
        <v>0</v>
      </c>
      <c r="M291" s="42"/>
      <c r="N291" s="44">
        <f t="shared" si="50"/>
        <v>0</v>
      </c>
      <c r="O291" s="24"/>
      <c r="P291" s="24"/>
      <c r="Q291" s="24"/>
      <c r="R291" s="24"/>
    </row>
    <row r="292">
      <c r="A292" s="77">
        <v>1.6</v>
      </c>
      <c r="B292" s="41" t="s">
        <v>255</v>
      </c>
      <c r="C292" s="76" t="s">
        <v>63</v>
      </c>
      <c r="D292" s="42" t="s">
        <v>37</v>
      </c>
      <c r="E292" s="42" t="s">
        <v>37</v>
      </c>
      <c r="F292" s="42" t="s">
        <v>37</v>
      </c>
      <c r="G292" s="42">
        <f t="shared" si="46"/>
        <v>0</v>
      </c>
      <c r="H292" s="37"/>
      <c r="I292" s="37"/>
      <c r="J292" s="56">
        <f t="shared" si="47"/>
        <v>0</v>
      </c>
      <c r="K292" s="56">
        <f t="shared" si="48"/>
        <v>0</v>
      </c>
      <c r="L292" s="56">
        <f t="shared" si="49"/>
        <v>0</v>
      </c>
      <c r="M292" s="42"/>
      <c r="N292" s="44">
        <f t="shared" si="50"/>
        <v>0</v>
      </c>
      <c r="O292" s="24"/>
      <c r="P292" s="24"/>
      <c r="Q292" s="24"/>
      <c r="R292" s="24"/>
    </row>
    <row r="293">
      <c r="A293" s="78"/>
      <c r="B293" s="79"/>
      <c r="C293" s="80"/>
      <c r="D293" s="108"/>
      <c r="E293" s="108"/>
      <c r="F293" s="108"/>
      <c r="G293" s="56">
        <f t="shared" si="46"/>
        <v>0</v>
      </c>
      <c r="H293" s="54"/>
      <c r="I293" s="54"/>
      <c r="J293" s="56">
        <f>IFERROR(E293*I293,0)</f>
        <v>0</v>
      </c>
      <c r="K293" s="56">
        <f>IFERROR(F293*I293,0)</f>
        <v>0</v>
      </c>
      <c r="L293" s="56">
        <f t="shared" si="49"/>
        <v>0</v>
      </c>
      <c r="M293" s="56"/>
      <c r="N293" s="24"/>
      <c r="O293" s="24"/>
      <c r="P293" s="24"/>
      <c r="Q293" s="24"/>
      <c r="R293" s="24"/>
    </row>
    <row r="294">
      <c r="A294" s="60"/>
      <c r="B294" s="61" t="s">
        <v>256</v>
      </c>
      <c r="C294" s="62"/>
      <c r="D294" s="62"/>
      <c r="E294" s="62"/>
      <c r="F294" s="62"/>
      <c r="G294" s="62"/>
      <c r="H294" s="62"/>
      <c r="I294" s="62"/>
      <c r="J294" s="62">
        <f t="shared" ref="J294:L294" si="51">sum(J266:J292)</f>
        <v>1389975</v>
      </c>
      <c r="K294" s="62">
        <f t="shared" si="51"/>
        <v>168125</v>
      </c>
      <c r="L294" s="62">
        <f t="shared" si="51"/>
        <v>1558100</v>
      </c>
      <c r="M294" s="26"/>
      <c r="N294" s="24"/>
      <c r="O294" s="24"/>
      <c r="P294" s="24"/>
      <c r="Q294" s="24"/>
      <c r="R294" s="24"/>
    </row>
    <row r="295">
      <c r="A295" s="109"/>
      <c r="B295" s="24"/>
      <c r="C295" s="24"/>
      <c r="D295" s="24"/>
      <c r="E295" s="24"/>
      <c r="F295" s="24"/>
      <c r="G295" s="24"/>
      <c r="H295" s="24"/>
      <c r="I295" s="24"/>
      <c r="J295" s="24"/>
      <c r="K295" s="24"/>
      <c r="L295" s="110"/>
      <c r="M295" s="110"/>
      <c r="N295" s="24"/>
      <c r="O295" s="24"/>
      <c r="P295" s="24"/>
      <c r="Q295" s="24"/>
      <c r="R295" s="24"/>
    </row>
    <row r="296">
      <c r="A296" s="60"/>
      <c r="B296" s="61"/>
      <c r="C296" s="62"/>
      <c r="D296" s="62"/>
      <c r="E296" s="62"/>
      <c r="F296" s="62"/>
      <c r="G296" s="62"/>
      <c r="H296" s="62"/>
      <c r="I296" s="62"/>
      <c r="J296" s="62"/>
      <c r="K296" s="62"/>
      <c r="L296" s="62">
        <f>L294+L258+L163</f>
        <v>6931014</v>
      </c>
      <c r="M296" s="26"/>
      <c r="N296" s="111">
        <f>SUM(N7:N292)</f>
        <v>6931014</v>
      </c>
      <c r="O296" s="24"/>
      <c r="P296" s="24"/>
      <c r="Q296" s="24"/>
      <c r="R296" s="24"/>
    </row>
    <row r="297">
      <c r="A297" s="24"/>
      <c r="B297" s="24"/>
      <c r="C297" s="24"/>
      <c r="D297" s="24"/>
      <c r="E297" s="24"/>
      <c r="F297" s="24"/>
      <c r="G297" s="24"/>
      <c r="H297" s="24"/>
      <c r="I297" s="24"/>
      <c r="J297" s="24"/>
      <c r="K297" s="24"/>
      <c r="L297" s="24"/>
      <c r="M297" s="24"/>
      <c r="N297" s="24"/>
      <c r="O297" s="24"/>
      <c r="P297" s="24"/>
      <c r="Q297" s="24"/>
      <c r="R297" s="24"/>
    </row>
    <row r="298">
      <c r="A298" s="24"/>
      <c r="B298" s="24"/>
      <c r="C298" s="24"/>
      <c r="D298" s="24"/>
      <c r="E298" s="24"/>
      <c r="F298" s="24"/>
      <c r="G298" s="24"/>
      <c r="H298" s="24"/>
      <c r="I298" s="24"/>
      <c r="J298" s="24"/>
      <c r="K298" s="24"/>
      <c r="L298" s="24"/>
      <c r="M298" s="24"/>
      <c r="N298" s="24"/>
      <c r="O298" s="24"/>
      <c r="P298" s="24"/>
      <c r="Q298" s="24"/>
      <c r="R298" s="24"/>
    </row>
    <row r="299">
      <c r="A299" s="24"/>
      <c r="B299" s="24"/>
      <c r="C299" s="24"/>
      <c r="D299" s="24"/>
      <c r="E299" s="24"/>
      <c r="F299" s="24"/>
      <c r="G299" s="24"/>
      <c r="H299" s="24"/>
      <c r="I299" s="24"/>
      <c r="J299" s="24"/>
      <c r="K299" s="24"/>
      <c r="L299" s="24"/>
      <c r="M299" s="24"/>
      <c r="N299" s="24"/>
      <c r="O299" s="24"/>
      <c r="P299" s="24"/>
      <c r="Q299" s="24"/>
      <c r="R299" s="24"/>
    </row>
    <row r="300">
      <c r="A300" s="24"/>
      <c r="B300" s="24"/>
      <c r="C300" s="24"/>
      <c r="D300" s="24"/>
      <c r="E300" s="24"/>
      <c r="F300" s="24"/>
      <c r="G300" s="24"/>
      <c r="H300" s="24"/>
      <c r="I300" s="24"/>
      <c r="J300" s="24"/>
      <c r="K300" s="24"/>
      <c r="L300" s="24"/>
      <c r="M300" s="24"/>
      <c r="N300" s="24"/>
      <c r="O300" s="24"/>
      <c r="P300" s="24"/>
      <c r="Q300" s="24"/>
      <c r="R300" s="24"/>
    </row>
    <row r="301">
      <c r="A301" s="24"/>
      <c r="B301" s="24"/>
      <c r="C301" s="24"/>
      <c r="D301" s="24"/>
      <c r="E301" s="24"/>
      <c r="F301" s="24"/>
      <c r="G301" s="24"/>
      <c r="H301" s="24"/>
      <c r="I301" s="24"/>
      <c r="J301" s="24"/>
      <c r="K301" s="24"/>
      <c r="L301" s="24"/>
      <c r="M301" s="24"/>
      <c r="N301" s="24"/>
      <c r="O301" s="24"/>
      <c r="P301" s="24"/>
      <c r="Q301" s="24"/>
      <c r="R301" s="24"/>
    </row>
    <row r="302">
      <c r="A302" s="24"/>
      <c r="B302" s="24"/>
      <c r="C302" s="24"/>
      <c r="D302" s="24"/>
      <c r="E302" s="24"/>
      <c r="F302" s="24"/>
      <c r="G302" s="24"/>
      <c r="H302" s="24"/>
      <c r="I302" s="24"/>
      <c r="J302" s="24"/>
      <c r="K302" s="24"/>
      <c r="L302" s="24"/>
      <c r="M302" s="24"/>
      <c r="N302" s="24"/>
      <c r="O302" s="24"/>
      <c r="P302" s="24"/>
      <c r="Q302" s="24"/>
      <c r="R302" s="24"/>
    </row>
    <row r="303">
      <c r="A303" s="24"/>
      <c r="B303" s="24"/>
      <c r="C303" s="24"/>
      <c r="D303" s="24"/>
      <c r="E303" s="24"/>
      <c r="F303" s="24"/>
      <c r="G303" s="24"/>
      <c r="H303" s="24"/>
      <c r="I303" s="24"/>
      <c r="J303" s="24"/>
      <c r="K303" s="24"/>
      <c r="L303" s="24"/>
      <c r="M303" s="24"/>
      <c r="N303" s="24"/>
      <c r="O303" s="24"/>
      <c r="P303" s="24"/>
      <c r="Q303" s="24"/>
      <c r="R303" s="24"/>
    </row>
    <row r="304">
      <c r="A304" s="24"/>
      <c r="B304" s="24"/>
      <c r="C304" s="24"/>
      <c r="D304" s="24"/>
      <c r="E304" s="24"/>
      <c r="F304" s="24"/>
      <c r="G304" s="24"/>
      <c r="H304" s="24"/>
      <c r="I304" s="24"/>
      <c r="J304" s="24"/>
      <c r="K304" s="24"/>
      <c r="L304" s="24"/>
      <c r="M304" s="24"/>
      <c r="N304" s="24"/>
      <c r="O304" s="24"/>
      <c r="P304" s="24"/>
      <c r="Q304" s="24"/>
      <c r="R304" s="24"/>
    </row>
    <row r="305">
      <c r="A305" s="24"/>
      <c r="B305" s="24"/>
      <c r="C305" s="24"/>
      <c r="D305" s="24"/>
      <c r="E305" s="24"/>
      <c r="F305" s="24"/>
      <c r="G305" s="24"/>
      <c r="H305" s="24"/>
      <c r="I305" s="24"/>
      <c r="J305" s="24"/>
      <c r="K305" s="24"/>
      <c r="L305" s="24"/>
      <c r="M305" s="24"/>
      <c r="N305" s="24"/>
      <c r="O305" s="24"/>
      <c r="P305" s="24"/>
      <c r="Q305" s="24"/>
      <c r="R305" s="24"/>
    </row>
    <row r="306">
      <c r="A306" s="24"/>
      <c r="B306" s="24"/>
      <c r="C306" s="24"/>
      <c r="D306" s="24"/>
      <c r="E306" s="24"/>
      <c r="F306" s="24"/>
      <c r="G306" s="24"/>
      <c r="H306" s="24"/>
      <c r="I306" s="24"/>
      <c r="J306" s="24"/>
      <c r="K306" s="24"/>
      <c r="L306" s="24"/>
      <c r="M306" s="24"/>
      <c r="N306" s="24"/>
      <c r="O306" s="24"/>
      <c r="P306" s="24"/>
      <c r="Q306" s="24"/>
      <c r="R306" s="24"/>
    </row>
    <row r="307">
      <c r="A307" s="24"/>
      <c r="B307" s="24"/>
      <c r="C307" s="24"/>
      <c r="D307" s="24"/>
      <c r="E307" s="24"/>
      <c r="F307" s="24"/>
      <c r="G307" s="24"/>
      <c r="H307" s="24"/>
      <c r="I307" s="24"/>
      <c r="J307" s="24"/>
      <c r="K307" s="24"/>
      <c r="L307" s="24"/>
      <c r="M307" s="24"/>
      <c r="N307" s="24"/>
      <c r="O307" s="24"/>
      <c r="P307" s="24"/>
      <c r="Q307" s="24"/>
      <c r="R307" s="24"/>
    </row>
    <row r="308">
      <c r="A308" s="24"/>
      <c r="B308" s="24"/>
      <c r="C308" s="24"/>
      <c r="D308" s="24"/>
      <c r="E308" s="24"/>
      <c r="F308" s="24"/>
      <c r="G308" s="24"/>
      <c r="H308" s="24"/>
      <c r="I308" s="24"/>
      <c r="J308" s="24"/>
      <c r="K308" s="24"/>
      <c r="L308" s="24"/>
      <c r="M308" s="24"/>
      <c r="N308" s="24"/>
      <c r="O308" s="24"/>
      <c r="P308" s="24"/>
      <c r="Q308" s="24"/>
      <c r="R308" s="24"/>
    </row>
    <row r="309">
      <c r="A309" s="24"/>
      <c r="B309" s="24"/>
      <c r="C309" s="24"/>
      <c r="D309" s="24"/>
      <c r="E309" s="24"/>
      <c r="F309" s="24"/>
      <c r="G309" s="24"/>
      <c r="H309" s="24"/>
      <c r="I309" s="24"/>
      <c r="J309" s="24"/>
      <c r="K309" s="24"/>
      <c r="L309" s="24"/>
      <c r="M309" s="24"/>
      <c r="N309" s="24"/>
      <c r="O309" s="24"/>
      <c r="P309" s="24"/>
      <c r="Q309" s="24"/>
      <c r="R309" s="24"/>
    </row>
    <row r="310">
      <c r="A310" s="24"/>
      <c r="B310" s="24"/>
      <c r="C310" s="24"/>
      <c r="D310" s="24"/>
      <c r="E310" s="24"/>
      <c r="F310" s="24"/>
      <c r="G310" s="24"/>
      <c r="H310" s="24"/>
      <c r="I310" s="24"/>
      <c r="J310" s="24"/>
      <c r="K310" s="24"/>
      <c r="L310" s="24"/>
      <c r="M310" s="24"/>
      <c r="N310" s="24"/>
      <c r="O310" s="24"/>
      <c r="P310" s="24"/>
      <c r="Q310" s="24"/>
      <c r="R310" s="24"/>
    </row>
    <row r="311">
      <c r="A311" s="24"/>
      <c r="B311" s="24"/>
      <c r="C311" s="24"/>
      <c r="D311" s="24"/>
      <c r="E311" s="24"/>
      <c r="F311" s="24"/>
      <c r="G311" s="24"/>
      <c r="H311" s="24"/>
      <c r="I311" s="24"/>
      <c r="J311" s="24"/>
      <c r="K311" s="24"/>
      <c r="L311" s="24"/>
      <c r="M311" s="24"/>
      <c r="N311" s="24"/>
      <c r="O311" s="24"/>
      <c r="P311" s="24"/>
      <c r="Q311" s="24"/>
      <c r="R311" s="24"/>
    </row>
    <row r="312">
      <c r="A312" s="24"/>
      <c r="B312" s="24"/>
      <c r="C312" s="24"/>
      <c r="D312" s="24"/>
      <c r="E312" s="24"/>
      <c r="F312" s="24"/>
      <c r="G312" s="24"/>
      <c r="H312" s="24"/>
      <c r="I312" s="24"/>
      <c r="J312" s="24"/>
      <c r="K312" s="24"/>
      <c r="L312" s="24"/>
      <c r="M312" s="24"/>
      <c r="N312" s="24"/>
      <c r="O312" s="24"/>
      <c r="P312" s="24"/>
      <c r="Q312" s="24"/>
      <c r="R312" s="24"/>
    </row>
    <row r="313">
      <c r="A313" s="24"/>
      <c r="B313" s="24"/>
      <c r="C313" s="24"/>
      <c r="D313" s="24"/>
      <c r="E313" s="24"/>
      <c r="F313" s="24"/>
      <c r="G313" s="24"/>
      <c r="H313" s="24"/>
      <c r="I313" s="24"/>
      <c r="J313" s="24"/>
      <c r="K313" s="24"/>
      <c r="L313" s="24"/>
      <c r="M313" s="24"/>
      <c r="N313" s="24"/>
      <c r="O313" s="24"/>
      <c r="P313" s="24"/>
      <c r="Q313" s="24"/>
      <c r="R313" s="24"/>
    </row>
    <row r="314">
      <c r="A314" s="24"/>
      <c r="B314" s="24"/>
      <c r="C314" s="24"/>
      <c r="D314" s="24"/>
      <c r="E314" s="24"/>
      <c r="F314" s="24"/>
      <c r="G314" s="24"/>
      <c r="H314" s="24"/>
      <c r="I314" s="24"/>
      <c r="J314" s="24"/>
      <c r="K314" s="24"/>
      <c r="L314" s="24"/>
      <c r="M314" s="24"/>
      <c r="N314" s="24"/>
      <c r="O314" s="24"/>
      <c r="P314" s="24"/>
      <c r="Q314" s="24"/>
      <c r="R314" s="24"/>
    </row>
    <row r="315">
      <c r="A315" s="24"/>
      <c r="B315" s="24"/>
      <c r="C315" s="24"/>
      <c r="D315" s="24"/>
      <c r="E315" s="24"/>
      <c r="F315" s="24"/>
      <c r="G315" s="24"/>
      <c r="H315" s="24"/>
      <c r="I315" s="24"/>
      <c r="J315" s="24"/>
      <c r="K315" s="24"/>
      <c r="L315" s="24"/>
      <c r="M315" s="24"/>
      <c r="N315" s="24"/>
      <c r="O315" s="24"/>
      <c r="P315" s="24"/>
      <c r="Q315" s="24"/>
      <c r="R315" s="24"/>
    </row>
    <row r="316">
      <c r="A316" s="24"/>
      <c r="B316" s="24"/>
      <c r="C316" s="24"/>
      <c r="D316" s="24"/>
      <c r="E316" s="24"/>
      <c r="F316" s="24"/>
      <c r="G316" s="24"/>
      <c r="H316" s="24"/>
      <c r="I316" s="24"/>
      <c r="J316" s="24"/>
      <c r="K316" s="24"/>
      <c r="L316" s="24"/>
      <c r="M316" s="24"/>
      <c r="N316" s="24"/>
      <c r="O316" s="24"/>
      <c r="P316" s="24"/>
      <c r="Q316" s="24"/>
      <c r="R316" s="24"/>
    </row>
    <row r="317">
      <c r="A317" s="24"/>
      <c r="B317" s="24"/>
      <c r="C317" s="24"/>
      <c r="D317" s="24"/>
      <c r="E317" s="24"/>
      <c r="F317" s="24"/>
      <c r="G317" s="24"/>
      <c r="H317" s="24"/>
      <c r="I317" s="24"/>
      <c r="J317" s="24"/>
      <c r="K317" s="24"/>
      <c r="L317" s="24"/>
      <c r="M317" s="24"/>
      <c r="N317" s="24"/>
      <c r="O317" s="24"/>
      <c r="P317" s="24"/>
      <c r="Q317" s="24"/>
      <c r="R317" s="24"/>
    </row>
    <row r="318">
      <c r="A318" s="24"/>
      <c r="B318" s="24"/>
      <c r="C318" s="24"/>
      <c r="D318" s="24"/>
      <c r="E318" s="24"/>
      <c r="F318" s="24"/>
      <c r="G318" s="24"/>
      <c r="H318" s="24"/>
      <c r="I318" s="24"/>
      <c r="J318" s="24"/>
      <c r="K318" s="24"/>
      <c r="L318" s="24"/>
      <c r="M318" s="24"/>
      <c r="N318" s="24"/>
      <c r="O318" s="24"/>
      <c r="P318" s="24"/>
      <c r="Q318" s="24"/>
      <c r="R318" s="24"/>
    </row>
    <row r="319">
      <c r="A319" s="24"/>
      <c r="B319" s="24"/>
      <c r="C319" s="24"/>
      <c r="D319" s="24"/>
      <c r="E319" s="24"/>
      <c r="F319" s="24"/>
      <c r="G319" s="24"/>
      <c r="H319" s="24"/>
      <c r="I319" s="24"/>
      <c r="J319" s="24"/>
      <c r="K319" s="24"/>
      <c r="L319" s="24"/>
      <c r="M319" s="24"/>
      <c r="N319" s="24"/>
      <c r="O319" s="24"/>
      <c r="P319" s="24"/>
      <c r="Q319" s="24"/>
      <c r="R319" s="24"/>
    </row>
    <row r="320">
      <c r="A320" s="24"/>
      <c r="B320" s="24"/>
      <c r="C320" s="24"/>
      <c r="D320" s="24"/>
      <c r="E320" s="24"/>
      <c r="F320" s="24"/>
      <c r="G320" s="24"/>
      <c r="H320" s="24"/>
      <c r="I320" s="24"/>
      <c r="J320" s="24"/>
      <c r="K320" s="24"/>
      <c r="L320" s="24"/>
      <c r="M320" s="24"/>
      <c r="N320" s="24"/>
      <c r="O320" s="24"/>
      <c r="P320" s="24"/>
      <c r="Q320" s="24"/>
      <c r="R320" s="24"/>
    </row>
    <row r="321">
      <c r="A321" s="24"/>
      <c r="B321" s="24"/>
      <c r="C321" s="24"/>
      <c r="D321" s="24"/>
      <c r="E321" s="24"/>
      <c r="F321" s="24"/>
      <c r="G321" s="24"/>
      <c r="H321" s="24"/>
      <c r="I321" s="24"/>
      <c r="J321" s="24"/>
      <c r="K321" s="24"/>
      <c r="L321" s="24"/>
      <c r="M321" s="24"/>
      <c r="N321" s="24"/>
      <c r="O321" s="24"/>
      <c r="P321" s="24"/>
      <c r="Q321" s="24"/>
      <c r="R321" s="24"/>
    </row>
    <row r="322">
      <c r="A322" s="24"/>
      <c r="B322" s="24"/>
      <c r="C322" s="24"/>
      <c r="D322" s="24"/>
      <c r="E322" s="24"/>
      <c r="F322" s="24"/>
      <c r="G322" s="24"/>
      <c r="H322" s="24"/>
      <c r="I322" s="24"/>
      <c r="J322" s="24"/>
      <c r="K322" s="24"/>
      <c r="L322" s="24"/>
      <c r="M322" s="24"/>
      <c r="N322" s="24"/>
      <c r="O322" s="24"/>
      <c r="P322" s="24"/>
      <c r="Q322" s="24"/>
      <c r="R322" s="24"/>
    </row>
    <row r="323">
      <c r="A323" s="24"/>
      <c r="B323" s="24"/>
      <c r="C323" s="24"/>
      <c r="D323" s="24"/>
      <c r="E323" s="24"/>
      <c r="F323" s="24"/>
      <c r="G323" s="24"/>
      <c r="H323" s="24"/>
      <c r="I323" s="24"/>
      <c r="J323" s="24"/>
      <c r="K323" s="24"/>
      <c r="L323" s="24"/>
      <c r="M323" s="24"/>
      <c r="N323" s="24"/>
      <c r="O323" s="24"/>
      <c r="P323" s="24"/>
      <c r="Q323" s="24"/>
      <c r="R323" s="24"/>
    </row>
    <row r="324">
      <c r="A324" s="24"/>
      <c r="B324" s="24"/>
      <c r="C324" s="24"/>
      <c r="D324" s="24"/>
      <c r="E324" s="24"/>
      <c r="F324" s="24"/>
      <c r="G324" s="24"/>
      <c r="H324" s="24"/>
      <c r="I324" s="24"/>
      <c r="J324" s="24"/>
      <c r="K324" s="24"/>
      <c r="L324" s="24"/>
      <c r="M324" s="24"/>
      <c r="N324" s="24"/>
      <c r="O324" s="24"/>
      <c r="P324" s="24"/>
      <c r="Q324" s="24"/>
      <c r="R324" s="24"/>
    </row>
    <row r="325">
      <c r="A325" s="24"/>
      <c r="B325" s="24"/>
      <c r="C325" s="24"/>
      <c r="D325" s="24"/>
      <c r="E325" s="24"/>
      <c r="F325" s="24"/>
      <c r="G325" s="24"/>
      <c r="H325" s="24"/>
      <c r="I325" s="24"/>
      <c r="J325" s="24"/>
      <c r="K325" s="24"/>
      <c r="L325" s="24"/>
      <c r="M325" s="24"/>
      <c r="N325" s="24"/>
      <c r="O325" s="24"/>
      <c r="P325" s="24"/>
      <c r="Q325" s="24"/>
      <c r="R325" s="24"/>
    </row>
    <row r="326">
      <c r="A326" s="24"/>
      <c r="B326" s="24"/>
      <c r="C326" s="24"/>
      <c r="D326" s="24"/>
      <c r="E326" s="24"/>
      <c r="F326" s="24"/>
      <c r="G326" s="24"/>
      <c r="H326" s="24"/>
      <c r="I326" s="24"/>
      <c r="J326" s="24"/>
      <c r="K326" s="24"/>
      <c r="L326" s="24"/>
      <c r="M326" s="24"/>
      <c r="N326" s="24"/>
      <c r="O326" s="24"/>
      <c r="P326" s="24"/>
      <c r="Q326" s="24"/>
      <c r="R326" s="24"/>
    </row>
    <row r="327">
      <c r="A327" s="24"/>
      <c r="B327" s="24"/>
      <c r="C327" s="24"/>
      <c r="D327" s="24"/>
      <c r="E327" s="24"/>
      <c r="F327" s="24"/>
      <c r="G327" s="24"/>
      <c r="H327" s="24"/>
      <c r="I327" s="24"/>
      <c r="J327" s="24"/>
      <c r="K327" s="24"/>
      <c r="L327" s="24"/>
      <c r="M327" s="24"/>
      <c r="N327" s="24"/>
      <c r="O327" s="24"/>
      <c r="P327" s="24"/>
      <c r="Q327" s="24"/>
      <c r="R327" s="24"/>
    </row>
    <row r="328">
      <c r="A328" s="24"/>
      <c r="B328" s="24"/>
      <c r="C328" s="24"/>
      <c r="D328" s="24"/>
      <c r="E328" s="24"/>
      <c r="F328" s="24"/>
      <c r="G328" s="24"/>
      <c r="H328" s="24"/>
      <c r="I328" s="24"/>
      <c r="J328" s="24"/>
      <c r="K328" s="24"/>
      <c r="L328" s="24"/>
      <c r="M328" s="24"/>
      <c r="N328" s="24"/>
      <c r="O328" s="24"/>
      <c r="P328" s="24"/>
      <c r="Q328" s="24"/>
      <c r="R328" s="24"/>
    </row>
    <row r="329">
      <c r="A329" s="24"/>
      <c r="B329" s="24"/>
      <c r="C329" s="24"/>
      <c r="D329" s="24"/>
      <c r="E329" s="24"/>
      <c r="F329" s="24"/>
      <c r="G329" s="24"/>
      <c r="H329" s="24"/>
      <c r="I329" s="24"/>
      <c r="J329" s="24"/>
      <c r="K329" s="24"/>
      <c r="L329" s="24"/>
      <c r="M329" s="24"/>
      <c r="N329" s="24"/>
      <c r="O329" s="24"/>
      <c r="P329" s="24"/>
      <c r="Q329" s="24"/>
      <c r="R329" s="24"/>
    </row>
    <row r="330">
      <c r="A330" s="24"/>
      <c r="B330" s="24"/>
      <c r="C330" s="24"/>
      <c r="D330" s="24"/>
      <c r="E330" s="24"/>
      <c r="F330" s="24"/>
      <c r="G330" s="24"/>
      <c r="H330" s="24"/>
      <c r="I330" s="24"/>
      <c r="J330" s="24"/>
      <c r="K330" s="24"/>
      <c r="L330" s="24"/>
      <c r="M330" s="24"/>
      <c r="N330" s="24"/>
      <c r="O330" s="24"/>
      <c r="P330" s="24"/>
      <c r="Q330" s="24"/>
      <c r="R330" s="24"/>
    </row>
    <row r="331">
      <c r="A331" s="24"/>
      <c r="B331" s="24"/>
      <c r="C331" s="24"/>
      <c r="D331" s="24"/>
      <c r="E331" s="24"/>
      <c r="F331" s="24"/>
      <c r="G331" s="24"/>
      <c r="H331" s="24"/>
      <c r="I331" s="24"/>
      <c r="J331" s="24"/>
      <c r="K331" s="24"/>
      <c r="L331" s="24"/>
      <c r="M331" s="24"/>
      <c r="N331" s="24"/>
      <c r="O331" s="24"/>
      <c r="P331" s="24"/>
      <c r="Q331" s="24"/>
      <c r="R331" s="24"/>
    </row>
    <row r="332">
      <c r="A332" s="24"/>
      <c r="B332" s="24"/>
      <c r="C332" s="24"/>
      <c r="D332" s="24"/>
      <c r="E332" s="24"/>
      <c r="F332" s="24"/>
      <c r="G332" s="24"/>
      <c r="H332" s="24"/>
      <c r="I332" s="24"/>
      <c r="J332" s="24"/>
      <c r="K332" s="24"/>
      <c r="L332" s="24"/>
      <c r="M332" s="24"/>
      <c r="N332" s="24"/>
      <c r="O332" s="24"/>
      <c r="P332" s="24"/>
      <c r="Q332" s="24"/>
      <c r="R332" s="24"/>
    </row>
    <row r="333">
      <c r="A333" s="24"/>
      <c r="B333" s="24"/>
      <c r="C333" s="24"/>
      <c r="D333" s="24"/>
      <c r="E333" s="24"/>
      <c r="F333" s="24"/>
      <c r="G333" s="24"/>
      <c r="H333" s="24"/>
      <c r="I333" s="24"/>
      <c r="J333" s="24"/>
      <c r="K333" s="24"/>
      <c r="L333" s="24"/>
      <c r="M333" s="24"/>
      <c r="N333" s="24"/>
      <c r="O333" s="24"/>
      <c r="P333" s="24"/>
      <c r="Q333" s="24"/>
      <c r="R333" s="24"/>
    </row>
    <row r="334">
      <c r="A334" s="24"/>
      <c r="B334" s="24"/>
      <c r="C334" s="24"/>
      <c r="D334" s="24"/>
      <c r="E334" s="24"/>
      <c r="F334" s="24"/>
      <c r="G334" s="24"/>
      <c r="H334" s="24"/>
      <c r="I334" s="24"/>
      <c r="J334" s="24"/>
      <c r="K334" s="24"/>
      <c r="L334" s="24"/>
      <c r="M334" s="24"/>
      <c r="N334" s="24"/>
      <c r="O334" s="24"/>
      <c r="P334" s="24"/>
      <c r="Q334" s="24"/>
      <c r="R334" s="24"/>
    </row>
    <row r="335">
      <c r="A335" s="24"/>
      <c r="B335" s="24"/>
      <c r="C335" s="24"/>
      <c r="D335" s="24"/>
      <c r="E335" s="24"/>
      <c r="F335" s="24"/>
      <c r="G335" s="24"/>
      <c r="H335" s="24"/>
      <c r="I335" s="24"/>
      <c r="J335" s="24"/>
      <c r="K335" s="24"/>
      <c r="L335" s="24"/>
      <c r="M335" s="24"/>
      <c r="N335" s="24"/>
      <c r="O335" s="24"/>
      <c r="P335" s="24"/>
      <c r="Q335" s="24"/>
      <c r="R335" s="24"/>
    </row>
    <row r="336">
      <c r="A336" s="24"/>
      <c r="B336" s="24"/>
      <c r="C336" s="24"/>
      <c r="D336" s="24"/>
      <c r="E336" s="24"/>
      <c r="F336" s="24"/>
      <c r="G336" s="24"/>
      <c r="H336" s="24"/>
      <c r="I336" s="24"/>
      <c r="J336" s="24"/>
      <c r="K336" s="24"/>
      <c r="L336" s="24"/>
      <c r="M336" s="24"/>
      <c r="N336" s="24"/>
      <c r="O336" s="24"/>
      <c r="P336" s="24"/>
      <c r="Q336" s="24"/>
      <c r="R336" s="24"/>
    </row>
    <row r="337">
      <c r="A337" s="24"/>
      <c r="B337" s="24"/>
      <c r="C337" s="24"/>
      <c r="D337" s="24"/>
      <c r="E337" s="24"/>
      <c r="F337" s="24"/>
      <c r="G337" s="24"/>
      <c r="H337" s="24"/>
      <c r="I337" s="24"/>
      <c r="J337" s="24"/>
      <c r="K337" s="24"/>
      <c r="L337" s="24"/>
      <c r="M337" s="24"/>
      <c r="N337" s="24"/>
      <c r="O337" s="24"/>
      <c r="P337" s="24"/>
      <c r="Q337" s="24"/>
      <c r="R337" s="24"/>
    </row>
    <row r="338">
      <c r="A338" s="24"/>
      <c r="B338" s="24"/>
      <c r="C338" s="24"/>
      <c r="D338" s="24"/>
      <c r="E338" s="24"/>
      <c r="F338" s="24"/>
      <c r="G338" s="24"/>
      <c r="H338" s="24"/>
      <c r="I338" s="24"/>
      <c r="J338" s="24"/>
      <c r="K338" s="24"/>
      <c r="L338" s="24"/>
      <c r="M338" s="24"/>
      <c r="N338" s="24"/>
      <c r="O338" s="24"/>
      <c r="P338" s="24"/>
      <c r="Q338" s="24"/>
      <c r="R338" s="24"/>
    </row>
    <row r="339">
      <c r="A339" s="24"/>
      <c r="B339" s="24"/>
      <c r="C339" s="24"/>
      <c r="D339" s="24"/>
      <c r="E339" s="24"/>
      <c r="F339" s="24"/>
      <c r="G339" s="24"/>
      <c r="H339" s="24"/>
      <c r="I339" s="24"/>
      <c r="J339" s="24"/>
      <c r="K339" s="24"/>
      <c r="L339" s="24"/>
      <c r="M339" s="24"/>
      <c r="N339" s="24"/>
      <c r="O339" s="24"/>
      <c r="P339" s="24"/>
      <c r="Q339" s="24"/>
      <c r="R339" s="24"/>
    </row>
    <row r="340">
      <c r="A340" s="24"/>
      <c r="B340" s="24"/>
      <c r="C340" s="24"/>
      <c r="D340" s="24"/>
      <c r="E340" s="24"/>
      <c r="F340" s="24"/>
      <c r="G340" s="24"/>
      <c r="H340" s="24"/>
      <c r="I340" s="24"/>
      <c r="J340" s="24"/>
      <c r="K340" s="24"/>
      <c r="L340" s="24"/>
      <c r="M340" s="24"/>
      <c r="N340" s="24"/>
      <c r="O340" s="24"/>
      <c r="P340" s="24"/>
      <c r="Q340" s="24"/>
      <c r="R340" s="24"/>
    </row>
    <row r="341">
      <c r="A341" s="24"/>
      <c r="B341" s="24"/>
      <c r="C341" s="24"/>
      <c r="D341" s="24"/>
      <c r="E341" s="24"/>
      <c r="F341" s="24"/>
      <c r="G341" s="24"/>
      <c r="H341" s="24"/>
      <c r="I341" s="24"/>
      <c r="J341" s="24"/>
      <c r="K341" s="24"/>
      <c r="L341" s="24"/>
      <c r="M341" s="24"/>
      <c r="N341" s="24"/>
      <c r="O341" s="24"/>
      <c r="P341" s="24"/>
      <c r="Q341" s="24"/>
      <c r="R341" s="24"/>
    </row>
    <row r="342">
      <c r="A342" s="24"/>
      <c r="B342" s="24"/>
      <c r="C342" s="24"/>
      <c r="D342" s="24"/>
      <c r="E342" s="24"/>
      <c r="F342" s="24"/>
      <c r="G342" s="24"/>
      <c r="H342" s="24"/>
      <c r="I342" s="24"/>
      <c r="J342" s="24"/>
      <c r="K342" s="24"/>
      <c r="L342" s="24"/>
      <c r="M342" s="24"/>
      <c r="N342" s="24"/>
      <c r="O342" s="24"/>
      <c r="P342" s="24"/>
      <c r="Q342" s="24"/>
      <c r="R342" s="24"/>
    </row>
    <row r="343">
      <c r="A343" s="24"/>
      <c r="B343" s="24"/>
      <c r="C343" s="24"/>
      <c r="D343" s="24"/>
      <c r="E343" s="24"/>
      <c r="F343" s="24"/>
      <c r="G343" s="24"/>
      <c r="H343" s="24"/>
      <c r="I343" s="24"/>
      <c r="J343" s="24"/>
      <c r="K343" s="24"/>
      <c r="L343" s="24"/>
      <c r="M343" s="24"/>
      <c r="N343" s="24"/>
      <c r="O343" s="24"/>
      <c r="P343" s="24"/>
      <c r="Q343" s="24"/>
      <c r="R343" s="24"/>
    </row>
    <row r="344">
      <c r="A344" s="24"/>
      <c r="B344" s="24"/>
      <c r="C344" s="24"/>
      <c r="D344" s="24"/>
      <c r="E344" s="24"/>
      <c r="F344" s="24"/>
      <c r="G344" s="24"/>
      <c r="H344" s="24"/>
      <c r="I344" s="24"/>
      <c r="J344" s="24"/>
      <c r="K344" s="24"/>
      <c r="L344" s="24"/>
      <c r="M344" s="24"/>
      <c r="N344" s="24"/>
      <c r="O344" s="24"/>
      <c r="P344" s="24"/>
      <c r="Q344" s="24"/>
      <c r="R344" s="24"/>
    </row>
    <row r="345">
      <c r="A345" s="24"/>
      <c r="B345" s="24"/>
      <c r="C345" s="24"/>
      <c r="D345" s="24"/>
      <c r="E345" s="24"/>
      <c r="F345" s="24"/>
      <c r="G345" s="24"/>
      <c r="H345" s="24"/>
      <c r="I345" s="24"/>
      <c r="J345" s="24"/>
      <c r="K345" s="24"/>
      <c r="L345" s="24"/>
      <c r="M345" s="24"/>
      <c r="N345" s="24"/>
      <c r="O345" s="24"/>
      <c r="P345" s="24"/>
      <c r="Q345" s="24"/>
      <c r="R345" s="24"/>
    </row>
    <row r="346">
      <c r="A346" s="24"/>
      <c r="B346" s="24"/>
      <c r="C346" s="24"/>
      <c r="D346" s="24"/>
      <c r="E346" s="24"/>
      <c r="F346" s="24"/>
      <c r="G346" s="24"/>
      <c r="H346" s="24"/>
      <c r="I346" s="24"/>
      <c r="J346" s="24"/>
      <c r="K346" s="24"/>
      <c r="L346" s="24"/>
      <c r="M346" s="24"/>
      <c r="N346" s="24"/>
      <c r="O346" s="24"/>
      <c r="P346" s="24"/>
      <c r="Q346" s="24"/>
      <c r="R346" s="24"/>
    </row>
    <row r="347">
      <c r="A347" s="24"/>
      <c r="B347" s="24"/>
      <c r="C347" s="24"/>
      <c r="D347" s="24"/>
      <c r="E347" s="24"/>
      <c r="F347" s="24"/>
      <c r="G347" s="24"/>
      <c r="H347" s="24"/>
      <c r="I347" s="24"/>
      <c r="J347" s="24"/>
      <c r="K347" s="24"/>
      <c r="L347" s="24"/>
      <c r="M347" s="24"/>
      <c r="N347" s="24"/>
      <c r="O347" s="24"/>
      <c r="P347" s="24"/>
      <c r="Q347" s="24"/>
      <c r="R347" s="24"/>
    </row>
    <row r="348">
      <c r="A348" s="24"/>
      <c r="B348" s="24"/>
      <c r="C348" s="24"/>
      <c r="D348" s="24"/>
      <c r="E348" s="24"/>
      <c r="F348" s="24"/>
      <c r="G348" s="24"/>
      <c r="H348" s="24"/>
      <c r="I348" s="24"/>
      <c r="J348" s="24"/>
      <c r="K348" s="24"/>
      <c r="L348" s="24"/>
      <c r="M348" s="24"/>
      <c r="N348" s="24"/>
      <c r="O348" s="24"/>
      <c r="P348" s="24"/>
      <c r="Q348" s="24"/>
      <c r="R348" s="24"/>
    </row>
    <row r="349">
      <c r="A349" s="24"/>
      <c r="B349" s="24"/>
      <c r="C349" s="24"/>
      <c r="D349" s="24"/>
      <c r="E349" s="24"/>
      <c r="F349" s="24"/>
      <c r="G349" s="24"/>
      <c r="H349" s="24"/>
      <c r="I349" s="24"/>
      <c r="J349" s="24"/>
      <c r="K349" s="24"/>
      <c r="L349" s="24"/>
      <c r="M349" s="24"/>
      <c r="N349" s="24"/>
      <c r="O349" s="24"/>
      <c r="P349" s="24"/>
      <c r="Q349" s="24"/>
      <c r="R349" s="24"/>
    </row>
    <row r="350">
      <c r="A350" s="24"/>
      <c r="B350" s="24"/>
      <c r="C350" s="24"/>
      <c r="D350" s="24"/>
      <c r="E350" s="24"/>
      <c r="F350" s="24"/>
      <c r="G350" s="24"/>
      <c r="H350" s="24"/>
      <c r="I350" s="24"/>
      <c r="J350" s="24"/>
      <c r="K350" s="24"/>
      <c r="L350" s="24"/>
      <c r="M350" s="24"/>
      <c r="N350" s="24"/>
      <c r="O350" s="24"/>
      <c r="P350" s="24"/>
      <c r="Q350" s="24"/>
      <c r="R350" s="24"/>
    </row>
    <row r="351">
      <c r="A351" s="24"/>
      <c r="B351" s="24"/>
      <c r="C351" s="24"/>
      <c r="D351" s="24"/>
      <c r="E351" s="24"/>
      <c r="F351" s="24"/>
      <c r="G351" s="24"/>
      <c r="H351" s="24"/>
      <c r="I351" s="24"/>
      <c r="J351" s="24"/>
      <c r="K351" s="24"/>
      <c r="L351" s="24"/>
      <c r="M351" s="24"/>
      <c r="N351" s="24"/>
      <c r="O351" s="24"/>
      <c r="P351" s="24"/>
      <c r="Q351" s="24"/>
      <c r="R351" s="24"/>
    </row>
    <row r="352">
      <c r="A352" s="24"/>
      <c r="B352" s="24"/>
      <c r="C352" s="24"/>
      <c r="D352" s="24"/>
      <c r="E352" s="24"/>
      <c r="F352" s="24"/>
      <c r="G352" s="24"/>
      <c r="H352" s="24"/>
      <c r="I352" s="24"/>
      <c r="J352" s="24"/>
      <c r="K352" s="24"/>
      <c r="L352" s="24"/>
      <c r="M352" s="24"/>
      <c r="N352" s="24"/>
      <c r="O352" s="24"/>
      <c r="P352" s="24"/>
      <c r="Q352" s="24"/>
      <c r="R352" s="24"/>
    </row>
    <row r="353">
      <c r="A353" s="24"/>
      <c r="B353" s="24"/>
      <c r="C353" s="24"/>
      <c r="D353" s="24"/>
      <c r="E353" s="24"/>
      <c r="F353" s="24"/>
      <c r="G353" s="24"/>
      <c r="H353" s="24"/>
      <c r="I353" s="24"/>
      <c r="J353" s="24"/>
      <c r="K353" s="24"/>
      <c r="L353" s="24"/>
      <c r="M353" s="24"/>
      <c r="N353" s="24"/>
      <c r="O353" s="24"/>
      <c r="P353" s="24"/>
      <c r="Q353" s="24"/>
      <c r="R353" s="24"/>
    </row>
    <row r="354">
      <c r="A354" s="24"/>
      <c r="B354" s="24"/>
      <c r="C354" s="24"/>
      <c r="D354" s="24"/>
      <c r="E354" s="24"/>
      <c r="F354" s="24"/>
      <c r="G354" s="24"/>
      <c r="H354" s="24"/>
      <c r="I354" s="24"/>
      <c r="J354" s="24"/>
      <c r="K354" s="24"/>
      <c r="L354" s="24"/>
      <c r="M354" s="24"/>
      <c r="N354" s="24"/>
      <c r="O354" s="24"/>
      <c r="P354" s="24"/>
      <c r="Q354" s="24"/>
      <c r="R354" s="24"/>
    </row>
    <row r="355">
      <c r="A355" s="24"/>
      <c r="B355" s="24"/>
      <c r="C355" s="24"/>
      <c r="D355" s="24"/>
      <c r="E355" s="24"/>
      <c r="F355" s="24"/>
      <c r="G355" s="24"/>
      <c r="H355" s="24"/>
      <c r="I355" s="24"/>
      <c r="J355" s="24"/>
      <c r="K355" s="24"/>
      <c r="L355" s="24"/>
      <c r="M355" s="24"/>
      <c r="N355" s="24"/>
      <c r="O355" s="24"/>
      <c r="P355" s="24"/>
      <c r="Q355" s="24"/>
      <c r="R355" s="24"/>
    </row>
    <row r="356">
      <c r="A356" s="24"/>
      <c r="B356" s="24"/>
      <c r="C356" s="24"/>
      <c r="D356" s="24"/>
      <c r="E356" s="24"/>
      <c r="F356" s="24"/>
      <c r="G356" s="24"/>
      <c r="H356" s="24"/>
      <c r="I356" s="24"/>
      <c r="J356" s="24"/>
      <c r="K356" s="24"/>
      <c r="L356" s="24"/>
      <c r="M356" s="24"/>
      <c r="N356" s="24"/>
      <c r="O356" s="24"/>
      <c r="P356" s="24"/>
      <c r="Q356" s="24"/>
      <c r="R356" s="24"/>
    </row>
    <row r="357">
      <c r="A357" s="24"/>
      <c r="B357" s="24"/>
      <c r="C357" s="24"/>
      <c r="D357" s="24"/>
      <c r="E357" s="24"/>
      <c r="F357" s="24"/>
      <c r="G357" s="24"/>
      <c r="H357" s="24"/>
      <c r="I357" s="24"/>
      <c r="J357" s="24"/>
      <c r="K357" s="24"/>
      <c r="L357" s="24"/>
      <c r="M357" s="24"/>
      <c r="N357" s="24"/>
      <c r="O357" s="24"/>
      <c r="P357" s="24"/>
      <c r="Q357" s="24"/>
      <c r="R357" s="24"/>
    </row>
    <row r="358">
      <c r="A358" s="24"/>
      <c r="B358" s="24"/>
      <c r="C358" s="24"/>
      <c r="D358" s="24"/>
      <c r="E358" s="24"/>
      <c r="F358" s="24"/>
      <c r="G358" s="24"/>
      <c r="H358" s="24"/>
      <c r="I358" s="24"/>
      <c r="J358" s="24"/>
      <c r="K358" s="24"/>
      <c r="L358" s="24"/>
      <c r="M358" s="24"/>
      <c r="N358" s="24"/>
      <c r="O358" s="24"/>
      <c r="P358" s="24"/>
      <c r="Q358" s="24"/>
      <c r="R358" s="24"/>
    </row>
    <row r="359">
      <c r="A359" s="24"/>
      <c r="B359" s="24"/>
      <c r="C359" s="24"/>
      <c r="D359" s="24"/>
      <c r="E359" s="24"/>
      <c r="F359" s="24"/>
      <c r="G359" s="24"/>
      <c r="H359" s="24"/>
      <c r="I359" s="24"/>
      <c r="J359" s="24"/>
      <c r="K359" s="24"/>
      <c r="L359" s="24"/>
      <c r="M359" s="24"/>
      <c r="N359" s="24"/>
      <c r="O359" s="24"/>
      <c r="P359" s="24"/>
      <c r="Q359" s="24"/>
      <c r="R359" s="24"/>
    </row>
    <row r="360">
      <c r="A360" s="24"/>
      <c r="B360" s="24"/>
      <c r="C360" s="24"/>
      <c r="D360" s="24"/>
      <c r="E360" s="24"/>
      <c r="F360" s="24"/>
      <c r="G360" s="24"/>
      <c r="H360" s="24"/>
      <c r="I360" s="24"/>
      <c r="J360" s="24"/>
      <c r="K360" s="24"/>
      <c r="L360" s="24"/>
      <c r="M360" s="24"/>
      <c r="N360" s="24"/>
      <c r="O360" s="24"/>
      <c r="P360" s="24"/>
      <c r="Q360" s="24"/>
      <c r="R360" s="24"/>
    </row>
    <row r="361">
      <c r="A361" s="24"/>
      <c r="B361" s="24"/>
      <c r="C361" s="24"/>
      <c r="D361" s="24"/>
      <c r="E361" s="24"/>
      <c r="F361" s="24"/>
      <c r="G361" s="24"/>
      <c r="H361" s="24"/>
      <c r="I361" s="24"/>
      <c r="J361" s="24"/>
      <c r="K361" s="24"/>
      <c r="L361" s="24"/>
      <c r="M361" s="24"/>
      <c r="N361" s="24"/>
      <c r="O361" s="24"/>
      <c r="P361" s="24"/>
      <c r="Q361" s="24"/>
      <c r="R361" s="24"/>
    </row>
    <row r="362">
      <c r="A362" s="24"/>
      <c r="B362" s="24"/>
      <c r="C362" s="24"/>
      <c r="D362" s="24"/>
      <c r="E362" s="24"/>
      <c r="F362" s="24"/>
      <c r="G362" s="24"/>
      <c r="H362" s="24"/>
      <c r="I362" s="24"/>
      <c r="J362" s="24"/>
      <c r="K362" s="24"/>
      <c r="L362" s="24"/>
      <c r="M362" s="24"/>
      <c r="N362" s="24"/>
      <c r="O362" s="24"/>
      <c r="P362" s="24"/>
      <c r="Q362" s="24"/>
      <c r="R362" s="24"/>
    </row>
    <row r="363">
      <c r="A363" s="24"/>
      <c r="B363" s="24"/>
      <c r="C363" s="24"/>
      <c r="D363" s="24"/>
      <c r="E363" s="24"/>
      <c r="F363" s="24"/>
      <c r="G363" s="24"/>
      <c r="H363" s="24"/>
      <c r="I363" s="24"/>
      <c r="J363" s="24"/>
      <c r="K363" s="24"/>
      <c r="L363" s="24"/>
      <c r="M363" s="24"/>
      <c r="N363" s="24"/>
      <c r="O363" s="24"/>
      <c r="P363" s="24"/>
      <c r="Q363" s="24"/>
      <c r="R363" s="24"/>
    </row>
    <row r="364">
      <c r="A364" s="24"/>
      <c r="B364" s="24"/>
      <c r="C364" s="24"/>
      <c r="D364" s="24"/>
      <c r="E364" s="24"/>
      <c r="F364" s="24"/>
      <c r="G364" s="24"/>
      <c r="H364" s="24"/>
      <c r="I364" s="24"/>
      <c r="J364" s="24"/>
      <c r="K364" s="24"/>
      <c r="L364" s="24"/>
      <c r="M364" s="24"/>
      <c r="N364" s="24"/>
      <c r="O364" s="24"/>
      <c r="P364" s="24"/>
      <c r="Q364" s="24"/>
      <c r="R364" s="24"/>
    </row>
    <row r="365">
      <c r="A365" s="24"/>
      <c r="B365" s="24"/>
      <c r="C365" s="24"/>
      <c r="D365" s="24"/>
      <c r="E365" s="24"/>
      <c r="F365" s="24"/>
      <c r="G365" s="24"/>
      <c r="H365" s="24"/>
      <c r="I365" s="24"/>
      <c r="J365" s="24"/>
      <c r="K365" s="24"/>
      <c r="L365" s="24"/>
      <c r="M365" s="24"/>
      <c r="N365" s="24"/>
      <c r="O365" s="24"/>
      <c r="P365" s="24"/>
      <c r="Q365" s="24"/>
      <c r="R365" s="24"/>
    </row>
    <row r="366">
      <c r="A366" s="24"/>
      <c r="B366" s="24"/>
      <c r="C366" s="24"/>
      <c r="D366" s="24"/>
      <c r="E366" s="24"/>
      <c r="F366" s="24"/>
      <c r="G366" s="24"/>
      <c r="H366" s="24"/>
      <c r="I366" s="24"/>
      <c r="J366" s="24"/>
      <c r="K366" s="24"/>
      <c r="L366" s="24"/>
      <c r="M366" s="24"/>
      <c r="N366" s="24"/>
      <c r="O366" s="24"/>
      <c r="P366" s="24"/>
      <c r="Q366" s="24"/>
      <c r="R366" s="24"/>
    </row>
    <row r="367">
      <c r="A367" s="24"/>
      <c r="B367" s="24"/>
      <c r="C367" s="24"/>
      <c r="D367" s="24"/>
      <c r="E367" s="24"/>
      <c r="F367" s="24"/>
      <c r="G367" s="24"/>
      <c r="H367" s="24"/>
      <c r="I367" s="24"/>
      <c r="J367" s="24"/>
      <c r="K367" s="24"/>
      <c r="L367" s="24"/>
      <c r="M367" s="24"/>
      <c r="N367" s="24"/>
      <c r="O367" s="24"/>
      <c r="P367" s="24"/>
      <c r="Q367" s="24"/>
      <c r="R367" s="24"/>
    </row>
    <row r="368">
      <c r="A368" s="24"/>
      <c r="B368" s="24"/>
      <c r="C368" s="24"/>
      <c r="D368" s="24"/>
      <c r="E368" s="24"/>
      <c r="F368" s="24"/>
      <c r="G368" s="24"/>
      <c r="H368" s="24"/>
      <c r="I368" s="24"/>
      <c r="J368" s="24"/>
      <c r="K368" s="24"/>
      <c r="L368" s="24"/>
      <c r="M368" s="24"/>
      <c r="N368" s="24"/>
      <c r="O368" s="24"/>
      <c r="P368" s="24"/>
      <c r="Q368" s="24"/>
      <c r="R368" s="24"/>
    </row>
    <row r="369">
      <c r="A369" s="24"/>
      <c r="B369" s="24"/>
      <c r="C369" s="24"/>
      <c r="D369" s="24"/>
      <c r="E369" s="24"/>
      <c r="F369" s="24"/>
      <c r="G369" s="24"/>
      <c r="H369" s="24"/>
      <c r="I369" s="24"/>
      <c r="J369" s="24"/>
      <c r="K369" s="24"/>
      <c r="L369" s="24"/>
      <c r="M369" s="24"/>
      <c r="N369" s="24"/>
      <c r="O369" s="24"/>
      <c r="P369" s="24"/>
      <c r="Q369" s="24"/>
      <c r="R369" s="24"/>
    </row>
    <row r="370">
      <c r="A370" s="24"/>
      <c r="B370" s="24"/>
      <c r="C370" s="24"/>
      <c r="D370" s="24"/>
      <c r="E370" s="24"/>
      <c r="F370" s="24"/>
      <c r="G370" s="24"/>
      <c r="H370" s="24"/>
      <c r="I370" s="24"/>
      <c r="J370" s="24"/>
      <c r="K370" s="24"/>
      <c r="L370" s="24"/>
      <c r="M370" s="24"/>
      <c r="N370" s="24"/>
      <c r="O370" s="24"/>
      <c r="P370" s="24"/>
      <c r="Q370" s="24"/>
      <c r="R370" s="24"/>
    </row>
    <row r="371">
      <c r="A371" s="24"/>
      <c r="B371" s="24"/>
      <c r="C371" s="24"/>
      <c r="D371" s="24"/>
      <c r="E371" s="24"/>
      <c r="F371" s="24"/>
      <c r="G371" s="24"/>
      <c r="H371" s="24"/>
      <c r="I371" s="24"/>
      <c r="J371" s="24"/>
      <c r="K371" s="24"/>
      <c r="L371" s="24"/>
      <c r="M371" s="24"/>
      <c r="N371" s="24"/>
      <c r="O371" s="24"/>
      <c r="P371" s="24"/>
      <c r="Q371" s="24"/>
      <c r="R371" s="24"/>
    </row>
    <row r="372">
      <c r="A372" s="24"/>
      <c r="B372" s="24"/>
      <c r="C372" s="24"/>
      <c r="D372" s="24"/>
      <c r="E372" s="24"/>
      <c r="F372" s="24"/>
      <c r="G372" s="24"/>
      <c r="H372" s="24"/>
      <c r="I372" s="24"/>
      <c r="J372" s="24"/>
      <c r="K372" s="24"/>
      <c r="L372" s="24"/>
      <c r="M372" s="24"/>
      <c r="N372" s="24"/>
      <c r="O372" s="24"/>
      <c r="P372" s="24"/>
      <c r="Q372" s="24"/>
      <c r="R372" s="24"/>
    </row>
    <row r="373">
      <c r="A373" s="24"/>
      <c r="B373" s="24"/>
      <c r="C373" s="24"/>
      <c r="D373" s="24"/>
      <c r="E373" s="24"/>
      <c r="F373" s="24"/>
      <c r="G373" s="24"/>
      <c r="H373" s="24"/>
      <c r="I373" s="24"/>
      <c r="J373" s="24"/>
      <c r="K373" s="24"/>
      <c r="L373" s="24"/>
      <c r="M373" s="24"/>
      <c r="N373" s="24"/>
      <c r="O373" s="24"/>
      <c r="P373" s="24"/>
      <c r="Q373" s="24"/>
      <c r="R373" s="24"/>
    </row>
    <row r="374">
      <c r="A374" s="24"/>
      <c r="B374" s="24"/>
      <c r="C374" s="24"/>
      <c r="D374" s="24"/>
      <c r="E374" s="24"/>
      <c r="F374" s="24"/>
      <c r="G374" s="24"/>
      <c r="H374" s="24"/>
      <c r="I374" s="24"/>
      <c r="J374" s="24"/>
      <c r="K374" s="24"/>
      <c r="L374" s="24"/>
      <c r="M374" s="24"/>
      <c r="N374" s="24"/>
      <c r="O374" s="24"/>
      <c r="P374" s="24"/>
      <c r="Q374" s="24"/>
      <c r="R374" s="24"/>
    </row>
    <row r="375">
      <c r="A375" s="24"/>
      <c r="B375" s="24"/>
      <c r="C375" s="24"/>
      <c r="D375" s="24"/>
      <c r="E375" s="24"/>
      <c r="F375" s="24"/>
      <c r="G375" s="24"/>
      <c r="H375" s="24"/>
      <c r="I375" s="24"/>
      <c r="J375" s="24"/>
      <c r="K375" s="24"/>
      <c r="L375" s="24"/>
      <c r="M375" s="24"/>
      <c r="N375" s="24"/>
      <c r="O375" s="24"/>
      <c r="P375" s="24"/>
      <c r="Q375" s="24"/>
      <c r="R375" s="24"/>
    </row>
    <row r="376">
      <c r="A376" s="24"/>
      <c r="B376" s="24"/>
      <c r="C376" s="24"/>
      <c r="D376" s="24"/>
      <c r="E376" s="24"/>
      <c r="F376" s="24"/>
      <c r="G376" s="24"/>
      <c r="H376" s="24"/>
      <c r="I376" s="24"/>
      <c r="J376" s="24"/>
      <c r="K376" s="24"/>
      <c r="L376" s="24"/>
      <c r="M376" s="24"/>
      <c r="N376" s="24"/>
      <c r="O376" s="24"/>
      <c r="P376" s="24"/>
      <c r="Q376" s="24"/>
      <c r="R376" s="24"/>
    </row>
    <row r="377">
      <c r="A377" s="24"/>
      <c r="B377" s="24"/>
      <c r="C377" s="24"/>
      <c r="D377" s="24"/>
      <c r="E377" s="24"/>
      <c r="F377" s="24"/>
      <c r="G377" s="24"/>
      <c r="H377" s="24"/>
      <c r="I377" s="24"/>
      <c r="J377" s="24"/>
      <c r="K377" s="24"/>
      <c r="L377" s="24"/>
      <c r="M377" s="24"/>
      <c r="N377" s="24"/>
      <c r="O377" s="24"/>
      <c r="P377" s="24"/>
      <c r="Q377" s="24"/>
      <c r="R377" s="24"/>
    </row>
    <row r="378">
      <c r="A378" s="24"/>
      <c r="B378" s="24"/>
      <c r="C378" s="24"/>
      <c r="D378" s="24"/>
      <c r="E378" s="24"/>
      <c r="F378" s="24"/>
      <c r="G378" s="24"/>
      <c r="H378" s="24"/>
      <c r="I378" s="24"/>
      <c r="J378" s="24"/>
      <c r="K378" s="24"/>
      <c r="L378" s="24"/>
      <c r="M378" s="24"/>
      <c r="N378" s="24"/>
      <c r="O378" s="24"/>
      <c r="P378" s="24"/>
      <c r="Q378" s="24"/>
      <c r="R378" s="24"/>
    </row>
    <row r="379">
      <c r="A379" s="24"/>
      <c r="B379" s="24"/>
      <c r="C379" s="24"/>
      <c r="D379" s="24"/>
      <c r="E379" s="24"/>
      <c r="F379" s="24"/>
      <c r="G379" s="24"/>
      <c r="H379" s="24"/>
      <c r="I379" s="24"/>
      <c r="J379" s="24"/>
      <c r="K379" s="24"/>
      <c r="L379" s="24"/>
      <c r="M379" s="24"/>
      <c r="N379" s="24"/>
      <c r="O379" s="24"/>
      <c r="P379" s="24"/>
      <c r="Q379" s="24"/>
      <c r="R379" s="24"/>
    </row>
    <row r="380">
      <c r="A380" s="24"/>
      <c r="B380" s="24"/>
      <c r="C380" s="24"/>
      <c r="D380" s="24"/>
      <c r="E380" s="24"/>
      <c r="F380" s="24"/>
      <c r="G380" s="24"/>
      <c r="H380" s="24"/>
      <c r="I380" s="24"/>
      <c r="J380" s="24"/>
      <c r="K380" s="24"/>
      <c r="L380" s="24"/>
      <c r="M380" s="24"/>
      <c r="N380" s="24"/>
      <c r="O380" s="24"/>
      <c r="P380" s="24"/>
      <c r="Q380" s="24"/>
      <c r="R380" s="24"/>
    </row>
    <row r="381">
      <c r="A381" s="24"/>
      <c r="B381" s="24"/>
      <c r="C381" s="24"/>
      <c r="D381" s="24"/>
      <c r="E381" s="24"/>
      <c r="F381" s="24"/>
      <c r="G381" s="24"/>
      <c r="H381" s="24"/>
      <c r="I381" s="24"/>
      <c r="J381" s="24"/>
      <c r="K381" s="24"/>
      <c r="L381" s="24"/>
      <c r="M381" s="24"/>
      <c r="N381" s="24"/>
      <c r="O381" s="24"/>
      <c r="P381" s="24"/>
      <c r="Q381" s="24"/>
      <c r="R381" s="24"/>
    </row>
    <row r="382">
      <c r="A382" s="24"/>
      <c r="B382" s="24"/>
      <c r="C382" s="24"/>
      <c r="D382" s="24"/>
      <c r="E382" s="24"/>
      <c r="F382" s="24"/>
      <c r="G382" s="24"/>
      <c r="H382" s="24"/>
      <c r="I382" s="24"/>
      <c r="J382" s="24"/>
      <c r="K382" s="24"/>
      <c r="L382" s="24"/>
      <c r="M382" s="24"/>
      <c r="N382" s="24"/>
      <c r="O382" s="24"/>
      <c r="P382" s="24"/>
      <c r="Q382" s="24"/>
      <c r="R382" s="24"/>
    </row>
    <row r="383">
      <c r="A383" s="24"/>
      <c r="B383" s="24"/>
      <c r="C383" s="24"/>
      <c r="D383" s="24"/>
      <c r="E383" s="24"/>
      <c r="F383" s="24"/>
      <c r="G383" s="24"/>
      <c r="H383" s="24"/>
      <c r="I383" s="24"/>
      <c r="J383" s="24"/>
      <c r="K383" s="24"/>
      <c r="L383" s="24"/>
      <c r="M383" s="24"/>
      <c r="N383" s="24"/>
      <c r="O383" s="24"/>
      <c r="P383" s="24"/>
      <c r="Q383" s="24"/>
      <c r="R383" s="24"/>
    </row>
    <row r="384">
      <c r="A384" s="24"/>
      <c r="B384" s="24"/>
      <c r="C384" s="24"/>
      <c r="D384" s="24"/>
      <c r="E384" s="24"/>
      <c r="F384" s="24"/>
      <c r="G384" s="24"/>
      <c r="H384" s="24"/>
      <c r="I384" s="24"/>
      <c r="J384" s="24"/>
      <c r="K384" s="24"/>
      <c r="L384" s="24"/>
      <c r="M384" s="24"/>
      <c r="N384" s="24"/>
      <c r="O384" s="24"/>
      <c r="P384" s="24"/>
      <c r="Q384" s="24"/>
      <c r="R384" s="24"/>
    </row>
    <row r="385">
      <c r="A385" s="24"/>
      <c r="B385" s="24"/>
      <c r="C385" s="24"/>
      <c r="D385" s="24"/>
      <c r="E385" s="24"/>
      <c r="F385" s="24"/>
      <c r="G385" s="24"/>
      <c r="H385" s="24"/>
      <c r="I385" s="24"/>
      <c r="J385" s="24"/>
      <c r="K385" s="24"/>
      <c r="L385" s="24"/>
      <c r="M385" s="24"/>
      <c r="N385" s="24"/>
      <c r="O385" s="24"/>
      <c r="P385" s="24"/>
      <c r="Q385" s="24"/>
      <c r="R385" s="24"/>
    </row>
    <row r="386">
      <c r="A386" s="24"/>
      <c r="B386" s="24"/>
      <c r="C386" s="24"/>
      <c r="D386" s="24"/>
      <c r="E386" s="24"/>
      <c r="F386" s="24"/>
      <c r="G386" s="24"/>
      <c r="H386" s="24"/>
      <c r="I386" s="24"/>
      <c r="J386" s="24"/>
      <c r="K386" s="24"/>
      <c r="L386" s="24"/>
      <c r="M386" s="24"/>
      <c r="N386" s="24"/>
      <c r="O386" s="24"/>
      <c r="P386" s="24"/>
      <c r="Q386" s="24"/>
      <c r="R386" s="24"/>
    </row>
    <row r="387">
      <c r="A387" s="24"/>
      <c r="B387" s="24"/>
      <c r="C387" s="24"/>
      <c r="D387" s="24"/>
      <c r="E387" s="24"/>
      <c r="F387" s="24"/>
      <c r="G387" s="24"/>
      <c r="H387" s="24"/>
      <c r="I387" s="24"/>
      <c r="J387" s="24"/>
      <c r="K387" s="24"/>
      <c r="L387" s="24"/>
      <c r="M387" s="24"/>
      <c r="N387" s="24"/>
      <c r="O387" s="24"/>
      <c r="P387" s="24"/>
      <c r="Q387" s="24"/>
      <c r="R387" s="24"/>
    </row>
    <row r="388">
      <c r="A388" s="24"/>
      <c r="B388" s="24"/>
      <c r="C388" s="24"/>
      <c r="D388" s="24"/>
      <c r="E388" s="24"/>
      <c r="F388" s="24"/>
      <c r="G388" s="24"/>
      <c r="H388" s="24"/>
      <c r="I388" s="24"/>
      <c r="J388" s="24"/>
      <c r="K388" s="24"/>
      <c r="L388" s="24"/>
      <c r="M388" s="24"/>
      <c r="N388" s="24"/>
      <c r="O388" s="24"/>
      <c r="P388" s="24"/>
      <c r="Q388" s="24"/>
      <c r="R388" s="24"/>
    </row>
    <row r="389">
      <c r="A389" s="24"/>
      <c r="B389" s="24"/>
      <c r="C389" s="24"/>
      <c r="D389" s="24"/>
      <c r="E389" s="24"/>
      <c r="F389" s="24"/>
      <c r="G389" s="24"/>
      <c r="H389" s="24"/>
      <c r="I389" s="24"/>
      <c r="J389" s="24"/>
      <c r="K389" s="24"/>
      <c r="L389" s="24"/>
      <c r="M389" s="24"/>
      <c r="N389" s="24"/>
      <c r="O389" s="24"/>
      <c r="P389" s="24"/>
      <c r="Q389" s="24"/>
      <c r="R389" s="24"/>
    </row>
    <row r="390">
      <c r="A390" s="24"/>
      <c r="B390" s="24"/>
      <c r="C390" s="24"/>
      <c r="D390" s="24"/>
      <c r="E390" s="24"/>
      <c r="F390" s="24"/>
      <c r="G390" s="24"/>
      <c r="H390" s="24"/>
      <c r="I390" s="24"/>
      <c r="J390" s="24"/>
      <c r="K390" s="24"/>
      <c r="L390" s="24"/>
      <c r="M390" s="24"/>
      <c r="N390" s="24"/>
      <c r="O390" s="24"/>
      <c r="P390" s="24"/>
      <c r="Q390" s="24"/>
      <c r="R390" s="24"/>
    </row>
    <row r="391">
      <c r="A391" s="24"/>
      <c r="B391" s="24"/>
      <c r="C391" s="24"/>
      <c r="D391" s="24"/>
      <c r="E391" s="24"/>
      <c r="F391" s="24"/>
      <c r="G391" s="24"/>
      <c r="H391" s="24"/>
      <c r="I391" s="24"/>
      <c r="J391" s="24"/>
      <c r="K391" s="24"/>
      <c r="L391" s="24"/>
      <c r="M391" s="24"/>
      <c r="N391" s="24"/>
      <c r="O391" s="24"/>
      <c r="P391" s="24"/>
      <c r="Q391" s="24"/>
      <c r="R391" s="24"/>
    </row>
    <row r="392">
      <c r="A392" s="24"/>
      <c r="B392" s="24"/>
      <c r="C392" s="24"/>
      <c r="D392" s="24"/>
      <c r="E392" s="24"/>
      <c r="F392" s="24"/>
      <c r="G392" s="24"/>
      <c r="H392" s="24"/>
      <c r="I392" s="24"/>
      <c r="J392" s="24"/>
      <c r="K392" s="24"/>
      <c r="L392" s="24"/>
      <c r="M392" s="24"/>
      <c r="N392" s="24"/>
      <c r="O392" s="24"/>
      <c r="P392" s="24"/>
      <c r="Q392" s="24"/>
      <c r="R392" s="24"/>
    </row>
    <row r="393">
      <c r="A393" s="24"/>
      <c r="B393" s="24"/>
      <c r="C393" s="24"/>
      <c r="D393" s="24"/>
      <c r="E393" s="24"/>
      <c r="F393" s="24"/>
      <c r="G393" s="24"/>
      <c r="H393" s="24"/>
      <c r="I393" s="24"/>
      <c r="J393" s="24"/>
      <c r="K393" s="24"/>
      <c r="L393" s="24"/>
      <c r="M393" s="24"/>
      <c r="N393" s="24"/>
      <c r="O393" s="24"/>
      <c r="P393" s="24"/>
      <c r="Q393" s="24"/>
      <c r="R393" s="24"/>
    </row>
    <row r="394">
      <c r="A394" s="24"/>
      <c r="B394" s="24"/>
      <c r="C394" s="24"/>
      <c r="D394" s="24"/>
      <c r="E394" s="24"/>
      <c r="F394" s="24"/>
      <c r="G394" s="24"/>
      <c r="H394" s="24"/>
      <c r="I394" s="24"/>
      <c r="J394" s="24"/>
      <c r="K394" s="24"/>
      <c r="L394" s="24"/>
      <c r="M394" s="24"/>
      <c r="N394" s="24"/>
      <c r="O394" s="24"/>
      <c r="P394" s="24"/>
      <c r="Q394" s="24"/>
      <c r="R394" s="24"/>
    </row>
    <row r="395">
      <c r="A395" s="24"/>
      <c r="B395" s="24"/>
      <c r="C395" s="24"/>
      <c r="D395" s="24"/>
      <c r="E395" s="24"/>
      <c r="F395" s="24"/>
      <c r="G395" s="24"/>
      <c r="H395" s="24"/>
      <c r="I395" s="24"/>
      <c r="J395" s="24"/>
      <c r="K395" s="24"/>
      <c r="L395" s="24"/>
      <c r="M395" s="24"/>
      <c r="N395" s="24"/>
      <c r="O395" s="24"/>
      <c r="P395" s="24"/>
      <c r="Q395" s="24"/>
      <c r="R395" s="24"/>
    </row>
    <row r="396">
      <c r="A396" s="24"/>
      <c r="B396" s="24"/>
      <c r="C396" s="24"/>
      <c r="D396" s="24"/>
      <c r="E396" s="24"/>
      <c r="F396" s="24"/>
      <c r="G396" s="24"/>
      <c r="H396" s="24"/>
      <c r="I396" s="24"/>
      <c r="J396" s="24"/>
      <c r="K396" s="24"/>
      <c r="L396" s="24"/>
      <c r="M396" s="24"/>
      <c r="N396" s="24"/>
      <c r="O396" s="24"/>
      <c r="P396" s="24"/>
      <c r="Q396" s="24"/>
      <c r="R396" s="24"/>
    </row>
    <row r="397">
      <c r="A397" s="24"/>
      <c r="B397" s="24"/>
      <c r="C397" s="24"/>
      <c r="D397" s="24"/>
      <c r="E397" s="24"/>
      <c r="F397" s="24"/>
      <c r="G397" s="24"/>
      <c r="H397" s="24"/>
      <c r="I397" s="24"/>
      <c r="J397" s="24"/>
      <c r="K397" s="24"/>
      <c r="L397" s="24"/>
      <c r="M397" s="24"/>
      <c r="N397" s="24"/>
      <c r="O397" s="24"/>
      <c r="P397" s="24"/>
      <c r="Q397" s="24"/>
      <c r="R397" s="24"/>
    </row>
    <row r="398">
      <c r="A398" s="24"/>
      <c r="B398" s="24"/>
      <c r="C398" s="24"/>
      <c r="D398" s="24"/>
      <c r="E398" s="24"/>
      <c r="F398" s="24"/>
      <c r="G398" s="24"/>
      <c r="H398" s="24"/>
      <c r="I398" s="24"/>
      <c r="J398" s="24"/>
      <c r="K398" s="24"/>
      <c r="L398" s="24"/>
      <c r="M398" s="24"/>
      <c r="N398" s="24"/>
      <c r="O398" s="24"/>
      <c r="P398" s="24"/>
      <c r="Q398" s="24"/>
      <c r="R398" s="24"/>
    </row>
    <row r="399">
      <c r="A399" s="24"/>
      <c r="B399" s="24"/>
      <c r="C399" s="24"/>
      <c r="D399" s="24"/>
      <c r="E399" s="24"/>
      <c r="F399" s="24"/>
      <c r="G399" s="24"/>
      <c r="H399" s="24"/>
      <c r="I399" s="24"/>
      <c r="J399" s="24"/>
      <c r="K399" s="24"/>
      <c r="L399" s="24"/>
      <c r="M399" s="24"/>
      <c r="N399" s="24"/>
      <c r="O399" s="24"/>
      <c r="P399" s="24"/>
      <c r="Q399" s="24"/>
      <c r="R399" s="24"/>
    </row>
    <row r="400">
      <c r="A400" s="24"/>
      <c r="B400" s="24"/>
      <c r="C400" s="24"/>
      <c r="D400" s="24"/>
      <c r="E400" s="24"/>
      <c r="F400" s="24"/>
      <c r="G400" s="24"/>
      <c r="H400" s="24"/>
      <c r="I400" s="24"/>
      <c r="J400" s="24"/>
      <c r="K400" s="24"/>
      <c r="L400" s="24"/>
      <c r="M400" s="24"/>
      <c r="N400" s="24"/>
      <c r="O400" s="24"/>
      <c r="P400" s="24"/>
      <c r="Q400" s="24"/>
      <c r="R400" s="24"/>
    </row>
    <row r="401">
      <c r="A401" s="24"/>
      <c r="B401" s="24"/>
      <c r="C401" s="24"/>
      <c r="D401" s="24"/>
      <c r="E401" s="24"/>
      <c r="F401" s="24"/>
      <c r="G401" s="24"/>
      <c r="H401" s="24"/>
      <c r="I401" s="24"/>
      <c r="J401" s="24"/>
      <c r="K401" s="24"/>
      <c r="L401" s="24"/>
      <c r="M401" s="24"/>
      <c r="N401" s="24"/>
      <c r="O401" s="24"/>
      <c r="P401" s="24"/>
      <c r="Q401" s="24"/>
      <c r="R401" s="24"/>
    </row>
    <row r="402">
      <c r="A402" s="24"/>
      <c r="B402" s="24"/>
      <c r="C402" s="24"/>
      <c r="D402" s="24"/>
      <c r="E402" s="24"/>
      <c r="F402" s="24"/>
      <c r="G402" s="24"/>
      <c r="H402" s="24"/>
      <c r="I402" s="24"/>
      <c r="J402" s="24"/>
      <c r="K402" s="24"/>
      <c r="L402" s="24"/>
      <c r="M402" s="24"/>
      <c r="N402" s="24"/>
      <c r="O402" s="24"/>
      <c r="P402" s="24"/>
      <c r="Q402" s="24"/>
      <c r="R402" s="24"/>
    </row>
    <row r="403">
      <c r="A403" s="24"/>
      <c r="B403" s="24"/>
      <c r="C403" s="24"/>
      <c r="D403" s="24"/>
      <c r="E403" s="24"/>
      <c r="F403" s="24"/>
      <c r="G403" s="24"/>
      <c r="H403" s="24"/>
      <c r="I403" s="24"/>
      <c r="J403" s="24"/>
      <c r="K403" s="24"/>
      <c r="L403" s="24"/>
      <c r="M403" s="24"/>
      <c r="N403" s="24"/>
      <c r="O403" s="24"/>
      <c r="P403" s="24"/>
      <c r="Q403" s="24"/>
      <c r="R403" s="24"/>
    </row>
    <row r="404">
      <c r="A404" s="24"/>
      <c r="B404" s="24"/>
      <c r="C404" s="24"/>
      <c r="D404" s="24"/>
      <c r="E404" s="24"/>
      <c r="F404" s="24"/>
      <c r="G404" s="24"/>
      <c r="H404" s="24"/>
      <c r="I404" s="24"/>
      <c r="J404" s="24"/>
      <c r="K404" s="24"/>
      <c r="L404" s="24"/>
      <c r="M404" s="24"/>
      <c r="N404" s="24"/>
      <c r="O404" s="24"/>
      <c r="P404" s="24"/>
      <c r="Q404" s="24"/>
      <c r="R404" s="24"/>
    </row>
    <row r="405">
      <c r="A405" s="24"/>
      <c r="B405" s="24"/>
      <c r="C405" s="24"/>
      <c r="D405" s="24"/>
      <c r="E405" s="24"/>
      <c r="F405" s="24"/>
      <c r="G405" s="24"/>
      <c r="H405" s="24"/>
      <c r="I405" s="24"/>
      <c r="J405" s="24"/>
      <c r="K405" s="24"/>
      <c r="L405" s="24"/>
      <c r="M405" s="24"/>
      <c r="N405" s="24"/>
      <c r="O405" s="24"/>
      <c r="P405" s="24"/>
      <c r="Q405" s="24"/>
      <c r="R405" s="24"/>
    </row>
    <row r="406">
      <c r="A406" s="24"/>
      <c r="B406" s="24"/>
      <c r="C406" s="24"/>
      <c r="D406" s="24"/>
      <c r="E406" s="24"/>
      <c r="F406" s="24"/>
      <c r="G406" s="24"/>
      <c r="H406" s="24"/>
      <c r="I406" s="24"/>
      <c r="J406" s="24"/>
      <c r="K406" s="24"/>
      <c r="L406" s="24"/>
      <c r="M406" s="24"/>
      <c r="N406" s="24"/>
      <c r="O406" s="24"/>
      <c r="P406" s="24"/>
      <c r="Q406" s="24"/>
      <c r="R406" s="24"/>
    </row>
    <row r="407">
      <c r="A407" s="24"/>
      <c r="B407" s="24"/>
      <c r="C407" s="24"/>
      <c r="D407" s="24"/>
      <c r="E407" s="24"/>
      <c r="F407" s="24"/>
      <c r="G407" s="24"/>
      <c r="H407" s="24"/>
      <c r="I407" s="24"/>
      <c r="J407" s="24"/>
      <c r="K407" s="24"/>
      <c r="L407" s="24"/>
      <c r="M407" s="24"/>
      <c r="N407" s="24"/>
      <c r="O407" s="24"/>
      <c r="P407" s="24"/>
      <c r="Q407" s="24"/>
      <c r="R407" s="24"/>
    </row>
    <row r="408">
      <c r="A408" s="24"/>
      <c r="B408" s="24"/>
      <c r="C408" s="24"/>
      <c r="D408" s="24"/>
      <c r="E408" s="24"/>
      <c r="F408" s="24"/>
      <c r="G408" s="24"/>
      <c r="H408" s="24"/>
      <c r="I408" s="24"/>
      <c r="J408" s="24"/>
      <c r="K408" s="24"/>
      <c r="L408" s="24"/>
      <c r="M408" s="24"/>
      <c r="N408" s="24"/>
      <c r="O408" s="24"/>
      <c r="P408" s="24"/>
      <c r="Q408" s="24"/>
      <c r="R408" s="24"/>
    </row>
    <row r="409">
      <c r="A409" s="24"/>
      <c r="B409" s="24"/>
      <c r="C409" s="24"/>
      <c r="D409" s="24"/>
      <c r="E409" s="24"/>
      <c r="F409" s="24"/>
      <c r="G409" s="24"/>
      <c r="H409" s="24"/>
      <c r="I409" s="24"/>
      <c r="J409" s="24"/>
      <c r="K409" s="24"/>
      <c r="L409" s="24"/>
      <c r="M409" s="24"/>
      <c r="N409" s="24"/>
      <c r="O409" s="24"/>
      <c r="P409" s="24"/>
      <c r="Q409" s="24"/>
      <c r="R409" s="24"/>
    </row>
    <row r="410">
      <c r="A410" s="24"/>
      <c r="B410" s="24"/>
      <c r="C410" s="24"/>
      <c r="D410" s="24"/>
      <c r="E410" s="24"/>
      <c r="F410" s="24"/>
      <c r="G410" s="24"/>
      <c r="H410" s="24"/>
      <c r="I410" s="24"/>
      <c r="J410" s="24"/>
      <c r="K410" s="24"/>
      <c r="L410" s="24"/>
      <c r="M410" s="24"/>
      <c r="N410" s="24"/>
      <c r="O410" s="24"/>
      <c r="P410" s="24"/>
      <c r="Q410" s="24"/>
      <c r="R410" s="24"/>
    </row>
    <row r="411">
      <c r="A411" s="24"/>
      <c r="B411" s="24"/>
      <c r="C411" s="24"/>
      <c r="D411" s="24"/>
      <c r="E411" s="24"/>
      <c r="F411" s="24"/>
      <c r="G411" s="24"/>
      <c r="H411" s="24"/>
      <c r="I411" s="24"/>
      <c r="J411" s="24"/>
      <c r="K411" s="24"/>
      <c r="L411" s="24"/>
      <c r="M411" s="24"/>
      <c r="N411" s="24"/>
      <c r="O411" s="24"/>
      <c r="P411" s="24"/>
      <c r="Q411" s="24"/>
      <c r="R411" s="24"/>
    </row>
    <row r="412">
      <c r="A412" s="24"/>
      <c r="B412" s="24"/>
      <c r="C412" s="24"/>
      <c r="D412" s="24"/>
      <c r="E412" s="24"/>
      <c r="F412" s="24"/>
      <c r="G412" s="24"/>
      <c r="H412" s="24"/>
      <c r="I412" s="24"/>
      <c r="J412" s="24"/>
      <c r="K412" s="24"/>
      <c r="L412" s="24"/>
      <c r="M412" s="24"/>
      <c r="N412" s="24"/>
      <c r="O412" s="24"/>
      <c r="P412" s="24"/>
      <c r="Q412" s="24"/>
      <c r="R412" s="24"/>
    </row>
    <row r="413">
      <c r="A413" s="24"/>
      <c r="B413" s="24"/>
      <c r="C413" s="24"/>
      <c r="D413" s="24"/>
      <c r="E413" s="24"/>
      <c r="F413" s="24"/>
      <c r="G413" s="24"/>
      <c r="H413" s="24"/>
      <c r="I413" s="24"/>
      <c r="J413" s="24"/>
      <c r="K413" s="24"/>
      <c r="L413" s="24"/>
      <c r="M413" s="24"/>
      <c r="N413" s="24"/>
      <c r="O413" s="24"/>
      <c r="P413" s="24"/>
      <c r="Q413" s="24"/>
      <c r="R413" s="24"/>
    </row>
    <row r="414">
      <c r="A414" s="24"/>
      <c r="B414" s="24"/>
      <c r="C414" s="24"/>
      <c r="D414" s="24"/>
      <c r="E414" s="24"/>
      <c r="F414" s="24"/>
      <c r="G414" s="24"/>
      <c r="H414" s="24"/>
      <c r="I414" s="24"/>
      <c r="J414" s="24"/>
      <c r="K414" s="24"/>
      <c r="L414" s="24"/>
      <c r="M414" s="24"/>
      <c r="N414" s="24"/>
      <c r="O414" s="24"/>
      <c r="P414" s="24"/>
      <c r="Q414" s="24"/>
      <c r="R414" s="24"/>
    </row>
    <row r="415">
      <c r="A415" s="24"/>
      <c r="B415" s="24"/>
      <c r="C415" s="24"/>
      <c r="D415" s="24"/>
      <c r="E415" s="24"/>
      <c r="F415" s="24"/>
      <c r="G415" s="24"/>
      <c r="H415" s="24"/>
      <c r="I415" s="24"/>
      <c r="J415" s="24"/>
      <c r="K415" s="24"/>
      <c r="L415" s="24"/>
      <c r="M415" s="24"/>
      <c r="N415" s="24"/>
      <c r="O415" s="24"/>
      <c r="P415" s="24"/>
      <c r="Q415" s="24"/>
      <c r="R415" s="24"/>
    </row>
    <row r="416">
      <c r="A416" s="24"/>
      <c r="B416" s="24"/>
      <c r="C416" s="24"/>
      <c r="D416" s="24"/>
      <c r="E416" s="24"/>
      <c r="F416" s="24"/>
      <c r="G416" s="24"/>
      <c r="H416" s="24"/>
      <c r="I416" s="24"/>
      <c r="J416" s="24"/>
      <c r="K416" s="24"/>
      <c r="L416" s="24"/>
      <c r="M416" s="24"/>
      <c r="N416" s="24"/>
      <c r="O416" s="24"/>
      <c r="P416" s="24"/>
      <c r="Q416" s="24"/>
      <c r="R416" s="24"/>
    </row>
    <row r="417">
      <c r="A417" s="24"/>
      <c r="B417" s="24"/>
      <c r="C417" s="24"/>
      <c r="D417" s="24"/>
      <c r="E417" s="24"/>
      <c r="F417" s="24"/>
      <c r="G417" s="24"/>
      <c r="H417" s="24"/>
      <c r="I417" s="24"/>
      <c r="J417" s="24"/>
      <c r="K417" s="24"/>
      <c r="L417" s="24"/>
      <c r="M417" s="24"/>
      <c r="N417" s="24"/>
      <c r="O417" s="24"/>
      <c r="P417" s="24"/>
      <c r="Q417" s="24"/>
      <c r="R417" s="24"/>
    </row>
    <row r="418">
      <c r="A418" s="24"/>
      <c r="B418" s="24"/>
      <c r="C418" s="24"/>
      <c r="D418" s="24"/>
      <c r="E418" s="24"/>
      <c r="F418" s="24"/>
      <c r="G418" s="24"/>
      <c r="H418" s="24"/>
      <c r="I418" s="24"/>
      <c r="J418" s="24"/>
      <c r="K418" s="24"/>
      <c r="L418" s="24"/>
      <c r="M418" s="24"/>
      <c r="N418" s="24"/>
      <c r="O418" s="24"/>
      <c r="P418" s="24"/>
      <c r="Q418" s="24"/>
      <c r="R418" s="24"/>
    </row>
    <row r="419">
      <c r="A419" s="24"/>
      <c r="B419" s="24"/>
      <c r="C419" s="24"/>
      <c r="D419" s="24"/>
      <c r="E419" s="24"/>
      <c r="F419" s="24"/>
      <c r="G419" s="24"/>
      <c r="H419" s="24"/>
      <c r="I419" s="24"/>
      <c r="J419" s="24"/>
      <c r="K419" s="24"/>
      <c r="L419" s="24"/>
      <c r="M419" s="24"/>
      <c r="N419" s="24"/>
      <c r="O419" s="24"/>
      <c r="P419" s="24"/>
      <c r="Q419" s="24"/>
      <c r="R419" s="24"/>
    </row>
    <row r="420">
      <c r="A420" s="24"/>
      <c r="B420" s="24"/>
      <c r="C420" s="24"/>
      <c r="D420" s="24"/>
      <c r="E420" s="24"/>
      <c r="F420" s="24"/>
      <c r="G420" s="24"/>
      <c r="H420" s="24"/>
      <c r="I420" s="24"/>
      <c r="J420" s="24"/>
      <c r="K420" s="24"/>
      <c r="L420" s="24"/>
      <c r="M420" s="24"/>
      <c r="N420" s="24"/>
      <c r="O420" s="24"/>
      <c r="P420" s="24"/>
      <c r="Q420" s="24"/>
      <c r="R420" s="24"/>
    </row>
    <row r="421">
      <c r="A421" s="24"/>
      <c r="B421" s="24"/>
      <c r="C421" s="24"/>
      <c r="D421" s="24"/>
      <c r="E421" s="24"/>
      <c r="F421" s="24"/>
      <c r="G421" s="24"/>
      <c r="H421" s="24"/>
      <c r="I421" s="24"/>
      <c r="J421" s="24"/>
      <c r="K421" s="24"/>
      <c r="L421" s="24"/>
      <c r="M421" s="24"/>
      <c r="N421" s="24"/>
      <c r="O421" s="24"/>
      <c r="P421" s="24"/>
      <c r="Q421" s="24"/>
      <c r="R421" s="24"/>
    </row>
    <row r="422">
      <c r="A422" s="24"/>
      <c r="B422" s="24"/>
      <c r="C422" s="24"/>
      <c r="D422" s="24"/>
      <c r="E422" s="24"/>
      <c r="F422" s="24"/>
      <c r="G422" s="24"/>
      <c r="H422" s="24"/>
      <c r="I422" s="24"/>
      <c r="J422" s="24"/>
      <c r="K422" s="24"/>
      <c r="L422" s="24"/>
      <c r="M422" s="24"/>
      <c r="N422" s="24"/>
      <c r="O422" s="24"/>
      <c r="P422" s="24"/>
      <c r="Q422" s="24"/>
      <c r="R422" s="24"/>
    </row>
    <row r="423">
      <c r="A423" s="24"/>
      <c r="B423" s="24"/>
      <c r="C423" s="24"/>
      <c r="D423" s="24"/>
      <c r="E423" s="24"/>
      <c r="F423" s="24"/>
      <c r="G423" s="24"/>
      <c r="H423" s="24"/>
      <c r="I423" s="24"/>
      <c r="J423" s="24"/>
      <c r="K423" s="24"/>
      <c r="L423" s="24"/>
      <c r="M423" s="24"/>
      <c r="N423" s="24"/>
      <c r="O423" s="24"/>
      <c r="P423" s="24"/>
      <c r="Q423" s="24"/>
      <c r="R423" s="24"/>
    </row>
    <row r="424">
      <c r="A424" s="24"/>
      <c r="B424" s="24"/>
      <c r="C424" s="24"/>
      <c r="D424" s="24"/>
      <c r="E424" s="24"/>
      <c r="F424" s="24"/>
      <c r="G424" s="24"/>
      <c r="H424" s="24"/>
      <c r="I424" s="24"/>
      <c r="J424" s="24"/>
      <c r="K424" s="24"/>
      <c r="L424" s="24"/>
      <c r="M424" s="24"/>
      <c r="N424" s="24"/>
      <c r="O424" s="24"/>
      <c r="P424" s="24"/>
      <c r="Q424" s="24"/>
      <c r="R424" s="24"/>
    </row>
    <row r="425">
      <c r="A425" s="24"/>
      <c r="B425" s="24"/>
      <c r="C425" s="24"/>
      <c r="D425" s="24"/>
      <c r="E425" s="24"/>
      <c r="F425" s="24"/>
      <c r="G425" s="24"/>
      <c r="H425" s="24"/>
      <c r="I425" s="24"/>
      <c r="J425" s="24"/>
      <c r="K425" s="24"/>
      <c r="L425" s="24"/>
      <c r="M425" s="24"/>
      <c r="N425" s="24"/>
      <c r="O425" s="24"/>
      <c r="P425" s="24"/>
      <c r="Q425" s="24"/>
      <c r="R425" s="24"/>
    </row>
    <row r="426">
      <c r="A426" s="24"/>
      <c r="B426" s="24"/>
      <c r="C426" s="24"/>
      <c r="D426" s="24"/>
      <c r="E426" s="24"/>
      <c r="F426" s="24"/>
      <c r="G426" s="24"/>
      <c r="H426" s="24"/>
      <c r="I426" s="24"/>
      <c r="J426" s="24"/>
      <c r="K426" s="24"/>
      <c r="L426" s="24"/>
      <c r="M426" s="24"/>
      <c r="N426" s="24"/>
      <c r="O426" s="24"/>
      <c r="P426" s="24"/>
      <c r="Q426" s="24"/>
      <c r="R426" s="24"/>
    </row>
    <row r="427">
      <c r="A427" s="24"/>
      <c r="B427" s="24"/>
      <c r="C427" s="24"/>
      <c r="D427" s="24"/>
      <c r="E427" s="24"/>
      <c r="F427" s="24"/>
      <c r="G427" s="24"/>
      <c r="H427" s="24"/>
      <c r="I427" s="24"/>
      <c r="J427" s="24"/>
      <c r="K427" s="24"/>
      <c r="L427" s="24"/>
      <c r="M427" s="24"/>
      <c r="N427" s="24"/>
      <c r="O427" s="24"/>
      <c r="P427" s="24"/>
      <c r="Q427" s="24"/>
      <c r="R427" s="24"/>
    </row>
    <row r="428">
      <c r="A428" s="24"/>
      <c r="B428" s="24"/>
      <c r="C428" s="24"/>
      <c r="D428" s="24"/>
      <c r="E428" s="24"/>
      <c r="F428" s="24"/>
      <c r="G428" s="24"/>
      <c r="H428" s="24"/>
      <c r="I428" s="24"/>
      <c r="J428" s="24"/>
      <c r="K428" s="24"/>
      <c r="L428" s="24"/>
      <c r="M428" s="24"/>
      <c r="N428" s="24"/>
      <c r="O428" s="24"/>
      <c r="P428" s="24"/>
      <c r="Q428" s="24"/>
      <c r="R428" s="24"/>
    </row>
    <row r="429">
      <c r="A429" s="24"/>
      <c r="B429" s="24"/>
      <c r="C429" s="24"/>
      <c r="D429" s="24"/>
      <c r="E429" s="24"/>
      <c r="F429" s="24"/>
      <c r="G429" s="24"/>
      <c r="H429" s="24"/>
      <c r="I429" s="24"/>
      <c r="J429" s="24"/>
      <c r="K429" s="24"/>
      <c r="L429" s="24"/>
      <c r="M429" s="24"/>
      <c r="N429" s="24"/>
      <c r="O429" s="24"/>
      <c r="P429" s="24"/>
      <c r="Q429" s="24"/>
      <c r="R429" s="24"/>
    </row>
    <row r="430">
      <c r="A430" s="24"/>
      <c r="B430" s="24"/>
      <c r="C430" s="24"/>
      <c r="D430" s="24"/>
      <c r="E430" s="24"/>
      <c r="F430" s="24"/>
      <c r="G430" s="24"/>
      <c r="H430" s="24"/>
      <c r="I430" s="24"/>
      <c r="J430" s="24"/>
      <c r="K430" s="24"/>
      <c r="L430" s="24"/>
      <c r="M430" s="24"/>
      <c r="N430" s="24"/>
      <c r="O430" s="24"/>
      <c r="P430" s="24"/>
      <c r="Q430" s="24"/>
      <c r="R430" s="24"/>
    </row>
    <row r="431">
      <c r="A431" s="24"/>
      <c r="B431" s="24"/>
      <c r="C431" s="24"/>
      <c r="D431" s="24"/>
      <c r="E431" s="24"/>
      <c r="F431" s="24"/>
      <c r="G431" s="24"/>
      <c r="H431" s="24"/>
      <c r="I431" s="24"/>
      <c r="J431" s="24"/>
      <c r="K431" s="24"/>
      <c r="L431" s="24"/>
      <c r="M431" s="24"/>
      <c r="N431" s="24"/>
      <c r="O431" s="24"/>
      <c r="P431" s="24"/>
      <c r="Q431" s="24"/>
      <c r="R431" s="24"/>
    </row>
    <row r="432">
      <c r="A432" s="24"/>
      <c r="B432" s="24"/>
      <c r="C432" s="24"/>
      <c r="D432" s="24"/>
      <c r="E432" s="24"/>
      <c r="F432" s="24"/>
      <c r="G432" s="24"/>
      <c r="H432" s="24"/>
      <c r="I432" s="24"/>
      <c r="J432" s="24"/>
      <c r="K432" s="24"/>
      <c r="L432" s="24"/>
      <c r="M432" s="24"/>
      <c r="N432" s="24"/>
      <c r="O432" s="24"/>
      <c r="P432" s="24"/>
      <c r="Q432" s="24"/>
      <c r="R432" s="24"/>
    </row>
    <row r="433">
      <c r="A433" s="24"/>
      <c r="B433" s="24"/>
      <c r="C433" s="24"/>
      <c r="D433" s="24"/>
      <c r="E433" s="24"/>
      <c r="F433" s="24"/>
      <c r="G433" s="24"/>
      <c r="H433" s="24"/>
      <c r="I433" s="24"/>
      <c r="J433" s="24"/>
      <c r="K433" s="24"/>
      <c r="L433" s="24"/>
      <c r="M433" s="24"/>
      <c r="N433" s="24"/>
      <c r="O433" s="24"/>
      <c r="P433" s="24"/>
      <c r="Q433" s="24"/>
      <c r="R433" s="24"/>
    </row>
    <row r="434">
      <c r="A434" s="24"/>
      <c r="B434" s="24"/>
      <c r="C434" s="24"/>
      <c r="D434" s="24"/>
      <c r="E434" s="24"/>
      <c r="F434" s="24"/>
      <c r="G434" s="24"/>
      <c r="H434" s="24"/>
      <c r="I434" s="24"/>
      <c r="J434" s="24"/>
      <c r="K434" s="24"/>
      <c r="L434" s="24"/>
      <c r="M434" s="24"/>
      <c r="N434" s="24"/>
      <c r="O434" s="24"/>
      <c r="P434" s="24"/>
      <c r="Q434" s="24"/>
      <c r="R434" s="24"/>
    </row>
    <row r="435">
      <c r="A435" s="24"/>
      <c r="B435" s="24"/>
      <c r="C435" s="24"/>
      <c r="D435" s="24"/>
      <c r="E435" s="24"/>
      <c r="F435" s="24"/>
      <c r="G435" s="24"/>
      <c r="H435" s="24"/>
      <c r="I435" s="24"/>
      <c r="J435" s="24"/>
      <c r="K435" s="24"/>
      <c r="L435" s="24"/>
      <c r="M435" s="24"/>
      <c r="N435" s="24"/>
      <c r="O435" s="24"/>
      <c r="P435" s="24"/>
      <c r="Q435" s="24"/>
      <c r="R435" s="24"/>
    </row>
    <row r="436">
      <c r="A436" s="24"/>
      <c r="B436" s="24"/>
      <c r="C436" s="24"/>
      <c r="D436" s="24"/>
      <c r="E436" s="24"/>
      <c r="F436" s="24"/>
      <c r="G436" s="24"/>
      <c r="H436" s="24"/>
      <c r="I436" s="24"/>
      <c r="J436" s="24"/>
      <c r="K436" s="24"/>
      <c r="L436" s="24"/>
      <c r="M436" s="24"/>
      <c r="N436" s="24"/>
      <c r="O436" s="24"/>
      <c r="P436" s="24"/>
      <c r="Q436" s="24"/>
      <c r="R436" s="24"/>
    </row>
    <row r="437">
      <c r="A437" s="24"/>
      <c r="B437" s="24"/>
      <c r="C437" s="24"/>
      <c r="D437" s="24"/>
      <c r="E437" s="24"/>
      <c r="F437" s="24"/>
      <c r="G437" s="24"/>
      <c r="H437" s="24"/>
      <c r="I437" s="24"/>
      <c r="J437" s="24"/>
      <c r="K437" s="24"/>
      <c r="L437" s="24"/>
      <c r="M437" s="24"/>
      <c r="N437" s="24"/>
      <c r="O437" s="24"/>
      <c r="P437" s="24"/>
      <c r="Q437" s="24"/>
      <c r="R437" s="24"/>
    </row>
    <row r="438">
      <c r="A438" s="24"/>
      <c r="B438" s="24"/>
      <c r="C438" s="24"/>
      <c r="D438" s="24"/>
      <c r="E438" s="24"/>
      <c r="F438" s="24"/>
      <c r="G438" s="24"/>
      <c r="H438" s="24"/>
      <c r="I438" s="24"/>
      <c r="J438" s="24"/>
      <c r="K438" s="24"/>
      <c r="L438" s="24"/>
      <c r="M438" s="24"/>
      <c r="N438" s="24"/>
      <c r="O438" s="24"/>
      <c r="P438" s="24"/>
      <c r="Q438" s="24"/>
      <c r="R438" s="24"/>
    </row>
    <row r="439">
      <c r="A439" s="24"/>
      <c r="B439" s="24"/>
      <c r="C439" s="24"/>
      <c r="D439" s="24"/>
      <c r="E439" s="24"/>
      <c r="F439" s="24"/>
      <c r="G439" s="24"/>
      <c r="H439" s="24"/>
      <c r="I439" s="24"/>
      <c r="J439" s="24"/>
      <c r="K439" s="24"/>
      <c r="L439" s="24"/>
      <c r="M439" s="24"/>
      <c r="N439" s="24"/>
      <c r="O439" s="24"/>
      <c r="P439" s="24"/>
      <c r="Q439" s="24"/>
      <c r="R439" s="24"/>
    </row>
    <row r="440">
      <c r="A440" s="24"/>
      <c r="B440" s="24"/>
      <c r="C440" s="24"/>
      <c r="D440" s="24"/>
      <c r="E440" s="24"/>
      <c r="F440" s="24"/>
      <c r="G440" s="24"/>
      <c r="H440" s="24"/>
      <c r="I440" s="24"/>
      <c r="J440" s="24"/>
      <c r="K440" s="24"/>
      <c r="L440" s="24"/>
      <c r="M440" s="24"/>
      <c r="N440" s="24"/>
      <c r="O440" s="24"/>
      <c r="P440" s="24"/>
      <c r="Q440" s="24"/>
      <c r="R440" s="24"/>
    </row>
    <row r="441">
      <c r="A441" s="24"/>
      <c r="B441" s="24"/>
      <c r="C441" s="24"/>
      <c r="D441" s="24"/>
      <c r="E441" s="24"/>
      <c r="F441" s="24"/>
      <c r="G441" s="24"/>
      <c r="H441" s="24"/>
      <c r="I441" s="24"/>
      <c r="J441" s="24"/>
      <c r="K441" s="24"/>
      <c r="L441" s="24"/>
      <c r="M441" s="24"/>
      <c r="N441" s="24"/>
      <c r="O441" s="24"/>
      <c r="P441" s="24"/>
      <c r="Q441" s="24"/>
      <c r="R441" s="24"/>
    </row>
    <row r="442">
      <c r="A442" s="24"/>
      <c r="B442" s="24"/>
      <c r="C442" s="24"/>
      <c r="D442" s="24"/>
      <c r="E442" s="24"/>
      <c r="F442" s="24"/>
      <c r="G442" s="24"/>
      <c r="H442" s="24"/>
      <c r="I442" s="24"/>
      <c r="J442" s="24"/>
      <c r="K442" s="24"/>
      <c r="L442" s="24"/>
      <c r="M442" s="24"/>
      <c r="N442" s="24"/>
      <c r="O442" s="24"/>
      <c r="P442" s="24"/>
      <c r="Q442" s="24"/>
      <c r="R442" s="24"/>
    </row>
    <row r="443">
      <c r="A443" s="24"/>
      <c r="B443" s="24"/>
      <c r="C443" s="24"/>
      <c r="D443" s="24"/>
      <c r="E443" s="24"/>
      <c r="F443" s="24"/>
      <c r="G443" s="24"/>
      <c r="H443" s="24"/>
      <c r="I443" s="24"/>
      <c r="J443" s="24"/>
      <c r="K443" s="24"/>
      <c r="L443" s="24"/>
      <c r="M443" s="24"/>
      <c r="N443" s="24"/>
      <c r="O443" s="24"/>
      <c r="P443" s="24"/>
      <c r="Q443" s="24"/>
      <c r="R443" s="24"/>
    </row>
    <row r="444">
      <c r="A444" s="24"/>
      <c r="B444" s="24"/>
      <c r="C444" s="24"/>
      <c r="D444" s="24"/>
      <c r="E444" s="24"/>
      <c r="F444" s="24"/>
      <c r="G444" s="24"/>
      <c r="H444" s="24"/>
      <c r="I444" s="24"/>
      <c r="J444" s="24"/>
      <c r="K444" s="24"/>
      <c r="L444" s="24"/>
      <c r="M444" s="24"/>
      <c r="N444" s="24"/>
      <c r="O444" s="24"/>
      <c r="P444" s="24"/>
      <c r="Q444" s="24"/>
      <c r="R444" s="24"/>
    </row>
    <row r="445">
      <c r="A445" s="24"/>
      <c r="B445" s="24"/>
      <c r="C445" s="24"/>
      <c r="D445" s="24"/>
      <c r="E445" s="24"/>
      <c r="F445" s="24"/>
      <c r="G445" s="24"/>
      <c r="H445" s="24"/>
      <c r="I445" s="24"/>
      <c r="J445" s="24"/>
      <c r="K445" s="24"/>
      <c r="L445" s="24"/>
      <c r="M445" s="24"/>
      <c r="N445" s="24"/>
      <c r="O445" s="24"/>
      <c r="P445" s="24"/>
      <c r="Q445" s="24"/>
      <c r="R445" s="24"/>
    </row>
    <row r="446">
      <c r="A446" s="24"/>
      <c r="B446" s="24"/>
      <c r="C446" s="24"/>
      <c r="D446" s="24"/>
      <c r="E446" s="24"/>
      <c r="F446" s="24"/>
      <c r="G446" s="24"/>
      <c r="H446" s="24"/>
      <c r="I446" s="24"/>
      <c r="J446" s="24"/>
      <c r="K446" s="24"/>
      <c r="L446" s="24"/>
      <c r="M446" s="24"/>
      <c r="N446" s="24"/>
      <c r="O446" s="24"/>
      <c r="P446" s="24"/>
      <c r="Q446" s="24"/>
      <c r="R446" s="24"/>
    </row>
    <row r="447">
      <c r="A447" s="24"/>
      <c r="B447" s="24"/>
      <c r="C447" s="24"/>
      <c r="D447" s="24"/>
      <c r="E447" s="24"/>
      <c r="F447" s="24"/>
      <c r="G447" s="24"/>
      <c r="H447" s="24"/>
      <c r="I447" s="24"/>
      <c r="J447" s="24"/>
      <c r="K447" s="24"/>
      <c r="L447" s="24"/>
      <c r="M447" s="24"/>
      <c r="N447" s="24"/>
      <c r="O447" s="24"/>
      <c r="P447" s="24"/>
      <c r="Q447" s="24"/>
      <c r="R447" s="24"/>
    </row>
    <row r="448">
      <c r="A448" s="24"/>
      <c r="B448" s="24"/>
      <c r="C448" s="24"/>
      <c r="D448" s="24"/>
      <c r="E448" s="24"/>
      <c r="F448" s="24"/>
      <c r="G448" s="24"/>
      <c r="H448" s="24"/>
      <c r="I448" s="24"/>
      <c r="J448" s="24"/>
      <c r="K448" s="24"/>
      <c r="L448" s="24"/>
      <c r="M448" s="24"/>
      <c r="N448" s="24"/>
      <c r="O448" s="24"/>
      <c r="P448" s="24"/>
      <c r="Q448" s="24"/>
      <c r="R448" s="24"/>
    </row>
    <row r="449">
      <c r="A449" s="24"/>
      <c r="B449" s="24"/>
      <c r="C449" s="24"/>
      <c r="D449" s="24"/>
      <c r="E449" s="24"/>
      <c r="F449" s="24"/>
      <c r="G449" s="24"/>
      <c r="H449" s="24"/>
      <c r="I449" s="24"/>
      <c r="J449" s="24"/>
      <c r="K449" s="24"/>
      <c r="L449" s="24"/>
      <c r="M449" s="24"/>
      <c r="N449" s="24"/>
      <c r="O449" s="24"/>
      <c r="P449" s="24"/>
      <c r="Q449" s="24"/>
      <c r="R449" s="24"/>
    </row>
    <row r="450">
      <c r="A450" s="24"/>
      <c r="B450" s="24"/>
      <c r="C450" s="24"/>
      <c r="D450" s="24"/>
      <c r="E450" s="24"/>
      <c r="F450" s="24"/>
      <c r="G450" s="24"/>
      <c r="H450" s="24"/>
      <c r="I450" s="24"/>
      <c r="J450" s="24"/>
      <c r="K450" s="24"/>
      <c r="L450" s="24"/>
      <c r="M450" s="24"/>
      <c r="N450" s="24"/>
      <c r="O450" s="24"/>
      <c r="P450" s="24"/>
      <c r="Q450" s="24"/>
      <c r="R450" s="24"/>
    </row>
    <row r="451">
      <c r="A451" s="24"/>
      <c r="B451" s="24"/>
      <c r="C451" s="24"/>
      <c r="D451" s="24"/>
      <c r="E451" s="24"/>
      <c r="F451" s="24"/>
      <c r="G451" s="24"/>
      <c r="H451" s="24"/>
      <c r="I451" s="24"/>
      <c r="J451" s="24"/>
      <c r="K451" s="24"/>
      <c r="L451" s="24"/>
      <c r="M451" s="24"/>
      <c r="N451" s="24"/>
      <c r="O451" s="24"/>
      <c r="P451" s="24"/>
      <c r="Q451" s="24"/>
      <c r="R451" s="24"/>
    </row>
    <row r="452">
      <c r="A452" s="24"/>
      <c r="B452" s="24"/>
      <c r="C452" s="24"/>
      <c r="D452" s="24"/>
      <c r="E452" s="24"/>
      <c r="F452" s="24"/>
      <c r="G452" s="24"/>
      <c r="H452" s="24"/>
      <c r="I452" s="24"/>
      <c r="J452" s="24"/>
      <c r="K452" s="24"/>
      <c r="L452" s="24"/>
      <c r="M452" s="24"/>
      <c r="N452" s="24"/>
      <c r="O452" s="24"/>
      <c r="P452" s="24"/>
      <c r="Q452" s="24"/>
      <c r="R452" s="24"/>
    </row>
    <row r="453">
      <c r="A453" s="24"/>
      <c r="B453" s="24"/>
      <c r="C453" s="24"/>
      <c r="D453" s="24"/>
      <c r="E453" s="24"/>
      <c r="F453" s="24"/>
      <c r="G453" s="24"/>
      <c r="H453" s="24"/>
      <c r="I453" s="24"/>
      <c r="J453" s="24"/>
      <c r="K453" s="24"/>
      <c r="L453" s="24"/>
      <c r="M453" s="24"/>
      <c r="N453" s="24"/>
      <c r="O453" s="24"/>
      <c r="P453" s="24"/>
      <c r="Q453" s="24"/>
      <c r="R453" s="24"/>
    </row>
    <row r="454">
      <c r="A454" s="24"/>
      <c r="B454" s="24"/>
      <c r="C454" s="24"/>
      <c r="D454" s="24"/>
      <c r="E454" s="24"/>
      <c r="F454" s="24"/>
      <c r="G454" s="24"/>
      <c r="H454" s="24"/>
      <c r="I454" s="24"/>
      <c r="J454" s="24"/>
      <c r="K454" s="24"/>
      <c r="L454" s="24"/>
      <c r="M454" s="24"/>
      <c r="N454" s="24"/>
      <c r="O454" s="24"/>
      <c r="P454" s="24"/>
      <c r="Q454" s="24"/>
      <c r="R454" s="24"/>
    </row>
    <row r="455">
      <c r="A455" s="24"/>
      <c r="B455" s="24"/>
      <c r="C455" s="24"/>
      <c r="D455" s="24"/>
      <c r="E455" s="24"/>
      <c r="F455" s="24"/>
      <c r="G455" s="24"/>
      <c r="H455" s="24"/>
      <c r="I455" s="24"/>
      <c r="J455" s="24"/>
      <c r="K455" s="24"/>
      <c r="L455" s="24"/>
      <c r="M455" s="24"/>
      <c r="N455" s="24"/>
      <c r="O455" s="24"/>
      <c r="P455" s="24"/>
      <c r="Q455" s="24"/>
      <c r="R455" s="24"/>
    </row>
    <row r="456">
      <c r="A456" s="24"/>
      <c r="B456" s="24"/>
      <c r="C456" s="24"/>
      <c r="D456" s="24"/>
      <c r="E456" s="24"/>
      <c r="F456" s="24"/>
      <c r="G456" s="24"/>
      <c r="H456" s="24"/>
      <c r="I456" s="24"/>
      <c r="J456" s="24"/>
      <c r="K456" s="24"/>
      <c r="L456" s="24"/>
      <c r="M456" s="24"/>
      <c r="N456" s="24"/>
      <c r="O456" s="24"/>
      <c r="P456" s="24"/>
      <c r="Q456" s="24"/>
      <c r="R456" s="24"/>
    </row>
    <row r="457">
      <c r="A457" s="24"/>
      <c r="B457" s="24"/>
      <c r="C457" s="24"/>
      <c r="D457" s="24"/>
      <c r="E457" s="24"/>
      <c r="F457" s="24"/>
      <c r="G457" s="24"/>
      <c r="H457" s="24"/>
      <c r="I457" s="24"/>
      <c r="J457" s="24"/>
      <c r="K457" s="24"/>
      <c r="L457" s="24"/>
      <c r="M457" s="24"/>
      <c r="N457" s="24"/>
      <c r="O457" s="24"/>
      <c r="P457" s="24"/>
      <c r="Q457" s="24"/>
      <c r="R457" s="24"/>
    </row>
    <row r="458">
      <c r="A458" s="24"/>
      <c r="B458" s="24"/>
      <c r="C458" s="24"/>
      <c r="D458" s="24"/>
      <c r="E458" s="24"/>
      <c r="F458" s="24"/>
      <c r="G458" s="24"/>
      <c r="H458" s="24"/>
      <c r="I458" s="24"/>
      <c r="J458" s="24"/>
      <c r="K458" s="24"/>
      <c r="L458" s="24"/>
      <c r="M458" s="24"/>
      <c r="N458" s="24"/>
      <c r="O458" s="24"/>
      <c r="P458" s="24"/>
      <c r="Q458" s="24"/>
      <c r="R458" s="24"/>
    </row>
    <row r="459">
      <c r="A459" s="24"/>
      <c r="B459" s="24"/>
      <c r="C459" s="24"/>
      <c r="D459" s="24"/>
      <c r="E459" s="24"/>
      <c r="F459" s="24"/>
      <c r="G459" s="24"/>
      <c r="H459" s="24"/>
      <c r="I459" s="24"/>
      <c r="J459" s="24"/>
      <c r="K459" s="24"/>
      <c r="L459" s="24"/>
      <c r="M459" s="24"/>
      <c r="N459" s="24"/>
      <c r="O459" s="24"/>
      <c r="P459" s="24"/>
      <c r="Q459" s="24"/>
      <c r="R459" s="24"/>
    </row>
    <row r="460">
      <c r="A460" s="24"/>
      <c r="B460" s="24"/>
      <c r="C460" s="24"/>
      <c r="D460" s="24"/>
      <c r="E460" s="24"/>
      <c r="F460" s="24"/>
      <c r="G460" s="24"/>
      <c r="H460" s="24"/>
      <c r="I460" s="24"/>
      <c r="J460" s="24"/>
      <c r="K460" s="24"/>
      <c r="L460" s="24"/>
      <c r="M460" s="24"/>
      <c r="N460" s="24"/>
      <c r="O460" s="24"/>
      <c r="P460" s="24"/>
      <c r="Q460" s="24"/>
      <c r="R460" s="24"/>
    </row>
    <row r="461">
      <c r="A461" s="24"/>
      <c r="B461" s="24"/>
      <c r="C461" s="24"/>
      <c r="D461" s="24"/>
      <c r="E461" s="24"/>
      <c r="F461" s="24"/>
      <c r="G461" s="24"/>
      <c r="H461" s="24"/>
      <c r="I461" s="24"/>
      <c r="J461" s="24"/>
      <c r="K461" s="24"/>
      <c r="L461" s="24"/>
      <c r="M461" s="24"/>
      <c r="N461" s="24"/>
      <c r="O461" s="24"/>
      <c r="P461" s="24"/>
      <c r="Q461" s="24"/>
      <c r="R461" s="24"/>
    </row>
    <row r="462">
      <c r="A462" s="24"/>
      <c r="B462" s="24"/>
      <c r="C462" s="24"/>
      <c r="D462" s="24"/>
      <c r="E462" s="24"/>
      <c r="F462" s="24"/>
      <c r="G462" s="24"/>
      <c r="H462" s="24"/>
      <c r="I462" s="24"/>
      <c r="J462" s="24"/>
      <c r="K462" s="24"/>
      <c r="L462" s="24"/>
      <c r="M462" s="24"/>
      <c r="N462" s="24"/>
      <c r="O462" s="24"/>
      <c r="P462" s="24"/>
      <c r="Q462" s="24"/>
      <c r="R462" s="24"/>
    </row>
    <row r="463">
      <c r="A463" s="24"/>
      <c r="B463" s="24"/>
      <c r="C463" s="24"/>
      <c r="D463" s="24"/>
      <c r="E463" s="24"/>
      <c r="F463" s="24"/>
      <c r="G463" s="24"/>
      <c r="H463" s="24"/>
      <c r="I463" s="24"/>
      <c r="J463" s="24"/>
      <c r="K463" s="24"/>
      <c r="L463" s="24"/>
      <c r="M463" s="24"/>
      <c r="N463" s="24"/>
      <c r="O463" s="24"/>
      <c r="P463" s="24"/>
      <c r="Q463" s="24"/>
      <c r="R463" s="24"/>
    </row>
    <row r="464">
      <c r="A464" s="24"/>
      <c r="B464" s="24"/>
      <c r="C464" s="24"/>
      <c r="D464" s="24"/>
      <c r="E464" s="24"/>
      <c r="F464" s="24"/>
      <c r="G464" s="24"/>
      <c r="H464" s="24"/>
      <c r="I464" s="24"/>
      <c r="J464" s="24"/>
      <c r="K464" s="24"/>
      <c r="L464" s="24"/>
      <c r="M464" s="24"/>
      <c r="N464" s="24"/>
      <c r="O464" s="24"/>
      <c r="P464" s="24"/>
      <c r="Q464" s="24"/>
      <c r="R464" s="24"/>
    </row>
    <row r="465">
      <c r="A465" s="24"/>
      <c r="B465" s="24"/>
      <c r="C465" s="24"/>
      <c r="D465" s="24"/>
      <c r="E465" s="24"/>
      <c r="F465" s="24"/>
      <c r="G465" s="24"/>
      <c r="H465" s="24"/>
      <c r="I465" s="24"/>
      <c r="J465" s="24"/>
      <c r="K465" s="24"/>
      <c r="L465" s="24"/>
      <c r="M465" s="24"/>
      <c r="N465" s="24"/>
      <c r="O465" s="24"/>
      <c r="P465" s="24"/>
      <c r="Q465" s="24"/>
      <c r="R465" s="24"/>
    </row>
    <row r="466">
      <c r="A466" s="24"/>
      <c r="B466" s="24"/>
      <c r="C466" s="24"/>
      <c r="D466" s="24"/>
      <c r="E466" s="24"/>
      <c r="F466" s="24"/>
      <c r="G466" s="24"/>
      <c r="H466" s="24"/>
      <c r="I466" s="24"/>
      <c r="J466" s="24"/>
      <c r="K466" s="24"/>
      <c r="L466" s="24"/>
      <c r="M466" s="24"/>
      <c r="N466" s="24"/>
      <c r="O466" s="24"/>
      <c r="P466" s="24"/>
      <c r="Q466" s="24"/>
      <c r="R466" s="24"/>
    </row>
    <row r="467">
      <c r="A467" s="24"/>
      <c r="B467" s="24"/>
      <c r="C467" s="24"/>
      <c r="D467" s="24"/>
      <c r="E467" s="24"/>
      <c r="F467" s="24"/>
      <c r="G467" s="24"/>
      <c r="H467" s="24"/>
      <c r="I467" s="24"/>
      <c r="J467" s="24"/>
      <c r="K467" s="24"/>
      <c r="L467" s="24"/>
      <c r="M467" s="24"/>
      <c r="N467" s="24"/>
      <c r="O467" s="24"/>
      <c r="P467" s="24"/>
      <c r="Q467" s="24"/>
      <c r="R467" s="24"/>
    </row>
    <row r="468">
      <c r="A468" s="24"/>
      <c r="B468" s="24"/>
      <c r="C468" s="24"/>
      <c r="D468" s="24"/>
      <c r="E468" s="24"/>
      <c r="F468" s="24"/>
      <c r="G468" s="24"/>
      <c r="H468" s="24"/>
      <c r="I468" s="24"/>
      <c r="J468" s="24"/>
      <c r="K468" s="24"/>
      <c r="L468" s="24"/>
      <c r="M468" s="24"/>
      <c r="N468" s="24"/>
      <c r="O468" s="24"/>
      <c r="P468" s="24"/>
      <c r="Q468" s="24"/>
      <c r="R468" s="24"/>
    </row>
    <row r="469">
      <c r="A469" s="24"/>
      <c r="B469" s="24"/>
      <c r="C469" s="24"/>
      <c r="D469" s="24"/>
      <c r="E469" s="24"/>
      <c r="F469" s="24"/>
      <c r="G469" s="24"/>
      <c r="H469" s="24"/>
      <c r="I469" s="24"/>
      <c r="J469" s="24"/>
      <c r="K469" s="24"/>
      <c r="L469" s="24"/>
      <c r="M469" s="24"/>
      <c r="N469" s="24"/>
      <c r="O469" s="24"/>
      <c r="P469" s="24"/>
      <c r="Q469" s="24"/>
      <c r="R469" s="24"/>
    </row>
    <row r="470">
      <c r="A470" s="24"/>
      <c r="B470" s="24"/>
      <c r="C470" s="24"/>
      <c r="D470" s="24"/>
      <c r="E470" s="24"/>
      <c r="F470" s="24"/>
      <c r="G470" s="24"/>
      <c r="H470" s="24"/>
      <c r="I470" s="24"/>
      <c r="J470" s="24"/>
      <c r="K470" s="24"/>
      <c r="L470" s="24"/>
      <c r="M470" s="24"/>
      <c r="N470" s="24"/>
      <c r="O470" s="24"/>
      <c r="P470" s="24"/>
      <c r="Q470" s="24"/>
      <c r="R470" s="24"/>
    </row>
    <row r="471">
      <c r="A471" s="24"/>
      <c r="B471" s="24"/>
      <c r="C471" s="24"/>
      <c r="D471" s="24"/>
      <c r="E471" s="24"/>
      <c r="F471" s="24"/>
      <c r="G471" s="24"/>
      <c r="H471" s="24"/>
      <c r="I471" s="24"/>
      <c r="J471" s="24"/>
      <c r="K471" s="24"/>
      <c r="L471" s="24"/>
      <c r="M471" s="24"/>
      <c r="N471" s="24"/>
      <c r="O471" s="24"/>
      <c r="P471" s="24"/>
      <c r="Q471" s="24"/>
      <c r="R471" s="24"/>
    </row>
    <row r="472">
      <c r="A472" s="24"/>
      <c r="B472" s="24"/>
      <c r="C472" s="24"/>
      <c r="D472" s="24"/>
      <c r="E472" s="24"/>
      <c r="F472" s="24"/>
      <c r="G472" s="24"/>
      <c r="H472" s="24"/>
      <c r="I472" s="24"/>
      <c r="J472" s="24"/>
      <c r="K472" s="24"/>
      <c r="L472" s="24"/>
      <c r="M472" s="24"/>
      <c r="N472" s="24"/>
      <c r="O472" s="24"/>
      <c r="P472" s="24"/>
      <c r="Q472" s="24"/>
      <c r="R472" s="24"/>
    </row>
    <row r="473">
      <c r="A473" s="24"/>
      <c r="B473" s="24"/>
      <c r="C473" s="24"/>
      <c r="D473" s="24"/>
      <c r="E473" s="24"/>
      <c r="F473" s="24"/>
      <c r="G473" s="24"/>
      <c r="H473" s="24"/>
      <c r="I473" s="24"/>
      <c r="J473" s="24"/>
      <c r="K473" s="24"/>
      <c r="L473" s="24"/>
      <c r="M473" s="24"/>
      <c r="N473" s="24"/>
      <c r="O473" s="24"/>
      <c r="P473" s="24"/>
      <c r="Q473" s="24"/>
      <c r="R473" s="24"/>
    </row>
    <row r="474">
      <c r="A474" s="24"/>
      <c r="B474" s="24"/>
      <c r="C474" s="24"/>
      <c r="D474" s="24"/>
      <c r="E474" s="24"/>
      <c r="F474" s="24"/>
      <c r="G474" s="24"/>
      <c r="H474" s="24"/>
      <c r="I474" s="24"/>
      <c r="J474" s="24"/>
      <c r="K474" s="24"/>
      <c r="L474" s="24"/>
      <c r="M474" s="24"/>
      <c r="N474" s="24"/>
      <c r="O474" s="24"/>
      <c r="P474" s="24"/>
      <c r="Q474" s="24"/>
      <c r="R474" s="24"/>
    </row>
    <row r="475">
      <c r="A475" s="24"/>
      <c r="B475" s="24"/>
      <c r="C475" s="24"/>
      <c r="D475" s="24"/>
      <c r="E475" s="24"/>
      <c r="F475" s="24"/>
      <c r="G475" s="24"/>
      <c r="H475" s="24"/>
      <c r="I475" s="24"/>
      <c r="J475" s="24"/>
      <c r="K475" s="24"/>
      <c r="L475" s="24"/>
      <c r="M475" s="24"/>
      <c r="N475" s="24"/>
      <c r="O475" s="24"/>
      <c r="P475" s="24"/>
      <c r="Q475" s="24"/>
      <c r="R475" s="24"/>
    </row>
    <row r="476">
      <c r="A476" s="24"/>
      <c r="B476" s="24"/>
      <c r="C476" s="24"/>
      <c r="D476" s="24"/>
      <c r="E476" s="24"/>
      <c r="F476" s="24"/>
      <c r="G476" s="24"/>
      <c r="H476" s="24"/>
      <c r="I476" s="24"/>
      <c r="J476" s="24"/>
      <c r="K476" s="24"/>
      <c r="L476" s="24"/>
      <c r="M476" s="24"/>
      <c r="N476" s="24"/>
      <c r="O476" s="24"/>
      <c r="P476" s="24"/>
      <c r="Q476" s="24"/>
      <c r="R476" s="24"/>
    </row>
    <row r="477">
      <c r="A477" s="24"/>
      <c r="B477" s="24"/>
      <c r="C477" s="24"/>
      <c r="D477" s="24"/>
      <c r="E477" s="24"/>
      <c r="F477" s="24"/>
      <c r="G477" s="24"/>
      <c r="H477" s="24"/>
      <c r="I477" s="24"/>
      <c r="J477" s="24"/>
      <c r="K477" s="24"/>
      <c r="L477" s="24"/>
      <c r="M477" s="24"/>
      <c r="N477" s="24"/>
      <c r="O477" s="24"/>
      <c r="P477" s="24"/>
      <c r="Q477" s="24"/>
      <c r="R477" s="24"/>
    </row>
    <row r="478">
      <c r="A478" s="24"/>
      <c r="B478" s="24"/>
      <c r="C478" s="24"/>
      <c r="D478" s="24"/>
      <c r="E478" s="24"/>
      <c r="F478" s="24"/>
      <c r="G478" s="24"/>
      <c r="H478" s="24"/>
      <c r="I478" s="24"/>
      <c r="J478" s="24"/>
      <c r="K478" s="24"/>
      <c r="L478" s="24"/>
      <c r="M478" s="24"/>
      <c r="N478" s="24"/>
      <c r="O478" s="24"/>
      <c r="P478" s="24"/>
      <c r="Q478" s="24"/>
      <c r="R478" s="24"/>
    </row>
    <row r="479">
      <c r="A479" s="24"/>
      <c r="B479" s="24"/>
      <c r="C479" s="24"/>
      <c r="D479" s="24"/>
      <c r="E479" s="24"/>
      <c r="F479" s="24"/>
      <c r="G479" s="24"/>
      <c r="H479" s="24"/>
      <c r="I479" s="24"/>
      <c r="J479" s="24"/>
      <c r="K479" s="24"/>
      <c r="L479" s="24"/>
      <c r="M479" s="24"/>
      <c r="N479" s="24"/>
      <c r="O479" s="24"/>
      <c r="P479" s="24"/>
      <c r="Q479" s="24"/>
      <c r="R479" s="24"/>
    </row>
    <row r="480">
      <c r="A480" s="24"/>
      <c r="B480" s="24"/>
      <c r="C480" s="24"/>
      <c r="D480" s="24"/>
      <c r="E480" s="24"/>
      <c r="F480" s="24"/>
      <c r="G480" s="24"/>
      <c r="H480" s="24"/>
      <c r="I480" s="24"/>
      <c r="J480" s="24"/>
      <c r="K480" s="24"/>
      <c r="L480" s="24"/>
      <c r="M480" s="24"/>
      <c r="N480" s="24"/>
      <c r="O480" s="24"/>
      <c r="P480" s="24"/>
      <c r="Q480" s="24"/>
      <c r="R480" s="24"/>
    </row>
    <row r="481">
      <c r="A481" s="24"/>
      <c r="B481" s="24"/>
      <c r="C481" s="24"/>
      <c r="D481" s="24"/>
      <c r="E481" s="24"/>
      <c r="F481" s="24"/>
      <c r="G481" s="24"/>
      <c r="H481" s="24"/>
      <c r="I481" s="24"/>
      <c r="J481" s="24"/>
      <c r="K481" s="24"/>
      <c r="L481" s="24"/>
      <c r="M481" s="24"/>
      <c r="N481" s="24"/>
      <c r="O481" s="24"/>
      <c r="P481" s="24"/>
      <c r="Q481" s="24"/>
      <c r="R481" s="24"/>
    </row>
    <row r="482">
      <c r="A482" s="24"/>
      <c r="B482" s="24"/>
      <c r="C482" s="24"/>
      <c r="D482" s="24"/>
      <c r="E482" s="24"/>
      <c r="F482" s="24"/>
      <c r="G482" s="24"/>
      <c r="H482" s="24"/>
      <c r="I482" s="24"/>
      <c r="J482" s="24"/>
      <c r="K482" s="24"/>
      <c r="L482" s="24"/>
      <c r="M482" s="24"/>
      <c r="N482" s="24"/>
      <c r="O482" s="24"/>
      <c r="P482" s="24"/>
      <c r="Q482" s="24"/>
      <c r="R482" s="24"/>
    </row>
    <row r="483">
      <c r="A483" s="24"/>
      <c r="B483" s="24"/>
      <c r="C483" s="24"/>
      <c r="D483" s="24"/>
      <c r="E483" s="24"/>
      <c r="F483" s="24"/>
      <c r="G483" s="24"/>
      <c r="H483" s="24"/>
      <c r="I483" s="24"/>
      <c r="J483" s="24"/>
      <c r="K483" s="24"/>
      <c r="L483" s="24"/>
      <c r="M483" s="24"/>
      <c r="N483" s="24"/>
      <c r="O483" s="24"/>
      <c r="P483" s="24"/>
      <c r="Q483" s="24"/>
      <c r="R483" s="24"/>
    </row>
    <row r="484">
      <c r="A484" s="24"/>
      <c r="B484" s="24"/>
      <c r="C484" s="24"/>
      <c r="D484" s="24"/>
      <c r="E484" s="24"/>
      <c r="F484" s="24"/>
      <c r="G484" s="24"/>
      <c r="H484" s="24"/>
      <c r="I484" s="24"/>
      <c r="J484" s="24"/>
      <c r="K484" s="24"/>
      <c r="L484" s="24"/>
      <c r="M484" s="24"/>
      <c r="N484" s="24"/>
      <c r="O484" s="24"/>
      <c r="P484" s="24"/>
      <c r="Q484" s="24"/>
      <c r="R484" s="24"/>
    </row>
    <row r="485">
      <c r="A485" s="24"/>
      <c r="B485" s="24"/>
      <c r="C485" s="24"/>
      <c r="D485" s="24"/>
      <c r="E485" s="24"/>
      <c r="F485" s="24"/>
      <c r="G485" s="24"/>
      <c r="H485" s="24"/>
      <c r="I485" s="24"/>
      <c r="J485" s="24"/>
      <c r="K485" s="24"/>
      <c r="L485" s="24"/>
      <c r="M485" s="24"/>
      <c r="N485" s="24"/>
      <c r="O485" s="24"/>
      <c r="P485" s="24"/>
      <c r="Q485" s="24"/>
      <c r="R485" s="24"/>
    </row>
    <row r="486">
      <c r="A486" s="24"/>
      <c r="B486" s="24"/>
      <c r="C486" s="24"/>
      <c r="D486" s="24"/>
      <c r="E486" s="24"/>
      <c r="F486" s="24"/>
      <c r="G486" s="24"/>
      <c r="H486" s="24"/>
      <c r="I486" s="24"/>
      <c r="J486" s="24"/>
      <c r="K486" s="24"/>
      <c r="L486" s="24"/>
      <c r="M486" s="24"/>
      <c r="N486" s="24"/>
      <c r="O486" s="24"/>
      <c r="P486" s="24"/>
      <c r="Q486" s="24"/>
      <c r="R486" s="24"/>
    </row>
    <row r="487">
      <c r="A487" s="24"/>
      <c r="B487" s="24"/>
      <c r="C487" s="24"/>
      <c r="D487" s="24"/>
      <c r="E487" s="24"/>
      <c r="F487" s="24"/>
      <c r="G487" s="24"/>
      <c r="H487" s="24"/>
      <c r="I487" s="24"/>
      <c r="J487" s="24"/>
      <c r="K487" s="24"/>
      <c r="L487" s="24"/>
      <c r="M487" s="24"/>
      <c r="N487" s="24"/>
      <c r="O487" s="24"/>
      <c r="P487" s="24"/>
      <c r="Q487" s="24"/>
      <c r="R487" s="24"/>
    </row>
    <row r="488">
      <c r="A488" s="24"/>
      <c r="B488" s="24"/>
      <c r="C488" s="24"/>
      <c r="D488" s="24"/>
      <c r="E488" s="24"/>
      <c r="F488" s="24"/>
      <c r="G488" s="24"/>
      <c r="H488" s="24"/>
      <c r="I488" s="24"/>
      <c r="J488" s="24"/>
      <c r="K488" s="24"/>
      <c r="L488" s="24"/>
      <c r="M488" s="24"/>
      <c r="N488" s="24"/>
      <c r="O488" s="24"/>
      <c r="P488" s="24"/>
      <c r="Q488" s="24"/>
      <c r="R488" s="24"/>
    </row>
    <row r="489">
      <c r="A489" s="24"/>
      <c r="B489" s="24"/>
      <c r="C489" s="24"/>
      <c r="D489" s="24"/>
      <c r="E489" s="24"/>
      <c r="F489" s="24"/>
      <c r="G489" s="24"/>
      <c r="H489" s="24"/>
      <c r="I489" s="24"/>
      <c r="J489" s="24"/>
      <c r="K489" s="24"/>
      <c r="L489" s="24"/>
      <c r="M489" s="24"/>
      <c r="N489" s="24"/>
      <c r="O489" s="24"/>
      <c r="P489" s="24"/>
      <c r="Q489" s="24"/>
      <c r="R489" s="24"/>
    </row>
    <row r="490">
      <c r="A490" s="24"/>
      <c r="B490" s="24"/>
      <c r="C490" s="24"/>
      <c r="D490" s="24"/>
      <c r="E490" s="24"/>
      <c r="F490" s="24"/>
      <c r="G490" s="24"/>
      <c r="H490" s="24"/>
      <c r="I490" s="24"/>
      <c r="J490" s="24"/>
      <c r="K490" s="24"/>
      <c r="L490" s="24"/>
      <c r="M490" s="24"/>
      <c r="N490" s="24"/>
      <c r="O490" s="24"/>
      <c r="P490" s="24"/>
      <c r="Q490" s="24"/>
      <c r="R490" s="24"/>
    </row>
    <row r="491">
      <c r="A491" s="24"/>
      <c r="B491" s="24"/>
      <c r="C491" s="24"/>
      <c r="D491" s="24"/>
      <c r="E491" s="24"/>
      <c r="F491" s="24"/>
      <c r="G491" s="24"/>
      <c r="H491" s="24"/>
      <c r="I491" s="24"/>
      <c r="J491" s="24"/>
      <c r="K491" s="24"/>
      <c r="L491" s="24"/>
      <c r="M491" s="24"/>
      <c r="N491" s="24"/>
      <c r="O491" s="24"/>
      <c r="P491" s="24"/>
      <c r="Q491" s="24"/>
      <c r="R491" s="24"/>
    </row>
    <row r="492">
      <c r="A492" s="24"/>
      <c r="B492" s="24"/>
      <c r="C492" s="24"/>
      <c r="D492" s="24"/>
      <c r="E492" s="24"/>
      <c r="F492" s="24"/>
      <c r="G492" s="24"/>
      <c r="H492" s="24"/>
      <c r="I492" s="24"/>
      <c r="J492" s="24"/>
      <c r="K492" s="24"/>
      <c r="L492" s="24"/>
      <c r="M492" s="24"/>
      <c r="N492" s="24"/>
      <c r="O492" s="24"/>
      <c r="P492" s="24"/>
      <c r="Q492" s="24"/>
      <c r="R492" s="24"/>
    </row>
    <row r="493">
      <c r="A493" s="24"/>
      <c r="B493" s="24"/>
      <c r="C493" s="24"/>
      <c r="D493" s="24"/>
      <c r="E493" s="24"/>
      <c r="F493" s="24"/>
      <c r="G493" s="24"/>
      <c r="H493" s="24"/>
      <c r="I493" s="24"/>
      <c r="J493" s="24"/>
      <c r="K493" s="24"/>
      <c r="L493" s="24"/>
      <c r="M493" s="24"/>
      <c r="N493" s="24"/>
      <c r="O493" s="24"/>
      <c r="P493" s="24"/>
      <c r="Q493" s="24"/>
      <c r="R493" s="24"/>
    </row>
    <row r="494">
      <c r="A494" s="24"/>
      <c r="B494" s="24"/>
      <c r="C494" s="24"/>
      <c r="D494" s="24"/>
      <c r="E494" s="24"/>
      <c r="F494" s="24"/>
      <c r="G494" s="24"/>
      <c r="H494" s="24"/>
      <c r="I494" s="24"/>
      <c r="J494" s="24"/>
      <c r="K494" s="24"/>
      <c r="L494" s="24"/>
      <c r="M494" s="24"/>
      <c r="N494" s="24"/>
      <c r="O494" s="24"/>
      <c r="P494" s="24"/>
      <c r="Q494" s="24"/>
      <c r="R494" s="24"/>
    </row>
    <row r="495">
      <c r="A495" s="24"/>
      <c r="B495" s="24"/>
      <c r="C495" s="24"/>
      <c r="D495" s="24"/>
      <c r="E495" s="24"/>
      <c r="F495" s="24"/>
      <c r="G495" s="24"/>
      <c r="H495" s="24"/>
      <c r="I495" s="24"/>
      <c r="J495" s="24"/>
      <c r="K495" s="24"/>
      <c r="L495" s="24"/>
      <c r="M495" s="24"/>
      <c r="N495" s="24"/>
      <c r="O495" s="24"/>
      <c r="P495" s="24"/>
      <c r="Q495" s="24"/>
      <c r="R495" s="24"/>
    </row>
    <row r="496">
      <c r="A496" s="24"/>
      <c r="B496" s="24"/>
      <c r="C496" s="24"/>
      <c r="D496" s="24"/>
      <c r="E496" s="24"/>
      <c r="F496" s="24"/>
      <c r="G496" s="24"/>
      <c r="H496" s="24"/>
      <c r="I496" s="24"/>
      <c r="J496" s="24"/>
      <c r="K496" s="24"/>
      <c r="L496" s="24"/>
      <c r="M496" s="24"/>
      <c r="N496" s="24"/>
      <c r="O496" s="24"/>
      <c r="P496" s="24"/>
      <c r="Q496" s="24"/>
      <c r="R496" s="24"/>
    </row>
    <row r="497">
      <c r="B497" s="112"/>
    </row>
    <row r="498">
      <c r="B498" s="112"/>
    </row>
    <row r="499">
      <c r="B499" s="112"/>
    </row>
    <row r="500">
      <c r="B500" s="112"/>
    </row>
    <row r="501">
      <c r="B501" s="112"/>
    </row>
    <row r="502">
      <c r="B502" s="112"/>
    </row>
    <row r="503">
      <c r="B503" s="112"/>
    </row>
    <row r="504">
      <c r="B504" s="112"/>
    </row>
    <row r="505">
      <c r="B505" s="112"/>
    </row>
    <row r="506">
      <c r="B506" s="112"/>
    </row>
    <row r="507">
      <c r="B507" s="112"/>
    </row>
    <row r="508">
      <c r="B508" s="112"/>
    </row>
    <row r="509">
      <c r="B509" s="112"/>
    </row>
    <row r="510">
      <c r="B510" s="112"/>
    </row>
    <row r="511">
      <c r="B511" s="112"/>
    </row>
    <row r="512">
      <c r="B512" s="112"/>
    </row>
    <row r="513">
      <c r="B513" s="112"/>
    </row>
    <row r="514">
      <c r="B514" s="112"/>
    </row>
    <row r="515">
      <c r="B515" s="112"/>
    </row>
    <row r="516">
      <c r="B516" s="112"/>
    </row>
    <row r="517">
      <c r="B517" s="112"/>
    </row>
    <row r="518">
      <c r="B518" s="112"/>
    </row>
    <row r="519">
      <c r="B519" s="112"/>
    </row>
    <row r="520">
      <c r="B520" s="112"/>
    </row>
    <row r="521">
      <c r="B521" s="112"/>
    </row>
    <row r="522">
      <c r="B522" s="112"/>
    </row>
    <row r="523">
      <c r="B523" s="112"/>
    </row>
    <row r="524">
      <c r="B524" s="112"/>
    </row>
    <row r="525">
      <c r="B525" s="112"/>
    </row>
    <row r="526">
      <c r="B526" s="112"/>
    </row>
    <row r="527">
      <c r="B527" s="112"/>
    </row>
    <row r="528">
      <c r="B528" s="112"/>
    </row>
    <row r="529">
      <c r="B529" s="112"/>
    </row>
    <row r="530">
      <c r="B530" s="112"/>
    </row>
    <row r="531">
      <c r="B531" s="112"/>
    </row>
    <row r="532">
      <c r="B532" s="112"/>
    </row>
    <row r="533">
      <c r="B533" s="112"/>
    </row>
    <row r="534">
      <c r="B534" s="112"/>
    </row>
    <row r="535">
      <c r="B535" s="112"/>
    </row>
    <row r="536">
      <c r="B536" s="112"/>
    </row>
    <row r="537">
      <c r="B537" s="112"/>
    </row>
    <row r="538">
      <c r="B538" s="112"/>
    </row>
    <row r="539">
      <c r="B539" s="112"/>
    </row>
    <row r="540">
      <c r="B540" s="112"/>
    </row>
    <row r="541">
      <c r="B541" s="112"/>
    </row>
    <row r="542">
      <c r="B542" s="112"/>
    </row>
    <row r="543">
      <c r="B543" s="112"/>
    </row>
    <row r="544">
      <c r="B544" s="112"/>
    </row>
    <row r="545">
      <c r="B545" s="112"/>
    </row>
    <row r="546">
      <c r="B546" s="112"/>
    </row>
    <row r="547">
      <c r="B547" s="112"/>
    </row>
    <row r="548">
      <c r="B548" s="112"/>
    </row>
    <row r="549">
      <c r="B549" s="112"/>
    </row>
    <row r="550">
      <c r="B550" s="112"/>
    </row>
    <row r="551">
      <c r="B551" s="112"/>
    </row>
    <row r="552">
      <c r="B552" s="112"/>
    </row>
    <row r="553">
      <c r="B553" s="112"/>
    </row>
    <row r="554">
      <c r="B554" s="112"/>
    </row>
    <row r="555">
      <c r="B555" s="112"/>
    </row>
    <row r="556">
      <c r="B556" s="112"/>
    </row>
    <row r="557">
      <c r="B557" s="112"/>
    </row>
    <row r="558">
      <c r="B558" s="112"/>
    </row>
    <row r="559">
      <c r="B559" s="112"/>
    </row>
    <row r="560">
      <c r="B560" s="112"/>
    </row>
    <row r="561">
      <c r="B561" s="112"/>
    </row>
    <row r="562">
      <c r="B562" s="112"/>
    </row>
    <row r="563">
      <c r="B563" s="112"/>
    </row>
    <row r="564">
      <c r="B564" s="112"/>
    </row>
    <row r="565">
      <c r="B565" s="112"/>
    </row>
    <row r="566">
      <c r="B566" s="112"/>
    </row>
    <row r="567">
      <c r="B567" s="112"/>
    </row>
    <row r="568">
      <c r="B568" s="112"/>
    </row>
    <row r="569">
      <c r="B569" s="112"/>
    </row>
    <row r="570">
      <c r="B570" s="112"/>
    </row>
    <row r="571">
      <c r="B571" s="112"/>
    </row>
    <row r="572">
      <c r="B572" s="112"/>
    </row>
    <row r="573">
      <c r="B573" s="112"/>
    </row>
    <row r="574">
      <c r="B574" s="112"/>
    </row>
    <row r="575">
      <c r="B575" s="112"/>
    </row>
    <row r="576">
      <c r="B576" s="112"/>
    </row>
    <row r="577">
      <c r="B577" s="112"/>
    </row>
    <row r="578">
      <c r="B578" s="112"/>
    </row>
    <row r="579">
      <c r="B579" s="112"/>
    </row>
    <row r="580">
      <c r="B580" s="112"/>
    </row>
    <row r="581">
      <c r="B581" s="112"/>
    </row>
    <row r="582">
      <c r="B582" s="112"/>
    </row>
    <row r="583">
      <c r="B583" s="112"/>
    </row>
    <row r="584">
      <c r="B584" s="112"/>
    </row>
    <row r="585">
      <c r="B585" s="112"/>
    </row>
    <row r="586">
      <c r="B586" s="112"/>
    </row>
    <row r="587">
      <c r="B587" s="112"/>
    </row>
    <row r="588">
      <c r="B588" s="112"/>
    </row>
    <row r="589">
      <c r="B589" s="112"/>
    </row>
    <row r="590">
      <c r="B590" s="112"/>
    </row>
    <row r="591">
      <c r="B591" s="112"/>
    </row>
    <row r="592">
      <c r="B592" s="112"/>
    </row>
    <row r="593">
      <c r="B593" s="112"/>
    </row>
    <row r="594">
      <c r="B594" s="112"/>
    </row>
    <row r="595">
      <c r="B595" s="112"/>
    </row>
    <row r="596">
      <c r="B596" s="112"/>
    </row>
    <row r="597">
      <c r="B597" s="112"/>
    </row>
    <row r="598">
      <c r="B598" s="112"/>
    </row>
    <row r="599">
      <c r="B599" s="112"/>
    </row>
    <row r="600">
      <c r="B600" s="112"/>
    </row>
    <row r="601">
      <c r="B601" s="112"/>
    </row>
    <row r="602">
      <c r="B602" s="112"/>
    </row>
    <row r="603">
      <c r="B603" s="112"/>
    </row>
    <row r="604">
      <c r="B604" s="112"/>
    </row>
    <row r="605">
      <c r="B605" s="112"/>
    </row>
    <row r="606">
      <c r="B606" s="112"/>
    </row>
    <row r="607">
      <c r="B607" s="112"/>
    </row>
    <row r="608">
      <c r="B608" s="112"/>
    </row>
    <row r="609">
      <c r="B609" s="112"/>
    </row>
    <row r="610">
      <c r="B610" s="112"/>
    </row>
    <row r="611">
      <c r="B611" s="112"/>
    </row>
    <row r="612">
      <c r="B612" s="112"/>
    </row>
    <row r="613">
      <c r="B613" s="112"/>
    </row>
    <row r="614">
      <c r="B614" s="112"/>
    </row>
    <row r="615">
      <c r="B615" s="112"/>
    </row>
    <row r="616">
      <c r="B616" s="112"/>
    </row>
    <row r="617">
      <c r="B617" s="112"/>
    </row>
    <row r="618">
      <c r="B618" s="112"/>
    </row>
    <row r="619">
      <c r="B619" s="112"/>
    </row>
    <row r="620">
      <c r="B620" s="112"/>
    </row>
    <row r="621">
      <c r="B621" s="112"/>
    </row>
    <row r="622">
      <c r="B622" s="112"/>
    </row>
    <row r="623">
      <c r="B623" s="112"/>
    </row>
    <row r="624">
      <c r="B624" s="112"/>
    </row>
    <row r="625">
      <c r="B625" s="112"/>
    </row>
    <row r="626">
      <c r="B626" s="112"/>
    </row>
    <row r="627">
      <c r="B627" s="112"/>
    </row>
    <row r="628">
      <c r="B628" s="112"/>
    </row>
    <row r="629">
      <c r="B629" s="112"/>
    </row>
    <row r="630">
      <c r="B630" s="112"/>
    </row>
    <row r="631">
      <c r="B631" s="112"/>
    </row>
    <row r="632">
      <c r="B632" s="112"/>
    </row>
    <row r="633">
      <c r="B633" s="112"/>
    </row>
    <row r="634">
      <c r="B634" s="112"/>
    </row>
    <row r="635">
      <c r="B635" s="112"/>
    </row>
    <row r="636">
      <c r="B636" s="112"/>
    </row>
    <row r="637">
      <c r="B637" s="112"/>
    </row>
    <row r="638">
      <c r="B638" s="112"/>
    </row>
    <row r="639">
      <c r="B639" s="112"/>
    </row>
    <row r="640">
      <c r="B640" s="112"/>
    </row>
    <row r="641">
      <c r="B641" s="112"/>
    </row>
    <row r="642">
      <c r="B642" s="112"/>
    </row>
    <row r="643">
      <c r="B643" s="112"/>
    </row>
    <row r="644">
      <c r="B644" s="112"/>
    </row>
    <row r="645">
      <c r="B645" s="112"/>
    </row>
    <row r="646">
      <c r="B646" s="112"/>
    </row>
    <row r="647">
      <c r="B647" s="112"/>
    </row>
    <row r="648">
      <c r="B648" s="112"/>
    </row>
    <row r="649">
      <c r="B649" s="112"/>
    </row>
    <row r="650">
      <c r="B650" s="112"/>
    </row>
    <row r="651">
      <c r="B651" s="112"/>
    </row>
    <row r="652">
      <c r="B652" s="112"/>
    </row>
    <row r="653">
      <c r="B653" s="112"/>
    </row>
    <row r="654">
      <c r="B654" s="112"/>
    </row>
    <row r="655">
      <c r="B655" s="112"/>
    </row>
    <row r="656">
      <c r="B656" s="112"/>
    </row>
    <row r="657">
      <c r="B657" s="112"/>
    </row>
    <row r="658">
      <c r="B658" s="112"/>
    </row>
    <row r="659">
      <c r="B659" s="112"/>
    </row>
    <row r="660">
      <c r="B660" s="112"/>
    </row>
    <row r="661">
      <c r="B661" s="112"/>
    </row>
    <row r="662">
      <c r="B662" s="112"/>
    </row>
    <row r="663">
      <c r="B663" s="112"/>
    </row>
    <row r="664">
      <c r="B664" s="112"/>
    </row>
    <row r="665">
      <c r="B665" s="112"/>
    </row>
    <row r="666">
      <c r="B666" s="112"/>
    </row>
    <row r="667">
      <c r="B667" s="112"/>
    </row>
    <row r="668">
      <c r="B668" s="112"/>
    </row>
    <row r="669">
      <c r="B669" s="112"/>
    </row>
    <row r="670">
      <c r="B670" s="112"/>
    </row>
    <row r="671">
      <c r="B671" s="112"/>
    </row>
    <row r="672">
      <c r="B672" s="112"/>
    </row>
    <row r="673">
      <c r="B673" s="112"/>
    </row>
    <row r="674">
      <c r="B674" s="112"/>
    </row>
    <row r="675">
      <c r="B675" s="112"/>
    </row>
    <row r="676">
      <c r="B676" s="112"/>
    </row>
    <row r="677">
      <c r="B677" s="112"/>
    </row>
    <row r="678">
      <c r="B678" s="112"/>
    </row>
    <row r="679">
      <c r="B679" s="112"/>
    </row>
    <row r="680">
      <c r="B680" s="112"/>
    </row>
    <row r="681">
      <c r="B681" s="112"/>
    </row>
    <row r="682">
      <c r="B682" s="112"/>
    </row>
    <row r="683">
      <c r="B683" s="112"/>
    </row>
    <row r="684">
      <c r="B684" s="112"/>
    </row>
    <row r="685">
      <c r="B685" s="112"/>
    </row>
    <row r="686">
      <c r="B686" s="112"/>
    </row>
    <row r="687">
      <c r="B687" s="112"/>
    </row>
    <row r="688">
      <c r="B688" s="112"/>
    </row>
    <row r="689">
      <c r="B689" s="112"/>
    </row>
    <row r="690">
      <c r="B690" s="112"/>
    </row>
    <row r="691">
      <c r="B691" s="112"/>
    </row>
    <row r="692">
      <c r="B692" s="112"/>
    </row>
    <row r="693">
      <c r="B693" s="112"/>
    </row>
    <row r="694">
      <c r="B694" s="112"/>
    </row>
    <row r="695">
      <c r="B695" s="112"/>
    </row>
    <row r="696">
      <c r="B696" s="112"/>
    </row>
    <row r="697">
      <c r="B697" s="112"/>
    </row>
    <row r="698">
      <c r="B698" s="112"/>
    </row>
    <row r="699">
      <c r="B699" s="112"/>
    </row>
    <row r="700">
      <c r="B700" s="112"/>
    </row>
    <row r="701">
      <c r="B701" s="112"/>
    </row>
    <row r="702">
      <c r="B702" s="112"/>
    </row>
    <row r="703">
      <c r="B703" s="112"/>
    </row>
    <row r="704">
      <c r="B704" s="112"/>
    </row>
    <row r="705">
      <c r="B705" s="112"/>
    </row>
    <row r="706">
      <c r="B706" s="112"/>
    </row>
    <row r="707">
      <c r="B707" s="112"/>
    </row>
    <row r="708">
      <c r="B708" s="112"/>
    </row>
    <row r="709">
      <c r="B709" s="112"/>
    </row>
    <row r="710">
      <c r="B710" s="112"/>
    </row>
    <row r="711">
      <c r="B711" s="112"/>
    </row>
    <row r="712">
      <c r="B712" s="112"/>
    </row>
    <row r="713">
      <c r="B713" s="112"/>
    </row>
    <row r="714">
      <c r="B714" s="112"/>
    </row>
    <row r="715">
      <c r="B715" s="112"/>
    </row>
    <row r="716">
      <c r="B716" s="112"/>
    </row>
    <row r="717">
      <c r="B717" s="112"/>
    </row>
    <row r="718">
      <c r="B718" s="112"/>
    </row>
    <row r="719">
      <c r="B719" s="112"/>
    </row>
    <row r="720">
      <c r="B720" s="112"/>
    </row>
    <row r="721">
      <c r="B721" s="112"/>
    </row>
    <row r="722">
      <c r="B722" s="112"/>
    </row>
    <row r="723">
      <c r="B723" s="112"/>
    </row>
    <row r="724">
      <c r="B724" s="112"/>
    </row>
    <row r="725">
      <c r="B725" s="112"/>
    </row>
    <row r="726">
      <c r="B726" s="112"/>
    </row>
    <row r="727">
      <c r="B727" s="112"/>
    </row>
    <row r="728">
      <c r="B728" s="112"/>
    </row>
    <row r="729">
      <c r="B729" s="112"/>
    </row>
    <row r="730">
      <c r="B730" s="112"/>
    </row>
    <row r="731">
      <c r="B731" s="112"/>
    </row>
    <row r="732">
      <c r="B732" s="112"/>
    </row>
    <row r="733">
      <c r="B733" s="112"/>
    </row>
    <row r="734">
      <c r="B734" s="112"/>
    </row>
    <row r="735">
      <c r="B735" s="112"/>
    </row>
    <row r="736">
      <c r="B736" s="112"/>
    </row>
    <row r="737">
      <c r="B737" s="112"/>
    </row>
    <row r="738">
      <c r="B738" s="112"/>
    </row>
    <row r="739">
      <c r="B739" s="112"/>
    </row>
    <row r="740">
      <c r="B740" s="112"/>
    </row>
    <row r="741">
      <c r="B741" s="112"/>
    </row>
    <row r="742">
      <c r="B742" s="112"/>
    </row>
    <row r="743">
      <c r="B743" s="112"/>
    </row>
    <row r="744">
      <c r="B744" s="112"/>
    </row>
    <row r="745">
      <c r="B745" s="112"/>
    </row>
    <row r="746">
      <c r="B746" s="112"/>
    </row>
    <row r="747">
      <c r="B747" s="112"/>
    </row>
    <row r="748">
      <c r="B748" s="112"/>
    </row>
    <row r="749">
      <c r="B749" s="112"/>
    </row>
    <row r="750">
      <c r="B750" s="112"/>
    </row>
    <row r="751">
      <c r="B751" s="112"/>
    </row>
    <row r="752">
      <c r="B752" s="112"/>
    </row>
    <row r="753">
      <c r="B753" s="112"/>
    </row>
    <row r="754">
      <c r="B754" s="112"/>
    </row>
    <row r="755">
      <c r="B755" s="112"/>
    </row>
    <row r="756">
      <c r="B756" s="112"/>
    </row>
    <row r="757">
      <c r="B757" s="112"/>
    </row>
    <row r="758">
      <c r="B758" s="112"/>
    </row>
    <row r="759">
      <c r="B759" s="112"/>
    </row>
    <row r="760">
      <c r="B760" s="112"/>
    </row>
    <row r="761">
      <c r="B761" s="112"/>
    </row>
    <row r="762">
      <c r="B762" s="112"/>
    </row>
    <row r="763">
      <c r="B763" s="112"/>
    </row>
    <row r="764">
      <c r="B764" s="112"/>
    </row>
    <row r="765">
      <c r="B765" s="112"/>
    </row>
    <row r="766">
      <c r="B766" s="112"/>
    </row>
    <row r="767">
      <c r="B767" s="112"/>
    </row>
    <row r="768">
      <c r="B768" s="112"/>
    </row>
    <row r="769">
      <c r="B769" s="112"/>
    </row>
    <row r="770">
      <c r="B770" s="112"/>
    </row>
    <row r="771">
      <c r="B771" s="112"/>
    </row>
    <row r="772">
      <c r="B772" s="112"/>
    </row>
    <row r="773">
      <c r="B773" s="112"/>
    </row>
    <row r="774">
      <c r="B774" s="112"/>
    </row>
    <row r="775">
      <c r="B775" s="112"/>
    </row>
    <row r="776">
      <c r="B776" s="112"/>
    </row>
    <row r="777">
      <c r="B777" s="112"/>
    </row>
    <row r="778">
      <c r="B778" s="112"/>
    </row>
    <row r="779">
      <c r="B779" s="112"/>
    </row>
    <row r="780">
      <c r="B780" s="112"/>
    </row>
    <row r="781">
      <c r="B781" s="112"/>
    </row>
    <row r="782">
      <c r="B782" s="112"/>
    </row>
    <row r="783">
      <c r="B783" s="112"/>
    </row>
    <row r="784">
      <c r="B784" s="112"/>
    </row>
    <row r="785">
      <c r="B785" s="112"/>
    </row>
    <row r="786">
      <c r="B786" s="112"/>
    </row>
    <row r="787">
      <c r="B787" s="112"/>
    </row>
    <row r="788">
      <c r="B788" s="112"/>
    </row>
    <row r="789">
      <c r="B789" s="112"/>
    </row>
    <row r="790">
      <c r="B790" s="112"/>
    </row>
    <row r="791">
      <c r="B791" s="112"/>
    </row>
    <row r="792">
      <c r="B792" s="112"/>
    </row>
    <row r="793">
      <c r="B793" s="112"/>
    </row>
    <row r="794">
      <c r="B794" s="112"/>
    </row>
    <row r="795">
      <c r="B795" s="112"/>
    </row>
    <row r="796">
      <c r="B796" s="112"/>
    </row>
    <row r="797">
      <c r="B797" s="112"/>
    </row>
    <row r="798">
      <c r="B798" s="112"/>
    </row>
    <row r="799">
      <c r="B799" s="112"/>
    </row>
    <row r="800">
      <c r="B800" s="112"/>
    </row>
    <row r="801">
      <c r="B801" s="112"/>
    </row>
    <row r="802">
      <c r="B802" s="112"/>
    </row>
    <row r="803">
      <c r="B803" s="112"/>
    </row>
    <row r="804">
      <c r="B804" s="112"/>
    </row>
    <row r="805">
      <c r="B805" s="112"/>
    </row>
    <row r="806">
      <c r="B806" s="112"/>
    </row>
    <row r="807">
      <c r="B807" s="112"/>
    </row>
    <row r="808">
      <c r="B808" s="112"/>
    </row>
    <row r="809">
      <c r="B809" s="112"/>
    </row>
    <row r="810">
      <c r="B810" s="112"/>
    </row>
    <row r="811">
      <c r="B811" s="112"/>
    </row>
    <row r="812">
      <c r="B812" s="112"/>
    </row>
    <row r="813">
      <c r="B813" s="112"/>
    </row>
    <row r="814">
      <c r="B814" s="112"/>
    </row>
    <row r="815">
      <c r="B815" s="112"/>
    </row>
    <row r="816">
      <c r="B816" s="112"/>
    </row>
    <row r="817">
      <c r="B817" s="112"/>
    </row>
    <row r="818">
      <c r="B818" s="112"/>
    </row>
    <row r="819">
      <c r="B819" s="112"/>
    </row>
    <row r="820">
      <c r="B820" s="112"/>
    </row>
    <row r="821">
      <c r="B821" s="112"/>
    </row>
    <row r="822">
      <c r="B822" s="112"/>
    </row>
    <row r="823">
      <c r="B823" s="112"/>
    </row>
    <row r="824">
      <c r="B824" s="112"/>
    </row>
    <row r="825">
      <c r="B825" s="112"/>
    </row>
    <row r="826">
      <c r="B826" s="112"/>
    </row>
    <row r="827">
      <c r="B827" s="112"/>
    </row>
    <row r="828">
      <c r="B828" s="112"/>
    </row>
    <row r="829">
      <c r="B829" s="112"/>
    </row>
    <row r="830">
      <c r="B830" s="112"/>
    </row>
    <row r="831">
      <c r="B831" s="112"/>
    </row>
    <row r="832">
      <c r="B832" s="112"/>
    </row>
    <row r="833">
      <c r="B833" s="112"/>
    </row>
    <row r="834">
      <c r="B834" s="112"/>
    </row>
    <row r="835">
      <c r="B835" s="112"/>
    </row>
    <row r="836">
      <c r="B836" s="112"/>
    </row>
    <row r="837">
      <c r="B837" s="112"/>
    </row>
    <row r="838">
      <c r="B838" s="112"/>
    </row>
    <row r="839">
      <c r="B839" s="112"/>
    </row>
    <row r="840">
      <c r="B840" s="112"/>
    </row>
    <row r="841">
      <c r="B841" s="112"/>
    </row>
    <row r="842">
      <c r="B842" s="112"/>
    </row>
    <row r="843">
      <c r="B843" s="112"/>
    </row>
    <row r="844">
      <c r="B844" s="112"/>
    </row>
    <row r="845">
      <c r="B845" s="112"/>
    </row>
    <row r="846">
      <c r="B846" s="112"/>
    </row>
    <row r="847">
      <c r="B847" s="112"/>
    </row>
    <row r="848">
      <c r="B848" s="112"/>
    </row>
    <row r="849">
      <c r="B849" s="112"/>
    </row>
    <row r="850">
      <c r="B850" s="112"/>
    </row>
    <row r="851">
      <c r="B851" s="112"/>
    </row>
    <row r="852">
      <c r="B852" s="112"/>
    </row>
    <row r="853">
      <c r="B853" s="112"/>
    </row>
    <row r="854">
      <c r="B854" s="112"/>
    </row>
    <row r="855">
      <c r="B855" s="112"/>
    </row>
    <row r="856">
      <c r="B856" s="112"/>
    </row>
    <row r="857">
      <c r="B857" s="112"/>
    </row>
    <row r="858">
      <c r="B858" s="112"/>
    </row>
    <row r="859">
      <c r="B859" s="112"/>
    </row>
    <row r="860">
      <c r="B860" s="112"/>
    </row>
    <row r="861">
      <c r="B861" s="112"/>
    </row>
    <row r="862">
      <c r="B862" s="112"/>
    </row>
    <row r="863">
      <c r="B863" s="112"/>
    </row>
    <row r="864">
      <c r="B864" s="112"/>
    </row>
    <row r="865">
      <c r="B865" s="112"/>
    </row>
    <row r="866">
      <c r="B866" s="112"/>
    </row>
    <row r="867">
      <c r="B867" s="112"/>
    </row>
    <row r="868">
      <c r="B868" s="112"/>
    </row>
    <row r="869">
      <c r="B869" s="112"/>
    </row>
    <row r="870">
      <c r="B870" s="112"/>
    </row>
    <row r="871">
      <c r="B871" s="112"/>
    </row>
    <row r="872">
      <c r="B872" s="112"/>
    </row>
    <row r="873">
      <c r="B873" s="112"/>
    </row>
    <row r="874">
      <c r="B874" s="112"/>
    </row>
    <row r="875">
      <c r="B875" s="112"/>
    </row>
    <row r="876">
      <c r="B876" s="112"/>
    </row>
    <row r="877">
      <c r="B877" s="112"/>
    </row>
    <row r="878">
      <c r="B878" s="112"/>
    </row>
    <row r="879">
      <c r="B879" s="112"/>
    </row>
    <row r="880">
      <c r="B880" s="112"/>
    </row>
    <row r="881">
      <c r="B881" s="112"/>
    </row>
    <row r="882">
      <c r="B882" s="112"/>
    </row>
    <row r="883">
      <c r="B883" s="112"/>
    </row>
    <row r="884">
      <c r="B884" s="112"/>
    </row>
    <row r="885">
      <c r="B885" s="112"/>
    </row>
    <row r="886">
      <c r="B886" s="112"/>
    </row>
    <row r="887">
      <c r="B887" s="112"/>
    </row>
    <row r="888">
      <c r="B888" s="112"/>
    </row>
    <row r="889">
      <c r="B889" s="112"/>
    </row>
    <row r="890">
      <c r="B890" s="112"/>
    </row>
    <row r="891">
      <c r="B891" s="112"/>
    </row>
    <row r="892">
      <c r="B892" s="112"/>
    </row>
    <row r="893">
      <c r="B893" s="112"/>
    </row>
    <row r="894">
      <c r="B894" s="112"/>
    </row>
    <row r="895">
      <c r="B895" s="112"/>
    </row>
    <row r="896">
      <c r="B896" s="112"/>
    </row>
    <row r="897">
      <c r="B897" s="112"/>
    </row>
    <row r="898">
      <c r="B898" s="112"/>
    </row>
    <row r="899">
      <c r="B899" s="112"/>
    </row>
    <row r="900">
      <c r="B900" s="112"/>
    </row>
    <row r="901">
      <c r="B901" s="112"/>
    </row>
    <row r="902">
      <c r="B902" s="112"/>
    </row>
    <row r="903">
      <c r="B903" s="112"/>
    </row>
    <row r="904">
      <c r="B904" s="112"/>
    </row>
    <row r="905">
      <c r="B905" s="112"/>
    </row>
    <row r="906">
      <c r="B906" s="112"/>
    </row>
    <row r="907">
      <c r="B907" s="112"/>
    </row>
    <row r="908">
      <c r="B908" s="112"/>
    </row>
    <row r="909">
      <c r="B909" s="112"/>
    </row>
    <row r="910">
      <c r="B910" s="112"/>
    </row>
    <row r="911">
      <c r="B911" s="112"/>
    </row>
    <row r="912">
      <c r="B912" s="112"/>
    </row>
    <row r="913">
      <c r="B913" s="112"/>
    </row>
    <row r="914">
      <c r="B914" s="112"/>
    </row>
    <row r="915">
      <c r="B915" s="112"/>
    </row>
    <row r="916">
      <c r="B916" s="112"/>
    </row>
    <row r="917">
      <c r="B917" s="112"/>
    </row>
    <row r="918">
      <c r="B918" s="112"/>
    </row>
    <row r="919">
      <c r="B919" s="112"/>
    </row>
    <row r="920">
      <c r="B920" s="112"/>
    </row>
    <row r="921">
      <c r="B921" s="112"/>
    </row>
    <row r="922">
      <c r="B922" s="112"/>
    </row>
    <row r="923">
      <c r="B923" s="112"/>
    </row>
    <row r="924">
      <c r="B924" s="112"/>
    </row>
    <row r="925">
      <c r="B925" s="112"/>
    </row>
    <row r="926">
      <c r="B926" s="112"/>
    </row>
    <row r="927">
      <c r="B927" s="112"/>
    </row>
    <row r="928">
      <c r="B928" s="112"/>
    </row>
    <row r="929">
      <c r="B929" s="112"/>
    </row>
    <row r="930">
      <c r="B930" s="112"/>
    </row>
    <row r="931">
      <c r="B931" s="112"/>
    </row>
    <row r="932">
      <c r="B932" s="112"/>
    </row>
    <row r="933">
      <c r="B933" s="112"/>
    </row>
    <row r="934">
      <c r="B934" s="112"/>
    </row>
    <row r="935">
      <c r="B935" s="112"/>
    </row>
    <row r="936">
      <c r="B936" s="112"/>
    </row>
    <row r="937">
      <c r="B937" s="112"/>
    </row>
    <row r="938">
      <c r="B938" s="112"/>
    </row>
    <row r="939">
      <c r="B939" s="112"/>
    </row>
    <row r="940">
      <c r="B940" s="112"/>
    </row>
    <row r="941">
      <c r="B941" s="112"/>
    </row>
    <row r="942">
      <c r="B942" s="112"/>
    </row>
    <row r="943">
      <c r="B943" s="112"/>
    </row>
    <row r="944">
      <c r="B944" s="112"/>
    </row>
    <row r="945">
      <c r="B945" s="112"/>
    </row>
    <row r="946">
      <c r="B946" s="112"/>
    </row>
    <row r="947">
      <c r="B947" s="112"/>
    </row>
    <row r="948">
      <c r="B948" s="112"/>
    </row>
    <row r="949">
      <c r="B949" s="112"/>
    </row>
    <row r="950">
      <c r="B950" s="112"/>
    </row>
    <row r="951">
      <c r="B951" s="112"/>
    </row>
    <row r="952">
      <c r="B952" s="112"/>
    </row>
    <row r="953">
      <c r="B953" s="112"/>
    </row>
    <row r="954">
      <c r="B954" s="112"/>
    </row>
    <row r="955">
      <c r="B955" s="112"/>
    </row>
    <row r="956">
      <c r="B956" s="112"/>
    </row>
    <row r="957">
      <c r="B957" s="112"/>
    </row>
    <row r="958">
      <c r="B958" s="112"/>
    </row>
    <row r="959">
      <c r="B959" s="112"/>
    </row>
    <row r="960">
      <c r="B960" s="112"/>
    </row>
    <row r="961">
      <c r="B961" s="112"/>
    </row>
    <row r="962">
      <c r="B962" s="112"/>
    </row>
    <row r="963">
      <c r="B963" s="112"/>
    </row>
    <row r="964">
      <c r="B964" s="112"/>
    </row>
    <row r="965">
      <c r="B965" s="112"/>
    </row>
    <row r="966">
      <c r="B966" s="112"/>
    </row>
    <row r="967">
      <c r="B967" s="112"/>
    </row>
    <row r="968">
      <c r="B968" s="112"/>
    </row>
    <row r="969">
      <c r="B969" s="112"/>
    </row>
    <row r="970">
      <c r="B970" s="112"/>
    </row>
    <row r="971">
      <c r="B971" s="112"/>
    </row>
    <row r="972">
      <c r="B972" s="112"/>
    </row>
    <row r="973">
      <c r="B973" s="112"/>
    </row>
    <row r="974">
      <c r="B974" s="112"/>
    </row>
    <row r="975">
      <c r="B975" s="112"/>
    </row>
    <row r="976">
      <c r="B976" s="112"/>
    </row>
    <row r="977">
      <c r="B977" s="112"/>
    </row>
    <row r="978">
      <c r="B978" s="112"/>
    </row>
    <row r="979">
      <c r="B979" s="112"/>
    </row>
    <row r="980">
      <c r="B980" s="112"/>
    </row>
    <row r="981">
      <c r="B981" s="112"/>
    </row>
    <row r="982">
      <c r="B982" s="112"/>
    </row>
    <row r="983">
      <c r="B983" s="112"/>
    </row>
    <row r="984">
      <c r="B984" s="112"/>
    </row>
    <row r="985">
      <c r="B985" s="112"/>
    </row>
    <row r="986">
      <c r="B986" s="112"/>
    </row>
    <row r="987">
      <c r="B987" s="112"/>
    </row>
    <row r="988">
      <c r="B988" s="112"/>
    </row>
    <row r="989">
      <c r="B989" s="112"/>
    </row>
    <row r="990">
      <c r="B990" s="112"/>
    </row>
    <row r="991">
      <c r="B991" s="112"/>
    </row>
    <row r="992">
      <c r="B992" s="112"/>
    </row>
    <row r="993">
      <c r="B993" s="112"/>
    </row>
    <row r="994">
      <c r="B994" s="112"/>
    </row>
    <row r="995">
      <c r="B995" s="112"/>
    </row>
    <row r="996">
      <c r="B996" s="112"/>
    </row>
    <row r="997">
      <c r="B997" s="112"/>
    </row>
    <row r="998">
      <c r="B998" s="112"/>
    </row>
    <row r="999">
      <c r="B999" s="112"/>
    </row>
    <row r="1000">
      <c r="B1000" s="112"/>
    </row>
  </sheetData>
  <mergeCells count="10">
    <mergeCell ref="J2:K2"/>
    <mergeCell ref="L2:L3"/>
    <mergeCell ref="A1:M1"/>
    <mergeCell ref="A2:A3"/>
    <mergeCell ref="B2:B3"/>
    <mergeCell ref="C2:C3"/>
    <mergeCell ref="E2:F2"/>
    <mergeCell ref="G2:G3"/>
    <mergeCell ref="H2:I2"/>
    <mergeCell ref="M2:M3"/>
  </mergeCells>
  <printOptions/>
  <pageMargins bottom="0.75" footer="0.0" header="0.0" left="0.7" right="0.7" top="0.75"/>
  <pageSetup scale="27"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0"/>
    <col customWidth="1" min="2" max="2" width="70.13"/>
    <col customWidth="1" min="3" max="3" width="4.63"/>
    <col customWidth="1" min="4" max="5" width="12.63"/>
    <col customWidth="1" min="6" max="6" width="9.75"/>
    <col customWidth="1" min="7" max="23" width="12.63"/>
  </cols>
  <sheetData>
    <row r="1" ht="15.75" customHeight="1">
      <c r="A1" s="113" t="s">
        <v>257</v>
      </c>
      <c r="B1" s="114"/>
      <c r="C1" s="115"/>
      <c r="D1" s="115"/>
      <c r="E1" s="115"/>
      <c r="F1" s="115"/>
      <c r="G1" s="115"/>
      <c r="H1" s="115"/>
      <c r="I1" s="116"/>
      <c r="J1" s="117"/>
      <c r="K1" s="117"/>
      <c r="L1" s="118"/>
      <c r="M1" s="24"/>
      <c r="N1" s="24"/>
      <c r="O1" s="24"/>
      <c r="P1" s="24"/>
      <c r="Q1" s="24"/>
      <c r="R1" s="24"/>
      <c r="S1" s="24"/>
      <c r="T1" s="24"/>
      <c r="U1" s="24"/>
      <c r="V1" s="24"/>
      <c r="W1" s="24"/>
      <c r="X1" s="6"/>
      <c r="Y1" s="6"/>
      <c r="Z1" s="6"/>
    </row>
    <row r="2" ht="15.75" customHeight="1">
      <c r="A2" s="119" t="s">
        <v>258</v>
      </c>
      <c r="B2" s="119" t="s">
        <v>5</v>
      </c>
      <c r="C2" s="119" t="s">
        <v>13</v>
      </c>
      <c r="D2" s="120" t="s">
        <v>14</v>
      </c>
      <c r="E2" s="120" t="s">
        <v>15</v>
      </c>
      <c r="F2" s="121" t="s">
        <v>16</v>
      </c>
      <c r="G2" s="122" t="s">
        <v>17</v>
      </c>
      <c r="H2" s="5"/>
      <c r="I2" s="123" t="s">
        <v>6</v>
      </c>
      <c r="J2" s="5"/>
      <c r="K2" s="124" t="s">
        <v>18</v>
      </c>
      <c r="L2" s="119" t="s">
        <v>7</v>
      </c>
      <c r="M2" s="24"/>
      <c r="N2" s="24"/>
      <c r="O2" s="24"/>
      <c r="P2" s="24"/>
      <c r="Q2" s="24"/>
      <c r="R2" s="24"/>
      <c r="S2" s="24"/>
      <c r="T2" s="24"/>
      <c r="U2" s="24"/>
      <c r="V2" s="24"/>
      <c r="W2" s="24"/>
      <c r="X2" s="6"/>
      <c r="Y2" s="6"/>
      <c r="Z2" s="6"/>
    </row>
    <row r="3" ht="15.75" customHeight="1">
      <c r="A3" s="29"/>
      <c r="B3" s="29"/>
      <c r="C3" s="29"/>
      <c r="D3" s="120" t="s">
        <v>259</v>
      </c>
      <c r="E3" s="120" t="s">
        <v>260</v>
      </c>
      <c r="F3" s="29"/>
      <c r="G3" s="125" t="s">
        <v>22</v>
      </c>
      <c r="H3" s="125" t="s">
        <v>23</v>
      </c>
      <c r="I3" s="126" t="s">
        <v>22</v>
      </c>
      <c r="J3" s="126" t="s">
        <v>23</v>
      </c>
      <c r="K3" s="29"/>
      <c r="L3" s="29"/>
      <c r="M3" s="24"/>
      <c r="N3" s="24"/>
      <c r="O3" s="24"/>
      <c r="P3" s="24"/>
      <c r="Q3" s="24"/>
      <c r="R3" s="24"/>
      <c r="S3" s="24"/>
      <c r="T3" s="24"/>
      <c r="U3" s="24"/>
      <c r="V3" s="24"/>
      <c r="W3" s="24"/>
      <c r="X3" s="6"/>
      <c r="Y3" s="6"/>
      <c r="Z3" s="6"/>
    </row>
    <row r="4" ht="15.75" customHeight="1">
      <c r="A4" s="127">
        <v>1.0</v>
      </c>
      <c r="B4" s="128" t="s">
        <v>261</v>
      </c>
      <c r="C4" s="129"/>
      <c r="D4" s="129"/>
      <c r="E4" s="129"/>
      <c r="F4" s="129"/>
      <c r="G4" s="129"/>
      <c r="H4" s="130"/>
      <c r="I4" s="131"/>
      <c r="J4" s="131"/>
      <c r="K4" s="131"/>
      <c r="L4" s="132"/>
      <c r="M4" s="24"/>
      <c r="N4" s="24"/>
      <c r="O4" s="24"/>
      <c r="P4" s="24"/>
      <c r="Q4" s="24"/>
      <c r="R4" s="24"/>
      <c r="S4" s="24"/>
      <c r="T4" s="24"/>
      <c r="U4" s="24"/>
      <c r="V4" s="24"/>
      <c r="W4" s="24"/>
      <c r="X4" s="6"/>
      <c r="Y4" s="6"/>
      <c r="Z4" s="6"/>
    </row>
    <row r="5" ht="15.75" customHeight="1">
      <c r="A5" s="133"/>
      <c r="B5" s="134" t="s">
        <v>262</v>
      </c>
      <c r="C5" s="135" t="s">
        <v>106</v>
      </c>
      <c r="D5" s="136">
        <v>1.0</v>
      </c>
      <c r="E5" s="136">
        <v>1.0</v>
      </c>
      <c r="F5" s="136">
        <f>SUM(D5:E5)</f>
        <v>2</v>
      </c>
      <c r="G5" s="137"/>
      <c r="H5" s="138">
        <v>30000.0</v>
      </c>
      <c r="I5" s="139">
        <f t="shared" ref="I5:I25" si="1">F5*G5</f>
        <v>0</v>
      </c>
      <c r="J5" s="139">
        <f t="shared" ref="J5:J25" si="2">F5*H5</f>
        <v>60000</v>
      </c>
      <c r="K5" s="140">
        <f>SUM(I5:J5)</f>
        <v>60000</v>
      </c>
      <c r="L5" s="141"/>
      <c r="M5" s="44">
        <f t="shared" ref="M5:M25" si="3">F5*(G5+H5)</f>
        <v>60000</v>
      </c>
      <c r="N5" s="24"/>
      <c r="O5" s="24"/>
      <c r="P5" s="24"/>
      <c r="Q5" s="24"/>
      <c r="R5" s="24"/>
      <c r="S5" s="24"/>
      <c r="T5" s="24"/>
      <c r="U5" s="24"/>
      <c r="V5" s="24"/>
      <c r="W5" s="24"/>
      <c r="X5" s="6"/>
      <c r="Y5" s="6"/>
      <c r="Z5" s="6"/>
    </row>
    <row r="6" ht="120.75" customHeight="1">
      <c r="A6" s="133"/>
      <c r="B6" s="134" t="s">
        <v>263</v>
      </c>
      <c r="C6" s="142"/>
      <c r="D6" s="143"/>
      <c r="E6" s="143"/>
      <c r="F6" s="143"/>
      <c r="G6" s="137"/>
      <c r="H6" s="143"/>
      <c r="I6" s="139">
        <f t="shared" si="1"/>
        <v>0</v>
      </c>
      <c r="J6" s="139">
        <f t="shared" si="2"/>
        <v>0</v>
      </c>
      <c r="K6" s="140">
        <f t="shared" ref="K6:K8" si="4">I6+J6</f>
        <v>0</v>
      </c>
      <c r="L6" s="141"/>
      <c r="M6" s="44">
        <f t="shared" si="3"/>
        <v>0</v>
      </c>
      <c r="N6" s="24"/>
      <c r="O6" s="24"/>
      <c r="P6" s="24"/>
      <c r="Q6" s="24"/>
      <c r="R6" s="24"/>
      <c r="S6" s="24"/>
      <c r="T6" s="24"/>
      <c r="U6" s="24"/>
      <c r="V6" s="24"/>
      <c r="W6" s="24"/>
      <c r="X6" s="6"/>
      <c r="Y6" s="6"/>
      <c r="Z6" s="6"/>
    </row>
    <row r="7" ht="15.75" customHeight="1">
      <c r="A7" s="133"/>
      <c r="B7" s="142"/>
      <c r="C7" s="142"/>
      <c r="D7" s="143"/>
      <c r="E7" s="143"/>
      <c r="F7" s="143"/>
      <c r="G7" s="143"/>
      <c r="H7" s="143"/>
      <c r="I7" s="139">
        <f t="shared" si="1"/>
        <v>0</v>
      </c>
      <c r="J7" s="139">
        <f t="shared" si="2"/>
        <v>0</v>
      </c>
      <c r="K7" s="140">
        <f t="shared" si="4"/>
        <v>0</v>
      </c>
      <c r="L7" s="141"/>
      <c r="M7" s="44">
        <f t="shared" si="3"/>
        <v>0</v>
      </c>
      <c r="N7" s="24"/>
      <c r="O7" s="24"/>
      <c r="P7" s="24"/>
      <c r="Q7" s="24"/>
      <c r="R7" s="24"/>
      <c r="S7" s="24"/>
      <c r="T7" s="24"/>
      <c r="U7" s="24"/>
      <c r="V7" s="24"/>
      <c r="W7" s="24"/>
      <c r="X7" s="6"/>
      <c r="Y7" s="6"/>
      <c r="Z7" s="6"/>
    </row>
    <row r="8" ht="15.75" customHeight="1">
      <c r="A8" s="144">
        <v>2.0</v>
      </c>
      <c r="B8" s="145" t="s">
        <v>264</v>
      </c>
      <c r="C8" s="142"/>
      <c r="D8" s="142"/>
      <c r="E8" s="142"/>
      <c r="F8" s="143"/>
      <c r="G8" s="143"/>
      <c r="H8" s="143"/>
      <c r="I8" s="139">
        <f t="shared" si="1"/>
        <v>0</v>
      </c>
      <c r="J8" s="139">
        <f t="shared" si="2"/>
        <v>0</v>
      </c>
      <c r="K8" s="140">
        <f t="shared" si="4"/>
        <v>0</v>
      </c>
      <c r="L8" s="141"/>
      <c r="M8" s="44">
        <f t="shared" si="3"/>
        <v>0</v>
      </c>
      <c r="N8" s="24"/>
      <c r="O8" s="24"/>
      <c r="P8" s="24"/>
      <c r="Q8" s="24"/>
      <c r="R8" s="24"/>
      <c r="S8" s="24"/>
      <c r="T8" s="24"/>
      <c r="U8" s="24"/>
      <c r="V8" s="24"/>
      <c r="W8" s="24"/>
      <c r="X8" s="6"/>
      <c r="Y8" s="6"/>
      <c r="Z8" s="6"/>
    </row>
    <row r="9" ht="15.75" customHeight="1">
      <c r="A9" s="142"/>
      <c r="B9" s="146" t="s">
        <v>265</v>
      </c>
      <c r="C9" s="136" t="s">
        <v>106</v>
      </c>
      <c r="D9" s="136">
        <v>1.0</v>
      </c>
      <c r="E9" s="136">
        <v>1.0</v>
      </c>
      <c r="F9" s="136">
        <f t="shared" ref="F9:F10" si="5">SUM(D9:E9)</f>
        <v>2</v>
      </c>
      <c r="G9" s="137"/>
      <c r="H9" s="138">
        <v>65000.0</v>
      </c>
      <c r="I9" s="139">
        <f t="shared" si="1"/>
        <v>0</v>
      </c>
      <c r="J9" s="139">
        <f t="shared" si="2"/>
        <v>130000</v>
      </c>
      <c r="K9" s="140">
        <f t="shared" ref="K9:K10" si="6">SUM(I9:J9)</f>
        <v>130000</v>
      </c>
      <c r="L9" s="141"/>
      <c r="M9" s="44">
        <f t="shared" si="3"/>
        <v>130000</v>
      </c>
      <c r="N9" s="24"/>
      <c r="O9" s="24"/>
      <c r="P9" s="24"/>
      <c r="Q9" s="24"/>
      <c r="R9" s="24"/>
      <c r="S9" s="24"/>
      <c r="T9" s="24"/>
      <c r="U9" s="24"/>
      <c r="V9" s="24"/>
      <c r="W9" s="24"/>
      <c r="X9" s="6"/>
      <c r="Y9" s="6"/>
      <c r="Z9" s="6"/>
    </row>
    <row r="10" ht="15.75" customHeight="1">
      <c r="A10" s="147">
        <f>A8+0.01</f>
        <v>2.01</v>
      </c>
      <c r="B10" s="146" t="s">
        <v>266</v>
      </c>
      <c r="C10" s="136" t="s">
        <v>106</v>
      </c>
      <c r="D10" s="148">
        <v>1.0</v>
      </c>
      <c r="E10" s="148">
        <v>1.0</v>
      </c>
      <c r="F10" s="136">
        <f t="shared" si="5"/>
        <v>2</v>
      </c>
      <c r="G10" s="137"/>
      <c r="H10" s="138">
        <v>25000.0</v>
      </c>
      <c r="I10" s="139">
        <f t="shared" si="1"/>
        <v>0</v>
      </c>
      <c r="J10" s="139">
        <f t="shared" si="2"/>
        <v>50000</v>
      </c>
      <c r="K10" s="140">
        <f t="shared" si="6"/>
        <v>50000</v>
      </c>
      <c r="L10" s="141"/>
      <c r="M10" s="44">
        <f t="shared" si="3"/>
        <v>50000</v>
      </c>
      <c r="N10" s="24"/>
      <c r="O10" s="24"/>
      <c r="P10" s="24"/>
      <c r="Q10" s="24"/>
      <c r="R10" s="24"/>
      <c r="S10" s="24"/>
      <c r="T10" s="24"/>
      <c r="U10" s="24"/>
      <c r="V10" s="24"/>
      <c r="W10" s="24"/>
      <c r="X10" s="6"/>
      <c r="Y10" s="6"/>
      <c r="Z10" s="6"/>
    </row>
    <row r="11" ht="15.75" customHeight="1">
      <c r="A11" s="142"/>
      <c r="B11" s="142"/>
      <c r="C11" s="143"/>
      <c r="D11" s="143"/>
      <c r="E11" s="143"/>
      <c r="F11" s="143"/>
      <c r="G11" s="143"/>
      <c r="H11" s="143"/>
      <c r="I11" s="139">
        <f t="shared" si="1"/>
        <v>0</v>
      </c>
      <c r="J11" s="139">
        <f t="shared" si="2"/>
        <v>0</v>
      </c>
      <c r="K11" s="140">
        <f t="shared" ref="K11:K12" si="7">I11+J11</f>
        <v>0</v>
      </c>
      <c r="L11" s="141"/>
      <c r="M11" s="44">
        <f t="shared" si="3"/>
        <v>0</v>
      </c>
      <c r="N11" s="24"/>
      <c r="O11" s="24"/>
      <c r="P11" s="24"/>
      <c r="Q11" s="24"/>
      <c r="R11" s="24"/>
      <c r="S11" s="24"/>
      <c r="T11" s="24"/>
      <c r="U11" s="24"/>
      <c r="V11" s="24"/>
      <c r="W11" s="24"/>
      <c r="X11" s="6"/>
      <c r="Y11" s="6"/>
      <c r="Z11" s="6"/>
    </row>
    <row r="12" ht="15.75" customHeight="1">
      <c r="A12" s="149">
        <v>3.0</v>
      </c>
      <c r="B12" s="150" t="s">
        <v>267</v>
      </c>
      <c r="C12" s="133"/>
      <c r="D12" s="143"/>
      <c r="E12" s="143"/>
      <c r="F12" s="143"/>
      <c r="G12" s="143"/>
      <c r="H12" s="143"/>
      <c r="I12" s="139">
        <f t="shared" si="1"/>
        <v>0</v>
      </c>
      <c r="J12" s="139">
        <f t="shared" si="2"/>
        <v>0</v>
      </c>
      <c r="K12" s="140">
        <f t="shared" si="7"/>
        <v>0</v>
      </c>
      <c r="L12" s="141"/>
      <c r="M12" s="44">
        <f t="shared" si="3"/>
        <v>0</v>
      </c>
      <c r="N12" s="24"/>
      <c r="O12" s="24"/>
      <c r="P12" s="24"/>
      <c r="Q12" s="24"/>
      <c r="R12" s="24"/>
      <c r="S12" s="24"/>
      <c r="T12" s="24"/>
      <c r="U12" s="24"/>
      <c r="V12" s="24"/>
      <c r="W12" s="24"/>
      <c r="X12" s="6"/>
      <c r="Y12" s="6"/>
      <c r="Z12" s="6"/>
    </row>
    <row r="13" ht="15.75" customHeight="1">
      <c r="A13" s="133"/>
      <c r="B13" s="151" t="s">
        <v>268</v>
      </c>
      <c r="C13" s="135" t="s">
        <v>37</v>
      </c>
      <c r="D13" s="148">
        <v>3.0</v>
      </c>
      <c r="E13" s="148">
        <v>2.0</v>
      </c>
      <c r="F13" s="136">
        <f>SUM(D13:E13)</f>
        <v>5</v>
      </c>
      <c r="G13" s="138">
        <v>46200.0</v>
      </c>
      <c r="H13" s="138">
        <v>1650.0</v>
      </c>
      <c r="I13" s="139">
        <f t="shared" si="1"/>
        <v>231000</v>
      </c>
      <c r="J13" s="139">
        <f t="shared" si="2"/>
        <v>8250</v>
      </c>
      <c r="K13" s="140">
        <f>SUM(I13:J13)</f>
        <v>239250</v>
      </c>
      <c r="L13" s="141"/>
      <c r="M13" s="44">
        <f t="shared" si="3"/>
        <v>239250</v>
      </c>
      <c r="N13" s="24"/>
      <c r="O13" s="24"/>
      <c r="P13" s="24"/>
      <c r="Q13" s="24"/>
      <c r="R13" s="24"/>
      <c r="S13" s="24"/>
      <c r="T13" s="24"/>
      <c r="U13" s="24"/>
      <c r="V13" s="24"/>
      <c r="W13" s="24"/>
      <c r="X13" s="6"/>
      <c r="Y13" s="6"/>
      <c r="Z13" s="6"/>
    </row>
    <row r="14" ht="15.75" customHeight="1">
      <c r="A14" s="133"/>
      <c r="B14" s="133"/>
      <c r="C14" s="133"/>
      <c r="D14" s="143"/>
      <c r="E14" s="143"/>
      <c r="F14" s="143"/>
      <c r="G14" s="143"/>
      <c r="H14" s="143"/>
      <c r="I14" s="139">
        <f t="shared" si="1"/>
        <v>0</v>
      </c>
      <c r="J14" s="139">
        <f t="shared" si="2"/>
        <v>0</v>
      </c>
      <c r="K14" s="140">
        <f t="shared" ref="K14:K19" si="8">I14+J14</f>
        <v>0</v>
      </c>
      <c r="L14" s="141"/>
      <c r="M14" s="44">
        <f t="shared" si="3"/>
        <v>0</v>
      </c>
      <c r="N14" s="24"/>
      <c r="O14" s="24"/>
      <c r="P14" s="24"/>
      <c r="Q14" s="24"/>
      <c r="R14" s="24"/>
      <c r="S14" s="24"/>
      <c r="T14" s="24"/>
      <c r="U14" s="24"/>
      <c r="V14" s="24"/>
      <c r="W14" s="24"/>
      <c r="X14" s="6"/>
      <c r="Y14" s="6"/>
      <c r="Z14" s="6"/>
    </row>
    <row r="15" ht="15.75" customHeight="1">
      <c r="A15" s="149">
        <v>4.0</v>
      </c>
      <c r="B15" s="150" t="s">
        <v>269</v>
      </c>
      <c r="C15" s="133"/>
      <c r="D15" s="143"/>
      <c r="E15" s="143"/>
      <c r="F15" s="143"/>
      <c r="G15" s="143"/>
      <c r="H15" s="143"/>
      <c r="I15" s="139">
        <f t="shared" si="1"/>
        <v>0</v>
      </c>
      <c r="J15" s="139">
        <f t="shared" si="2"/>
        <v>0</v>
      </c>
      <c r="K15" s="140">
        <f t="shared" si="8"/>
        <v>0</v>
      </c>
      <c r="L15" s="141"/>
      <c r="M15" s="44">
        <f t="shared" si="3"/>
        <v>0</v>
      </c>
      <c r="N15" s="24"/>
      <c r="O15" s="24"/>
      <c r="P15" s="24"/>
      <c r="Q15" s="24"/>
      <c r="R15" s="24"/>
      <c r="S15" s="24"/>
      <c r="T15" s="24"/>
      <c r="U15" s="24"/>
      <c r="V15" s="24"/>
      <c r="W15" s="24"/>
      <c r="X15" s="6"/>
      <c r="Y15" s="6"/>
      <c r="Z15" s="6"/>
    </row>
    <row r="16" ht="15.75" customHeight="1">
      <c r="A16" s="152"/>
      <c r="B16" s="142"/>
      <c r="C16" s="133"/>
      <c r="D16" s="143"/>
      <c r="E16" s="143"/>
      <c r="F16" s="143"/>
      <c r="G16" s="143"/>
      <c r="H16" s="143"/>
      <c r="I16" s="139">
        <f t="shared" si="1"/>
        <v>0</v>
      </c>
      <c r="J16" s="139">
        <f t="shared" si="2"/>
        <v>0</v>
      </c>
      <c r="K16" s="140">
        <f t="shared" si="8"/>
        <v>0</v>
      </c>
      <c r="L16" s="141"/>
      <c r="M16" s="44">
        <f t="shared" si="3"/>
        <v>0</v>
      </c>
      <c r="N16" s="24"/>
      <c r="O16" s="24"/>
      <c r="P16" s="24"/>
      <c r="Q16" s="24"/>
      <c r="R16" s="24"/>
      <c r="S16" s="24"/>
      <c r="T16" s="24"/>
      <c r="U16" s="24"/>
      <c r="V16" s="24"/>
      <c r="W16" s="24"/>
      <c r="X16" s="6"/>
      <c r="Y16" s="6"/>
      <c r="Z16" s="6"/>
    </row>
    <row r="17" ht="15.75" customHeight="1">
      <c r="A17" s="152"/>
      <c r="B17" s="151" t="s">
        <v>270</v>
      </c>
      <c r="C17" s="133"/>
      <c r="D17" s="143"/>
      <c r="E17" s="143"/>
      <c r="F17" s="143"/>
      <c r="G17" s="143"/>
      <c r="H17" s="143"/>
      <c r="I17" s="139">
        <f t="shared" si="1"/>
        <v>0</v>
      </c>
      <c r="J17" s="139">
        <f t="shared" si="2"/>
        <v>0</v>
      </c>
      <c r="K17" s="140">
        <f t="shared" si="8"/>
        <v>0</v>
      </c>
      <c r="L17" s="141"/>
      <c r="M17" s="44">
        <f t="shared" si="3"/>
        <v>0</v>
      </c>
      <c r="N17" s="24"/>
      <c r="O17" s="24"/>
      <c r="P17" s="24"/>
      <c r="Q17" s="24"/>
      <c r="R17" s="24"/>
      <c r="S17" s="24"/>
      <c r="T17" s="24"/>
      <c r="U17" s="24"/>
      <c r="V17" s="24"/>
      <c r="W17" s="24"/>
      <c r="X17" s="6"/>
      <c r="Y17" s="6"/>
      <c r="Z17" s="6"/>
    </row>
    <row r="18" ht="15.75" customHeight="1">
      <c r="A18" s="152"/>
      <c r="B18" s="151" t="s">
        <v>271</v>
      </c>
      <c r="C18" s="133"/>
      <c r="D18" s="143"/>
      <c r="E18" s="143"/>
      <c r="F18" s="143"/>
      <c r="G18" s="143"/>
      <c r="H18" s="143"/>
      <c r="I18" s="139">
        <f t="shared" si="1"/>
        <v>0</v>
      </c>
      <c r="J18" s="139">
        <f t="shared" si="2"/>
        <v>0</v>
      </c>
      <c r="K18" s="140">
        <f t="shared" si="8"/>
        <v>0</v>
      </c>
      <c r="L18" s="141"/>
      <c r="M18" s="44">
        <f t="shared" si="3"/>
        <v>0</v>
      </c>
      <c r="N18" s="24"/>
      <c r="O18" s="24"/>
      <c r="P18" s="24"/>
      <c r="Q18" s="24"/>
      <c r="R18" s="24"/>
      <c r="S18" s="24"/>
      <c r="T18" s="24"/>
      <c r="U18" s="24"/>
      <c r="V18" s="24"/>
      <c r="W18" s="24"/>
      <c r="X18" s="6"/>
      <c r="Y18" s="6"/>
      <c r="Z18" s="6"/>
    </row>
    <row r="19" ht="15.75" customHeight="1">
      <c r="A19" s="152"/>
      <c r="B19" s="142"/>
      <c r="C19" s="133"/>
      <c r="D19" s="143"/>
      <c r="E19" s="143"/>
      <c r="F19" s="143"/>
      <c r="G19" s="143"/>
      <c r="H19" s="143"/>
      <c r="I19" s="139">
        <f t="shared" si="1"/>
        <v>0</v>
      </c>
      <c r="J19" s="139">
        <f t="shared" si="2"/>
        <v>0</v>
      </c>
      <c r="K19" s="140">
        <f t="shared" si="8"/>
        <v>0</v>
      </c>
      <c r="L19" s="141"/>
      <c r="M19" s="44">
        <f t="shared" si="3"/>
        <v>0</v>
      </c>
      <c r="N19" s="24"/>
      <c r="O19" s="24"/>
      <c r="P19" s="24"/>
      <c r="Q19" s="24"/>
      <c r="R19" s="24"/>
      <c r="S19" s="24"/>
      <c r="T19" s="24"/>
      <c r="U19" s="24"/>
      <c r="V19" s="24"/>
      <c r="W19" s="24"/>
      <c r="X19" s="6"/>
      <c r="Y19" s="6"/>
      <c r="Z19" s="6"/>
    </row>
    <row r="20" ht="15.75" customHeight="1">
      <c r="A20" s="153">
        <f>A15+0.01</f>
        <v>4.01</v>
      </c>
      <c r="B20" s="146" t="s">
        <v>272</v>
      </c>
      <c r="C20" s="154" t="s">
        <v>207</v>
      </c>
      <c r="D20" s="135" t="s">
        <v>37</v>
      </c>
      <c r="E20" s="135" t="s">
        <v>37</v>
      </c>
      <c r="F20" s="136">
        <f>SUM(D20:E20)</f>
        <v>0</v>
      </c>
      <c r="G20" s="138">
        <v>575000.0</v>
      </c>
      <c r="H20" s="138">
        <v>25000.0</v>
      </c>
      <c r="I20" s="139">
        <f t="shared" si="1"/>
        <v>0</v>
      </c>
      <c r="J20" s="139">
        <f t="shared" si="2"/>
        <v>0</v>
      </c>
      <c r="K20" s="140">
        <f t="shared" ref="K20:K25" si="9">SUM(I20:J20)</f>
        <v>0</v>
      </c>
      <c r="L20" s="141"/>
      <c r="M20" s="44">
        <f t="shared" si="3"/>
        <v>0</v>
      </c>
      <c r="N20" s="24"/>
      <c r="O20" s="24"/>
      <c r="P20" s="24"/>
      <c r="Q20" s="24"/>
      <c r="R20" s="24"/>
      <c r="S20" s="24"/>
      <c r="T20" s="24"/>
      <c r="U20" s="24"/>
      <c r="V20" s="24"/>
      <c r="W20" s="24"/>
      <c r="X20" s="6"/>
      <c r="Y20" s="6"/>
      <c r="Z20" s="6"/>
    </row>
    <row r="21" ht="15.75" customHeight="1">
      <c r="A21" s="152"/>
      <c r="B21" s="142"/>
      <c r="C21" s="133"/>
      <c r="D21" s="143"/>
      <c r="E21" s="143"/>
      <c r="F21" s="143"/>
      <c r="G21" s="143"/>
      <c r="H21" s="143"/>
      <c r="I21" s="139">
        <f t="shared" si="1"/>
        <v>0</v>
      </c>
      <c r="J21" s="139">
        <f t="shared" si="2"/>
        <v>0</v>
      </c>
      <c r="K21" s="140">
        <f t="shared" si="9"/>
        <v>0</v>
      </c>
      <c r="L21" s="141"/>
      <c r="M21" s="44">
        <f t="shared" si="3"/>
        <v>0</v>
      </c>
      <c r="N21" s="24"/>
      <c r="O21" s="24"/>
      <c r="P21" s="24"/>
      <c r="Q21" s="24"/>
      <c r="R21" s="24"/>
      <c r="S21" s="24"/>
      <c r="T21" s="24"/>
      <c r="U21" s="24"/>
      <c r="V21" s="24"/>
      <c r="W21" s="24"/>
      <c r="X21" s="6"/>
      <c r="Y21" s="6"/>
      <c r="Z21" s="6"/>
    </row>
    <row r="22" ht="15.75" customHeight="1">
      <c r="A22" s="155">
        <v>5.0</v>
      </c>
      <c r="B22" s="151" t="s">
        <v>273</v>
      </c>
      <c r="C22" s="133"/>
      <c r="D22" s="143"/>
      <c r="E22" s="143"/>
      <c r="F22" s="143"/>
      <c r="G22" s="143"/>
      <c r="H22" s="143"/>
      <c r="I22" s="139">
        <f t="shared" si="1"/>
        <v>0</v>
      </c>
      <c r="J22" s="139">
        <f t="shared" si="2"/>
        <v>0</v>
      </c>
      <c r="K22" s="140">
        <f t="shared" si="9"/>
        <v>0</v>
      </c>
      <c r="L22" s="141"/>
      <c r="M22" s="44">
        <f t="shared" si="3"/>
        <v>0</v>
      </c>
      <c r="N22" s="24"/>
      <c r="O22" s="24"/>
      <c r="P22" s="24"/>
      <c r="Q22" s="24"/>
      <c r="R22" s="24"/>
      <c r="S22" s="24"/>
      <c r="T22" s="24"/>
      <c r="U22" s="24"/>
      <c r="V22" s="24"/>
      <c r="W22" s="24"/>
      <c r="X22" s="6"/>
      <c r="Y22" s="6"/>
      <c r="Z22" s="6"/>
    </row>
    <row r="23" ht="15.75" customHeight="1">
      <c r="A23" s="155">
        <f>A22+0.1</f>
        <v>5.1</v>
      </c>
      <c r="B23" s="151" t="s">
        <v>274</v>
      </c>
      <c r="C23" s="135" t="s">
        <v>37</v>
      </c>
      <c r="D23" s="135" t="s">
        <v>37</v>
      </c>
      <c r="E23" s="135" t="s">
        <v>37</v>
      </c>
      <c r="F23" s="136">
        <f>SUM(D23:E23)</f>
        <v>0</v>
      </c>
      <c r="G23" s="156"/>
      <c r="H23" s="156"/>
      <c r="I23" s="139">
        <f t="shared" si="1"/>
        <v>0</v>
      </c>
      <c r="J23" s="139">
        <f t="shared" si="2"/>
        <v>0</v>
      </c>
      <c r="K23" s="140">
        <f t="shared" si="9"/>
        <v>0</v>
      </c>
      <c r="L23" s="141"/>
      <c r="M23" s="44">
        <f t="shared" si="3"/>
        <v>0</v>
      </c>
      <c r="N23" s="24"/>
      <c r="O23" s="24"/>
      <c r="P23" s="24"/>
      <c r="Q23" s="24"/>
      <c r="R23" s="24"/>
      <c r="S23" s="24"/>
      <c r="T23" s="24"/>
      <c r="U23" s="24"/>
      <c r="V23" s="24"/>
      <c r="W23" s="24"/>
      <c r="X23" s="6"/>
      <c r="Y23" s="6"/>
      <c r="Z23" s="6"/>
    </row>
    <row r="24" ht="15.75" customHeight="1">
      <c r="A24" s="133"/>
      <c r="B24" s="133"/>
      <c r="C24" s="133"/>
      <c r="D24" s="143"/>
      <c r="E24" s="143"/>
      <c r="F24" s="143"/>
      <c r="G24" s="143"/>
      <c r="H24" s="143"/>
      <c r="I24" s="139">
        <f t="shared" si="1"/>
        <v>0</v>
      </c>
      <c r="J24" s="139">
        <f t="shared" si="2"/>
        <v>0</v>
      </c>
      <c r="K24" s="140">
        <f t="shared" si="9"/>
        <v>0</v>
      </c>
      <c r="L24" s="141"/>
      <c r="M24" s="44">
        <f t="shared" si="3"/>
        <v>0</v>
      </c>
      <c r="N24" s="24"/>
      <c r="O24" s="24"/>
      <c r="P24" s="24"/>
      <c r="Q24" s="24"/>
      <c r="R24" s="24"/>
      <c r="S24" s="24"/>
      <c r="T24" s="24"/>
      <c r="U24" s="24"/>
      <c r="V24" s="24"/>
      <c r="W24" s="24"/>
      <c r="X24" s="6"/>
      <c r="Y24" s="6"/>
      <c r="Z24" s="6"/>
    </row>
    <row r="25" ht="15.75" customHeight="1">
      <c r="A25" s="149">
        <v>5.0</v>
      </c>
      <c r="B25" s="146" t="s">
        <v>275</v>
      </c>
      <c r="C25" s="135" t="s">
        <v>37</v>
      </c>
      <c r="D25" s="139">
        <v>0.0</v>
      </c>
      <c r="E25" s="139">
        <v>0.0</v>
      </c>
      <c r="F25" s="139">
        <f>SUM(D25:E25)</f>
        <v>0</v>
      </c>
      <c r="G25" s="138">
        <v>1500.0</v>
      </c>
      <c r="H25" s="138">
        <v>250.0</v>
      </c>
      <c r="I25" s="139">
        <f t="shared" si="1"/>
        <v>0</v>
      </c>
      <c r="J25" s="139">
        <f t="shared" si="2"/>
        <v>0</v>
      </c>
      <c r="K25" s="140">
        <f t="shared" si="9"/>
        <v>0</v>
      </c>
      <c r="L25" s="141"/>
      <c r="M25" s="44">
        <f t="shared" si="3"/>
        <v>0</v>
      </c>
      <c r="N25" s="24"/>
      <c r="O25" s="24"/>
      <c r="P25" s="24"/>
      <c r="Q25" s="24"/>
      <c r="R25" s="24"/>
      <c r="S25" s="24"/>
      <c r="T25" s="24"/>
      <c r="U25" s="24"/>
      <c r="V25" s="24"/>
      <c r="W25" s="24"/>
      <c r="X25" s="6"/>
      <c r="Y25" s="6"/>
      <c r="Z25" s="6"/>
    </row>
    <row r="26" ht="15.75" customHeight="1">
      <c r="A26" s="157"/>
      <c r="B26" s="157"/>
      <c r="C26" s="158"/>
      <c r="D26" s="157"/>
      <c r="E26" s="157"/>
      <c r="F26" s="157"/>
      <c r="G26" s="159"/>
      <c r="H26" s="160"/>
      <c r="I26" s="161"/>
      <c r="J26" s="161"/>
      <c r="K26" s="161"/>
      <c r="L26" s="160"/>
      <c r="M26" s="24"/>
      <c r="N26" s="24"/>
      <c r="O26" s="24"/>
      <c r="P26" s="24"/>
      <c r="Q26" s="24"/>
      <c r="R26" s="24"/>
      <c r="S26" s="24"/>
      <c r="T26" s="24"/>
      <c r="U26" s="24"/>
      <c r="V26" s="24"/>
      <c r="W26" s="24"/>
      <c r="X26" s="6"/>
      <c r="Y26" s="6"/>
      <c r="Z26" s="6"/>
    </row>
    <row r="27" ht="15.75" customHeight="1">
      <c r="A27" s="162"/>
      <c r="B27" s="163" t="s">
        <v>276</v>
      </c>
      <c r="C27" s="164"/>
      <c r="D27" s="164"/>
      <c r="E27" s="164"/>
      <c r="F27" s="164"/>
      <c r="G27" s="164"/>
      <c r="H27" s="165"/>
      <c r="I27" s="166">
        <f t="shared" ref="I27:K27" si="10">SUM(I5:I26)</f>
        <v>231000</v>
      </c>
      <c r="J27" s="166">
        <f t="shared" si="10"/>
        <v>248250</v>
      </c>
      <c r="K27" s="166">
        <f t="shared" si="10"/>
        <v>479250</v>
      </c>
      <c r="L27" s="167"/>
      <c r="M27" s="126">
        <f>SUM(M5:M26)</f>
        <v>479250</v>
      </c>
      <c r="N27" s="24"/>
      <c r="O27" s="24"/>
      <c r="P27" s="24"/>
      <c r="Q27" s="24"/>
      <c r="R27" s="24"/>
      <c r="S27" s="24"/>
      <c r="T27" s="24"/>
      <c r="U27" s="24"/>
      <c r="V27" s="24"/>
      <c r="W27" s="24"/>
      <c r="X27" s="6"/>
      <c r="Y27" s="6"/>
      <c r="Z27" s="6"/>
    </row>
    <row r="28" ht="15.75" customHeight="1">
      <c r="A28" s="24"/>
      <c r="B28" s="24"/>
      <c r="C28" s="24"/>
      <c r="D28" s="24"/>
      <c r="E28" s="24"/>
      <c r="F28" s="24"/>
      <c r="G28" s="24"/>
      <c r="H28" s="24"/>
      <c r="I28" s="168"/>
      <c r="J28" s="168"/>
      <c r="K28" s="168"/>
      <c r="L28" s="24"/>
      <c r="M28" s="24"/>
      <c r="N28" s="24"/>
      <c r="O28" s="24"/>
      <c r="P28" s="24"/>
      <c r="Q28" s="24"/>
      <c r="R28" s="24"/>
      <c r="S28" s="24"/>
      <c r="T28" s="24"/>
      <c r="U28" s="24"/>
      <c r="V28" s="24"/>
      <c r="W28" s="24"/>
      <c r="X28" s="6"/>
      <c r="Y28" s="6"/>
      <c r="Z28" s="6"/>
    </row>
    <row r="29" ht="15.75" customHeight="1">
      <c r="A29" s="24"/>
      <c r="B29" s="24"/>
      <c r="C29" s="24"/>
      <c r="D29" s="24"/>
      <c r="E29" s="24"/>
      <c r="F29" s="24"/>
      <c r="G29" s="24"/>
      <c r="H29" s="24"/>
      <c r="I29" s="168"/>
      <c r="J29" s="168"/>
      <c r="K29" s="168"/>
      <c r="L29" s="24"/>
      <c r="M29" s="24"/>
      <c r="N29" s="24"/>
      <c r="O29" s="24"/>
      <c r="P29" s="24"/>
      <c r="Q29" s="24"/>
      <c r="R29" s="24"/>
      <c r="S29" s="24"/>
      <c r="T29" s="24"/>
      <c r="U29" s="24"/>
      <c r="V29" s="24"/>
      <c r="W29" s="24"/>
      <c r="X29" s="6"/>
      <c r="Y29" s="6"/>
      <c r="Z29" s="6"/>
    </row>
    <row r="30" ht="15.75" customHeight="1">
      <c r="A30" s="24"/>
      <c r="B30" s="24"/>
      <c r="C30" s="24"/>
      <c r="D30" s="24"/>
      <c r="E30" s="24"/>
      <c r="F30" s="24"/>
      <c r="G30" s="24"/>
      <c r="H30" s="24"/>
      <c r="I30" s="168"/>
      <c r="J30" s="168"/>
      <c r="K30" s="168"/>
      <c r="L30" s="24"/>
      <c r="M30" s="24"/>
      <c r="N30" s="24"/>
      <c r="O30" s="24"/>
      <c r="P30" s="24"/>
      <c r="Q30" s="24"/>
      <c r="R30" s="24"/>
      <c r="S30" s="24"/>
      <c r="T30" s="24"/>
      <c r="U30" s="24"/>
      <c r="V30" s="24"/>
      <c r="W30" s="24"/>
      <c r="X30" s="6"/>
      <c r="Y30" s="6"/>
      <c r="Z30" s="6"/>
    </row>
    <row r="31" ht="15.75" customHeight="1">
      <c r="A31" s="24"/>
      <c r="B31" s="24"/>
      <c r="C31" s="24"/>
      <c r="D31" s="24"/>
      <c r="E31" s="24"/>
      <c r="F31" s="24"/>
      <c r="G31" s="24"/>
      <c r="H31" s="24"/>
      <c r="I31" s="168"/>
      <c r="J31" s="168"/>
      <c r="K31" s="168"/>
      <c r="L31" s="24"/>
      <c r="M31" s="24"/>
      <c r="N31" s="24"/>
      <c r="O31" s="24"/>
      <c r="P31" s="24"/>
      <c r="Q31" s="24"/>
      <c r="R31" s="24"/>
      <c r="S31" s="24"/>
      <c r="T31" s="24"/>
      <c r="U31" s="24"/>
      <c r="V31" s="24"/>
      <c r="W31" s="24"/>
      <c r="X31" s="6"/>
      <c r="Y31" s="6"/>
      <c r="Z31" s="6"/>
    </row>
    <row r="32" ht="15.75" customHeight="1">
      <c r="A32" s="24"/>
      <c r="B32" s="24"/>
      <c r="C32" s="24"/>
      <c r="D32" s="24"/>
      <c r="E32" s="24"/>
      <c r="F32" s="24"/>
      <c r="G32" s="24"/>
      <c r="H32" s="24"/>
      <c r="I32" s="168"/>
      <c r="J32" s="168"/>
      <c r="K32" s="168"/>
      <c r="L32" s="24"/>
      <c r="M32" s="24"/>
      <c r="N32" s="24"/>
      <c r="O32" s="24"/>
      <c r="P32" s="24"/>
      <c r="Q32" s="24"/>
      <c r="R32" s="24"/>
      <c r="S32" s="24"/>
      <c r="T32" s="24"/>
      <c r="U32" s="24"/>
      <c r="V32" s="24"/>
      <c r="W32" s="24"/>
      <c r="X32" s="6"/>
      <c r="Y32" s="6"/>
      <c r="Z32" s="6"/>
    </row>
    <row r="33" ht="15.75" customHeight="1">
      <c r="A33" s="24"/>
      <c r="B33" s="24"/>
      <c r="C33" s="24"/>
      <c r="D33" s="24"/>
      <c r="E33" s="24"/>
      <c r="F33" s="24"/>
      <c r="G33" s="24"/>
      <c r="H33" s="24"/>
      <c r="I33" s="168"/>
      <c r="J33" s="168"/>
      <c r="K33" s="168"/>
      <c r="L33" s="24"/>
      <c r="M33" s="24"/>
      <c r="N33" s="24"/>
      <c r="O33" s="24"/>
      <c r="P33" s="24"/>
      <c r="Q33" s="24"/>
      <c r="R33" s="24"/>
      <c r="S33" s="24"/>
      <c r="T33" s="24"/>
      <c r="U33" s="24"/>
      <c r="V33" s="24"/>
      <c r="W33" s="24"/>
      <c r="X33" s="6"/>
      <c r="Y33" s="6"/>
      <c r="Z33" s="6"/>
    </row>
    <row r="34" ht="15.75" customHeight="1">
      <c r="A34" s="24"/>
      <c r="B34" s="24"/>
      <c r="C34" s="24"/>
      <c r="D34" s="24"/>
      <c r="E34" s="24"/>
      <c r="F34" s="24"/>
      <c r="G34" s="24"/>
      <c r="H34" s="24"/>
      <c r="I34" s="168"/>
      <c r="J34" s="168"/>
      <c r="K34" s="168"/>
      <c r="L34" s="24"/>
      <c r="M34" s="24"/>
      <c r="N34" s="24"/>
      <c r="O34" s="24"/>
      <c r="P34" s="24"/>
      <c r="Q34" s="24"/>
      <c r="R34" s="24"/>
      <c r="S34" s="24"/>
      <c r="T34" s="24"/>
      <c r="U34" s="24"/>
      <c r="V34" s="24"/>
      <c r="W34" s="24"/>
      <c r="X34" s="6"/>
      <c r="Y34" s="6"/>
      <c r="Z34" s="6"/>
    </row>
    <row r="35" ht="15.75" customHeight="1">
      <c r="A35" s="24"/>
      <c r="B35" s="24"/>
      <c r="C35" s="24"/>
      <c r="D35" s="24"/>
      <c r="E35" s="24"/>
      <c r="F35" s="24"/>
      <c r="G35" s="24"/>
      <c r="H35" s="24"/>
      <c r="I35" s="168"/>
      <c r="J35" s="168"/>
      <c r="K35" s="168"/>
      <c r="L35" s="24"/>
      <c r="M35" s="24"/>
      <c r="N35" s="24"/>
      <c r="O35" s="24"/>
      <c r="P35" s="24"/>
      <c r="Q35" s="24"/>
      <c r="R35" s="24"/>
      <c r="S35" s="24"/>
      <c r="T35" s="24"/>
      <c r="U35" s="24"/>
      <c r="V35" s="24"/>
      <c r="W35" s="24"/>
      <c r="X35" s="6"/>
      <c r="Y35" s="6"/>
      <c r="Z35" s="6"/>
    </row>
    <row r="36" ht="15.75" customHeight="1">
      <c r="A36" s="24"/>
      <c r="B36" s="24"/>
      <c r="C36" s="24"/>
      <c r="D36" s="24"/>
      <c r="E36" s="24"/>
      <c r="F36" s="24"/>
      <c r="G36" s="24"/>
      <c r="H36" s="24"/>
      <c r="I36" s="168"/>
      <c r="J36" s="168"/>
      <c r="K36" s="168"/>
      <c r="L36" s="24"/>
      <c r="M36" s="24"/>
      <c r="N36" s="24"/>
      <c r="O36" s="24"/>
      <c r="P36" s="24"/>
      <c r="Q36" s="24"/>
      <c r="R36" s="24"/>
      <c r="S36" s="24"/>
      <c r="T36" s="24"/>
      <c r="U36" s="24"/>
      <c r="V36" s="24"/>
      <c r="W36" s="24"/>
      <c r="X36" s="6"/>
      <c r="Y36" s="6"/>
      <c r="Z36" s="6"/>
    </row>
    <row r="37" ht="15.75" customHeight="1">
      <c r="A37" s="24"/>
      <c r="B37" s="24"/>
      <c r="C37" s="24"/>
      <c r="D37" s="24"/>
      <c r="E37" s="24"/>
      <c r="F37" s="24"/>
      <c r="G37" s="24"/>
      <c r="H37" s="24"/>
      <c r="I37" s="168"/>
      <c r="J37" s="168"/>
      <c r="K37" s="168"/>
      <c r="L37" s="24"/>
      <c r="M37" s="24"/>
      <c r="N37" s="24"/>
      <c r="O37" s="24"/>
      <c r="P37" s="24"/>
      <c r="Q37" s="24"/>
      <c r="R37" s="24"/>
      <c r="S37" s="24"/>
      <c r="T37" s="24"/>
      <c r="U37" s="24"/>
      <c r="V37" s="24"/>
      <c r="W37" s="24"/>
      <c r="X37" s="6"/>
      <c r="Y37" s="6"/>
      <c r="Z37" s="6"/>
    </row>
    <row r="38" ht="15.75" customHeight="1">
      <c r="A38" s="24"/>
      <c r="B38" s="24"/>
      <c r="C38" s="24"/>
      <c r="D38" s="24"/>
      <c r="E38" s="24"/>
      <c r="F38" s="24"/>
      <c r="G38" s="24"/>
      <c r="H38" s="24"/>
      <c r="I38" s="168"/>
      <c r="J38" s="168"/>
      <c r="K38" s="168"/>
      <c r="L38" s="24"/>
      <c r="M38" s="24"/>
      <c r="N38" s="24"/>
      <c r="O38" s="24"/>
      <c r="P38" s="24"/>
      <c r="Q38" s="24"/>
      <c r="R38" s="24"/>
      <c r="S38" s="24"/>
      <c r="T38" s="24"/>
      <c r="U38" s="24"/>
      <c r="V38" s="24"/>
      <c r="W38" s="24"/>
      <c r="X38" s="6"/>
      <c r="Y38" s="6"/>
      <c r="Z38" s="6"/>
    </row>
    <row r="39" ht="15.75" customHeight="1">
      <c r="A39" s="24"/>
      <c r="B39" s="24"/>
      <c r="C39" s="24"/>
      <c r="D39" s="24"/>
      <c r="E39" s="24"/>
      <c r="F39" s="24"/>
      <c r="G39" s="24"/>
      <c r="H39" s="24"/>
      <c r="I39" s="168"/>
      <c r="J39" s="168"/>
      <c r="K39" s="168"/>
      <c r="L39" s="24"/>
      <c r="M39" s="24"/>
      <c r="N39" s="24"/>
      <c r="O39" s="24"/>
      <c r="P39" s="24"/>
      <c r="Q39" s="24"/>
      <c r="R39" s="24"/>
      <c r="S39" s="24"/>
      <c r="T39" s="24"/>
      <c r="U39" s="24"/>
      <c r="V39" s="24"/>
      <c r="W39" s="24"/>
      <c r="X39" s="6"/>
      <c r="Y39" s="6"/>
      <c r="Z39" s="6"/>
    </row>
    <row r="40" ht="15.75" customHeight="1">
      <c r="A40" s="24"/>
      <c r="B40" s="24"/>
      <c r="C40" s="24"/>
      <c r="D40" s="24"/>
      <c r="E40" s="24"/>
      <c r="F40" s="24"/>
      <c r="G40" s="24"/>
      <c r="H40" s="24"/>
      <c r="I40" s="168"/>
      <c r="J40" s="168"/>
      <c r="K40" s="168"/>
      <c r="L40" s="24"/>
      <c r="M40" s="24"/>
      <c r="N40" s="24"/>
      <c r="O40" s="24"/>
      <c r="P40" s="24"/>
      <c r="Q40" s="24"/>
      <c r="R40" s="24"/>
      <c r="S40" s="24"/>
      <c r="T40" s="24"/>
      <c r="U40" s="24"/>
      <c r="V40" s="24"/>
      <c r="W40" s="24"/>
      <c r="X40" s="6"/>
      <c r="Y40" s="6"/>
      <c r="Z40" s="6"/>
    </row>
    <row r="41" ht="15.75" customHeight="1">
      <c r="A41" s="24"/>
      <c r="B41" s="24"/>
      <c r="C41" s="24"/>
      <c r="D41" s="24"/>
      <c r="E41" s="24"/>
      <c r="F41" s="24"/>
      <c r="G41" s="24"/>
      <c r="H41" s="24"/>
      <c r="I41" s="168"/>
      <c r="J41" s="168"/>
      <c r="K41" s="168"/>
      <c r="L41" s="24"/>
      <c r="M41" s="24"/>
      <c r="N41" s="24"/>
      <c r="O41" s="24"/>
      <c r="P41" s="24"/>
      <c r="Q41" s="24"/>
      <c r="R41" s="24"/>
      <c r="S41" s="24"/>
      <c r="T41" s="24"/>
      <c r="U41" s="24"/>
      <c r="V41" s="24"/>
      <c r="W41" s="24"/>
      <c r="X41" s="6"/>
      <c r="Y41" s="6"/>
      <c r="Z41" s="6"/>
    </row>
    <row r="42" ht="15.75" customHeight="1">
      <c r="A42" s="24"/>
      <c r="B42" s="24"/>
      <c r="C42" s="24"/>
      <c r="D42" s="24"/>
      <c r="E42" s="24"/>
      <c r="F42" s="24"/>
      <c r="G42" s="24"/>
      <c r="H42" s="24"/>
      <c r="I42" s="168"/>
      <c r="J42" s="168"/>
      <c r="K42" s="168"/>
      <c r="L42" s="24"/>
      <c r="M42" s="24"/>
      <c r="N42" s="24"/>
      <c r="O42" s="24"/>
      <c r="P42" s="24"/>
      <c r="Q42" s="24"/>
      <c r="R42" s="24"/>
      <c r="S42" s="24"/>
      <c r="T42" s="24"/>
      <c r="U42" s="24"/>
      <c r="V42" s="24"/>
      <c r="W42" s="24"/>
      <c r="X42" s="6"/>
      <c r="Y42" s="6"/>
      <c r="Z42" s="6"/>
    </row>
    <row r="43" ht="15.75" customHeight="1">
      <c r="A43" s="24"/>
      <c r="B43" s="24"/>
      <c r="C43" s="24"/>
      <c r="D43" s="24"/>
      <c r="E43" s="24"/>
      <c r="F43" s="24"/>
      <c r="G43" s="24"/>
      <c r="H43" s="24"/>
      <c r="I43" s="168"/>
      <c r="J43" s="168"/>
      <c r="K43" s="168"/>
      <c r="L43" s="24"/>
      <c r="M43" s="24"/>
      <c r="N43" s="24"/>
      <c r="O43" s="24"/>
      <c r="P43" s="24"/>
      <c r="Q43" s="24"/>
      <c r="R43" s="24"/>
      <c r="S43" s="24"/>
      <c r="T43" s="24"/>
      <c r="U43" s="24"/>
      <c r="V43" s="24"/>
      <c r="W43" s="24"/>
      <c r="X43" s="6"/>
      <c r="Y43" s="6"/>
      <c r="Z43" s="6"/>
    </row>
    <row r="44" ht="15.75" customHeight="1">
      <c r="A44" s="24"/>
      <c r="B44" s="24"/>
      <c r="C44" s="24"/>
      <c r="D44" s="24"/>
      <c r="E44" s="24"/>
      <c r="F44" s="24"/>
      <c r="G44" s="24"/>
      <c r="H44" s="24"/>
      <c r="I44" s="168"/>
      <c r="J44" s="168"/>
      <c r="K44" s="168"/>
      <c r="L44" s="24"/>
      <c r="M44" s="24"/>
      <c r="N44" s="24"/>
      <c r="O44" s="24"/>
      <c r="P44" s="24"/>
      <c r="Q44" s="24"/>
      <c r="R44" s="24"/>
      <c r="S44" s="24"/>
      <c r="T44" s="24"/>
      <c r="U44" s="24"/>
      <c r="V44" s="24"/>
      <c r="W44" s="24"/>
      <c r="X44" s="6"/>
      <c r="Y44" s="6"/>
      <c r="Z44" s="6"/>
    </row>
    <row r="45" ht="15.75" customHeight="1">
      <c r="A45" s="24"/>
      <c r="B45" s="24"/>
      <c r="C45" s="24"/>
      <c r="D45" s="24"/>
      <c r="E45" s="24"/>
      <c r="F45" s="24"/>
      <c r="G45" s="24"/>
      <c r="H45" s="24"/>
      <c r="I45" s="168"/>
      <c r="J45" s="168"/>
      <c r="K45" s="168"/>
      <c r="L45" s="24"/>
      <c r="M45" s="24"/>
      <c r="N45" s="24"/>
      <c r="O45" s="24"/>
      <c r="P45" s="24"/>
      <c r="Q45" s="24"/>
      <c r="R45" s="24"/>
      <c r="S45" s="24"/>
      <c r="T45" s="24"/>
      <c r="U45" s="24"/>
      <c r="V45" s="24"/>
      <c r="W45" s="24"/>
      <c r="X45" s="6"/>
      <c r="Y45" s="6"/>
      <c r="Z45" s="6"/>
    </row>
    <row r="46" ht="15.75" customHeight="1">
      <c r="A46" s="24"/>
      <c r="B46" s="24"/>
      <c r="C46" s="24"/>
      <c r="D46" s="24"/>
      <c r="E46" s="24"/>
      <c r="F46" s="24"/>
      <c r="G46" s="24"/>
      <c r="H46" s="24"/>
      <c r="I46" s="168"/>
      <c r="J46" s="168"/>
      <c r="K46" s="168"/>
      <c r="L46" s="24"/>
      <c r="M46" s="24"/>
      <c r="N46" s="24"/>
      <c r="O46" s="24"/>
      <c r="P46" s="24"/>
      <c r="Q46" s="24"/>
      <c r="R46" s="24"/>
      <c r="S46" s="24"/>
      <c r="T46" s="24"/>
      <c r="U46" s="24"/>
      <c r="V46" s="24"/>
      <c r="W46" s="24"/>
      <c r="X46" s="6"/>
      <c r="Y46" s="6"/>
      <c r="Z46" s="6"/>
    </row>
    <row r="47" ht="15.75" customHeight="1">
      <c r="A47" s="24"/>
      <c r="B47" s="24"/>
      <c r="C47" s="24"/>
      <c r="D47" s="24"/>
      <c r="E47" s="24"/>
      <c r="F47" s="24"/>
      <c r="G47" s="24"/>
      <c r="H47" s="24"/>
      <c r="I47" s="168"/>
      <c r="J47" s="168"/>
      <c r="K47" s="168"/>
      <c r="L47" s="24"/>
      <c r="M47" s="24"/>
      <c r="N47" s="24"/>
      <c r="O47" s="24"/>
      <c r="P47" s="24"/>
      <c r="Q47" s="24"/>
      <c r="R47" s="24"/>
      <c r="S47" s="24"/>
      <c r="T47" s="24"/>
      <c r="U47" s="24"/>
      <c r="V47" s="24"/>
      <c r="W47" s="24"/>
      <c r="X47" s="6"/>
      <c r="Y47" s="6"/>
      <c r="Z47" s="6"/>
    </row>
    <row r="48" ht="15.75" customHeight="1">
      <c r="A48" s="24"/>
      <c r="B48" s="24"/>
      <c r="C48" s="24"/>
      <c r="D48" s="24"/>
      <c r="E48" s="24"/>
      <c r="F48" s="24"/>
      <c r="G48" s="24"/>
      <c r="H48" s="24"/>
      <c r="I48" s="168"/>
      <c r="J48" s="168"/>
      <c r="K48" s="168"/>
      <c r="L48" s="24"/>
      <c r="M48" s="24"/>
      <c r="N48" s="24"/>
      <c r="O48" s="24"/>
      <c r="P48" s="24"/>
      <c r="Q48" s="24"/>
      <c r="R48" s="24"/>
      <c r="S48" s="24"/>
      <c r="T48" s="24"/>
      <c r="U48" s="24"/>
      <c r="V48" s="24"/>
      <c r="W48" s="24"/>
      <c r="X48" s="6"/>
      <c r="Y48" s="6"/>
      <c r="Z48" s="6"/>
    </row>
    <row r="49" ht="15.75" customHeight="1">
      <c r="A49" s="24"/>
      <c r="B49" s="24"/>
      <c r="C49" s="24"/>
      <c r="D49" s="24"/>
      <c r="E49" s="24"/>
      <c r="F49" s="24"/>
      <c r="G49" s="24"/>
      <c r="H49" s="24"/>
      <c r="I49" s="168"/>
      <c r="J49" s="168"/>
      <c r="K49" s="168"/>
      <c r="L49" s="24"/>
      <c r="M49" s="24"/>
      <c r="N49" s="24"/>
      <c r="O49" s="24"/>
      <c r="P49" s="24"/>
      <c r="Q49" s="24"/>
      <c r="R49" s="24"/>
      <c r="S49" s="24"/>
      <c r="T49" s="24"/>
      <c r="U49" s="24"/>
      <c r="V49" s="24"/>
      <c r="W49" s="24"/>
      <c r="X49" s="6"/>
      <c r="Y49" s="6"/>
      <c r="Z49" s="6"/>
    </row>
    <row r="50" ht="15.75" customHeight="1">
      <c r="A50" s="24"/>
      <c r="B50" s="24"/>
      <c r="C50" s="24"/>
      <c r="D50" s="24"/>
      <c r="E50" s="24"/>
      <c r="F50" s="24"/>
      <c r="G50" s="24"/>
      <c r="H50" s="24"/>
      <c r="I50" s="168"/>
      <c r="J50" s="168"/>
      <c r="K50" s="168"/>
      <c r="L50" s="24"/>
      <c r="M50" s="24"/>
      <c r="N50" s="24"/>
      <c r="O50" s="24"/>
      <c r="P50" s="24"/>
      <c r="Q50" s="24"/>
      <c r="R50" s="24"/>
      <c r="S50" s="24"/>
      <c r="T50" s="24"/>
      <c r="U50" s="24"/>
      <c r="V50" s="24"/>
      <c r="W50" s="24"/>
      <c r="X50" s="6"/>
      <c r="Y50" s="6"/>
      <c r="Z50" s="6"/>
    </row>
    <row r="51" ht="15.75" customHeight="1">
      <c r="A51" s="24"/>
      <c r="B51" s="24"/>
      <c r="C51" s="24"/>
      <c r="D51" s="24"/>
      <c r="E51" s="24"/>
      <c r="F51" s="24"/>
      <c r="G51" s="24"/>
      <c r="H51" s="24"/>
      <c r="I51" s="168"/>
      <c r="J51" s="168"/>
      <c r="K51" s="168"/>
      <c r="L51" s="24"/>
      <c r="M51" s="24"/>
      <c r="N51" s="24"/>
      <c r="O51" s="24"/>
      <c r="P51" s="24"/>
      <c r="Q51" s="24"/>
      <c r="R51" s="24"/>
      <c r="S51" s="24"/>
      <c r="T51" s="24"/>
      <c r="U51" s="24"/>
      <c r="V51" s="24"/>
      <c r="W51" s="24"/>
      <c r="X51" s="6"/>
      <c r="Y51" s="6"/>
      <c r="Z51" s="6"/>
    </row>
    <row r="52" ht="15.75" customHeight="1">
      <c r="A52" s="24"/>
      <c r="B52" s="24"/>
      <c r="C52" s="24"/>
      <c r="D52" s="24"/>
      <c r="E52" s="24"/>
      <c r="F52" s="24"/>
      <c r="G52" s="24"/>
      <c r="H52" s="24"/>
      <c r="I52" s="168"/>
      <c r="J52" s="168"/>
      <c r="K52" s="168"/>
      <c r="L52" s="24"/>
      <c r="M52" s="24"/>
      <c r="N52" s="24"/>
      <c r="O52" s="24"/>
      <c r="P52" s="24"/>
      <c r="Q52" s="24"/>
      <c r="R52" s="24"/>
      <c r="S52" s="24"/>
      <c r="T52" s="24"/>
      <c r="U52" s="24"/>
      <c r="V52" s="24"/>
      <c r="W52" s="24"/>
      <c r="X52" s="6"/>
      <c r="Y52" s="6"/>
      <c r="Z52" s="6"/>
    </row>
    <row r="53" ht="15.75" customHeight="1">
      <c r="A53" s="24"/>
      <c r="B53" s="24"/>
      <c r="C53" s="24"/>
      <c r="D53" s="24"/>
      <c r="E53" s="24"/>
      <c r="F53" s="24"/>
      <c r="G53" s="24"/>
      <c r="H53" s="24"/>
      <c r="I53" s="168"/>
      <c r="J53" s="168"/>
      <c r="K53" s="168"/>
      <c r="L53" s="24"/>
      <c r="M53" s="24"/>
      <c r="N53" s="24"/>
      <c r="O53" s="24"/>
      <c r="P53" s="24"/>
      <c r="Q53" s="24"/>
      <c r="R53" s="24"/>
      <c r="S53" s="24"/>
      <c r="T53" s="24"/>
      <c r="U53" s="24"/>
      <c r="V53" s="24"/>
      <c r="W53" s="24"/>
      <c r="X53" s="6"/>
      <c r="Y53" s="6"/>
      <c r="Z53" s="6"/>
    </row>
    <row r="54" ht="15.75" customHeight="1">
      <c r="A54" s="24"/>
      <c r="B54" s="24"/>
      <c r="C54" s="24"/>
      <c r="D54" s="24"/>
      <c r="E54" s="24"/>
      <c r="F54" s="24"/>
      <c r="G54" s="24"/>
      <c r="H54" s="24"/>
      <c r="I54" s="168"/>
      <c r="J54" s="168"/>
      <c r="K54" s="168"/>
      <c r="L54" s="24"/>
      <c r="M54" s="24"/>
      <c r="N54" s="24"/>
      <c r="O54" s="24"/>
      <c r="P54" s="24"/>
      <c r="Q54" s="24"/>
      <c r="R54" s="24"/>
      <c r="S54" s="24"/>
      <c r="T54" s="24"/>
      <c r="U54" s="24"/>
      <c r="V54" s="24"/>
      <c r="W54" s="24"/>
      <c r="X54" s="6"/>
      <c r="Y54" s="6"/>
      <c r="Z54" s="6"/>
    </row>
    <row r="55" ht="15.75" customHeight="1">
      <c r="A55" s="24"/>
      <c r="B55" s="24"/>
      <c r="C55" s="24"/>
      <c r="D55" s="24"/>
      <c r="E55" s="24"/>
      <c r="F55" s="24"/>
      <c r="G55" s="24"/>
      <c r="H55" s="24"/>
      <c r="I55" s="168"/>
      <c r="J55" s="168"/>
      <c r="K55" s="168"/>
      <c r="L55" s="24"/>
      <c r="M55" s="24"/>
      <c r="N55" s="24"/>
      <c r="O55" s="24"/>
      <c r="P55" s="24"/>
      <c r="Q55" s="24"/>
      <c r="R55" s="24"/>
      <c r="S55" s="24"/>
      <c r="T55" s="24"/>
      <c r="U55" s="24"/>
      <c r="V55" s="24"/>
      <c r="W55" s="24"/>
      <c r="X55" s="6"/>
      <c r="Y55" s="6"/>
      <c r="Z55" s="6"/>
    </row>
    <row r="56" ht="15.75" customHeight="1">
      <c r="A56" s="24"/>
      <c r="B56" s="24"/>
      <c r="C56" s="24"/>
      <c r="D56" s="24"/>
      <c r="E56" s="24"/>
      <c r="F56" s="24"/>
      <c r="G56" s="24"/>
      <c r="H56" s="24"/>
      <c r="I56" s="168"/>
      <c r="J56" s="168"/>
      <c r="K56" s="168"/>
      <c r="L56" s="24"/>
      <c r="M56" s="24"/>
      <c r="N56" s="24"/>
      <c r="O56" s="24"/>
      <c r="P56" s="24"/>
      <c r="Q56" s="24"/>
      <c r="R56" s="24"/>
      <c r="S56" s="24"/>
      <c r="T56" s="24"/>
      <c r="U56" s="24"/>
      <c r="V56" s="24"/>
      <c r="W56" s="24"/>
      <c r="X56" s="6"/>
      <c r="Y56" s="6"/>
      <c r="Z56" s="6"/>
    </row>
    <row r="57" ht="15.75" customHeight="1">
      <c r="A57" s="24"/>
      <c r="B57" s="24"/>
      <c r="C57" s="24"/>
      <c r="D57" s="24"/>
      <c r="E57" s="24"/>
      <c r="F57" s="24"/>
      <c r="G57" s="24"/>
      <c r="H57" s="24"/>
      <c r="I57" s="168"/>
      <c r="J57" s="168"/>
      <c r="K57" s="168"/>
      <c r="L57" s="24"/>
      <c r="M57" s="24"/>
      <c r="N57" s="24"/>
      <c r="O57" s="24"/>
      <c r="P57" s="24"/>
      <c r="Q57" s="24"/>
      <c r="R57" s="24"/>
      <c r="S57" s="24"/>
      <c r="T57" s="24"/>
      <c r="U57" s="24"/>
      <c r="V57" s="24"/>
      <c r="W57" s="24"/>
      <c r="X57" s="6"/>
      <c r="Y57" s="6"/>
      <c r="Z57" s="6"/>
    </row>
    <row r="58" ht="15.75" customHeight="1">
      <c r="A58" s="24"/>
      <c r="B58" s="24"/>
      <c r="C58" s="24"/>
      <c r="D58" s="24"/>
      <c r="E58" s="24"/>
      <c r="F58" s="24"/>
      <c r="G58" s="24"/>
      <c r="H58" s="24"/>
      <c r="I58" s="168"/>
      <c r="J58" s="168"/>
      <c r="K58" s="168"/>
      <c r="L58" s="24"/>
      <c r="M58" s="24"/>
      <c r="N58" s="24"/>
      <c r="O58" s="24"/>
      <c r="P58" s="24"/>
      <c r="Q58" s="24"/>
      <c r="R58" s="24"/>
      <c r="S58" s="24"/>
      <c r="T58" s="24"/>
      <c r="U58" s="24"/>
      <c r="V58" s="24"/>
      <c r="W58" s="24"/>
      <c r="X58" s="6"/>
      <c r="Y58" s="6"/>
      <c r="Z58" s="6"/>
    </row>
    <row r="59" ht="15.75" customHeight="1">
      <c r="A59" s="24"/>
      <c r="B59" s="24"/>
      <c r="C59" s="24"/>
      <c r="D59" s="24"/>
      <c r="E59" s="24"/>
      <c r="F59" s="24"/>
      <c r="G59" s="24"/>
      <c r="H59" s="24"/>
      <c r="I59" s="168"/>
      <c r="J59" s="168"/>
      <c r="K59" s="168"/>
      <c r="L59" s="24"/>
      <c r="M59" s="24"/>
      <c r="N59" s="24"/>
      <c r="O59" s="24"/>
      <c r="P59" s="24"/>
      <c r="Q59" s="24"/>
      <c r="R59" s="24"/>
      <c r="S59" s="24"/>
      <c r="T59" s="24"/>
      <c r="U59" s="24"/>
      <c r="V59" s="24"/>
      <c r="W59" s="24"/>
      <c r="X59" s="6"/>
      <c r="Y59" s="6"/>
      <c r="Z59" s="6"/>
    </row>
    <row r="60" ht="15.75" customHeight="1">
      <c r="A60" s="24"/>
      <c r="B60" s="24"/>
      <c r="C60" s="24"/>
      <c r="D60" s="24"/>
      <c r="E60" s="24"/>
      <c r="F60" s="24"/>
      <c r="G60" s="24"/>
      <c r="H60" s="24"/>
      <c r="I60" s="168"/>
      <c r="J60" s="168"/>
      <c r="K60" s="168"/>
      <c r="L60" s="24"/>
      <c r="M60" s="24"/>
      <c r="N60" s="24"/>
      <c r="O60" s="24"/>
      <c r="P60" s="24"/>
      <c r="Q60" s="24"/>
      <c r="R60" s="24"/>
      <c r="S60" s="24"/>
      <c r="T60" s="24"/>
      <c r="U60" s="24"/>
      <c r="V60" s="24"/>
      <c r="W60" s="24"/>
      <c r="X60" s="6"/>
      <c r="Y60" s="6"/>
      <c r="Z60" s="6"/>
    </row>
    <row r="61" ht="15.75" customHeight="1">
      <c r="A61" s="24"/>
      <c r="B61" s="24"/>
      <c r="C61" s="24"/>
      <c r="D61" s="24"/>
      <c r="E61" s="24"/>
      <c r="F61" s="24"/>
      <c r="G61" s="24"/>
      <c r="H61" s="24"/>
      <c r="I61" s="168"/>
      <c r="J61" s="168"/>
      <c r="K61" s="168"/>
      <c r="L61" s="24"/>
      <c r="M61" s="24"/>
      <c r="N61" s="24"/>
      <c r="O61" s="24"/>
      <c r="P61" s="24"/>
      <c r="Q61" s="24"/>
      <c r="R61" s="24"/>
      <c r="S61" s="24"/>
      <c r="T61" s="24"/>
      <c r="U61" s="24"/>
      <c r="V61" s="24"/>
      <c r="W61" s="24"/>
      <c r="X61" s="6"/>
      <c r="Y61" s="6"/>
      <c r="Z61" s="6"/>
    </row>
    <row r="62" ht="15.75" customHeight="1">
      <c r="A62" s="24"/>
      <c r="B62" s="24"/>
      <c r="C62" s="24"/>
      <c r="D62" s="24"/>
      <c r="E62" s="24"/>
      <c r="F62" s="24"/>
      <c r="G62" s="24"/>
      <c r="H62" s="24"/>
      <c r="I62" s="168"/>
      <c r="J62" s="168"/>
      <c r="K62" s="168"/>
      <c r="L62" s="24"/>
      <c r="M62" s="24"/>
      <c r="N62" s="24"/>
      <c r="O62" s="24"/>
      <c r="P62" s="24"/>
      <c r="Q62" s="24"/>
      <c r="R62" s="24"/>
      <c r="S62" s="24"/>
      <c r="T62" s="24"/>
      <c r="U62" s="24"/>
      <c r="V62" s="24"/>
      <c r="W62" s="24"/>
      <c r="X62" s="6"/>
      <c r="Y62" s="6"/>
      <c r="Z62" s="6"/>
    </row>
    <row r="63" ht="15.75" customHeight="1">
      <c r="A63" s="24"/>
      <c r="B63" s="24"/>
      <c r="C63" s="24"/>
      <c r="D63" s="24"/>
      <c r="E63" s="24"/>
      <c r="F63" s="24"/>
      <c r="G63" s="24"/>
      <c r="H63" s="24"/>
      <c r="I63" s="168"/>
      <c r="J63" s="168"/>
      <c r="K63" s="168"/>
      <c r="L63" s="24"/>
      <c r="M63" s="24"/>
      <c r="N63" s="24"/>
      <c r="O63" s="24"/>
      <c r="P63" s="24"/>
      <c r="Q63" s="24"/>
      <c r="R63" s="24"/>
      <c r="S63" s="24"/>
      <c r="T63" s="24"/>
      <c r="U63" s="24"/>
      <c r="V63" s="24"/>
      <c r="W63" s="24"/>
      <c r="X63" s="6"/>
      <c r="Y63" s="6"/>
      <c r="Z63" s="6"/>
    </row>
    <row r="64" ht="15.75" customHeight="1">
      <c r="A64" s="24"/>
      <c r="B64" s="24"/>
      <c r="C64" s="24"/>
      <c r="D64" s="24"/>
      <c r="E64" s="24"/>
      <c r="F64" s="24"/>
      <c r="G64" s="24"/>
      <c r="H64" s="24"/>
      <c r="I64" s="168"/>
      <c r="J64" s="168"/>
      <c r="K64" s="168"/>
      <c r="L64" s="24"/>
      <c r="M64" s="24"/>
      <c r="N64" s="24"/>
      <c r="O64" s="24"/>
      <c r="P64" s="24"/>
      <c r="Q64" s="24"/>
      <c r="R64" s="24"/>
      <c r="S64" s="24"/>
      <c r="T64" s="24"/>
      <c r="U64" s="24"/>
      <c r="V64" s="24"/>
      <c r="W64" s="24"/>
      <c r="X64" s="6"/>
      <c r="Y64" s="6"/>
      <c r="Z64" s="6"/>
    </row>
    <row r="65" ht="15.75" customHeight="1">
      <c r="A65" s="24"/>
      <c r="B65" s="24"/>
      <c r="C65" s="24"/>
      <c r="D65" s="24"/>
      <c r="E65" s="24"/>
      <c r="F65" s="24"/>
      <c r="G65" s="24"/>
      <c r="H65" s="24"/>
      <c r="I65" s="168"/>
      <c r="J65" s="168"/>
      <c r="K65" s="168"/>
      <c r="L65" s="24"/>
      <c r="M65" s="24"/>
      <c r="N65" s="24"/>
      <c r="O65" s="24"/>
      <c r="P65" s="24"/>
      <c r="Q65" s="24"/>
      <c r="R65" s="24"/>
      <c r="S65" s="24"/>
      <c r="T65" s="24"/>
      <c r="U65" s="24"/>
      <c r="V65" s="24"/>
      <c r="W65" s="24"/>
      <c r="X65" s="6"/>
      <c r="Y65" s="6"/>
      <c r="Z65" s="6"/>
    </row>
    <row r="66" ht="15.75" customHeight="1">
      <c r="A66" s="24"/>
      <c r="B66" s="24"/>
      <c r="C66" s="24"/>
      <c r="D66" s="24"/>
      <c r="E66" s="24"/>
      <c r="F66" s="24"/>
      <c r="G66" s="24"/>
      <c r="H66" s="24"/>
      <c r="I66" s="168"/>
      <c r="J66" s="168"/>
      <c r="K66" s="168"/>
      <c r="L66" s="24"/>
      <c r="M66" s="24"/>
      <c r="N66" s="24"/>
      <c r="O66" s="24"/>
      <c r="P66" s="24"/>
      <c r="Q66" s="24"/>
      <c r="R66" s="24"/>
      <c r="S66" s="24"/>
      <c r="T66" s="24"/>
      <c r="U66" s="24"/>
      <c r="V66" s="24"/>
      <c r="W66" s="24"/>
      <c r="X66" s="6"/>
      <c r="Y66" s="6"/>
      <c r="Z66" s="6"/>
    </row>
    <row r="67" ht="15.75" customHeight="1">
      <c r="A67" s="24"/>
      <c r="B67" s="24"/>
      <c r="C67" s="24"/>
      <c r="D67" s="24"/>
      <c r="E67" s="24"/>
      <c r="F67" s="24"/>
      <c r="G67" s="24"/>
      <c r="H67" s="24"/>
      <c r="I67" s="168"/>
      <c r="J67" s="168"/>
      <c r="K67" s="168"/>
      <c r="L67" s="24"/>
      <c r="M67" s="24"/>
      <c r="N67" s="24"/>
      <c r="O67" s="24"/>
      <c r="P67" s="24"/>
      <c r="Q67" s="24"/>
      <c r="R67" s="24"/>
      <c r="S67" s="24"/>
      <c r="T67" s="24"/>
      <c r="U67" s="24"/>
      <c r="V67" s="24"/>
      <c r="W67" s="24"/>
      <c r="X67" s="6"/>
      <c r="Y67" s="6"/>
      <c r="Z67" s="6"/>
    </row>
    <row r="68" ht="15.75" customHeight="1">
      <c r="A68" s="24"/>
      <c r="B68" s="24"/>
      <c r="C68" s="24"/>
      <c r="D68" s="24"/>
      <c r="E68" s="24"/>
      <c r="F68" s="24"/>
      <c r="G68" s="24"/>
      <c r="H68" s="24"/>
      <c r="I68" s="168"/>
      <c r="J68" s="168"/>
      <c r="K68" s="168"/>
      <c r="L68" s="24"/>
      <c r="M68" s="24"/>
      <c r="N68" s="24"/>
      <c r="O68" s="24"/>
      <c r="P68" s="24"/>
      <c r="Q68" s="24"/>
      <c r="R68" s="24"/>
      <c r="S68" s="24"/>
      <c r="T68" s="24"/>
      <c r="U68" s="24"/>
      <c r="V68" s="24"/>
      <c r="W68" s="24"/>
      <c r="X68" s="6"/>
      <c r="Y68" s="6"/>
      <c r="Z68" s="6"/>
    </row>
    <row r="69" ht="15.75" customHeight="1">
      <c r="A69" s="24"/>
      <c r="B69" s="24"/>
      <c r="C69" s="24"/>
      <c r="D69" s="24"/>
      <c r="E69" s="24"/>
      <c r="F69" s="24"/>
      <c r="G69" s="24"/>
      <c r="H69" s="24"/>
      <c r="I69" s="168"/>
      <c r="J69" s="168"/>
      <c r="K69" s="168"/>
      <c r="L69" s="24"/>
      <c r="M69" s="24"/>
      <c r="N69" s="24"/>
      <c r="O69" s="24"/>
      <c r="P69" s="24"/>
      <c r="Q69" s="24"/>
      <c r="R69" s="24"/>
      <c r="S69" s="24"/>
      <c r="T69" s="24"/>
      <c r="U69" s="24"/>
      <c r="V69" s="24"/>
      <c r="W69" s="24"/>
      <c r="X69" s="6"/>
      <c r="Y69" s="6"/>
      <c r="Z69" s="6"/>
    </row>
    <row r="70" ht="15.75" customHeight="1">
      <c r="A70" s="24"/>
      <c r="B70" s="24"/>
      <c r="C70" s="24"/>
      <c r="D70" s="24"/>
      <c r="E70" s="24"/>
      <c r="F70" s="24"/>
      <c r="G70" s="24"/>
      <c r="H70" s="24"/>
      <c r="I70" s="168"/>
      <c r="J70" s="168"/>
      <c r="K70" s="168"/>
      <c r="L70" s="24"/>
      <c r="M70" s="24"/>
      <c r="N70" s="24"/>
      <c r="O70" s="24"/>
      <c r="P70" s="24"/>
      <c r="Q70" s="24"/>
      <c r="R70" s="24"/>
      <c r="S70" s="24"/>
      <c r="T70" s="24"/>
      <c r="U70" s="24"/>
      <c r="V70" s="24"/>
      <c r="W70" s="24"/>
      <c r="X70" s="6"/>
      <c r="Y70" s="6"/>
      <c r="Z70" s="6"/>
    </row>
    <row r="71" ht="15.75" customHeight="1">
      <c r="A71" s="24"/>
      <c r="B71" s="24"/>
      <c r="C71" s="24"/>
      <c r="D71" s="24"/>
      <c r="E71" s="24"/>
      <c r="F71" s="24"/>
      <c r="G71" s="24"/>
      <c r="H71" s="24"/>
      <c r="I71" s="168"/>
      <c r="J71" s="168"/>
      <c r="K71" s="168"/>
      <c r="L71" s="24"/>
      <c r="M71" s="24"/>
      <c r="N71" s="24"/>
      <c r="O71" s="24"/>
      <c r="P71" s="24"/>
      <c r="Q71" s="24"/>
      <c r="R71" s="24"/>
      <c r="S71" s="24"/>
      <c r="T71" s="24"/>
      <c r="U71" s="24"/>
      <c r="V71" s="24"/>
      <c r="W71" s="24"/>
      <c r="X71" s="6"/>
      <c r="Y71" s="6"/>
      <c r="Z71" s="6"/>
    </row>
    <row r="72" ht="15.75" customHeight="1">
      <c r="A72" s="24"/>
      <c r="B72" s="24"/>
      <c r="C72" s="24"/>
      <c r="D72" s="24"/>
      <c r="E72" s="24"/>
      <c r="F72" s="24"/>
      <c r="G72" s="24"/>
      <c r="H72" s="24"/>
      <c r="I72" s="168"/>
      <c r="J72" s="168"/>
      <c r="K72" s="168"/>
      <c r="L72" s="24"/>
      <c r="M72" s="24"/>
      <c r="N72" s="24"/>
      <c r="O72" s="24"/>
      <c r="P72" s="24"/>
      <c r="Q72" s="24"/>
      <c r="R72" s="24"/>
      <c r="S72" s="24"/>
      <c r="T72" s="24"/>
      <c r="U72" s="24"/>
      <c r="V72" s="24"/>
      <c r="W72" s="24"/>
      <c r="X72" s="6"/>
      <c r="Y72" s="6"/>
      <c r="Z72" s="6"/>
    </row>
    <row r="73" ht="15.75" customHeight="1">
      <c r="A73" s="24"/>
      <c r="B73" s="24"/>
      <c r="C73" s="24"/>
      <c r="D73" s="24"/>
      <c r="E73" s="24"/>
      <c r="F73" s="24"/>
      <c r="G73" s="24"/>
      <c r="H73" s="24"/>
      <c r="I73" s="168"/>
      <c r="J73" s="168"/>
      <c r="K73" s="168"/>
      <c r="L73" s="24"/>
      <c r="M73" s="24"/>
      <c r="N73" s="24"/>
      <c r="O73" s="24"/>
      <c r="P73" s="24"/>
      <c r="Q73" s="24"/>
      <c r="R73" s="24"/>
      <c r="S73" s="24"/>
      <c r="T73" s="24"/>
      <c r="U73" s="24"/>
      <c r="V73" s="24"/>
      <c r="W73" s="24"/>
      <c r="X73" s="6"/>
      <c r="Y73" s="6"/>
      <c r="Z73" s="6"/>
    </row>
    <row r="74" ht="15.75" customHeight="1">
      <c r="A74" s="24"/>
      <c r="B74" s="24"/>
      <c r="C74" s="24"/>
      <c r="D74" s="24"/>
      <c r="E74" s="24"/>
      <c r="F74" s="24"/>
      <c r="G74" s="24"/>
      <c r="H74" s="24"/>
      <c r="I74" s="168"/>
      <c r="J74" s="168"/>
      <c r="K74" s="168"/>
      <c r="L74" s="24"/>
      <c r="M74" s="24"/>
      <c r="N74" s="24"/>
      <c r="O74" s="24"/>
      <c r="P74" s="24"/>
      <c r="Q74" s="24"/>
      <c r="R74" s="24"/>
      <c r="S74" s="24"/>
      <c r="T74" s="24"/>
      <c r="U74" s="24"/>
      <c r="V74" s="24"/>
      <c r="W74" s="24"/>
      <c r="X74" s="6"/>
      <c r="Y74" s="6"/>
      <c r="Z74" s="6"/>
    </row>
    <row r="75" ht="15.75" customHeight="1">
      <c r="A75" s="24"/>
      <c r="B75" s="24"/>
      <c r="C75" s="24"/>
      <c r="D75" s="24"/>
      <c r="E75" s="24"/>
      <c r="F75" s="24"/>
      <c r="G75" s="24"/>
      <c r="H75" s="24"/>
      <c r="I75" s="168"/>
      <c r="J75" s="168"/>
      <c r="K75" s="168"/>
      <c r="L75" s="24"/>
      <c r="M75" s="24"/>
      <c r="N75" s="24"/>
      <c r="O75" s="24"/>
      <c r="P75" s="24"/>
      <c r="Q75" s="24"/>
      <c r="R75" s="24"/>
      <c r="S75" s="24"/>
      <c r="T75" s="24"/>
      <c r="U75" s="24"/>
      <c r="V75" s="24"/>
      <c r="W75" s="24"/>
      <c r="X75" s="6"/>
      <c r="Y75" s="6"/>
      <c r="Z75" s="6"/>
    </row>
    <row r="76" ht="15.75" customHeight="1">
      <c r="A76" s="24"/>
      <c r="B76" s="24"/>
      <c r="C76" s="24"/>
      <c r="D76" s="24"/>
      <c r="E76" s="24"/>
      <c r="F76" s="24"/>
      <c r="G76" s="24"/>
      <c r="H76" s="24"/>
      <c r="I76" s="168"/>
      <c r="J76" s="168"/>
      <c r="K76" s="168"/>
      <c r="L76" s="24"/>
      <c r="M76" s="24"/>
      <c r="N76" s="24"/>
      <c r="O76" s="24"/>
      <c r="P76" s="24"/>
      <c r="Q76" s="24"/>
      <c r="R76" s="24"/>
      <c r="S76" s="24"/>
      <c r="T76" s="24"/>
      <c r="U76" s="24"/>
      <c r="V76" s="24"/>
      <c r="W76" s="24"/>
      <c r="X76" s="6"/>
      <c r="Y76" s="6"/>
      <c r="Z76" s="6"/>
    </row>
    <row r="77" ht="15.75" customHeight="1">
      <c r="A77" s="24"/>
      <c r="B77" s="24"/>
      <c r="C77" s="24"/>
      <c r="D77" s="24"/>
      <c r="E77" s="24"/>
      <c r="F77" s="24"/>
      <c r="G77" s="24"/>
      <c r="H77" s="24"/>
      <c r="I77" s="168"/>
      <c r="J77" s="168"/>
      <c r="K77" s="168"/>
      <c r="L77" s="24"/>
      <c r="M77" s="24"/>
      <c r="N77" s="24"/>
      <c r="O77" s="24"/>
      <c r="P77" s="24"/>
      <c r="Q77" s="24"/>
      <c r="R77" s="24"/>
      <c r="S77" s="24"/>
      <c r="T77" s="24"/>
      <c r="U77" s="24"/>
      <c r="V77" s="24"/>
      <c r="W77" s="24"/>
      <c r="X77" s="6"/>
      <c r="Y77" s="6"/>
      <c r="Z77" s="6"/>
    </row>
    <row r="78" ht="15.75" customHeight="1">
      <c r="A78" s="24"/>
      <c r="B78" s="24"/>
      <c r="C78" s="24"/>
      <c r="D78" s="24"/>
      <c r="E78" s="24"/>
      <c r="F78" s="24"/>
      <c r="G78" s="24"/>
      <c r="H78" s="24"/>
      <c r="I78" s="168"/>
      <c r="J78" s="168"/>
      <c r="K78" s="168"/>
      <c r="L78" s="24"/>
      <c r="M78" s="24"/>
      <c r="N78" s="24"/>
      <c r="O78" s="24"/>
      <c r="P78" s="24"/>
      <c r="Q78" s="24"/>
      <c r="R78" s="24"/>
      <c r="S78" s="24"/>
      <c r="T78" s="24"/>
      <c r="U78" s="24"/>
      <c r="V78" s="24"/>
      <c r="W78" s="24"/>
      <c r="X78" s="6"/>
      <c r="Y78" s="6"/>
      <c r="Z78" s="6"/>
    </row>
    <row r="79" ht="15.75" customHeight="1">
      <c r="A79" s="24"/>
      <c r="B79" s="24"/>
      <c r="C79" s="24"/>
      <c r="D79" s="24"/>
      <c r="E79" s="24"/>
      <c r="F79" s="24"/>
      <c r="G79" s="24"/>
      <c r="H79" s="24"/>
      <c r="I79" s="168"/>
      <c r="J79" s="168"/>
      <c r="K79" s="168"/>
      <c r="L79" s="24"/>
      <c r="M79" s="24"/>
      <c r="N79" s="24"/>
      <c r="O79" s="24"/>
      <c r="P79" s="24"/>
      <c r="Q79" s="24"/>
      <c r="R79" s="24"/>
      <c r="S79" s="24"/>
      <c r="T79" s="24"/>
      <c r="U79" s="24"/>
      <c r="V79" s="24"/>
      <c r="W79" s="24"/>
      <c r="X79" s="6"/>
      <c r="Y79" s="6"/>
      <c r="Z79" s="6"/>
    </row>
    <row r="80" ht="15.75" customHeight="1">
      <c r="A80" s="24"/>
      <c r="B80" s="24"/>
      <c r="C80" s="24"/>
      <c r="D80" s="24"/>
      <c r="E80" s="24"/>
      <c r="F80" s="24"/>
      <c r="G80" s="24"/>
      <c r="H80" s="24"/>
      <c r="I80" s="168"/>
      <c r="J80" s="168"/>
      <c r="K80" s="168"/>
      <c r="L80" s="24"/>
      <c r="M80" s="24"/>
      <c r="N80" s="24"/>
      <c r="O80" s="24"/>
      <c r="P80" s="24"/>
      <c r="Q80" s="24"/>
      <c r="R80" s="24"/>
      <c r="S80" s="24"/>
      <c r="T80" s="24"/>
      <c r="U80" s="24"/>
      <c r="V80" s="24"/>
      <c r="W80" s="24"/>
      <c r="X80" s="6"/>
      <c r="Y80" s="6"/>
      <c r="Z80" s="6"/>
    </row>
    <row r="81" ht="15.75" customHeight="1">
      <c r="A81" s="24"/>
      <c r="B81" s="24"/>
      <c r="C81" s="24"/>
      <c r="D81" s="24"/>
      <c r="E81" s="24"/>
      <c r="F81" s="24"/>
      <c r="G81" s="24"/>
      <c r="H81" s="24"/>
      <c r="I81" s="168"/>
      <c r="J81" s="168"/>
      <c r="K81" s="168"/>
      <c r="L81" s="24"/>
      <c r="M81" s="24"/>
      <c r="N81" s="24"/>
      <c r="O81" s="24"/>
      <c r="P81" s="24"/>
      <c r="Q81" s="24"/>
      <c r="R81" s="24"/>
      <c r="S81" s="24"/>
      <c r="T81" s="24"/>
      <c r="U81" s="24"/>
      <c r="V81" s="24"/>
      <c r="W81" s="24"/>
      <c r="X81" s="6"/>
      <c r="Y81" s="6"/>
      <c r="Z81" s="6"/>
    </row>
    <row r="82" ht="15.75" customHeight="1">
      <c r="A82" s="24"/>
      <c r="B82" s="24"/>
      <c r="C82" s="24"/>
      <c r="D82" s="24"/>
      <c r="E82" s="24"/>
      <c r="F82" s="24"/>
      <c r="G82" s="24"/>
      <c r="H82" s="24"/>
      <c r="I82" s="168"/>
      <c r="J82" s="168"/>
      <c r="K82" s="168"/>
      <c r="L82" s="24"/>
      <c r="M82" s="24"/>
      <c r="N82" s="24"/>
      <c r="O82" s="24"/>
      <c r="P82" s="24"/>
      <c r="Q82" s="24"/>
      <c r="R82" s="24"/>
      <c r="S82" s="24"/>
      <c r="T82" s="24"/>
      <c r="U82" s="24"/>
      <c r="V82" s="24"/>
      <c r="W82" s="24"/>
      <c r="X82" s="6"/>
      <c r="Y82" s="6"/>
      <c r="Z82" s="6"/>
    </row>
    <row r="83" ht="15.75" customHeight="1">
      <c r="A83" s="24"/>
      <c r="B83" s="24"/>
      <c r="C83" s="24"/>
      <c r="D83" s="24"/>
      <c r="E83" s="24"/>
      <c r="F83" s="24"/>
      <c r="G83" s="24"/>
      <c r="H83" s="24"/>
      <c r="I83" s="168"/>
      <c r="J83" s="168"/>
      <c r="K83" s="168"/>
      <c r="L83" s="24"/>
      <c r="M83" s="24"/>
      <c r="N83" s="24"/>
      <c r="O83" s="24"/>
      <c r="P83" s="24"/>
      <c r="Q83" s="24"/>
      <c r="R83" s="24"/>
      <c r="S83" s="24"/>
      <c r="T83" s="24"/>
      <c r="U83" s="24"/>
      <c r="V83" s="24"/>
      <c r="W83" s="24"/>
      <c r="X83" s="6"/>
      <c r="Y83" s="6"/>
      <c r="Z83" s="6"/>
    </row>
    <row r="84" ht="15.75" customHeight="1">
      <c r="A84" s="24"/>
      <c r="B84" s="24"/>
      <c r="C84" s="24"/>
      <c r="D84" s="24"/>
      <c r="E84" s="24"/>
      <c r="F84" s="24"/>
      <c r="G84" s="24"/>
      <c r="H84" s="24"/>
      <c r="I84" s="168"/>
      <c r="J84" s="168"/>
      <c r="K84" s="168"/>
      <c r="L84" s="24"/>
      <c r="M84" s="24"/>
      <c r="N84" s="24"/>
      <c r="O84" s="24"/>
      <c r="P84" s="24"/>
      <c r="Q84" s="24"/>
      <c r="R84" s="24"/>
      <c r="S84" s="24"/>
      <c r="T84" s="24"/>
      <c r="U84" s="24"/>
      <c r="V84" s="24"/>
      <c r="W84" s="24"/>
      <c r="X84" s="6"/>
      <c r="Y84" s="6"/>
      <c r="Z84" s="6"/>
    </row>
    <row r="85" ht="15.75" customHeight="1">
      <c r="A85" s="24"/>
      <c r="B85" s="24"/>
      <c r="C85" s="24"/>
      <c r="D85" s="24"/>
      <c r="E85" s="24"/>
      <c r="F85" s="24"/>
      <c r="G85" s="24"/>
      <c r="H85" s="24"/>
      <c r="I85" s="168"/>
      <c r="J85" s="168"/>
      <c r="K85" s="168"/>
      <c r="L85" s="24"/>
      <c r="M85" s="24"/>
      <c r="N85" s="24"/>
      <c r="O85" s="24"/>
      <c r="P85" s="24"/>
      <c r="Q85" s="24"/>
      <c r="R85" s="24"/>
      <c r="S85" s="24"/>
      <c r="T85" s="24"/>
      <c r="U85" s="24"/>
      <c r="V85" s="24"/>
      <c r="W85" s="24"/>
      <c r="X85" s="6"/>
      <c r="Y85" s="6"/>
      <c r="Z85" s="6"/>
    </row>
    <row r="86" ht="15.75" customHeight="1">
      <c r="A86" s="24"/>
      <c r="B86" s="24"/>
      <c r="C86" s="24"/>
      <c r="D86" s="24"/>
      <c r="E86" s="24"/>
      <c r="F86" s="24"/>
      <c r="G86" s="24"/>
      <c r="H86" s="24"/>
      <c r="I86" s="168"/>
      <c r="J86" s="168"/>
      <c r="K86" s="168"/>
      <c r="L86" s="24"/>
      <c r="M86" s="24"/>
      <c r="N86" s="24"/>
      <c r="O86" s="24"/>
      <c r="P86" s="24"/>
      <c r="Q86" s="24"/>
      <c r="R86" s="24"/>
      <c r="S86" s="24"/>
      <c r="T86" s="24"/>
      <c r="U86" s="24"/>
      <c r="V86" s="24"/>
      <c r="W86" s="24"/>
      <c r="X86" s="6"/>
      <c r="Y86" s="6"/>
      <c r="Z86" s="6"/>
    </row>
    <row r="87" ht="15.75" customHeight="1">
      <c r="A87" s="24"/>
      <c r="B87" s="24"/>
      <c r="C87" s="24"/>
      <c r="D87" s="24"/>
      <c r="E87" s="24"/>
      <c r="F87" s="24"/>
      <c r="G87" s="24"/>
      <c r="H87" s="24"/>
      <c r="I87" s="168"/>
      <c r="J87" s="168"/>
      <c r="K87" s="168"/>
      <c r="L87" s="24"/>
      <c r="M87" s="24"/>
      <c r="N87" s="24"/>
      <c r="O87" s="24"/>
      <c r="P87" s="24"/>
      <c r="Q87" s="24"/>
      <c r="R87" s="24"/>
      <c r="S87" s="24"/>
      <c r="T87" s="24"/>
      <c r="U87" s="24"/>
      <c r="V87" s="24"/>
      <c r="W87" s="24"/>
      <c r="X87" s="6"/>
      <c r="Y87" s="6"/>
      <c r="Z87" s="6"/>
    </row>
    <row r="88" ht="15.75" customHeight="1">
      <c r="A88" s="24"/>
      <c r="B88" s="24"/>
      <c r="C88" s="24"/>
      <c r="D88" s="24"/>
      <c r="E88" s="24"/>
      <c r="F88" s="24"/>
      <c r="G88" s="24"/>
      <c r="H88" s="24"/>
      <c r="I88" s="168"/>
      <c r="J88" s="168"/>
      <c r="K88" s="168"/>
      <c r="L88" s="24"/>
      <c r="M88" s="24"/>
      <c r="N88" s="24"/>
      <c r="O88" s="24"/>
      <c r="P88" s="24"/>
      <c r="Q88" s="24"/>
      <c r="R88" s="24"/>
      <c r="S88" s="24"/>
      <c r="T88" s="24"/>
      <c r="U88" s="24"/>
      <c r="V88" s="24"/>
      <c r="W88" s="24"/>
      <c r="X88" s="6"/>
      <c r="Y88" s="6"/>
      <c r="Z88" s="6"/>
    </row>
    <row r="89" ht="15.75" customHeight="1">
      <c r="A89" s="24"/>
      <c r="B89" s="24"/>
      <c r="C89" s="24"/>
      <c r="D89" s="24"/>
      <c r="E89" s="24"/>
      <c r="F89" s="24"/>
      <c r="G89" s="24"/>
      <c r="H89" s="24"/>
      <c r="I89" s="168"/>
      <c r="J89" s="168"/>
      <c r="K89" s="168"/>
      <c r="L89" s="24"/>
      <c r="M89" s="24"/>
      <c r="N89" s="24"/>
      <c r="O89" s="24"/>
      <c r="P89" s="24"/>
      <c r="Q89" s="24"/>
      <c r="R89" s="24"/>
      <c r="S89" s="24"/>
      <c r="T89" s="24"/>
      <c r="U89" s="24"/>
      <c r="V89" s="24"/>
      <c r="W89" s="24"/>
      <c r="X89" s="6"/>
      <c r="Y89" s="6"/>
      <c r="Z89" s="6"/>
    </row>
    <row r="90" ht="15.75" customHeight="1">
      <c r="A90" s="24"/>
      <c r="B90" s="24"/>
      <c r="C90" s="24"/>
      <c r="D90" s="24"/>
      <c r="E90" s="24"/>
      <c r="F90" s="24"/>
      <c r="G90" s="24"/>
      <c r="H90" s="24"/>
      <c r="I90" s="168"/>
      <c r="J90" s="168"/>
      <c r="K90" s="168"/>
      <c r="L90" s="24"/>
      <c r="M90" s="24"/>
      <c r="N90" s="24"/>
      <c r="O90" s="24"/>
      <c r="P90" s="24"/>
      <c r="Q90" s="24"/>
      <c r="R90" s="24"/>
      <c r="S90" s="24"/>
      <c r="T90" s="24"/>
      <c r="U90" s="24"/>
      <c r="V90" s="24"/>
      <c r="W90" s="24"/>
      <c r="X90" s="6"/>
      <c r="Y90" s="6"/>
      <c r="Z90" s="6"/>
    </row>
    <row r="91" ht="15.75" customHeight="1">
      <c r="A91" s="24"/>
      <c r="B91" s="24"/>
      <c r="C91" s="24"/>
      <c r="D91" s="24"/>
      <c r="E91" s="24"/>
      <c r="F91" s="24"/>
      <c r="G91" s="24"/>
      <c r="H91" s="24"/>
      <c r="I91" s="168"/>
      <c r="J91" s="168"/>
      <c r="K91" s="168"/>
      <c r="L91" s="24"/>
      <c r="M91" s="24"/>
      <c r="N91" s="24"/>
      <c r="O91" s="24"/>
      <c r="P91" s="24"/>
      <c r="Q91" s="24"/>
      <c r="R91" s="24"/>
      <c r="S91" s="24"/>
      <c r="T91" s="24"/>
      <c r="U91" s="24"/>
      <c r="V91" s="24"/>
      <c r="W91" s="24"/>
      <c r="X91" s="6"/>
      <c r="Y91" s="6"/>
      <c r="Z91" s="6"/>
    </row>
    <row r="92" ht="15.75" customHeight="1">
      <c r="A92" s="24"/>
      <c r="B92" s="24"/>
      <c r="C92" s="24"/>
      <c r="D92" s="24"/>
      <c r="E92" s="24"/>
      <c r="F92" s="24"/>
      <c r="G92" s="24"/>
      <c r="H92" s="24"/>
      <c r="I92" s="168"/>
      <c r="J92" s="168"/>
      <c r="K92" s="168"/>
      <c r="L92" s="24"/>
      <c r="M92" s="24"/>
      <c r="N92" s="24"/>
      <c r="O92" s="24"/>
      <c r="P92" s="24"/>
      <c r="Q92" s="24"/>
      <c r="R92" s="24"/>
      <c r="S92" s="24"/>
      <c r="T92" s="24"/>
      <c r="U92" s="24"/>
      <c r="V92" s="24"/>
      <c r="W92" s="24"/>
      <c r="X92" s="6"/>
      <c r="Y92" s="6"/>
      <c r="Z92" s="6"/>
    </row>
    <row r="93" ht="15.75" customHeight="1">
      <c r="A93" s="24"/>
      <c r="B93" s="24"/>
      <c r="C93" s="24"/>
      <c r="D93" s="24"/>
      <c r="E93" s="24"/>
      <c r="F93" s="24"/>
      <c r="G93" s="24"/>
      <c r="H93" s="24"/>
      <c r="I93" s="168"/>
      <c r="J93" s="168"/>
      <c r="K93" s="168"/>
      <c r="L93" s="24"/>
      <c r="M93" s="24"/>
      <c r="N93" s="24"/>
      <c r="O93" s="24"/>
      <c r="P93" s="24"/>
      <c r="Q93" s="24"/>
      <c r="R93" s="24"/>
      <c r="S93" s="24"/>
      <c r="T93" s="24"/>
      <c r="U93" s="24"/>
      <c r="V93" s="24"/>
      <c r="W93" s="24"/>
      <c r="X93" s="6"/>
      <c r="Y93" s="6"/>
      <c r="Z93" s="6"/>
    </row>
    <row r="94" ht="15.75" customHeight="1">
      <c r="A94" s="24"/>
      <c r="B94" s="24"/>
      <c r="C94" s="24"/>
      <c r="D94" s="24"/>
      <c r="E94" s="24"/>
      <c r="F94" s="24"/>
      <c r="G94" s="24"/>
      <c r="H94" s="24"/>
      <c r="I94" s="168"/>
      <c r="J94" s="168"/>
      <c r="K94" s="168"/>
      <c r="L94" s="24"/>
      <c r="M94" s="24"/>
      <c r="N94" s="24"/>
      <c r="O94" s="24"/>
      <c r="P94" s="24"/>
      <c r="Q94" s="24"/>
      <c r="R94" s="24"/>
      <c r="S94" s="24"/>
      <c r="T94" s="24"/>
      <c r="U94" s="24"/>
      <c r="V94" s="24"/>
      <c r="W94" s="24"/>
      <c r="X94" s="6"/>
      <c r="Y94" s="6"/>
      <c r="Z94" s="6"/>
    </row>
    <row r="95" ht="15.75" customHeight="1">
      <c r="A95" s="24"/>
      <c r="B95" s="24"/>
      <c r="C95" s="24"/>
      <c r="D95" s="24"/>
      <c r="E95" s="24"/>
      <c r="F95" s="24"/>
      <c r="G95" s="24"/>
      <c r="H95" s="24"/>
      <c r="I95" s="168"/>
      <c r="J95" s="168"/>
      <c r="K95" s="168"/>
      <c r="L95" s="24"/>
      <c r="M95" s="24"/>
      <c r="N95" s="24"/>
      <c r="O95" s="24"/>
      <c r="P95" s="24"/>
      <c r="Q95" s="24"/>
      <c r="R95" s="24"/>
      <c r="S95" s="24"/>
      <c r="T95" s="24"/>
      <c r="U95" s="24"/>
      <c r="V95" s="24"/>
      <c r="W95" s="24"/>
      <c r="X95" s="6"/>
      <c r="Y95" s="6"/>
      <c r="Z95" s="6"/>
    </row>
    <row r="96" ht="15.75" customHeight="1">
      <c r="A96" s="24"/>
      <c r="B96" s="24"/>
      <c r="C96" s="24"/>
      <c r="D96" s="24"/>
      <c r="E96" s="24"/>
      <c r="F96" s="24"/>
      <c r="G96" s="24"/>
      <c r="H96" s="24"/>
      <c r="I96" s="168"/>
      <c r="J96" s="168"/>
      <c r="K96" s="168"/>
      <c r="L96" s="24"/>
      <c r="M96" s="24"/>
      <c r="N96" s="24"/>
      <c r="O96" s="24"/>
      <c r="P96" s="24"/>
      <c r="Q96" s="24"/>
      <c r="R96" s="24"/>
      <c r="S96" s="24"/>
      <c r="T96" s="24"/>
      <c r="U96" s="24"/>
      <c r="V96" s="24"/>
      <c r="W96" s="24"/>
      <c r="X96" s="6"/>
      <c r="Y96" s="6"/>
      <c r="Z96" s="6"/>
    </row>
    <row r="97" ht="15.75" customHeight="1">
      <c r="A97" s="24"/>
      <c r="B97" s="24"/>
      <c r="C97" s="24"/>
      <c r="D97" s="24"/>
      <c r="E97" s="24"/>
      <c r="F97" s="24"/>
      <c r="G97" s="24"/>
      <c r="H97" s="24"/>
      <c r="I97" s="168"/>
      <c r="J97" s="168"/>
      <c r="K97" s="168"/>
      <c r="L97" s="24"/>
      <c r="M97" s="24"/>
      <c r="N97" s="24"/>
      <c r="O97" s="24"/>
      <c r="P97" s="24"/>
      <c r="Q97" s="24"/>
      <c r="R97" s="24"/>
      <c r="S97" s="24"/>
      <c r="T97" s="24"/>
      <c r="U97" s="24"/>
      <c r="V97" s="24"/>
      <c r="W97" s="24"/>
      <c r="X97" s="6"/>
      <c r="Y97" s="6"/>
      <c r="Z97" s="6"/>
    </row>
    <row r="98" ht="15.75" customHeight="1">
      <c r="A98" s="24"/>
      <c r="B98" s="24"/>
      <c r="C98" s="24"/>
      <c r="D98" s="24"/>
      <c r="E98" s="24"/>
      <c r="F98" s="24"/>
      <c r="G98" s="24"/>
      <c r="H98" s="24"/>
      <c r="I98" s="168"/>
      <c r="J98" s="168"/>
      <c r="K98" s="168"/>
      <c r="L98" s="24"/>
      <c r="M98" s="24"/>
      <c r="N98" s="24"/>
      <c r="O98" s="24"/>
      <c r="P98" s="24"/>
      <c r="Q98" s="24"/>
      <c r="R98" s="24"/>
      <c r="S98" s="24"/>
      <c r="T98" s="24"/>
      <c r="U98" s="24"/>
      <c r="V98" s="24"/>
      <c r="W98" s="24"/>
      <c r="X98" s="6"/>
      <c r="Y98" s="6"/>
      <c r="Z98" s="6"/>
    </row>
    <row r="99" ht="15.75" customHeight="1">
      <c r="A99" s="24"/>
      <c r="B99" s="24"/>
      <c r="C99" s="24"/>
      <c r="D99" s="24"/>
      <c r="E99" s="24"/>
      <c r="F99" s="24"/>
      <c r="G99" s="24"/>
      <c r="H99" s="24"/>
      <c r="I99" s="168"/>
      <c r="J99" s="168"/>
      <c r="K99" s="168"/>
      <c r="L99" s="24"/>
      <c r="M99" s="24"/>
      <c r="N99" s="24"/>
      <c r="O99" s="24"/>
      <c r="P99" s="24"/>
      <c r="Q99" s="24"/>
      <c r="R99" s="24"/>
      <c r="S99" s="24"/>
      <c r="T99" s="24"/>
      <c r="U99" s="24"/>
      <c r="V99" s="24"/>
      <c r="W99" s="24"/>
      <c r="X99" s="6"/>
      <c r="Y99" s="6"/>
      <c r="Z99" s="6"/>
    </row>
    <row r="100" ht="15.75" customHeight="1">
      <c r="A100" s="24"/>
      <c r="B100" s="24"/>
      <c r="C100" s="24"/>
      <c r="D100" s="24"/>
      <c r="E100" s="24"/>
      <c r="F100" s="24"/>
      <c r="G100" s="24"/>
      <c r="H100" s="24"/>
      <c r="I100" s="168"/>
      <c r="J100" s="168"/>
      <c r="K100" s="168"/>
      <c r="L100" s="24"/>
      <c r="M100" s="24"/>
      <c r="N100" s="24"/>
      <c r="O100" s="24"/>
      <c r="P100" s="24"/>
      <c r="Q100" s="24"/>
      <c r="R100" s="24"/>
      <c r="S100" s="24"/>
      <c r="T100" s="24"/>
      <c r="U100" s="24"/>
      <c r="V100" s="24"/>
      <c r="W100" s="24"/>
      <c r="X100" s="6"/>
      <c r="Y100" s="6"/>
      <c r="Z100" s="6"/>
    </row>
    <row r="101" ht="15.75" customHeight="1">
      <c r="A101" s="24"/>
      <c r="B101" s="24"/>
      <c r="C101" s="24"/>
      <c r="D101" s="24"/>
      <c r="E101" s="24"/>
      <c r="F101" s="24"/>
      <c r="G101" s="24"/>
      <c r="H101" s="24"/>
      <c r="I101" s="168"/>
      <c r="J101" s="168"/>
      <c r="K101" s="168"/>
      <c r="L101" s="24"/>
      <c r="M101" s="24"/>
      <c r="N101" s="24"/>
      <c r="O101" s="24"/>
      <c r="P101" s="24"/>
      <c r="Q101" s="24"/>
      <c r="R101" s="24"/>
      <c r="S101" s="24"/>
      <c r="T101" s="24"/>
      <c r="U101" s="24"/>
      <c r="V101" s="24"/>
      <c r="W101" s="24"/>
      <c r="X101" s="6"/>
      <c r="Y101" s="6"/>
      <c r="Z101" s="6"/>
    </row>
    <row r="102" ht="15.75" customHeight="1">
      <c r="A102" s="24"/>
      <c r="B102" s="24"/>
      <c r="C102" s="24"/>
      <c r="D102" s="24"/>
      <c r="E102" s="24"/>
      <c r="F102" s="24"/>
      <c r="G102" s="24"/>
      <c r="H102" s="24"/>
      <c r="I102" s="168"/>
      <c r="J102" s="168"/>
      <c r="K102" s="168"/>
      <c r="L102" s="24"/>
      <c r="M102" s="24"/>
      <c r="N102" s="24"/>
      <c r="O102" s="24"/>
      <c r="P102" s="24"/>
      <c r="Q102" s="24"/>
      <c r="R102" s="24"/>
      <c r="S102" s="24"/>
      <c r="T102" s="24"/>
      <c r="U102" s="24"/>
      <c r="V102" s="24"/>
      <c r="W102" s="24"/>
      <c r="X102" s="6"/>
      <c r="Y102" s="6"/>
      <c r="Z102" s="6"/>
    </row>
    <row r="103" ht="15.75" customHeight="1">
      <c r="A103" s="24"/>
      <c r="B103" s="24"/>
      <c r="C103" s="24"/>
      <c r="D103" s="24"/>
      <c r="E103" s="24"/>
      <c r="F103" s="24"/>
      <c r="G103" s="24"/>
      <c r="H103" s="24"/>
      <c r="I103" s="168"/>
      <c r="J103" s="168"/>
      <c r="K103" s="168"/>
      <c r="L103" s="24"/>
      <c r="M103" s="24"/>
      <c r="N103" s="24"/>
      <c r="O103" s="24"/>
      <c r="P103" s="24"/>
      <c r="Q103" s="24"/>
      <c r="R103" s="24"/>
      <c r="S103" s="24"/>
      <c r="T103" s="24"/>
      <c r="U103" s="24"/>
      <c r="V103" s="24"/>
      <c r="W103" s="24"/>
      <c r="X103" s="6"/>
      <c r="Y103" s="6"/>
      <c r="Z103" s="6"/>
    </row>
    <row r="104" ht="15.75" customHeight="1">
      <c r="A104" s="24"/>
      <c r="B104" s="24"/>
      <c r="C104" s="24"/>
      <c r="D104" s="24"/>
      <c r="E104" s="24"/>
      <c r="F104" s="24"/>
      <c r="G104" s="24"/>
      <c r="H104" s="24"/>
      <c r="I104" s="168"/>
      <c r="J104" s="168"/>
      <c r="K104" s="168"/>
      <c r="L104" s="24"/>
      <c r="M104" s="24"/>
      <c r="N104" s="24"/>
      <c r="O104" s="24"/>
      <c r="P104" s="24"/>
      <c r="Q104" s="24"/>
      <c r="R104" s="24"/>
      <c r="S104" s="24"/>
      <c r="T104" s="24"/>
      <c r="U104" s="24"/>
      <c r="V104" s="24"/>
      <c r="W104" s="24"/>
      <c r="X104" s="6"/>
      <c r="Y104" s="6"/>
      <c r="Z104" s="6"/>
    </row>
    <row r="105" ht="15.75" customHeight="1">
      <c r="A105" s="24"/>
      <c r="B105" s="24"/>
      <c r="C105" s="24"/>
      <c r="D105" s="24"/>
      <c r="E105" s="24"/>
      <c r="F105" s="24"/>
      <c r="G105" s="24"/>
      <c r="H105" s="24"/>
      <c r="I105" s="168"/>
      <c r="J105" s="168"/>
      <c r="K105" s="168"/>
      <c r="L105" s="24"/>
      <c r="M105" s="24"/>
      <c r="N105" s="24"/>
      <c r="O105" s="24"/>
      <c r="P105" s="24"/>
      <c r="Q105" s="24"/>
      <c r="R105" s="24"/>
      <c r="S105" s="24"/>
      <c r="T105" s="24"/>
      <c r="U105" s="24"/>
      <c r="V105" s="24"/>
      <c r="W105" s="24"/>
      <c r="X105" s="6"/>
      <c r="Y105" s="6"/>
      <c r="Z105" s="6"/>
    </row>
    <row r="106" ht="15.75" customHeight="1">
      <c r="A106" s="24"/>
      <c r="B106" s="24"/>
      <c r="C106" s="24"/>
      <c r="D106" s="24"/>
      <c r="E106" s="24"/>
      <c r="F106" s="24"/>
      <c r="G106" s="24"/>
      <c r="H106" s="24"/>
      <c r="I106" s="168"/>
      <c r="J106" s="168"/>
      <c r="K106" s="168"/>
      <c r="L106" s="24"/>
      <c r="M106" s="24"/>
      <c r="N106" s="24"/>
      <c r="O106" s="24"/>
      <c r="P106" s="24"/>
      <c r="Q106" s="24"/>
      <c r="R106" s="24"/>
      <c r="S106" s="24"/>
      <c r="T106" s="24"/>
      <c r="U106" s="24"/>
      <c r="V106" s="24"/>
      <c r="W106" s="24"/>
      <c r="X106" s="6"/>
      <c r="Y106" s="6"/>
      <c r="Z106" s="6"/>
    </row>
    <row r="107" ht="15.75" customHeight="1">
      <c r="A107" s="24"/>
      <c r="B107" s="24"/>
      <c r="C107" s="24"/>
      <c r="D107" s="24"/>
      <c r="E107" s="24"/>
      <c r="F107" s="24"/>
      <c r="G107" s="24"/>
      <c r="H107" s="24"/>
      <c r="I107" s="168"/>
      <c r="J107" s="168"/>
      <c r="K107" s="168"/>
      <c r="L107" s="24"/>
      <c r="M107" s="24"/>
      <c r="N107" s="24"/>
      <c r="O107" s="24"/>
      <c r="P107" s="24"/>
      <c r="Q107" s="24"/>
      <c r="R107" s="24"/>
      <c r="S107" s="24"/>
      <c r="T107" s="24"/>
      <c r="U107" s="24"/>
      <c r="V107" s="24"/>
      <c r="W107" s="24"/>
      <c r="X107" s="6"/>
      <c r="Y107" s="6"/>
      <c r="Z107" s="6"/>
    </row>
    <row r="108" ht="15.75" customHeight="1">
      <c r="A108" s="24"/>
      <c r="B108" s="24"/>
      <c r="C108" s="24"/>
      <c r="D108" s="24"/>
      <c r="E108" s="24"/>
      <c r="F108" s="24"/>
      <c r="G108" s="24"/>
      <c r="H108" s="24"/>
      <c r="I108" s="168"/>
      <c r="J108" s="168"/>
      <c r="K108" s="168"/>
      <c r="L108" s="24"/>
      <c r="M108" s="24"/>
      <c r="N108" s="24"/>
      <c r="O108" s="24"/>
      <c r="P108" s="24"/>
      <c r="Q108" s="24"/>
      <c r="R108" s="24"/>
      <c r="S108" s="24"/>
      <c r="T108" s="24"/>
      <c r="U108" s="24"/>
      <c r="V108" s="24"/>
      <c r="W108" s="24"/>
      <c r="X108" s="6"/>
      <c r="Y108" s="6"/>
      <c r="Z108" s="6"/>
    </row>
    <row r="109" ht="15.75" customHeight="1">
      <c r="A109" s="24"/>
      <c r="B109" s="24"/>
      <c r="C109" s="24"/>
      <c r="D109" s="24"/>
      <c r="E109" s="24"/>
      <c r="F109" s="24"/>
      <c r="G109" s="24"/>
      <c r="H109" s="24"/>
      <c r="I109" s="168"/>
      <c r="J109" s="168"/>
      <c r="K109" s="168"/>
      <c r="L109" s="24"/>
      <c r="M109" s="24"/>
      <c r="N109" s="24"/>
      <c r="O109" s="24"/>
      <c r="P109" s="24"/>
      <c r="Q109" s="24"/>
      <c r="R109" s="24"/>
      <c r="S109" s="24"/>
      <c r="T109" s="24"/>
      <c r="U109" s="24"/>
      <c r="V109" s="24"/>
      <c r="W109" s="24"/>
      <c r="X109" s="6"/>
      <c r="Y109" s="6"/>
      <c r="Z109" s="6"/>
    </row>
    <row r="110" ht="15.75" customHeight="1">
      <c r="A110" s="24"/>
      <c r="B110" s="24"/>
      <c r="C110" s="24"/>
      <c r="D110" s="24"/>
      <c r="E110" s="24"/>
      <c r="F110" s="24"/>
      <c r="G110" s="24"/>
      <c r="H110" s="24"/>
      <c r="I110" s="168"/>
      <c r="J110" s="168"/>
      <c r="K110" s="168"/>
      <c r="L110" s="24"/>
      <c r="M110" s="24"/>
      <c r="N110" s="24"/>
      <c r="O110" s="24"/>
      <c r="P110" s="24"/>
      <c r="Q110" s="24"/>
      <c r="R110" s="24"/>
      <c r="S110" s="24"/>
      <c r="T110" s="24"/>
      <c r="U110" s="24"/>
      <c r="V110" s="24"/>
      <c r="W110" s="24"/>
      <c r="X110" s="6"/>
      <c r="Y110" s="6"/>
      <c r="Z110" s="6"/>
    </row>
    <row r="111" ht="15.75" customHeight="1">
      <c r="A111" s="24"/>
      <c r="B111" s="24"/>
      <c r="C111" s="24"/>
      <c r="D111" s="24"/>
      <c r="E111" s="24"/>
      <c r="F111" s="24"/>
      <c r="G111" s="24"/>
      <c r="H111" s="24"/>
      <c r="I111" s="168"/>
      <c r="J111" s="168"/>
      <c r="K111" s="168"/>
      <c r="L111" s="24"/>
      <c r="M111" s="24"/>
      <c r="N111" s="24"/>
      <c r="O111" s="24"/>
      <c r="P111" s="24"/>
      <c r="Q111" s="24"/>
      <c r="R111" s="24"/>
      <c r="S111" s="24"/>
      <c r="T111" s="24"/>
      <c r="U111" s="24"/>
      <c r="V111" s="24"/>
      <c r="W111" s="24"/>
      <c r="X111" s="6"/>
      <c r="Y111" s="6"/>
      <c r="Z111" s="6"/>
    </row>
    <row r="112" ht="15.75" customHeight="1">
      <c r="A112" s="24"/>
      <c r="B112" s="24"/>
      <c r="C112" s="24"/>
      <c r="D112" s="24"/>
      <c r="E112" s="24"/>
      <c r="F112" s="24"/>
      <c r="G112" s="24"/>
      <c r="H112" s="24"/>
      <c r="I112" s="168"/>
      <c r="J112" s="168"/>
      <c r="K112" s="168"/>
      <c r="L112" s="24"/>
      <c r="M112" s="24"/>
      <c r="N112" s="24"/>
      <c r="O112" s="24"/>
      <c r="P112" s="24"/>
      <c r="Q112" s="24"/>
      <c r="R112" s="24"/>
      <c r="S112" s="24"/>
      <c r="T112" s="24"/>
      <c r="U112" s="24"/>
      <c r="V112" s="24"/>
      <c r="W112" s="24"/>
      <c r="X112" s="6"/>
      <c r="Y112" s="6"/>
      <c r="Z112" s="6"/>
    </row>
    <row r="113" ht="15.75" customHeight="1">
      <c r="A113" s="24"/>
      <c r="B113" s="24"/>
      <c r="C113" s="24"/>
      <c r="D113" s="24"/>
      <c r="E113" s="24"/>
      <c r="F113" s="24"/>
      <c r="G113" s="24"/>
      <c r="H113" s="24"/>
      <c r="I113" s="168"/>
      <c r="J113" s="168"/>
      <c r="K113" s="168"/>
      <c r="L113" s="24"/>
      <c r="M113" s="24"/>
      <c r="N113" s="24"/>
      <c r="O113" s="24"/>
      <c r="P113" s="24"/>
      <c r="Q113" s="24"/>
      <c r="R113" s="24"/>
      <c r="S113" s="24"/>
      <c r="T113" s="24"/>
      <c r="U113" s="24"/>
      <c r="V113" s="24"/>
      <c r="W113" s="24"/>
      <c r="X113" s="6"/>
      <c r="Y113" s="6"/>
      <c r="Z113" s="6"/>
    </row>
    <row r="114" ht="15.75" customHeight="1">
      <c r="A114" s="24"/>
      <c r="B114" s="24"/>
      <c r="C114" s="24"/>
      <c r="D114" s="24"/>
      <c r="E114" s="24"/>
      <c r="F114" s="24"/>
      <c r="G114" s="24"/>
      <c r="H114" s="24"/>
      <c r="I114" s="168"/>
      <c r="J114" s="168"/>
      <c r="K114" s="168"/>
      <c r="L114" s="24"/>
      <c r="M114" s="24"/>
      <c r="N114" s="24"/>
      <c r="O114" s="24"/>
      <c r="P114" s="24"/>
      <c r="Q114" s="24"/>
      <c r="R114" s="24"/>
      <c r="S114" s="24"/>
      <c r="T114" s="24"/>
      <c r="U114" s="24"/>
      <c r="V114" s="24"/>
      <c r="W114" s="24"/>
      <c r="X114" s="6"/>
      <c r="Y114" s="6"/>
      <c r="Z114" s="6"/>
    </row>
    <row r="115" ht="15.75" customHeight="1">
      <c r="A115" s="24"/>
      <c r="B115" s="24"/>
      <c r="C115" s="24"/>
      <c r="D115" s="24"/>
      <c r="E115" s="24"/>
      <c r="F115" s="24"/>
      <c r="G115" s="24"/>
      <c r="H115" s="24"/>
      <c r="I115" s="168"/>
      <c r="J115" s="168"/>
      <c r="K115" s="168"/>
      <c r="L115" s="24"/>
      <c r="M115" s="24"/>
      <c r="N115" s="24"/>
      <c r="O115" s="24"/>
      <c r="P115" s="24"/>
      <c r="Q115" s="24"/>
      <c r="R115" s="24"/>
      <c r="S115" s="24"/>
      <c r="T115" s="24"/>
      <c r="U115" s="24"/>
      <c r="V115" s="24"/>
      <c r="W115" s="24"/>
      <c r="X115" s="6"/>
      <c r="Y115" s="6"/>
      <c r="Z115" s="6"/>
    </row>
    <row r="116" ht="15.75" customHeight="1">
      <c r="A116" s="24"/>
      <c r="B116" s="24"/>
      <c r="C116" s="24"/>
      <c r="D116" s="24"/>
      <c r="E116" s="24"/>
      <c r="F116" s="24"/>
      <c r="G116" s="24"/>
      <c r="H116" s="24"/>
      <c r="I116" s="168"/>
      <c r="J116" s="168"/>
      <c r="K116" s="168"/>
      <c r="L116" s="24"/>
      <c r="M116" s="24"/>
      <c r="N116" s="24"/>
      <c r="O116" s="24"/>
      <c r="P116" s="24"/>
      <c r="Q116" s="24"/>
      <c r="R116" s="24"/>
      <c r="S116" s="24"/>
      <c r="T116" s="24"/>
      <c r="U116" s="24"/>
      <c r="V116" s="24"/>
      <c r="W116" s="24"/>
      <c r="X116" s="6"/>
      <c r="Y116" s="6"/>
      <c r="Z116" s="6"/>
    </row>
    <row r="117" ht="15.75" customHeight="1">
      <c r="A117" s="24"/>
      <c r="B117" s="24"/>
      <c r="C117" s="24"/>
      <c r="D117" s="24"/>
      <c r="E117" s="24"/>
      <c r="F117" s="24"/>
      <c r="G117" s="24"/>
      <c r="H117" s="24"/>
      <c r="I117" s="168"/>
      <c r="J117" s="168"/>
      <c r="K117" s="168"/>
      <c r="L117" s="24"/>
      <c r="M117" s="24"/>
      <c r="N117" s="24"/>
      <c r="O117" s="24"/>
      <c r="P117" s="24"/>
      <c r="Q117" s="24"/>
      <c r="R117" s="24"/>
      <c r="S117" s="24"/>
      <c r="T117" s="24"/>
      <c r="U117" s="24"/>
      <c r="V117" s="24"/>
      <c r="W117" s="24"/>
      <c r="X117" s="6"/>
      <c r="Y117" s="6"/>
      <c r="Z117" s="6"/>
    </row>
    <row r="118" ht="15.75" customHeight="1">
      <c r="A118" s="24"/>
      <c r="B118" s="24"/>
      <c r="C118" s="24"/>
      <c r="D118" s="24"/>
      <c r="E118" s="24"/>
      <c r="F118" s="24"/>
      <c r="G118" s="24"/>
      <c r="H118" s="24"/>
      <c r="I118" s="168"/>
      <c r="J118" s="168"/>
      <c r="K118" s="168"/>
      <c r="L118" s="24"/>
      <c r="M118" s="24"/>
      <c r="N118" s="24"/>
      <c r="O118" s="24"/>
      <c r="P118" s="24"/>
      <c r="Q118" s="24"/>
      <c r="R118" s="24"/>
      <c r="S118" s="24"/>
      <c r="T118" s="24"/>
      <c r="U118" s="24"/>
      <c r="V118" s="24"/>
      <c r="W118" s="24"/>
      <c r="X118" s="6"/>
      <c r="Y118" s="6"/>
      <c r="Z118" s="6"/>
    </row>
    <row r="119" ht="15.75" customHeight="1">
      <c r="A119" s="24"/>
      <c r="B119" s="24"/>
      <c r="C119" s="24"/>
      <c r="D119" s="24"/>
      <c r="E119" s="24"/>
      <c r="F119" s="24"/>
      <c r="G119" s="24"/>
      <c r="H119" s="24"/>
      <c r="I119" s="168"/>
      <c r="J119" s="168"/>
      <c r="K119" s="168"/>
      <c r="L119" s="24"/>
      <c r="M119" s="24"/>
      <c r="N119" s="24"/>
      <c r="O119" s="24"/>
      <c r="P119" s="24"/>
      <c r="Q119" s="24"/>
      <c r="R119" s="24"/>
      <c r="S119" s="24"/>
      <c r="T119" s="24"/>
      <c r="U119" s="24"/>
      <c r="V119" s="24"/>
      <c r="W119" s="24"/>
      <c r="X119" s="6"/>
      <c r="Y119" s="6"/>
      <c r="Z119" s="6"/>
    </row>
    <row r="120" ht="15.75" customHeight="1">
      <c r="A120" s="24"/>
      <c r="B120" s="24"/>
      <c r="C120" s="24"/>
      <c r="D120" s="24"/>
      <c r="E120" s="24"/>
      <c r="F120" s="24"/>
      <c r="G120" s="24"/>
      <c r="H120" s="24"/>
      <c r="I120" s="168"/>
      <c r="J120" s="168"/>
      <c r="K120" s="168"/>
      <c r="L120" s="24"/>
      <c r="M120" s="24"/>
      <c r="N120" s="24"/>
      <c r="O120" s="24"/>
      <c r="P120" s="24"/>
      <c r="Q120" s="24"/>
      <c r="R120" s="24"/>
      <c r="S120" s="24"/>
      <c r="T120" s="24"/>
      <c r="U120" s="24"/>
      <c r="V120" s="24"/>
      <c r="W120" s="24"/>
      <c r="X120" s="6"/>
      <c r="Y120" s="6"/>
      <c r="Z120" s="6"/>
    </row>
    <row r="121" ht="15.75" customHeight="1">
      <c r="A121" s="24"/>
      <c r="B121" s="24"/>
      <c r="C121" s="24"/>
      <c r="D121" s="24"/>
      <c r="E121" s="24"/>
      <c r="F121" s="24"/>
      <c r="G121" s="24"/>
      <c r="H121" s="24"/>
      <c r="I121" s="168"/>
      <c r="J121" s="168"/>
      <c r="K121" s="168"/>
      <c r="L121" s="24"/>
      <c r="M121" s="24"/>
      <c r="N121" s="24"/>
      <c r="O121" s="24"/>
      <c r="P121" s="24"/>
      <c r="Q121" s="24"/>
      <c r="R121" s="24"/>
      <c r="S121" s="24"/>
      <c r="T121" s="24"/>
      <c r="U121" s="24"/>
      <c r="V121" s="24"/>
      <c r="W121" s="24"/>
      <c r="X121" s="6"/>
      <c r="Y121" s="6"/>
      <c r="Z121" s="6"/>
    </row>
    <row r="122" ht="15.75" customHeight="1">
      <c r="A122" s="24"/>
      <c r="B122" s="24"/>
      <c r="C122" s="24"/>
      <c r="D122" s="24"/>
      <c r="E122" s="24"/>
      <c r="F122" s="24"/>
      <c r="G122" s="24"/>
      <c r="H122" s="24"/>
      <c r="I122" s="168"/>
      <c r="J122" s="168"/>
      <c r="K122" s="168"/>
      <c r="L122" s="24"/>
      <c r="M122" s="24"/>
      <c r="N122" s="24"/>
      <c r="O122" s="24"/>
      <c r="P122" s="24"/>
      <c r="Q122" s="24"/>
      <c r="R122" s="24"/>
      <c r="S122" s="24"/>
      <c r="T122" s="24"/>
      <c r="U122" s="24"/>
      <c r="V122" s="24"/>
      <c r="W122" s="24"/>
      <c r="X122" s="6"/>
      <c r="Y122" s="6"/>
      <c r="Z122" s="6"/>
    </row>
    <row r="123" ht="15.75" customHeight="1">
      <c r="A123" s="24"/>
      <c r="B123" s="24"/>
      <c r="C123" s="24"/>
      <c r="D123" s="24"/>
      <c r="E123" s="24"/>
      <c r="F123" s="24"/>
      <c r="G123" s="24"/>
      <c r="H123" s="24"/>
      <c r="I123" s="168"/>
      <c r="J123" s="168"/>
      <c r="K123" s="168"/>
      <c r="L123" s="24"/>
      <c r="M123" s="24"/>
      <c r="N123" s="24"/>
      <c r="O123" s="24"/>
      <c r="P123" s="24"/>
      <c r="Q123" s="24"/>
      <c r="R123" s="24"/>
      <c r="S123" s="24"/>
      <c r="T123" s="24"/>
      <c r="U123" s="24"/>
      <c r="V123" s="24"/>
      <c r="W123" s="24"/>
      <c r="X123" s="6"/>
      <c r="Y123" s="6"/>
      <c r="Z123" s="6"/>
    </row>
    <row r="124" ht="15.75" customHeight="1">
      <c r="A124" s="24"/>
      <c r="B124" s="24"/>
      <c r="C124" s="24"/>
      <c r="D124" s="24"/>
      <c r="E124" s="24"/>
      <c r="F124" s="24"/>
      <c r="G124" s="24"/>
      <c r="H124" s="24"/>
      <c r="I124" s="168"/>
      <c r="J124" s="168"/>
      <c r="K124" s="168"/>
      <c r="L124" s="24"/>
      <c r="M124" s="24"/>
      <c r="N124" s="24"/>
      <c r="O124" s="24"/>
      <c r="P124" s="24"/>
      <c r="Q124" s="24"/>
      <c r="R124" s="24"/>
      <c r="S124" s="24"/>
      <c r="T124" s="24"/>
      <c r="U124" s="24"/>
      <c r="V124" s="24"/>
      <c r="W124" s="24"/>
      <c r="X124" s="6"/>
      <c r="Y124" s="6"/>
      <c r="Z124" s="6"/>
    </row>
    <row r="125" ht="15.75" customHeight="1">
      <c r="A125" s="24"/>
      <c r="B125" s="24"/>
      <c r="C125" s="24"/>
      <c r="D125" s="24"/>
      <c r="E125" s="24"/>
      <c r="F125" s="24"/>
      <c r="G125" s="24"/>
      <c r="H125" s="24"/>
      <c r="I125" s="168"/>
      <c r="J125" s="168"/>
      <c r="K125" s="168"/>
      <c r="L125" s="24"/>
      <c r="M125" s="24"/>
      <c r="N125" s="24"/>
      <c r="O125" s="24"/>
      <c r="P125" s="24"/>
      <c r="Q125" s="24"/>
      <c r="R125" s="24"/>
      <c r="S125" s="24"/>
      <c r="T125" s="24"/>
      <c r="U125" s="24"/>
      <c r="V125" s="24"/>
      <c r="W125" s="24"/>
      <c r="X125" s="6"/>
      <c r="Y125" s="6"/>
      <c r="Z125" s="6"/>
    </row>
    <row r="126" ht="15.75" customHeight="1">
      <c r="A126" s="24"/>
      <c r="B126" s="24"/>
      <c r="C126" s="24"/>
      <c r="D126" s="24"/>
      <c r="E126" s="24"/>
      <c r="F126" s="24"/>
      <c r="G126" s="24"/>
      <c r="H126" s="24"/>
      <c r="I126" s="168"/>
      <c r="J126" s="168"/>
      <c r="K126" s="168"/>
      <c r="L126" s="24"/>
      <c r="M126" s="24"/>
      <c r="N126" s="24"/>
      <c r="O126" s="24"/>
      <c r="P126" s="24"/>
      <c r="Q126" s="24"/>
      <c r="R126" s="24"/>
      <c r="S126" s="24"/>
      <c r="T126" s="24"/>
      <c r="U126" s="24"/>
      <c r="V126" s="24"/>
      <c r="W126" s="24"/>
      <c r="X126" s="6"/>
      <c r="Y126" s="6"/>
      <c r="Z126" s="6"/>
    </row>
    <row r="127" ht="15.75" customHeight="1">
      <c r="A127" s="24"/>
      <c r="B127" s="24"/>
      <c r="C127" s="24"/>
      <c r="D127" s="24"/>
      <c r="E127" s="24"/>
      <c r="F127" s="24"/>
      <c r="G127" s="24"/>
      <c r="H127" s="24"/>
      <c r="I127" s="168"/>
      <c r="J127" s="168"/>
      <c r="K127" s="168"/>
      <c r="L127" s="24"/>
      <c r="M127" s="24"/>
      <c r="N127" s="24"/>
      <c r="O127" s="24"/>
      <c r="P127" s="24"/>
      <c r="Q127" s="24"/>
      <c r="R127" s="24"/>
      <c r="S127" s="24"/>
      <c r="T127" s="24"/>
      <c r="U127" s="24"/>
      <c r="V127" s="24"/>
      <c r="W127" s="24"/>
      <c r="X127" s="6"/>
      <c r="Y127" s="6"/>
      <c r="Z127" s="6"/>
    </row>
    <row r="128" ht="15.75" customHeight="1">
      <c r="A128" s="24"/>
      <c r="B128" s="24"/>
      <c r="C128" s="24"/>
      <c r="D128" s="24"/>
      <c r="E128" s="24"/>
      <c r="F128" s="24"/>
      <c r="G128" s="24"/>
      <c r="H128" s="24"/>
      <c r="I128" s="168"/>
      <c r="J128" s="168"/>
      <c r="K128" s="168"/>
      <c r="L128" s="24"/>
      <c r="M128" s="24"/>
      <c r="N128" s="24"/>
      <c r="O128" s="24"/>
      <c r="P128" s="24"/>
      <c r="Q128" s="24"/>
      <c r="R128" s="24"/>
      <c r="S128" s="24"/>
      <c r="T128" s="24"/>
      <c r="U128" s="24"/>
      <c r="V128" s="24"/>
      <c r="W128" s="24"/>
      <c r="X128" s="6"/>
      <c r="Y128" s="6"/>
      <c r="Z128" s="6"/>
    </row>
    <row r="129" ht="15.75" customHeight="1">
      <c r="A129" s="24"/>
      <c r="B129" s="24"/>
      <c r="C129" s="24"/>
      <c r="D129" s="24"/>
      <c r="E129" s="24"/>
      <c r="F129" s="24"/>
      <c r="G129" s="24"/>
      <c r="H129" s="24"/>
      <c r="I129" s="168"/>
      <c r="J129" s="168"/>
      <c r="K129" s="168"/>
      <c r="L129" s="24"/>
      <c r="M129" s="24"/>
      <c r="N129" s="24"/>
      <c r="O129" s="24"/>
      <c r="P129" s="24"/>
      <c r="Q129" s="24"/>
      <c r="R129" s="24"/>
      <c r="S129" s="24"/>
      <c r="T129" s="24"/>
      <c r="U129" s="24"/>
      <c r="V129" s="24"/>
      <c r="W129" s="24"/>
      <c r="X129" s="6"/>
      <c r="Y129" s="6"/>
      <c r="Z129" s="6"/>
    </row>
    <row r="130" ht="15.75" customHeight="1">
      <c r="A130" s="24"/>
      <c r="B130" s="24"/>
      <c r="C130" s="24"/>
      <c r="D130" s="24"/>
      <c r="E130" s="24"/>
      <c r="F130" s="24"/>
      <c r="G130" s="24"/>
      <c r="H130" s="24"/>
      <c r="I130" s="168"/>
      <c r="J130" s="168"/>
      <c r="K130" s="168"/>
      <c r="L130" s="24"/>
      <c r="M130" s="24"/>
      <c r="N130" s="24"/>
      <c r="O130" s="24"/>
      <c r="P130" s="24"/>
      <c r="Q130" s="24"/>
      <c r="R130" s="24"/>
      <c r="S130" s="24"/>
      <c r="T130" s="24"/>
      <c r="U130" s="24"/>
      <c r="V130" s="24"/>
      <c r="W130" s="24"/>
      <c r="X130" s="6"/>
      <c r="Y130" s="6"/>
      <c r="Z130" s="6"/>
    </row>
    <row r="131" ht="15.75" customHeight="1">
      <c r="A131" s="24"/>
      <c r="B131" s="24"/>
      <c r="C131" s="24"/>
      <c r="D131" s="24"/>
      <c r="E131" s="24"/>
      <c r="F131" s="24"/>
      <c r="G131" s="24"/>
      <c r="H131" s="24"/>
      <c r="I131" s="168"/>
      <c r="J131" s="168"/>
      <c r="K131" s="168"/>
      <c r="L131" s="24"/>
      <c r="M131" s="24"/>
      <c r="N131" s="24"/>
      <c r="O131" s="24"/>
      <c r="P131" s="24"/>
      <c r="Q131" s="24"/>
      <c r="R131" s="24"/>
      <c r="S131" s="24"/>
      <c r="T131" s="24"/>
      <c r="U131" s="24"/>
      <c r="V131" s="24"/>
      <c r="W131" s="24"/>
      <c r="X131" s="6"/>
      <c r="Y131" s="6"/>
      <c r="Z131" s="6"/>
    </row>
    <row r="132" ht="15.75" customHeight="1">
      <c r="A132" s="24"/>
      <c r="B132" s="24"/>
      <c r="C132" s="24"/>
      <c r="D132" s="24"/>
      <c r="E132" s="24"/>
      <c r="F132" s="24"/>
      <c r="G132" s="24"/>
      <c r="H132" s="24"/>
      <c r="I132" s="168"/>
      <c r="J132" s="168"/>
      <c r="K132" s="168"/>
      <c r="L132" s="24"/>
      <c r="M132" s="24"/>
      <c r="N132" s="24"/>
      <c r="O132" s="24"/>
      <c r="P132" s="24"/>
      <c r="Q132" s="24"/>
      <c r="R132" s="24"/>
      <c r="S132" s="24"/>
      <c r="T132" s="24"/>
      <c r="U132" s="24"/>
      <c r="V132" s="24"/>
      <c r="W132" s="24"/>
      <c r="X132" s="6"/>
      <c r="Y132" s="6"/>
      <c r="Z132" s="6"/>
    </row>
    <row r="133" ht="15.75" customHeight="1">
      <c r="A133" s="24"/>
      <c r="B133" s="24"/>
      <c r="C133" s="24"/>
      <c r="D133" s="24"/>
      <c r="E133" s="24"/>
      <c r="F133" s="24"/>
      <c r="G133" s="24"/>
      <c r="H133" s="24"/>
      <c r="I133" s="168"/>
      <c r="J133" s="168"/>
      <c r="K133" s="168"/>
      <c r="L133" s="24"/>
      <c r="M133" s="24"/>
      <c r="N133" s="24"/>
      <c r="O133" s="24"/>
      <c r="P133" s="24"/>
      <c r="Q133" s="24"/>
      <c r="R133" s="24"/>
      <c r="S133" s="24"/>
      <c r="T133" s="24"/>
      <c r="U133" s="24"/>
      <c r="V133" s="24"/>
      <c r="W133" s="24"/>
      <c r="X133" s="6"/>
      <c r="Y133" s="6"/>
      <c r="Z133" s="6"/>
    </row>
    <row r="134" ht="15.75" customHeight="1">
      <c r="A134" s="24"/>
      <c r="B134" s="24"/>
      <c r="C134" s="24"/>
      <c r="D134" s="24"/>
      <c r="E134" s="24"/>
      <c r="F134" s="24"/>
      <c r="G134" s="24"/>
      <c r="H134" s="24"/>
      <c r="I134" s="168"/>
      <c r="J134" s="168"/>
      <c r="K134" s="168"/>
      <c r="L134" s="24"/>
      <c r="M134" s="24"/>
      <c r="N134" s="24"/>
      <c r="O134" s="24"/>
      <c r="P134" s="24"/>
      <c r="Q134" s="24"/>
      <c r="R134" s="24"/>
      <c r="S134" s="24"/>
      <c r="T134" s="24"/>
      <c r="U134" s="24"/>
      <c r="V134" s="24"/>
      <c r="W134" s="24"/>
      <c r="X134" s="6"/>
      <c r="Y134" s="6"/>
      <c r="Z134" s="6"/>
    </row>
    <row r="135" ht="15.75" customHeight="1">
      <c r="A135" s="24"/>
      <c r="B135" s="24"/>
      <c r="C135" s="24"/>
      <c r="D135" s="24"/>
      <c r="E135" s="24"/>
      <c r="F135" s="24"/>
      <c r="G135" s="24"/>
      <c r="H135" s="24"/>
      <c r="I135" s="168"/>
      <c r="J135" s="168"/>
      <c r="K135" s="168"/>
      <c r="L135" s="24"/>
      <c r="M135" s="24"/>
      <c r="N135" s="24"/>
      <c r="O135" s="24"/>
      <c r="P135" s="24"/>
      <c r="Q135" s="24"/>
      <c r="R135" s="24"/>
      <c r="S135" s="24"/>
      <c r="T135" s="24"/>
      <c r="U135" s="24"/>
      <c r="V135" s="24"/>
      <c r="W135" s="24"/>
      <c r="X135" s="6"/>
      <c r="Y135" s="6"/>
      <c r="Z135" s="6"/>
    </row>
    <row r="136" ht="15.75" customHeight="1">
      <c r="A136" s="24"/>
      <c r="B136" s="24"/>
      <c r="C136" s="24"/>
      <c r="D136" s="24"/>
      <c r="E136" s="24"/>
      <c r="F136" s="24"/>
      <c r="G136" s="24"/>
      <c r="H136" s="24"/>
      <c r="I136" s="168"/>
      <c r="J136" s="168"/>
      <c r="K136" s="168"/>
      <c r="L136" s="24"/>
      <c r="M136" s="24"/>
      <c r="N136" s="24"/>
      <c r="O136" s="24"/>
      <c r="P136" s="24"/>
      <c r="Q136" s="24"/>
      <c r="R136" s="24"/>
      <c r="S136" s="24"/>
      <c r="T136" s="24"/>
      <c r="U136" s="24"/>
      <c r="V136" s="24"/>
      <c r="W136" s="24"/>
      <c r="X136" s="6"/>
      <c r="Y136" s="6"/>
      <c r="Z136" s="6"/>
    </row>
    <row r="137" ht="15.75" customHeight="1">
      <c r="A137" s="24"/>
      <c r="B137" s="24"/>
      <c r="C137" s="24"/>
      <c r="D137" s="24"/>
      <c r="E137" s="24"/>
      <c r="F137" s="24"/>
      <c r="G137" s="24"/>
      <c r="H137" s="24"/>
      <c r="I137" s="168"/>
      <c r="J137" s="168"/>
      <c r="K137" s="168"/>
      <c r="L137" s="24"/>
      <c r="M137" s="24"/>
      <c r="N137" s="24"/>
      <c r="O137" s="24"/>
      <c r="P137" s="24"/>
      <c r="Q137" s="24"/>
      <c r="R137" s="24"/>
      <c r="S137" s="24"/>
      <c r="T137" s="24"/>
      <c r="U137" s="24"/>
      <c r="V137" s="24"/>
      <c r="W137" s="24"/>
      <c r="X137" s="6"/>
      <c r="Y137" s="6"/>
      <c r="Z137" s="6"/>
    </row>
    <row r="138" ht="15.75" customHeight="1">
      <c r="A138" s="24"/>
      <c r="B138" s="24"/>
      <c r="C138" s="24"/>
      <c r="D138" s="24"/>
      <c r="E138" s="24"/>
      <c r="F138" s="24"/>
      <c r="G138" s="24"/>
      <c r="H138" s="24"/>
      <c r="I138" s="168"/>
      <c r="J138" s="168"/>
      <c r="K138" s="168"/>
      <c r="L138" s="24"/>
      <c r="M138" s="24"/>
      <c r="N138" s="24"/>
      <c r="O138" s="24"/>
      <c r="P138" s="24"/>
      <c r="Q138" s="24"/>
      <c r="R138" s="24"/>
      <c r="S138" s="24"/>
      <c r="T138" s="24"/>
      <c r="U138" s="24"/>
      <c r="V138" s="24"/>
      <c r="W138" s="24"/>
      <c r="X138" s="6"/>
      <c r="Y138" s="6"/>
      <c r="Z138" s="6"/>
    </row>
    <row r="139" ht="15.75" customHeight="1">
      <c r="A139" s="24"/>
      <c r="B139" s="24"/>
      <c r="C139" s="24"/>
      <c r="D139" s="24"/>
      <c r="E139" s="24"/>
      <c r="F139" s="24"/>
      <c r="G139" s="24"/>
      <c r="H139" s="24"/>
      <c r="I139" s="168"/>
      <c r="J139" s="168"/>
      <c r="K139" s="168"/>
      <c r="L139" s="24"/>
      <c r="M139" s="24"/>
      <c r="N139" s="24"/>
      <c r="O139" s="24"/>
      <c r="P139" s="24"/>
      <c r="Q139" s="24"/>
      <c r="R139" s="24"/>
      <c r="S139" s="24"/>
      <c r="T139" s="24"/>
      <c r="U139" s="24"/>
      <c r="V139" s="24"/>
      <c r="W139" s="24"/>
      <c r="X139" s="6"/>
      <c r="Y139" s="6"/>
      <c r="Z139" s="6"/>
    </row>
    <row r="140" ht="15.75" customHeight="1">
      <c r="A140" s="24"/>
      <c r="B140" s="24"/>
      <c r="C140" s="24"/>
      <c r="D140" s="24"/>
      <c r="E140" s="24"/>
      <c r="F140" s="24"/>
      <c r="G140" s="24"/>
      <c r="H140" s="24"/>
      <c r="I140" s="168"/>
      <c r="J140" s="168"/>
      <c r="K140" s="168"/>
      <c r="L140" s="24"/>
      <c r="M140" s="24"/>
      <c r="N140" s="24"/>
      <c r="O140" s="24"/>
      <c r="P140" s="24"/>
      <c r="Q140" s="24"/>
      <c r="R140" s="24"/>
      <c r="S140" s="24"/>
      <c r="T140" s="24"/>
      <c r="U140" s="24"/>
      <c r="V140" s="24"/>
      <c r="W140" s="24"/>
      <c r="X140" s="6"/>
      <c r="Y140" s="6"/>
      <c r="Z140" s="6"/>
    </row>
    <row r="141" ht="15.75" customHeight="1">
      <c r="A141" s="24"/>
      <c r="B141" s="24"/>
      <c r="C141" s="24"/>
      <c r="D141" s="24"/>
      <c r="E141" s="24"/>
      <c r="F141" s="24"/>
      <c r="G141" s="24"/>
      <c r="H141" s="24"/>
      <c r="I141" s="168"/>
      <c r="J141" s="168"/>
      <c r="K141" s="168"/>
      <c r="L141" s="24"/>
      <c r="M141" s="24"/>
      <c r="N141" s="24"/>
      <c r="O141" s="24"/>
      <c r="P141" s="24"/>
      <c r="Q141" s="24"/>
      <c r="R141" s="24"/>
      <c r="S141" s="24"/>
      <c r="T141" s="24"/>
      <c r="U141" s="24"/>
      <c r="V141" s="24"/>
      <c r="W141" s="24"/>
      <c r="X141" s="6"/>
      <c r="Y141" s="6"/>
      <c r="Z141" s="6"/>
    </row>
    <row r="142" ht="15.75" customHeight="1">
      <c r="A142" s="24"/>
      <c r="B142" s="24"/>
      <c r="C142" s="24"/>
      <c r="D142" s="24"/>
      <c r="E142" s="24"/>
      <c r="F142" s="24"/>
      <c r="G142" s="24"/>
      <c r="H142" s="24"/>
      <c r="I142" s="168"/>
      <c r="J142" s="168"/>
      <c r="K142" s="168"/>
      <c r="L142" s="24"/>
      <c r="M142" s="24"/>
      <c r="N142" s="24"/>
      <c r="O142" s="24"/>
      <c r="P142" s="24"/>
      <c r="Q142" s="24"/>
      <c r="R142" s="24"/>
      <c r="S142" s="24"/>
      <c r="T142" s="24"/>
      <c r="U142" s="24"/>
      <c r="V142" s="24"/>
      <c r="W142" s="24"/>
      <c r="X142" s="6"/>
      <c r="Y142" s="6"/>
      <c r="Z142" s="6"/>
    </row>
    <row r="143" ht="15.75" customHeight="1">
      <c r="A143" s="24"/>
      <c r="B143" s="24"/>
      <c r="C143" s="24"/>
      <c r="D143" s="24"/>
      <c r="E143" s="24"/>
      <c r="F143" s="24"/>
      <c r="G143" s="24"/>
      <c r="H143" s="24"/>
      <c r="I143" s="168"/>
      <c r="J143" s="168"/>
      <c r="K143" s="168"/>
      <c r="L143" s="24"/>
      <c r="M143" s="24"/>
      <c r="N143" s="24"/>
      <c r="O143" s="24"/>
      <c r="P143" s="24"/>
      <c r="Q143" s="24"/>
      <c r="R143" s="24"/>
      <c r="S143" s="24"/>
      <c r="T143" s="24"/>
      <c r="U143" s="24"/>
      <c r="V143" s="24"/>
      <c r="W143" s="24"/>
      <c r="X143" s="6"/>
      <c r="Y143" s="6"/>
      <c r="Z143" s="6"/>
    </row>
    <row r="144" ht="15.75" customHeight="1">
      <c r="A144" s="24"/>
      <c r="B144" s="24"/>
      <c r="C144" s="24"/>
      <c r="D144" s="24"/>
      <c r="E144" s="24"/>
      <c r="F144" s="24"/>
      <c r="G144" s="24"/>
      <c r="H144" s="24"/>
      <c r="I144" s="168"/>
      <c r="J144" s="168"/>
      <c r="K144" s="168"/>
      <c r="L144" s="24"/>
      <c r="M144" s="24"/>
      <c r="N144" s="24"/>
      <c r="O144" s="24"/>
      <c r="P144" s="24"/>
      <c r="Q144" s="24"/>
      <c r="R144" s="24"/>
      <c r="S144" s="24"/>
      <c r="T144" s="24"/>
      <c r="U144" s="24"/>
      <c r="V144" s="24"/>
      <c r="W144" s="24"/>
      <c r="X144" s="6"/>
      <c r="Y144" s="6"/>
      <c r="Z144" s="6"/>
    </row>
    <row r="145" ht="15.75" customHeight="1">
      <c r="A145" s="24"/>
      <c r="B145" s="24"/>
      <c r="C145" s="24"/>
      <c r="D145" s="24"/>
      <c r="E145" s="24"/>
      <c r="F145" s="24"/>
      <c r="G145" s="24"/>
      <c r="H145" s="24"/>
      <c r="I145" s="168"/>
      <c r="J145" s="168"/>
      <c r="K145" s="168"/>
      <c r="L145" s="24"/>
      <c r="M145" s="24"/>
      <c r="N145" s="24"/>
      <c r="O145" s="24"/>
      <c r="P145" s="24"/>
      <c r="Q145" s="24"/>
      <c r="R145" s="24"/>
      <c r="S145" s="24"/>
      <c r="T145" s="24"/>
      <c r="U145" s="24"/>
      <c r="V145" s="24"/>
      <c r="W145" s="24"/>
      <c r="X145" s="6"/>
      <c r="Y145" s="6"/>
      <c r="Z145" s="6"/>
    </row>
    <row r="146" ht="15.75" customHeight="1">
      <c r="A146" s="24"/>
      <c r="B146" s="24"/>
      <c r="C146" s="24"/>
      <c r="D146" s="24"/>
      <c r="E146" s="24"/>
      <c r="F146" s="24"/>
      <c r="G146" s="24"/>
      <c r="H146" s="24"/>
      <c r="I146" s="168"/>
      <c r="J146" s="168"/>
      <c r="K146" s="168"/>
      <c r="L146" s="24"/>
      <c r="M146" s="24"/>
      <c r="N146" s="24"/>
      <c r="O146" s="24"/>
      <c r="P146" s="24"/>
      <c r="Q146" s="24"/>
      <c r="R146" s="24"/>
      <c r="S146" s="24"/>
      <c r="T146" s="24"/>
      <c r="U146" s="24"/>
      <c r="V146" s="24"/>
      <c r="W146" s="24"/>
      <c r="X146" s="6"/>
      <c r="Y146" s="6"/>
      <c r="Z146" s="6"/>
    </row>
    <row r="147" ht="15.75" customHeight="1">
      <c r="A147" s="24"/>
      <c r="B147" s="24"/>
      <c r="C147" s="24"/>
      <c r="D147" s="24"/>
      <c r="E147" s="24"/>
      <c r="F147" s="24"/>
      <c r="G147" s="24"/>
      <c r="H147" s="24"/>
      <c r="I147" s="168"/>
      <c r="J147" s="168"/>
      <c r="K147" s="168"/>
      <c r="L147" s="24"/>
      <c r="M147" s="24"/>
      <c r="N147" s="24"/>
      <c r="O147" s="24"/>
      <c r="P147" s="24"/>
      <c r="Q147" s="24"/>
      <c r="R147" s="24"/>
      <c r="S147" s="24"/>
      <c r="T147" s="24"/>
      <c r="U147" s="24"/>
      <c r="V147" s="24"/>
      <c r="W147" s="24"/>
      <c r="X147" s="6"/>
      <c r="Y147" s="6"/>
      <c r="Z147" s="6"/>
    </row>
    <row r="148" ht="15.75" customHeight="1">
      <c r="A148" s="24"/>
      <c r="B148" s="24"/>
      <c r="C148" s="24"/>
      <c r="D148" s="24"/>
      <c r="E148" s="24"/>
      <c r="F148" s="24"/>
      <c r="G148" s="24"/>
      <c r="H148" s="24"/>
      <c r="I148" s="168"/>
      <c r="J148" s="168"/>
      <c r="K148" s="168"/>
      <c r="L148" s="24"/>
      <c r="M148" s="24"/>
      <c r="N148" s="24"/>
      <c r="O148" s="24"/>
      <c r="P148" s="24"/>
      <c r="Q148" s="24"/>
      <c r="R148" s="24"/>
      <c r="S148" s="24"/>
      <c r="T148" s="24"/>
      <c r="U148" s="24"/>
      <c r="V148" s="24"/>
      <c r="W148" s="24"/>
      <c r="X148" s="6"/>
      <c r="Y148" s="6"/>
      <c r="Z148" s="6"/>
    </row>
    <row r="149" ht="15.75" customHeight="1">
      <c r="A149" s="24"/>
      <c r="B149" s="24"/>
      <c r="C149" s="24"/>
      <c r="D149" s="24"/>
      <c r="E149" s="24"/>
      <c r="F149" s="24"/>
      <c r="G149" s="24"/>
      <c r="H149" s="24"/>
      <c r="I149" s="168"/>
      <c r="J149" s="168"/>
      <c r="K149" s="168"/>
      <c r="L149" s="24"/>
      <c r="M149" s="24"/>
      <c r="N149" s="24"/>
      <c r="O149" s="24"/>
      <c r="P149" s="24"/>
      <c r="Q149" s="24"/>
      <c r="R149" s="24"/>
      <c r="S149" s="24"/>
      <c r="T149" s="24"/>
      <c r="U149" s="24"/>
      <c r="V149" s="24"/>
      <c r="W149" s="24"/>
      <c r="X149" s="6"/>
      <c r="Y149" s="6"/>
      <c r="Z149" s="6"/>
    </row>
    <row r="150" ht="15.75" customHeight="1">
      <c r="A150" s="24"/>
      <c r="B150" s="24"/>
      <c r="C150" s="24"/>
      <c r="D150" s="24"/>
      <c r="E150" s="24"/>
      <c r="F150" s="24"/>
      <c r="G150" s="24"/>
      <c r="H150" s="24"/>
      <c r="I150" s="168"/>
      <c r="J150" s="168"/>
      <c r="K150" s="168"/>
      <c r="L150" s="24"/>
      <c r="M150" s="24"/>
      <c r="N150" s="24"/>
      <c r="O150" s="24"/>
      <c r="P150" s="24"/>
      <c r="Q150" s="24"/>
      <c r="R150" s="24"/>
      <c r="S150" s="24"/>
      <c r="T150" s="24"/>
      <c r="U150" s="24"/>
      <c r="V150" s="24"/>
      <c r="W150" s="24"/>
      <c r="X150" s="6"/>
      <c r="Y150" s="6"/>
      <c r="Z150" s="6"/>
    </row>
    <row r="151" ht="15.75" customHeight="1">
      <c r="A151" s="24"/>
      <c r="B151" s="24"/>
      <c r="C151" s="24"/>
      <c r="D151" s="24"/>
      <c r="E151" s="24"/>
      <c r="F151" s="24"/>
      <c r="G151" s="24"/>
      <c r="H151" s="24"/>
      <c r="I151" s="168"/>
      <c r="J151" s="168"/>
      <c r="K151" s="168"/>
      <c r="L151" s="24"/>
      <c r="M151" s="24"/>
      <c r="N151" s="24"/>
      <c r="O151" s="24"/>
      <c r="P151" s="24"/>
      <c r="Q151" s="24"/>
      <c r="R151" s="24"/>
      <c r="S151" s="24"/>
      <c r="T151" s="24"/>
      <c r="U151" s="24"/>
      <c r="V151" s="24"/>
      <c r="W151" s="24"/>
      <c r="X151" s="6"/>
      <c r="Y151" s="6"/>
      <c r="Z151" s="6"/>
    </row>
    <row r="152" ht="15.75" customHeight="1">
      <c r="A152" s="24"/>
      <c r="B152" s="24"/>
      <c r="C152" s="24"/>
      <c r="D152" s="24"/>
      <c r="E152" s="24"/>
      <c r="F152" s="24"/>
      <c r="G152" s="24"/>
      <c r="H152" s="24"/>
      <c r="I152" s="168"/>
      <c r="J152" s="168"/>
      <c r="K152" s="168"/>
      <c r="L152" s="24"/>
      <c r="M152" s="24"/>
      <c r="N152" s="24"/>
      <c r="O152" s="24"/>
      <c r="P152" s="24"/>
      <c r="Q152" s="24"/>
      <c r="R152" s="24"/>
      <c r="S152" s="24"/>
      <c r="T152" s="24"/>
      <c r="U152" s="24"/>
      <c r="V152" s="24"/>
      <c r="W152" s="24"/>
      <c r="X152" s="6"/>
      <c r="Y152" s="6"/>
      <c r="Z152" s="6"/>
    </row>
    <row r="153" ht="15.75" customHeight="1">
      <c r="A153" s="24"/>
      <c r="B153" s="24"/>
      <c r="C153" s="24"/>
      <c r="D153" s="24"/>
      <c r="E153" s="24"/>
      <c r="F153" s="24"/>
      <c r="G153" s="24"/>
      <c r="H153" s="24"/>
      <c r="I153" s="168"/>
      <c r="J153" s="168"/>
      <c r="K153" s="168"/>
      <c r="L153" s="24"/>
      <c r="M153" s="24"/>
      <c r="N153" s="24"/>
      <c r="O153" s="24"/>
      <c r="P153" s="24"/>
      <c r="Q153" s="24"/>
      <c r="R153" s="24"/>
      <c r="S153" s="24"/>
      <c r="T153" s="24"/>
      <c r="U153" s="24"/>
      <c r="V153" s="24"/>
      <c r="W153" s="24"/>
      <c r="X153" s="6"/>
      <c r="Y153" s="6"/>
      <c r="Z153" s="6"/>
    </row>
    <row r="154" ht="15.75" customHeight="1">
      <c r="A154" s="24"/>
      <c r="B154" s="24"/>
      <c r="C154" s="24"/>
      <c r="D154" s="24"/>
      <c r="E154" s="24"/>
      <c r="F154" s="24"/>
      <c r="G154" s="24"/>
      <c r="H154" s="24"/>
      <c r="I154" s="168"/>
      <c r="J154" s="168"/>
      <c r="K154" s="168"/>
      <c r="L154" s="24"/>
      <c r="M154" s="24"/>
      <c r="N154" s="24"/>
      <c r="O154" s="24"/>
      <c r="P154" s="24"/>
      <c r="Q154" s="24"/>
      <c r="R154" s="24"/>
      <c r="S154" s="24"/>
      <c r="T154" s="24"/>
      <c r="U154" s="24"/>
      <c r="V154" s="24"/>
      <c r="W154" s="24"/>
      <c r="X154" s="6"/>
      <c r="Y154" s="6"/>
      <c r="Z154" s="6"/>
    </row>
    <row r="155" ht="15.75" customHeight="1">
      <c r="A155" s="24"/>
      <c r="B155" s="24"/>
      <c r="C155" s="24"/>
      <c r="D155" s="24"/>
      <c r="E155" s="24"/>
      <c r="F155" s="24"/>
      <c r="G155" s="24"/>
      <c r="H155" s="24"/>
      <c r="I155" s="168"/>
      <c r="J155" s="168"/>
      <c r="K155" s="168"/>
      <c r="L155" s="24"/>
      <c r="M155" s="24"/>
      <c r="N155" s="24"/>
      <c r="O155" s="24"/>
      <c r="P155" s="24"/>
      <c r="Q155" s="24"/>
      <c r="R155" s="24"/>
      <c r="S155" s="24"/>
      <c r="T155" s="24"/>
      <c r="U155" s="24"/>
      <c r="V155" s="24"/>
      <c r="W155" s="24"/>
      <c r="X155" s="6"/>
      <c r="Y155" s="6"/>
      <c r="Z155" s="6"/>
    </row>
    <row r="156" ht="15.75" customHeight="1">
      <c r="A156" s="24"/>
      <c r="B156" s="24"/>
      <c r="C156" s="24"/>
      <c r="D156" s="24"/>
      <c r="E156" s="24"/>
      <c r="F156" s="24"/>
      <c r="G156" s="24"/>
      <c r="H156" s="24"/>
      <c r="I156" s="168"/>
      <c r="J156" s="168"/>
      <c r="K156" s="168"/>
      <c r="L156" s="24"/>
      <c r="M156" s="24"/>
      <c r="N156" s="24"/>
      <c r="O156" s="24"/>
      <c r="P156" s="24"/>
      <c r="Q156" s="24"/>
      <c r="R156" s="24"/>
      <c r="S156" s="24"/>
      <c r="T156" s="24"/>
      <c r="U156" s="24"/>
      <c r="V156" s="24"/>
      <c r="W156" s="24"/>
      <c r="X156" s="6"/>
      <c r="Y156" s="6"/>
      <c r="Z156" s="6"/>
    </row>
    <row r="157" ht="15.75" customHeight="1">
      <c r="A157" s="24"/>
      <c r="B157" s="24"/>
      <c r="C157" s="24"/>
      <c r="D157" s="24"/>
      <c r="E157" s="24"/>
      <c r="F157" s="24"/>
      <c r="G157" s="24"/>
      <c r="H157" s="24"/>
      <c r="I157" s="168"/>
      <c r="J157" s="168"/>
      <c r="K157" s="168"/>
      <c r="L157" s="24"/>
      <c r="M157" s="24"/>
      <c r="N157" s="24"/>
      <c r="O157" s="24"/>
      <c r="P157" s="24"/>
      <c r="Q157" s="24"/>
      <c r="R157" s="24"/>
      <c r="S157" s="24"/>
      <c r="T157" s="24"/>
      <c r="U157" s="24"/>
      <c r="V157" s="24"/>
      <c r="W157" s="24"/>
      <c r="X157" s="6"/>
      <c r="Y157" s="6"/>
      <c r="Z157" s="6"/>
    </row>
    <row r="158" ht="15.75" customHeight="1">
      <c r="A158" s="24"/>
      <c r="B158" s="24"/>
      <c r="C158" s="24"/>
      <c r="D158" s="24"/>
      <c r="E158" s="24"/>
      <c r="F158" s="24"/>
      <c r="G158" s="24"/>
      <c r="H158" s="24"/>
      <c r="I158" s="168"/>
      <c r="J158" s="168"/>
      <c r="K158" s="168"/>
      <c r="L158" s="24"/>
      <c r="M158" s="24"/>
      <c r="N158" s="24"/>
      <c r="O158" s="24"/>
      <c r="P158" s="24"/>
      <c r="Q158" s="24"/>
      <c r="R158" s="24"/>
      <c r="S158" s="24"/>
      <c r="T158" s="24"/>
      <c r="U158" s="24"/>
      <c r="V158" s="24"/>
      <c r="W158" s="24"/>
      <c r="X158" s="6"/>
      <c r="Y158" s="6"/>
      <c r="Z158" s="6"/>
    </row>
    <row r="159" ht="15.75" customHeight="1">
      <c r="A159" s="24"/>
      <c r="B159" s="24"/>
      <c r="C159" s="24"/>
      <c r="D159" s="24"/>
      <c r="E159" s="24"/>
      <c r="F159" s="24"/>
      <c r="G159" s="24"/>
      <c r="H159" s="24"/>
      <c r="I159" s="168"/>
      <c r="J159" s="168"/>
      <c r="K159" s="168"/>
      <c r="L159" s="24"/>
      <c r="M159" s="24"/>
      <c r="N159" s="24"/>
      <c r="O159" s="24"/>
      <c r="P159" s="24"/>
      <c r="Q159" s="24"/>
      <c r="R159" s="24"/>
      <c r="S159" s="24"/>
      <c r="T159" s="24"/>
      <c r="U159" s="24"/>
      <c r="V159" s="24"/>
      <c r="W159" s="24"/>
      <c r="X159" s="6"/>
      <c r="Y159" s="6"/>
      <c r="Z159" s="6"/>
    </row>
    <row r="160" ht="15.75" customHeight="1">
      <c r="A160" s="24"/>
      <c r="B160" s="24"/>
      <c r="C160" s="24"/>
      <c r="D160" s="24"/>
      <c r="E160" s="24"/>
      <c r="F160" s="24"/>
      <c r="G160" s="24"/>
      <c r="H160" s="24"/>
      <c r="I160" s="168"/>
      <c r="J160" s="168"/>
      <c r="K160" s="168"/>
      <c r="L160" s="24"/>
      <c r="M160" s="24"/>
      <c r="N160" s="24"/>
      <c r="O160" s="24"/>
      <c r="P160" s="24"/>
      <c r="Q160" s="24"/>
      <c r="R160" s="24"/>
      <c r="S160" s="24"/>
      <c r="T160" s="24"/>
      <c r="U160" s="24"/>
      <c r="V160" s="24"/>
      <c r="W160" s="24"/>
      <c r="X160" s="6"/>
      <c r="Y160" s="6"/>
      <c r="Z160" s="6"/>
    </row>
    <row r="161" ht="15.75" customHeight="1">
      <c r="A161" s="24"/>
      <c r="B161" s="24"/>
      <c r="C161" s="24"/>
      <c r="D161" s="24"/>
      <c r="E161" s="24"/>
      <c r="F161" s="24"/>
      <c r="G161" s="24"/>
      <c r="H161" s="24"/>
      <c r="I161" s="168"/>
      <c r="J161" s="168"/>
      <c r="K161" s="168"/>
      <c r="L161" s="24"/>
      <c r="M161" s="24"/>
      <c r="N161" s="24"/>
      <c r="O161" s="24"/>
      <c r="P161" s="24"/>
      <c r="Q161" s="24"/>
      <c r="R161" s="24"/>
      <c r="S161" s="24"/>
      <c r="T161" s="24"/>
      <c r="U161" s="24"/>
      <c r="V161" s="24"/>
      <c r="W161" s="24"/>
      <c r="X161" s="6"/>
      <c r="Y161" s="6"/>
      <c r="Z161" s="6"/>
    </row>
    <row r="162" ht="15.75" customHeight="1">
      <c r="A162" s="24"/>
      <c r="B162" s="24"/>
      <c r="C162" s="24"/>
      <c r="D162" s="24"/>
      <c r="E162" s="24"/>
      <c r="F162" s="24"/>
      <c r="G162" s="24"/>
      <c r="H162" s="24"/>
      <c r="I162" s="168"/>
      <c r="J162" s="168"/>
      <c r="K162" s="168"/>
      <c r="L162" s="24"/>
      <c r="M162" s="24"/>
      <c r="N162" s="24"/>
      <c r="O162" s="24"/>
      <c r="P162" s="24"/>
      <c r="Q162" s="24"/>
      <c r="R162" s="24"/>
      <c r="S162" s="24"/>
      <c r="T162" s="24"/>
      <c r="U162" s="24"/>
      <c r="V162" s="24"/>
      <c r="W162" s="24"/>
      <c r="X162" s="6"/>
      <c r="Y162" s="6"/>
      <c r="Z162" s="6"/>
    </row>
    <row r="163" ht="15.75" customHeight="1">
      <c r="A163" s="24"/>
      <c r="B163" s="24"/>
      <c r="C163" s="24"/>
      <c r="D163" s="24"/>
      <c r="E163" s="24"/>
      <c r="F163" s="24"/>
      <c r="G163" s="24"/>
      <c r="H163" s="24"/>
      <c r="I163" s="168"/>
      <c r="J163" s="168"/>
      <c r="K163" s="168"/>
      <c r="L163" s="24"/>
      <c r="M163" s="24"/>
      <c r="N163" s="24"/>
      <c r="O163" s="24"/>
      <c r="P163" s="24"/>
      <c r="Q163" s="24"/>
      <c r="R163" s="24"/>
      <c r="S163" s="24"/>
      <c r="T163" s="24"/>
      <c r="U163" s="24"/>
      <c r="V163" s="24"/>
      <c r="W163" s="24"/>
      <c r="X163" s="6"/>
      <c r="Y163" s="6"/>
      <c r="Z163" s="6"/>
    </row>
    <row r="164" ht="15.75" customHeight="1">
      <c r="A164" s="24"/>
      <c r="B164" s="24"/>
      <c r="C164" s="24"/>
      <c r="D164" s="24"/>
      <c r="E164" s="24"/>
      <c r="F164" s="24"/>
      <c r="G164" s="24"/>
      <c r="H164" s="24"/>
      <c r="I164" s="168"/>
      <c r="J164" s="168"/>
      <c r="K164" s="168"/>
      <c r="L164" s="24"/>
      <c r="M164" s="24"/>
      <c r="N164" s="24"/>
      <c r="O164" s="24"/>
      <c r="P164" s="24"/>
      <c r="Q164" s="24"/>
      <c r="R164" s="24"/>
      <c r="S164" s="24"/>
      <c r="T164" s="24"/>
      <c r="U164" s="24"/>
      <c r="V164" s="24"/>
      <c r="W164" s="24"/>
      <c r="X164" s="6"/>
      <c r="Y164" s="6"/>
      <c r="Z164" s="6"/>
    </row>
    <row r="165" ht="15.75" customHeight="1">
      <c r="A165" s="24"/>
      <c r="B165" s="24"/>
      <c r="C165" s="24"/>
      <c r="D165" s="24"/>
      <c r="E165" s="24"/>
      <c r="F165" s="24"/>
      <c r="G165" s="24"/>
      <c r="H165" s="24"/>
      <c r="I165" s="168"/>
      <c r="J165" s="168"/>
      <c r="K165" s="168"/>
      <c r="L165" s="24"/>
      <c r="M165" s="24"/>
      <c r="N165" s="24"/>
      <c r="O165" s="24"/>
      <c r="P165" s="24"/>
      <c r="Q165" s="24"/>
      <c r="R165" s="24"/>
      <c r="S165" s="24"/>
      <c r="T165" s="24"/>
      <c r="U165" s="24"/>
      <c r="V165" s="24"/>
      <c r="W165" s="24"/>
      <c r="X165" s="6"/>
      <c r="Y165" s="6"/>
      <c r="Z165" s="6"/>
    </row>
    <row r="166" ht="15.75" customHeight="1">
      <c r="A166" s="24"/>
      <c r="B166" s="24"/>
      <c r="C166" s="24"/>
      <c r="D166" s="24"/>
      <c r="E166" s="24"/>
      <c r="F166" s="24"/>
      <c r="G166" s="24"/>
      <c r="H166" s="24"/>
      <c r="I166" s="168"/>
      <c r="J166" s="168"/>
      <c r="K166" s="168"/>
      <c r="L166" s="24"/>
      <c r="M166" s="24"/>
      <c r="N166" s="24"/>
      <c r="O166" s="24"/>
      <c r="P166" s="24"/>
      <c r="Q166" s="24"/>
      <c r="R166" s="24"/>
      <c r="S166" s="24"/>
      <c r="T166" s="24"/>
      <c r="U166" s="24"/>
      <c r="V166" s="24"/>
      <c r="W166" s="24"/>
      <c r="X166" s="6"/>
      <c r="Y166" s="6"/>
      <c r="Z166" s="6"/>
    </row>
    <row r="167" ht="15.75" customHeight="1">
      <c r="A167" s="24"/>
      <c r="B167" s="24"/>
      <c r="C167" s="24"/>
      <c r="D167" s="24"/>
      <c r="E167" s="24"/>
      <c r="F167" s="24"/>
      <c r="G167" s="24"/>
      <c r="H167" s="24"/>
      <c r="I167" s="168"/>
      <c r="J167" s="168"/>
      <c r="K167" s="168"/>
      <c r="L167" s="24"/>
      <c r="M167" s="24"/>
      <c r="N167" s="24"/>
      <c r="O167" s="24"/>
      <c r="P167" s="24"/>
      <c r="Q167" s="24"/>
      <c r="R167" s="24"/>
      <c r="S167" s="24"/>
      <c r="T167" s="24"/>
      <c r="U167" s="24"/>
      <c r="V167" s="24"/>
      <c r="W167" s="24"/>
      <c r="X167" s="6"/>
      <c r="Y167" s="6"/>
      <c r="Z167" s="6"/>
    </row>
    <row r="168" ht="15.75" customHeight="1">
      <c r="A168" s="24"/>
      <c r="B168" s="24"/>
      <c r="C168" s="24"/>
      <c r="D168" s="24"/>
      <c r="E168" s="24"/>
      <c r="F168" s="24"/>
      <c r="G168" s="24"/>
      <c r="H168" s="24"/>
      <c r="I168" s="168"/>
      <c r="J168" s="168"/>
      <c r="K168" s="168"/>
      <c r="L168" s="24"/>
      <c r="M168" s="24"/>
      <c r="N168" s="24"/>
      <c r="O168" s="24"/>
      <c r="P168" s="24"/>
      <c r="Q168" s="24"/>
      <c r="R168" s="24"/>
      <c r="S168" s="24"/>
      <c r="T168" s="24"/>
      <c r="U168" s="24"/>
      <c r="V168" s="24"/>
      <c r="W168" s="24"/>
      <c r="X168" s="6"/>
      <c r="Y168" s="6"/>
      <c r="Z168" s="6"/>
    </row>
    <row r="169" ht="15.75" customHeight="1">
      <c r="A169" s="24"/>
      <c r="B169" s="24"/>
      <c r="C169" s="24"/>
      <c r="D169" s="24"/>
      <c r="E169" s="24"/>
      <c r="F169" s="24"/>
      <c r="G169" s="24"/>
      <c r="H169" s="24"/>
      <c r="I169" s="168"/>
      <c r="J169" s="168"/>
      <c r="K169" s="168"/>
      <c r="L169" s="24"/>
      <c r="M169" s="24"/>
      <c r="N169" s="24"/>
      <c r="O169" s="24"/>
      <c r="P169" s="24"/>
      <c r="Q169" s="24"/>
      <c r="R169" s="24"/>
      <c r="S169" s="24"/>
      <c r="T169" s="24"/>
      <c r="U169" s="24"/>
      <c r="V169" s="24"/>
      <c r="W169" s="24"/>
      <c r="X169" s="6"/>
      <c r="Y169" s="6"/>
      <c r="Z169" s="6"/>
    </row>
    <row r="170" ht="15.75" customHeight="1">
      <c r="A170" s="24"/>
      <c r="B170" s="24"/>
      <c r="C170" s="24"/>
      <c r="D170" s="24"/>
      <c r="E170" s="24"/>
      <c r="F170" s="24"/>
      <c r="G170" s="24"/>
      <c r="H170" s="24"/>
      <c r="I170" s="168"/>
      <c r="J170" s="168"/>
      <c r="K170" s="168"/>
      <c r="L170" s="24"/>
      <c r="M170" s="24"/>
      <c r="N170" s="24"/>
      <c r="O170" s="24"/>
      <c r="P170" s="24"/>
      <c r="Q170" s="24"/>
      <c r="R170" s="24"/>
      <c r="S170" s="24"/>
      <c r="T170" s="24"/>
      <c r="U170" s="24"/>
      <c r="V170" s="24"/>
      <c r="W170" s="24"/>
      <c r="X170" s="6"/>
      <c r="Y170" s="6"/>
      <c r="Z170" s="6"/>
    </row>
    <row r="171" ht="15.75" customHeight="1">
      <c r="A171" s="24"/>
      <c r="B171" s="24"/>
      <c r="C171" s="24"/>
      <c r="D171" s="24"/>
      <c r="E171" s="24"/>
      <c r="F171" s="24"/>
      <c r="G171" s="24"/>
      <c r="H171" s="24"/>
      <c r="I171" s="168"/>
      <c r="J171" s="168"/>
      <c r="K171" s="168"/>
      <c r="L171" s="24"/>
      <c r="M171" s="24"/>
      <c r="N171" s="24"/>
      <c r="O171" s="24"/>
      <c r="P171" s="24"/>
      <c r="Q171" s="24"/>
      <c r="R171" s="24"/>
      <c r="S171" s="24"/>
      <c r="T171" s="24"/>
      <c r="U171" s="24"/>
      <c r="V171" s="24"/>
      <c r="W171" s="24"/>
      <c r="X171" s="6"/>
      <c r="Y171" s="6"/>
      <c r="Z171" s="6"/>
    </row>
    <row r="172" ht="15.75" customHeight="1">
      <c r="A172" s="24"/>
      <c r="B172" s="24"/>
      <c r="C172" s="24"/>
      <c r="D172" s="24"/>
      <c r="E172" s="24"/>
      <c r="F172" s="24"/>
      <c r="G172" s="24"/>
      <c r="H172" s="24"/>
      <c r="I172" s="168"/>
      <c r="J172" s="168"/>
      <c r="K172" s="168"/>
      <c r="L172" s="24"/>
      <c r="M172" s="24"/>
      <c r="N172" s="24"/>
      <c r="O172" s="24"/>
      <c r="P172" s="24"/>
      <c r="Q172" s="24"/>
      <c r="R172" s="24"/>
      <c r="S172" s="24"/>
      <c r="T172" s="24"/>
      <c r="U172" s="24"/>
      <c r="V172" s="24"/>
      <c r="W172" s="24"/>
      <c r="X172" s="6"/>
      <c r="Y172" s="6"/>
      <c r="Z172" s="6"/>
    </row>
    <row r="173" ht="15.75" customHeight="1">
      <c r="A173" s="24"/>
      <c r="B173" s="24"/>
      <c r="C173" s="24"/>
      <c r="D173" s="24"/>
      <c r="E173" s="24"/>
      <c r="F173" s="24"/>
      <c r="G173" s="24"/>
      <c r="H173" s="24"/>
      <c r="I173" s="168"/>
      <c r="J173" s="168"/>
      <c r="K173" s="168"/>
      <c r="L173" s="24"/>
      <c r="M173" s="24"/>
      <c r="N173" s="24"/>
      <c r="O173" s="24"/>
      <c r="P173" s="24"/>
      <c r="Q173" s="24"/>
      <c r="R173" s="24"/>
      <c r="S173" s="24"/>
      <c r="T173" s="24"/>
      <c r="U173" s="24"/>
      <c r="V173" s="24"/>
      <c r="W173" s="24"/>
      <c r="X173" s="6"/>
      <c r="Y173" s="6"/>
      <c r="Z173" s="6"/>
    </row>
    <row r="174" ht="15.75" customHeight="1">
      <c r="A174" s="24"/>
      <c r="B174" s="24"/>
      <c r="C174" s="24"/>
      <c r="D174" s="24"/>
      <c r="E174" s="24"/>
      <c r="F174" s="24"/>
      <c r="G174" s="24"/>
      <c r="H174" s="24"/>
      <c r="I174" s="168"/>
      <c r="J174" s="168"/>
      <c r="K174" s="168"/>
      <c r="L174" s="24"/>
      <c r="M174" s="24"/>
      <c r="N174" s="24"/>
      <c r="O174" s="24"/>
      <c r="P174" s="24"/>
      <c r="Q174" s="24"/>
      <c r="R174" s="24"/>
      <c r="S174" s="24"/>
      <c r="T174" s="24"/>
      <c r="U174" s="24"/>
      <c r="V174" s="24"/>
      <c r="W174" s="24"/>
      <c r="X174" s="6"/>
      <c r="Y174" s="6"/>
      <c r="Z174" s="6"/>
    </row>
    <row r="175" ht="15.75" customHeight="1">
      <c r="A175" s="24"/>
      <c r="B175" s="24"/>
      <c r="C175" s="24"/>
      <c r="D175" s="24"/>
      <c r="E175" s="24"/>
      <c r="F175" s="24"/>
      <c r="G175" s="24"/>
      <c r="H175" s="24"/>
      <c r="I175" s="168"/>
      <c r="J175" s="168"/>
      <c r="K175" s="168"/>
      <c r="L175" s="24"/>
      <c r="M175" s="24"/>
      <c r="N175" s="24"/>
      <c r="O175" s="24"/>
      <c r="P175" s="24"/>
      <c r="Q175" s="24"/>
      <c r="R175" s="24"/>
      <c r="S175" s="24"/>
      <c r="T175" s="24"/>
      <c r="U175" s="24"/>
      <c r="V175" s="24"/>
      <c r="W175" s="24"/>
      <c r="X175" s="6"/>
      <c r="Y175" s="6"/>
      <c r="Z175" s="6"/>
    </row>
    <row r="176" ht="15.75" customHeight="1">
      <c r="A176" s="24"/>
      <c r="B176" s="24"/>
      <c r="C176" s="24"/>
      <c r="D176" s="24"/>
      <c r="E176" s="24"/>
      <c r="F176" s="24"/>
      <c r="G176" s="24"/>
      <c r="H176" s="24"/>
      <c r="I176" s="168"/>
      <c r="J176" s="168"/>
      <c r="K176" s="168"/>
      <c r="L176" s="24"/>
      <c r="M176" s="24"/>
      <c r="N176" s="24"/>
      <c r="O176" s="24"/>
      <c r="P176" s="24"/>
      <c r="Q176" s="24"/>
      <c r="R176" s="24"/>
      <c r="S176" s="24"/>
      <c r="T176" s="24"/>
      <c r="U176" s="24"/>
      <c r="V176" s="24"/>
      <c r="W176" s="24"/>
      <c r="X176" s="6"/>
      <c r="Y176" s="6"/>
      <c r="Z176" s="6"/>
    </row>
    <row r="177" ht="15.75" customHeight="1">
      <c r="A177" s="24"/>
      <c r="B177" s="24"/>
      <c r="C177" s="24"/>
      <c r="D177" s="24"/>
      <c r="E177" s="24"/>
      <c r="F177" s="24"/>
      <c r="G177" s="24"/>
      <c r="H177" s="24"/>
      <c r="I177" s="168"/>
      <c r="J177" s="168"/>
      <c r="K177" s="168"/>
      <c r="L177" s="24"/>
      <c r="M177" s="24"/>
      <c r="N177" s="24"/>
      <c r="O177" s="24"/>
      <c r="P177" s="24"/>
      <c r="Q177" s="24"/>
      <c r="R177" s="24"/>
      <c r="S177" s="24"/>
      <c r="T177" s="24"/>
      <c r="U177" s="24"/>
      <c r="V177" s="24"/>
      <c r="W177" s="24"/>
      <c r="X177" s="6"/>
      <c r="Y177" s="6"/>
      <c r="Z177" s="6"/>
    </row>
    <row r="178" ht="15.75" customHeight="1">
      <c r="A178" s="24"/>
      <c r="B178" s="24"/>
      <c r="C178" s="24"/>
      <c r="D178" s="24"/>
      <c r="E178" s="24"/>
      <c r="F178" s="24"/>
      <c r="G178" s="24"/>
      <c r="H178" s="24"/>
      <c r="I178" s="168"/>
      <c r="J178" s="168"/>
      <c r="K178" s="168"/>
      <c r="L178" s="24"/>
      <c r="M178" s="24"/>
      <c r="N178" s="24"/>
      <c r="O178" s="24"/>
      <c r="P178" s="24"/>
      <c r="Q178" s="24"/>
      <c r="R178" s="24"/>
      <c r="S178" s="24"/>
      <c r="T178" s="24"/>
      <c r="U178" s="24"/>
      <c r="V178" s="24"/>
      <c r="W178" s="24"/>
      <c r="X178" s="6"/>
      <c r="Y178" s="6"/>
      <c r="Z178" s="6"/>
    </row>
    <row r="179" ht="15.75" customHeight="1">
      <c r="A179" s="24"/>
      <c r="B179" s="24"/>
      <c r="C179" s="24"/>
      <c r="D179" s="24"/>
      <c r="E179" s="24"/>
      <c r="F179" s="24"/>
      <c r="G179" s="24"/>
      <c r="H179" s="24"/>
      <c r="I179" s="168"/>
      <c r="J179" s="168"/>
      <c r="K179" s="168"/>
      <c r="L179" s="24"/>
      <c r="M179" s="24"/>
      <c r="N179" s="24"/>
      <c r="O179" s="24"/>
      <c r="P179" s="24"/>
      <c r="Q179" s="24"/>
      <c r="R179" s="24"/>
      <c r="S179" s="24"/>
      <c r="T179" s="24"/>
      <c r="U179" s="24"/>
      <c r="V179" s="24"/>
      <c r="W179" s="24"/>
      <c r="X179" s="6"/>
      <c r="Y179" s="6"/>
      <c r="Z179" s="6"/>
    </row>
    <row r="180" ht="15.75" customHeight="1">
      <c r="A180" s="24"/>
      <c r="B180" s="24"/>
      <c r="C180" s="24"/>
      <c r="D180" s="24"/>
      <c r="E180" s="24"/>
      <c r="F180" s="24"/>
      <c r="G180" s="24"/>
      <c r="H180" s="24"/>
      <c r="I180" s="168"/>
      <c r="J180" s="168"/>
      <c r="K180" s="168"/>
      <c r="L180" s="24"/>
      <c r="M180" s="24"/>
      <c r="N180" s="24"/>
      <c r="O180" s="24"/>
      <c r="P180" s="24"/>
      <c r="Q180" s="24"/>
      <c r="R180" s="24"/>
      <c r="S180" s="24"/>
      <c r="T180" s="24"/>
      <c r="U180" s="24"/>
      <c r="V180" s="24"/>
      <c r="W180" s="24"/>
      <c r="X180" s="6"/>
      <c r="Y180" s="6"/>
      <c r="Z180" s="6"/>
    </row>
    <row r="181" ht="15.75" customHeight="1">
      <c r="A181" s="24"/>
      <c r="B181" s="24"/>
      <c r="C181" s="24"/>
      <c r="D181" s="24"/>
      <c r="E181" s="24"/>
      <c r="F181" s="24"/>
      <c r="G181" s="24"/>
      <c r="H181" s="24"/>
      <c r="I181" s="168"/>
      <c r="J181" s="168"/>
      <c r="K181" s="168"/>
      <c r="L181" s="24"/>
      <c r="M181" s="24"/>
      <c r="N181" s="24"/>
      <c r="O181" s="24"/>
      <c r="P181" s="24"/>
      <c r="Q181" s="24"/>
      <c r="R181" s="24"/>
      <c r="S181" s="24"/>
      <c r="T181" s="24"/>
      <c r="U181" s="24"/>
      <c r="V181" s="24"/>
      <c r="W181" s="24"/>
      <c r="X181" s="6"/>
      <c r="Y181" s="6"/>
      <c r="Z181" s="6"/>
    </row>
    <row r="182" ht="15.75" customHeight="1">
      <c r="A182" s="24"/>
      <c r="B182" s="24"/>
      <c r="C182" s="24"/>
      <c r="D182" s="24"/>
      <c r="E182" s="24"/>
      <c r="F182" s="24"/>
      <c r="G182" s="24"/>
      <c r="H182" s="24"/>
      <c r="I182" s="168"/>
      <c r="J182" s="168"/>
      <c r="K182" s="168"/>
      <c r="L182" s="24"/>
      <c r="M182" s="24"/>
      <c r="N182" s="24"/>
      <c r="O182" s="24"/>
      <c r="P182" s="24"/>
      <c r="Q182" s="24"/>
      <c r="R182" s="24"/>
      <c r="S182" s="24"/>
      <c r="T182" s="24"/>
      <c r="U182" s="24"/>
      <c r="V182" s="24"/>
      <c r="W182" s="24"/>
      <c r="X182" s="6"/>
      <c r="Y182" s="6"/>
      <c r="Z182" s="6"/>
    </row>
    <row r="183" ht="15.75" customHeight="1">
      <c r="A183" s="24"/>
      <c r="B183" s="24"/>
      <c r="C183" s="24"/>
      <c r="D183" s="24"/>
      <c r="E183" s="24"/>
      <c r="F183" s="24"/>
      <c r="G183" s="24"/>
      <c r="H183" s="24"/>
      <c r="I183" s="168"/>
      <c r="J183" s="168"/>
      <c r="K183" s="168"/>
      <c r="L183" s="24"/>
      <c r="M183" s="24"/>
      <c r="N183" s="24"/>
      <c r="O183" s="24"/>
      <c r="P183" s="24"/>
      <c r="Q183" s="24"/>
      <c r="R183" s="24"/>
      <c r="S183" s="24"/>
      <c r="T183" s="24"/>
      <c r="U183" s="24"/>
      <c r="V183" s="24"/>
      <c r="W183" s="24"/>
      <c r="X183" s="6"/>
      <c r="Y183" s="6"/>
      <c r="Z183" s="6"/>
    </row>
    <row r="184" ht="15.75" customHeight="1">
      <c r="A184" s="24"/>
      <c r="B184" s="24"/>
      <c r="C184" s="24"/>
      <c r="D184" s="24"/>
      <c r="E184" s="24"/>
      <c r="F184" s="24"/>
      <c r="G184" s="24"/>
      <c r="H184" s="24"/>
      <c r="I184" s="168"/>
      <c r="J184" s="168"/>
      <c r="K184" s="168"/>
      <c r="L184" s="24"/>
      <c r="M184" s="24"/>
      <c r="N184" s="24"/>
      <c r="O184" s="24"/>
      <c r="P184" s="24"/>
      <c r="Q184" s="24"/>
      <c r="R184" s="24"/>
      <c r="S184" s="24"/>
      <c r="T184" s="24"/>
      <c r="U184" s="24"/>
      <c r="V184" s="24"/>
      <c r="W184" s="24"/>
      <c r="X184" s="6"/>
      <c r="Y184" s="6"/>
      <c r="Z184" s="6"/>
    </row>
    <row r="185" ht="15.75" customHeight="1">
      <c r="A185" s="24"/>
      <c r="B185" s="24"/>
      <c r="C185" s="24"/>
      <c r="D185" s="24"/>
      <c r="E185" s="24"/>
      <c r="F185" s="24"/>
      <c r="G185" s="24"/>
      <c r="H185" s="24"/>
      <c r="I185" s="168"/>
      <c r="J185" s="168"/>
      <c r="K185" s="168"/>
      <c r="L185" s="24"/>
      <c r="M185" s="24"/>
      <c r="N185" s="24"/>
      <c r="O185" s="24"/>
      <c r="P185" s="24"/>
      <c r="Q185" s="24"/>
      <c r="R185" s="24"/>
      <c r="S185" s="24"/>
      <c r="T185" s="24"/>
      <c r="U185" s="24"/>
      <c r="V185" s="24"/>
      <c r="W185" s="24"/>
      <c r="X185" s="6"/>
      <c r="Y185" s="6"/>
      <c r="Z185" s="6"/>
    </row>
    <row r="186" ht="15.75" customHeight="1">
      <c r="A186" s="24"/>
      <c r="B186" s="24"/>
      <c r="C186" s="24"/>
      <c r="D186" s="24"/>
      <c r="E186" s="24"/>
      <c r="F186" s="24"/>
      <c r="G186" s="24"/>
      <c r="H186" s="24"/>
      <c r="I186" s="168"/>
      <c r="J186" s="168"/>
      <c r="K186" s="168"/>
      <c r="L186" s="24"/>
      <c r="M186" s="24"/>
      <c r="N186" s="24"/>
      <c r="O186" s="24"/>
      <c r="P186" s="24"/>
      <c r="Q186" s="24"/>
      <c r="R186" s="24"/>
      <c r="S186" s="24"/>
      <c r="T186" s="24"/>
      <c r="U186" s="24"/>
      <c r="V186" s="24"/>
      <c r="W186" s="24"/>
      <c r="X186" s="6"/>
      <c r="Y186" s="6"/>
      <c r="Z186" s="6"/>
    </row>
    <row r="187" ht="15.75" customHeight="1">
      <c r="A187" s="24"/>
      <c r="B187" s="24"/>
      <c r="C187" s="24"/>
      <c r="D187" s="24"/>
      <c r="E187" s="24"/>
      <c r="F187" s="24"/>
      <c r="G187" s="24"/>
      <c r="H187" s="24"/>
      <c r="I187" s="168"/>
      <c r="J187" s="168"/>
      <c r="K187" s="168"/>
      <c r="L187" s="24"/>
      <c r="M187" s="24"/>
      <c r="N187" s="24"/>
      <c r="O187" s="24"/>
      <c r="P187" s="24"/>
      <c r="Q187" s="24"/>
      <c r="R187" s="24"/>
      <c r="S187" s="24"/>
      <c r="T187" s="24"/>
      <c r="U187" s="24"/>
      <c r="V187" s="24"/>
      <c r="W187" s="24"/>
      <c r="X187" s="6"/>
      <c r="Y187" s="6"/>
      <c r="Z187" s="6"/>
    </row>
    <row r="188" ht="15.75" customHeight="1">
      <c r="A188" s="24"/>
      <c r="B188" s="24"/>
      <c r="C188" s="24"/>
      <c r="D188" s="24"/>
      <c r="E188" s="24"/>
      <c r="F188" s="24"/>
      <c r="G188" s="24"/>
      <c r="H188" s="24"/>
      <c r="I188" s="168"/>
      <c r="J188" s="168"/>
      <c r="K188" s="168"/>
      <c r="L188" s="24"/>
      <c r="M188" s="24"/>
      <c r="N188" s="24"/>
      <c r="O188" s="24"/>
      <c r="P188" s="24"/>
      <c r="Q188" s="24"/>
      <c r="R188" s="24"/>
      <c r="S188" s="24"/>
      <c r="T188" s="24"/>
      <c r="U188" s="24"/>
      <c r="V188" s="24"/>
      <c r="W188" s="24"/>
      <c r="X188" s="6"/>
      <c r="Y188" s="6"/>
      <c r="Z188" s="6"/>
    </row>
    <row r="189" ht="15.75" customHeight="1">
      <c r="A189" s="24"/>
      <c r="B189" s="24"/>
      <c r="C189" s="24"/>
      <c r="D189" s="24"/>
      <c r="E189" s="24"/>
      <c r="F189" s="24"/>
      <c r="G189" s="24"/>
      <c r="H189" s="24"/>
      <c r="I189" s="168"/>
      <c r="J189" s="168"/>
      <c r="K189" s="168"/>
      <c r="L189" s="24"/>
      <c r="M189" s="24"/>
      <c r="N189" s="24"/>
      <c r="O189" s="24"/>
      <c r="P189" s="24"/>
      <c r="Q189" s="24"/>
      <c r="R189" s="24"/>
      <c r="S189" s="24"/>
      <c r="T189" s="24"/>
      <c r="U189" s="24"/>
      <c r="V189" s="24"/>
      <c r="W189" s="24"/>
      <c r="X189" s="6"/>
      <c r="Y189" s="6"/>
      <c r="Z189" s="6"/>
    </row>
    <row r="190" ht="15.75" customHeight="1">
      <c r="A190" s="24"/>
      <c r="B190" s="24"/>
      <c r="C190" s="24"/>
      <c r="D190" s="24"/>
      <c r="E190" s="24"/>
      <c r="F190" s="24"/>
      <c r="G190" s="24"/>
      <c r="H190" s="24"/>
      <c r="I190" s="168"/>
      <c r="J190" s="168"/>
      <c r="K190" s="168"/>
      <c r="L190" s="24"/>
      <c r="M190" s="24"/>
      <c r="N190" s="24"/>
      <c r="O190" s="24"/>
      <c r="P190" s="24"/>
      <c r="Q190" s="24"/>
      <c r="R190" s="24"/>
      <c r="S190" s="24"/>
      <c r="T190" s="24"/>
      <c r="U190" s="24"/>
      <c r="V190" s="24"/>
      <c r="W190" s="24"/>
      <c r="X190" s="6"/>
      <c r="Y190" s="6"/>
      <c r="Z190" s="6"/>
    </row>
    <row r="191" ht="15.75" customHeight="1">
      <c r="A191" s="24"/>
      <c r="B191" s="24"/>
      <c r="C191" s="24"/>
      <c r="D191" s="24"/>
      <c r="E191" s="24"/>
      <c r="F191" s="24"/>
      <c r="G191" s="24"/>
      <c r="H191" s="24"/>
      <c r="I191" s="168"/>
      <c r="J191" s="168"/>
      <c r="K191" s="168"/>
      <c r="L191" s="24"/>
      <c r="M191" s="24"/>
      <c r="N191" s="24"/>
      <c r="O191" s="24"/>
      <c r="P191" s="24"/>
      <c r="Q191" s="24"/>
      <c r="R191" s="24"/>
      <c r="S191" s="24"/>
      <c r="T191" s="24"/>
      <c r="U191" s="24"/>
      <c r="V191" s="24"/>
      <c r="W191" s="24"/>
      <c r="X191" s="6"/>
      <c r="Y191" s="6"/>
      <c r="Z191" s="6"/>
    </row>
    <row r="192" ht="15.75" customHeight="1">
      <c r="A192" s="24"/>
      <c r="B192" s="24"/>
      <c r="C192" s="24"/>
      <c r="D192" s="24"/>
      <c r="E192" s="24"/>
      <c r="F192" s="24"/>
      <c r="G192" s="24"/>
      <c r="H192" s="24"/>
      <c r="I192" s="168"/>
      <c r="J192" s="168"/>
      <c r="K192" s="168"/>
      <c r="L192" s="24"/>
      <c r="M192" s="24"/>
      <c r="N192" s="24"/>
      <c r="O192" s="24"/>
      <c r="P192" s="24"/>
      <c r="Q192" s="24"/>
      <c r="R192" s="24"/>
      <c r="S192" s="24"/>
      <c r="T192" s="24"/>
      <c r="U192" s="24"/>
      <c r="V192" s="24"/>
      <c r="W192" s="24"/>
      <c r="X192" s="6"/>
      <c r="Y192" s="6"/>
      <c r="Z192" s="6"/>
    </row>
    <row r="193" ht="15.75" customHeight="1">
      <c r="A193" s="24"/>
      <c r="B193" s="24"/>
      <c r="C193" s="24"/>
      <c r="D193" s="24"/>
      <c r="E193" s="24"/>
      <c r="F193" s="24"/>
      <c r="G193" s="24"/>
      <c r="H193" s="24"/>
      <c r="I193" s="168"/>
      <c r="J193" s="168"/>
      <c r="K193" s="168"/>
      <c r="L193" s="24"/>
      <c r="M193" s="24"/>
      <c r="N193" s="24"/>
      <c r="O193" s="24"/>
      <c r="P193" s="24"/>
      <c r="Q193" s="24"/>
      <c r="R193" s="24"/>
      <c r="S193" s="24"/>
      <c r="T193" s="24"/>
      <c r="U193" s="24"/>
      <c r="V193" s="24"/>
      <c r="W193" s="24"/>
      <c r="X193" s="6"/>
      <c r="Y193" s="6"/>
      <c r="Z193" s="6"/>
    </row>
    <row r="194" ht="15.75" customHeight="1">
      <c r="A194" s="24"/>
      <c r="B194" s="24"/>
      <c r="C194" s="24"/>
      <c r="D194" s="24"/>
      <c r="E194" s="24"/>
      <c r="F194" s="24"/>
      <c r="G194" s="24"/>
      <c r="H194" s="24"/>
      <c r="I194" s="168"/>
      <c r="J194" s="168"/>
      <c r="K194" s="168"/>
      <c r="L194" s="24"/>
      <c r="M194" s="24"/>
      <c r="N194" s="24"/>
      <c r="O194" s="24"/>
      <c r="P194" s="24"/>
      <c r="Q194" s="24"/>
      <c r="R194" s="24"/>
      <c r="S194" s="24"/>
      <c r="T194" s="24"/>
      <c r="U194" s="24"/>
      <c r="V194" s="24"/>
      <c r="W194" s="24"/>
      <c r="X194" s="6"/>
      <c r="Y194" s="6"/>
      <c r="Z194" s="6"/>
    </row>
    <row r="195" ht="15.75" customHeight="1">
      <c r="A195" s="24"/>
      <c r="B195" s="24"/>
      <c r="C195" s="24"/>
      <c r="D195" s="24"/>
      <c r="E195" s="24"/>
      <c r="F195" s="24"/>
      <c r="G195" s="24"/>
      <c r="H195" s="24"/>
      <c r="I195" s="168"/>
      <c r="J195" s="168"/>
      <c r="K195" s="168"/>
      <c r="L195" s="24"/>
      <c r="M195" s="24"/>
      <c r="N195" s="24"/>
      <c r="O195" s="24"/>
      <c r="P195" s="24"/>
      <c r="Q195" s="24"/>
      <c r="R195" s="24"/>
      <c r="S195" s="24"/>
      <c r="T195" s="24"/>
      <c r="U195" s="24"/>
      <c r="V195" s="24"/>
      <c r="W195" s="24"/>
      <c r="X195" s="6"/>
      <c r="Y195" s="6"/>
      <c r="Z195" s="6"/>
    </row>
    <row r="196" ht="15.75" customHeight="1">
      <c r="A196" s="24"/>
      <c r="B196" s="24"/>
      <c r="C196" s="24"/>
      <c r="D196" s="24"/>
      <c r="E196" s="24"/>
      <c r="F196" s="24"/>
      <c r="G196" s="24"/>
      <c r="H196" s="24"/>
      <c r="I196" s="168"/>
      <c r="J196" s="168"/>
      <c r="K196" s="168"/>
      <c r="L196" s="24"/>
      <c r="M196" s="24"/>
      <c r="N196" s="24"/>
      <c r="O196" s="24"/>
      <c r="P196" s="24"/>
      <c r="Q196" s="24"/>
      <c r="R196" s="24"/>
      <c r="S196" s="24"/>
      <c r="T196" s="24"/>
      <c r="U196" s="24"/>
      <c r="V196" s="24"/>
      <c r="W196" s="24"/>
      <c r="X196" s="6"/>
      <c r="Y196" s="6"/>
      <c r="Z196" s="6"/>
    </row>
    <row r="197" ht="15.75" customHeight="1">
      <c r="A197" s="24"/>
      <c r="B197" s="24"/>
      <c r="C197" s="24"/>
      <c r="D197" s="24"/>
      <c r="E197" s="24"/>
      <c r="F197" s="24"/>
      <c r="G197" s="24"/>
      <c r="H197" s="24"/>
      <c r="I197" s="168"/>
      <c r="J197" s="168"/>
      <c r="K197" s="168"/>
      <c r="L197" s="24"/>
      <c r="M197" s="24"/>
      <c r="N197" s="24"/>
      <c r="O197" s="24"/>
      <c r="P197" s="24"/>
      <c r="Q197" s="24"/>
      <c r="R197" s="24"/>
      <c r="S197" s="24"/>
      <c r="T197" s="24"/>
      <c r="U197" s="24"/>
      <c r="V197" s="24"/>
      <c r="W197" s="24"/>
      <c r="X197" s="6"/>
      <c r="Y197" s="6"/>
      <c r="Z197" s="6"/>
    </row>
    <row r="198" ht="15.75" customHeight="1">
      <c r="A198" s="24"/>
      <c r="B198" s="24"/>
      <c r="C198" s="24"/>
      <c r="D198" s="24"/>
      <c r="E198" s="24"/>
      <c r="F198" s="24"/>
      <c r="G198" s="24"/>
      <c r="H198" s="24"/>
      <c r="I198" s="168"/>
      <c r="J198" s="168"/>
      <c r="K198" s="168"/>
      <c r="L198" s="24"/>
      <c r="M198" s="24"/>
      <c r="N198" s="24"/>
      <c r="O198" s="24"/>
      <c r="P198" s="24"/>
      <c r="Q198" s="24"/>
      <c r="R198" s="24"/>
      <c r="S198" s="24"/>
      <c r="T198" s="24"/>
      <c r="U198" s="24"/>
      <c r="V198" s="24"/>
      <c r="W198" s="24"/>
      <c r="X198" s="6"/>
      <c r="Y198" s="6"/>
      <c r="Z198" s="6"/>
    </row>
    <row r="199" ht="15.75" customHeight="1">
      <c r="A199" s="24"/>
      <c r="B199" s="24"/>
      <c r="C199" s="24"/>
      <c r="D199" s="24"/>
      <c r="E199" s="24"/>
      <c r="F199" s="24"/>
      <c r="G199" s="24"/>
      <c r="H199" s="24"/>
      <c r="I199" s="168"/>
      <c r="J199" s="168"/>
      <c r="K199" s="168"/>
      <c r="L199" s="24"/>
      <c r="M199" s="24"/>
      <c r="N199" s="24"/>
      <c r="O199" s="24"/>
      <c r="P199" s="24"/>
      <c r="Q199" s="24"/>
      <c r="R199" s="24"/>
      <c r="S199" s="24"/>
      <c r="T199" s="24"/>
      <c r="U199" s="24"/>
      <c r="V199" s="24"/>
      <c r="W199" s="24"/>
      <c r="X199" s="6"/>
      <c r="Y199" s="6"/>
      <c r="Z199" s="6"/>
    </row>
    <row r="200" ht="15.75" customHeight="1">
      <c r="A200" s="24"/>
      <c r="B200" s="24"/>
      <c r="C200" s="24"/>
      <c r="D200" s="24"/>
      <c r="E200" s="24"/>
      <c r="F200" s="24"/>
      <c r="G200" s="24"/>
      <c r="H200" s="24"/>
      <c r="I200" s="168"/>
      <c r="J200" s="168"/>
      <c r="K200" s="168"/>
      <c r="L200" s="24"/>
      <c r="M200" s="24"/>
      <c r="N200" s="24"/>
      <c r="O200" s="24"/>
      <c r="P200" s="24"/>
      <c r="Q200" s="24"/>
      <c r="R200" s="24"/>
      <c r="S200" s="24"/>
      <c r="T200" s="24"/>
      <c r="U200" s="24"/>
      <c r="V200" s="24"/>
      <c r="W200" s="24"/>
      <c r="X200" s="6"/>
      <c r="Y200" s="6"/>
      <c r="Z200" s="6"/>
    </row>
    <row r="201" ht="15.75" customHeight="1">
      <c r="A201" s="24"/>
      <c r="B201" s="24"/>
      <c r="C201" s="24"/>
      <c r="D201" s="24"/>
      <c r="E201" s="24"/>
      <c r="F201" s="24"/>
      <c r="G201" s="24"/>
      <c r="H201" s="24"/>
      <c r="I201" s="168"/>
      <c r="J201" s="168"/>
      <c r="K201" s="168"/>
      <c r="L201" s="24"/>
      <c r="M201" s="24"/>
      <c r="N201" s="24"/>
      <c r="O201" s="24"/>
      <c r="P201" s="24"/>
      <c r="Q201" s="24"/>
      <c r="R201" s="24"/>
      <c r="S201" s="24"/>
      <c r="T201" s="24"/>
      <c r="U201" s="24"/>
      <c r="V201" s="24"/>
      <c r="W201" s="24"/>
      <c r="X201" s="6"/>
      <c r="Y201" s="6"/>
      <c r="Z201" s="6"/>
    </row>
    <row r="202" ht="15.75" customHeight="1">
      <c r="A202" s="24"/>
      <c r="B202" s="24"/>
      <c r="C202" s="24"/>
      <c r="D202" s="24"/>
      <c r="E202" s="24"/>
      <c r="F202" s="24"/>
      <c r="G202" s="24"/>
      <c r="H202" s="24"/>
      <c r="I202" s="168"/>
      <c r="J202" s="168"/>
      <c r="K202" s="168"/>
      <c r="L202" s="24"/>
      <c r="M202" s="24"/>
      <c r="N202" s="24"/>
      <c r="O202" s="24"/>
      <c r="P202" s="24"/>
      <c r="Q202" s="24"/>
      <c r="R202" s="24"/>
      <c r="S202" s="24"/>
      <c r="T202" s="24"/>
      <c r="U202" s="24"/>
      <c r="V202" s="24"/>
      <c r="W202" s="24"/>
      <c r="X202" s="6"/>
      <c r="Y202" s="6"/>
      <c r="Z202" s="6"/>
    </row>
    <row r="203" ht="15.75" customHeight="1">
      <c r="A203" s="24"/>
      <c r="B203" s="24"/>
      <c r="C203" s="24"/>
      <c r="D203" s="24"/>
      <c r="E203" s="24"/>
      <c r="F203" s="24"/>
      <c r="G203" s="24"/>
      <c r="H203" s="24"/>
      <c r="I203" s="168"/>
      <c r="J203" s="168"/>
      <c r="K203" s="168"/>
      <c r="L203" s="24"/>
      <c r="M203" s="24"/>
      <c r="N203" s="24"/>
      <c r="O203" s="24"/>
      <c r="P203" s="24"/>
      <c r="Q203" s="24"/>
      <c r="R203" s="24"/>
      <c r="S203" s="24"/>
      <c r="T203" s="24"/>
      <c r="U203" s="24"/>
      <c r="V203" s="24"/>
      <c r="W203" s="24"/>
      <c r="X203" s="6"/>
      <c r="Y203" s="6"/>
      <c r="Z203" s="6"/>
    </row>
    <row r="204" ht="15.75" customHeight="1">
      <c r="A204" s="24"/>
      <c r="B204" s="24"/>
      <c r="C204" s="24"/>
      <c r="D204" s="24"/>
      <c r="E204" s="24"/>
      <c r="F204" s="24"/>
      <c r="G204" s="24"/>
      <c r="H204" s="24"/>
      <c r="I204" s="168"/>
      <c r="J204" s="168"/>
      <c r="K204" s="168"/>
      <c r="L204" s="24"/>
      <c r="M204" s="24"/>
      <c r="N204" s="24"/>
      <c r="O204" s="24"/>
      <c r="P204" s="24"/>
      <c r="Q204" s="24"/>
      <c r="R204" s="24"/>
      <c r="S204" s="24"/>
      <c r="T204" s="24"/>
      <c r="U204" s="24"/>
      <c r="V204" s="24"/>
      <c r="W204" s="24"/>
      <c r="X204" s="6"/>
      <c r="Y204" s="6"/>
      <c r="Z204" s="6"/>
    </row>
    <row r="205" ht="15.75" customHeight="1">
      <c r="A205" s="24"/>
      <c r="B205" s="24"/>
      <c r="C205" s="24"/>
      <c r="D205" s="24"/>
      <c r="E205" s="24"/>
      <c r="F205" s="24"/>
      <c r="G205" s="24"/>
      <c r="H205" s="24"/>
      <c r="I205" s="168"/>
      <c r="J205" s="168"/>
      <c r="K205" s="168"/>
      <c r="L205" s="24"/>
      <c r="M205" s="24"/>
      <c r="N205" s="24"/>
      <c r="O205" s="24"/>
      <c r="P205" s="24"/>
      <c r="Q205" s="24"/>
      <c r="R205" s="24"/>
      <c r="S205" s="24"/>
      <c r="T205" s="24"/>
      <c r="U205" s="24"/>
      <c r="V205" s="24"/>
      <c r="W205" s="24"/>
      <c r="X205" s="6"/>
      <c r="Y205" s="6"/>
      <c r="Z205" s="6"/>
    </row>
    <row r="206" ht="15.75" customHeight="1">
      <c r="A206" s="24"/>
      <c r="B206" s="24"/>
      <c r="C206" s="24"/>
      <c r="D206" s="24"/>
      <c r="E206" s="24"/>
      <c r="F206" s="24"/>
      <c r="G206" s="24"/>
      <c r="H206" s="24"/>
      <c r="I206" s="168"/>
      <c r="J206" s="168"/>
      <c r="K206" s="168"/>
      <c r="L206" s="24"/>
      <c r="M206" s="24"/>
      <c r="N206" s="24"/>
      <c r="O206" s="24"/>
      <c r="P206" s="24"/>
      <c r="Q206" s="24"/>
      <c r="R206" s="24"/>
      <c r="S206" s="24"/>
      <c r="T206" s="24"/>
      <c r="U206" s="24"/>
      <c r="V206" s="24"/>
      <c r="W206" s="24"/>
      <c r="X206" s="6"/>
      <c r="Y206" s="6"/>
      <c r="Z206" s="6"/>
    </row>
    <row r="207" ht="15.75" customHeight="1">
      <c r="A207" s="24"/>
      <c r="B207" s="24"/>
      <c r="C207" s="24"/>
      <c r="D207" s="24"/>
      <c r="E207" s="24"/>
      <c r="F207" s="24"/>
      <c r="G207" s="24"/>
      <c r="H207" s="24"/>
      <c r="I207" s="168"/>
      <c r="J207" s="168"/>
      <c r="K207" s="168"/>
      <c r="L207" s="24"/>
      <c r="M207" s="24"/>
      <c r="N207" s="24"/>
      <c r="O207" s="24"/>
      <c r="P207" s="24"/>
      <c r="Q207" s="24"/>
      <c r="R207" s="24"/>
      <c r="S207" s="24"/>
      <c r="T207" s="24"/>
      <c r="U207" s="24"/>
      <c r="V207" s="24"/>
      <c r="W207" s="24"/>
      <c r="X207" s="6"/>
      <c r="Y207" s="6"/>
      <c r="Z207" s="6"/>
    </row>
    <row r="208" ht="15.75" customHeight="1">
      <c r="A208" s="24"/>
      <c r="B208" s="24"/>
      <c r="C208" s="24"/>
      <c r="D208" s="24"/>
      <c r="E208" s="24"/>
      <c r="F208" s="24"/>
      <c r="G208" s="24"/>
      <c r="H208" s="24"/>
      <c r="I208" s="168"/>
      <c r="J208" s="168"/>
      <c r="K208" s="168"/>
      <c r="L208" s="24"/>
      <c r="M208" s="24"/>
      <c r="N208" s="24"/>
      <c r="O208" s="24"/>
      <c r="P208" s="24"/>
      <c r="Q208" s="24"/>
      <c r="R208" s="24"/>
      <c r="S208" s="24"/>
      <c r="T208" s="24"/>
      <c r="U208" s="24"/>
      <c r="V208" s="24"/>
      <c r="W208" s="24"/>
      <c r="X208" s="6"/>
      <c r="Y208" s="6"/>
      <c r="Z208" s="6"/>
    </row>
    <row r="209" ht="15.75" customHeight="1">
      <c r="A209" s="24"/>
      <c r="B209" s="24"/>
      <c r="C209" s="24"/>
      <c r="D209" s="24"/>
      <c r="E209" s="24"/>
      <c r="F209" s="24"/>
      <c r="G209" s="24"/>
      <c r="H209" s="24"/>
      <c r="I209" s="168"/>
      <c r="J209" s="168"/>
      <c r="K209" s="168"/>
      <c r="L209" s="24"/>
      <c r="M209" s="24"/>
      <c r="N209" s="24"/>
      <c r="O209" s="24"/>
      <c r="P209" s="24"/>
      <c r="Q209" s="24"/>
      <c r="R209" s="24"/>
      <c r="S209" s="24"/>
      <c r="T209" s="24"/>
      <c r="U209" s="24"/>
      <c r="V209" s="24"/>
      <c r="W209" s="24"/>
      <c r="X209" s="6"/>
      <c r="Y209" s="6"/>
      <c r="Z209" s="6"/>
    </row>
    <row r="210" ht="15.75" customHeight="1">
      <c r="A210" s="24"/>
      <c r="B210" s="24"/>
      <c r="C210" s="24"/>
      <c r="D210" s="24"/>
      <c r="E210" s="24"/>
      <c r="F210" s="24"/>
      <c r="G210" s="24"/>
      <c r="H210" s="24"/>
      <c r="I210" s="168"/>
      <c r="J210" s="168"/>
      <c r="K210" s="168"/>
      <c r="L210" s="24"/>
      <c r="M210" s="24"/>
      <c r="N210" s="24"/>
      <c r="O210" s="24"/>
      <c r="P210" s="24"/>
      <c r="Q210" s="24"/>
      <c r="R210" s="24"/>
      <c r="S210" s="24"/>
      <c r="T210" s="24"/>
      <c r="U210" s="24"/>
      <c r="V210" s="24"/>
      <c r="W210" s="24"/>
      <c r="X210" s="6"/>
      <c r="Y210" s="6"/>
      <c r="Z210" s="6"/>
    </row>
    <row r="211" ht="15.75" customHeight="1">
      <c r="A211" s="24"/>
      <c r="B211" s="24"/>
      <c r="C211" s="24"/>
      <c r="D211" s="24"/>
      <c r="E211" s="24"/>
      <c r="F211" s="24"/>
      <c r="G211" s="24"/>
      <c r="H211" s="24"/>
      <c r="I211" s="168"/>
      <c r="J211" s="168"/>
      <c r="K211" s="168"/>
      <c r="L211" s="24"/>
      <c r="M211" s="24"/>
      <c r="N211" s="24"/>
      <c r="O211" s="24"/>
      <c r="P211" s="24"/>
      <c r="Q211" s="24"/>
      <c r="R211" s="24"/>
      <c r="S211" s="24"/>
      <c r="T211" s="24"/>
      <c r="U211" s="24"/>
      <c r="V211" s="24"/>
      <c r="W211" s="24"/>
      <c r="X211" s="6"/>
      <c r="Y211" s="6"/>
      <c r="Z211" s="6"/>
    </row>
    <row r="212" ht="15.75" customHeight="1">
      <c r="A212" s="24"/>
      <c r="B212" s="24"/>
      <c r="C212" s="24"/>
      <c r="D212" s="24"/>
      <c r="E212" s="24"/>
      <c r="F212" s="24"/>
      <c r="G212" s="24"/>
      <c r="H212" s="24"/>
      <c r="I212" s="168"/>
      <c r="J212" s="168"/>
      <c r="K212" s="168"/>
      <c r="L212" s="24"/>
      <c r="M212" s="24"/>
      <c r="N212" s="24"/>
      <c r="O212" s="24"/>
      <c r="P212" s="24"/>
      <c r="Q212" s="24"/>
      <c r="R212" s="24"/>
      <c r="S212" s="24"/>
      <c r="T212" s="24"/>
      <c r="U212" s="24"/>
      <c r="V212" s="24"/>
      <c r="W212" s="24"/>
      <c r="X212" s="6"/>
      <c r="Y212" s="6"/>
      <c r="Z212" s="6"/>
    </row>
    <row r="213" ht="15.75" customHeight="1">
      <c r="A213" s="24"/>
      <c r="B213" s="24"/>
      <c r="C213" s="24"/>
      <c r="D213" s="24"/>
      <c r="E213" s="24"/>
      <c r="F213" s="24"/>
      <c r="G213" s="24"/>
      <c r="H213" s="24"/>
      <c r="I213" s="168"/>
      <c r="J213" s="168"/>
      <c r="K213" s="168"/>
      <c r="L213" s="24"/>
      <c r="M213" s="24"/>
      <c r="N213" s="24"/>
      <c r="O213" s="24"/>
      <c r="P213" s="24"/>
      <c r="Q213" s="24"/>
      <c r="R213" s="24"/>
      <c r="S213" s="24"/>
      <c r="T213" s="24"/>
      <c r="U213" s="24"/>
      <c r="V213" s="24"/>
      <c r="W213" s="24"/>
      <c r="X213" s="6"/>
      <c r="Y213" s="6"/>
      <c r="Z213" s="6"/>
    </row>
    <row r="214" ht="15.75" customHeight="1">
      <c r="A214" s="24"/>
      <c r="B214" s="24"/>
      <c r="C214" s="24"/>
      <c r="D214" s="24"/>
      <c r="E214" s="24"/>
      <c r="F214" s="24"/>
      <c r="G214" s="24"/>
      <c r="H214" s="24"/>
      <c r="I214" s="168"/>
      <c r="J214" s="168"/>
      <c r="K214" s="168"/>
      <c r="L214" s="24"/>
      <c r="M214" s="24"/>
      <c r="N214" s="24"/>
      <c r="O214" s="24"/>
      <c r="P214" s="24"/>
      <c r="Q214" s="24"/>
      <c r="R214" s="24"/>
      <c r="S214" s="24"/>
      <c r="T214" s="24"/>
      <c r="U214" s="24"/>
      <c r="V214" s="24"/>
      <c r="W214" s="24"/>
      <c r="X214" s="6"/>
      <c r="Y214" s="6"/>
      <c r="Z214" s="6"/>
    </row>
    <row r="215" ht="15.75" customHeight="1">
      <c r="A215" s="24"/>
      <c r="B215" s="24"/>
      <c r="C215" s="24"/>
      <c r="D215" s="24"/>
      <c r="E215" s="24"/>
      <c r="F215" s="24"/>
      <c r="G215" s="24"/>
      <c r="H215" s="24"/>
      <c r="I215" s="168"/>
      <c r="J215" s="168"/>
      <c r="K215" s="168"/>
      <c r="L215" s="24"/>
      <c r="M215" s="24"/>
      <c r="N215" s="24"/>
      <c r="O215" s="24"/>
      <c r="P215" s="24"/>
      <c r="Q215" s="24"/>
      <c r="R215" s="24"/>
      <c r="S215" s="24"/>
      <c r="T215" s="24"/>
      <c r="U215" s="24"/>
      <c r="V215" s="24"/>
      <c r="W215" s="24"/>
      <c r="X215" s="6"/>
      <c r="Y215" s="6"/>
      <c r="Z215" s="6"/>
    </row>
    <row r="216" ht="15.75" customHeight="1">
      <c r="A216" s="24"/>
      <c r="B216" s="24"/>
      <c r="C216" s="24"/>
      <c r="D216" s="24"/>
      <c r="E216" s="24"/>
      <c r="F216" s="24"/>
      <c r="G216" s="24"/>
      <c r="H216" s="24"/>
      <c r="I216" s="168"/>
      <c r="J216" s="168"/>
      <c r="K216" s="168"/>
      <c r="L216" s="24"/>
      <c r="M216" s="24"/>
      <c r="N216" s="24"/>
      <c r="O216" s="24"/>
      <c r="P216" s="24"/>
      <c r="Q216" s="24"/>
      <c r="R216" s="24"/>
      <c r="S216" s="24"/>
      <c r="T216" s="24"/>
      <c r="U216" s="24"/>
      <c r="V216" s="24"/>
      <c r="W216" s="24"/>
      <c r="X216" s="6"/>
      <c r="Y216" s="6"/>
      <c r="Z216" s="6"/>
    </row>
    <row r="217" ht="15.75" customHeight="1">
      <c r="A217" s="24"/>
      <c r="B217" s="24"/>
      <c r="C217" s="24"/>
      <c r="D217" s="24"/>
      <c r="E217" s="24"/>
      <c r="F217" s="24"/>
      <c r="G217" s="24"/>
      <c r="H217" s="24"/>
      <c r="I217" s="168"/>
      <c r="J217" s="168"/>
      <c r="K217" s="168"/>
      <c r="L217" s="24"/>
      <c r="M217" s="24"/>
      <c r="N217" s="24"/>
      <c r="O217" s="24"/>
      <c r="P217" s="24"/>
      <c r="Q217" s="24"/>
      <c r="R217" s="24"/>
      <c r="S217" s="24"/>
      <c r="T217" s="24"/>
      <c r="U217" s="24"/>
      <c r="V217" s="24"/>
      <c r="W217" s="24"/>
      <c r="X217" s="6"/>
      <c r="Y217" s="6"/>
      <c r="Z217" s="6"/>
    </row>
    <row r="218" ht="15.75" customHeight="1">
      <c r="A218" s="24"/>
      <c r="B218" s="24"/>
      <c r="C218" s="24"/>
      <c r="D218" s="24"/>
      <c r="E218" s="24"/>
      <c r="F218" s="24"/>
      <c r="G218" s="24"/>
      <c r="H218" s="24"/>
      <c r="I218" s="168"/>
      <c r="J218" s="168"/>
      <c r="K218" s="168"/>
      <c r="L218" s="24"/>
      <c r="M218" s="24"/>
      <c r="N218" s="24"/>
      <c r="O218" s="24"/>
      <c r="P218" s="24"/>
      <c r="Q218" s="24"/>
      <c r="R218" s="24"/>
      <c r="S218" s="24"/>
      <c r="T218" s="24"/>
      <c r="U218" s="24"/>
      <c r="V218" s="24"/>
      <c r="W218" s="24"/>
      <c r="X218" s="6"/>
      <c r="Y218" s="6"/>
      <c r="Z218" s="6"/>
    </row>
    <row r="219" ht="15.75" customHeight="1">
      <c r="A219" s="24"/>
      <c r="B219" s="24"/>
      <c r="C219" s="24"/>
      <c r="D219" s="24"/>
      <c r="E219" s="24"/>
      <c r="F219" s="24"/>
      <c r="G219" s="24"/>
      <c r="H219" s="24"/>
      <c r="I219" s="168"/>
      <c r="J219" s="168"/>
      <c r="K219" s="168"/>
      <c r="L219" s="24"/>
      <c r="M219" s="24"/>
      <c r="N219" s="24"/>
      <c r="O219" s="24"/>
      <c r="P219" s="24"/>
      <c r="Q219" s="24"/>
      <c r="R219" s="24"/>
      <c r="S219" s="24"/>
      <c r="T219" s="24"/>
      <c r="U219" s="24"/>
      <c r="V219" s="24"/>
      <c r="W219" s="24"/>
      <c r="X219" s="6"/>
      <c r="Y219" s="6"/>
      <c r="Z219" s="6"/>
    </row>
    <row r="220" ht="15.75" customHeight="1">
      <c r="A220" s="24"/>
      <c r="B220" s="24"/>
      <c r="C220" s="24"/>
      <c r="D220" s="24"/>
      <c r="E220" s="24"/>
      <c r="F220" s="24"/>
      <c r="G220" s="24"/>
      <c r="H220" s="24"/>
      <c r="I220" s="168"/>
      <c r="J220" s="168"/>
      <c r="K220" s="168"/>
      <c r="L220" s="24"/>
      <c r="M220" s="24"/>
      <c r="N220" s="24"/>
      <c r="O220" s="24"/>
      <c r="P220" s="24"/>
      <c r="Q220" s="24"/>
      <c r="R220" s="24"/>
      <c r="S220" s="24"/>
      <c r="T220" s="24"/>
      <c r="U220" s="24"/>
      <c r="V220" s="24"/>
      <c r="W220" s="24"/>
      <c r="X220" s="6"/>
      <c r="Y220" s="6"/>
      <c r="Z220" s="6"/>
    </row>
    <row r="221" ht="15.75" customHeight="1">
      <c r="A221" s="24"/>
      <c r="B221" s="24"/>
      <c r="C221" s="24"/>
      <c r="D221" s="24"/>
      <c r="E221" s="24"/>
      <c r="F221" s="24"/>
      <c r="G221" s="24"/>
      <c r="H221" s="24"/>
      <c r="I221" s="168"/>
      <c r="J221" s="168"/>
      <c r="K221" s="168"/>
      <c r="L221" s="24"/>
      <c r="M221" s="24"/>
      <c r="N221" s="24"/>
      <c r="O221" s="24"/>
      <c r="P221" s="24"/>
      <c r="Q221" s="24"/>
      <c r="R221" s="24"/>
      <c r="S221" s="24"/>
      <c r="T221" s="24"/>
      <c r="U221" s="24"/>
      <c r="V221" s="24"/>
      <c r="W221" s="24"/>
      <c r="X221" s="6"/>
      <c r="Y221" s="6"/>
      <c r="Z221" s="6"/>
    </row>
    <row r="222" ht="15.75" customHeight="1">
      <c r="A222" s="24"/>
      <c r="B222" s="24"/>
      <c r="C222" s="24"/>
      <c r="D222" s="24"/>
      <c r="E222" s="24"/>
      <c r="F222" s="24"/>
      <c r="G222" s="24"/>
      <c r="H222" s="24"/>
      <c r="I222" s="168"/>
      <c r="J222" s="168"/>
      <c r="K222" s="168"/>
      <c r="L222" s="24"/>
      <c r="M222" s="24"/>
      <c r="N222" s="24"/>
      <c r="O222" s="24"/>
      <c r="P222" s="24"/>
      <c r="Q222" s="24"/>
      <c r="R222" s="24"/>
      <c r="S222" s="24"/>
      <c r="T222" s="24"/>
      <c r="U222" s="24"/>
      <c r="V222" s="24"/>
      <c r="W222" s="24"/>
      <c r="X222" s="6"/>
      <c r="Y222" s="6"/>
      <c r="Z222" s="6"/>
    </row>
    <row r="223" ht="15.75" customHeight="1">
      <c r="A223" s="24"/>
      <c r="B223" s="24"/>
      <c r="C223" s="24"/>
      <c r="D223" s="24"/>
      <c r="E223" s="24"/>
      <c r="F223" s="24"/>
      <c r="G223" s="24"/>
      <c r="H223" s="24"/>
      <c r="I223" s="168"/>
      <c r="J223" s="168"/>
      <c r="K223" s="168"/>
      <c r="L223" s="24"/>
      <c r="M223" s="24"/>
      <c r="N223" s="24"/>
      <c r="O223" s="24"/>
      <c r="P223" s="24"/>
      <c r="Q223" s="24"/>
      <c r="R223" s="24"/>
      <c r="S223" s="24"/>
      <c r="T223" s="24"/>
      <c r="U223" s="24"/>
      <c r="V223" s="24"/>
      <c r="W223" s="24"/>
      <c r="X223" s="6"/>
      <c r="Y223" s="6"/>
      <c r="Z223" s="6"/>
    </row>
    <row r="224" ht="15.75" customHeight="1">
      <c r="A224" s="24"/>
      <c r="B224" s="24"/>
      <c r="C224" s="24"/>
      <c r="D224" s="24"/>
      <c r="E224" s="24"/>
      <c r="F224" s="24"/>
      <c r="G224" s="24"/>
      <c r="H224" s="24"/>
      <c r="I224" s="168"/>
      <c r="J224" s="168"/>
      <c r="K224" s="168"/>
      <c r="L224" s="24"/>
      <c r="M224" s="24"/>
      <c r="N224" s="24"/>
      <c r="O224" s="24"/>
      <c r="P224" s="24"/>
      <c r="Q224" s="24"/>
      <c r="R224" s="24"/>
      <c r="S224" s="24"/>
      <c r="T224" s="24"/>
      <c r="U224" s="24"/>
      <c r="V224" s="24"/>
      <c r="W224" s="24"/>
      <c r="X224" s="6"/>
      <c r="Y224" s="6"/>
      <c r="Z224" s="6"/>
    </row>
    <row r="225" ht="15.75" customHeight="1">
      <c r="A225" s="24"/>
      <c r="B225" s="24"/>
      <c r="C225" s="24"/>
      <c r="D225" s="24"/>
      <c r="E225" s="24"/>
      <c r="F225" s="24"/>
      <c r="G225" s="24"/>
      <c r="H225" s="24"/>
      <c r="I225" s="168"/>
      <c r="J225" s="168"/>
      <c r="K225" s="168"/>
      <c r="L225" s="24"/>
      <c r="M225" s="24"/>
      <c r="N225" s="24"/>
      <c r="O225" s="24"/>
      <c r="P225" s="24"/>
      <c r="Q225" s="24"/>
      <c r="R225" s="24"/>
      <c r="S225" s="24"/>
      <c r="T225" s="24"/>
      <c r="U225" s="24"/>
      <c r="V225" s="24"/>
      <c r="W225" s="24"/>
      <c r="X225" s="6"/>
      <c r="Y225" s="6"/>
      <c r="Z225" s="6"/>
    </row>
    <row r="226" ht="15.75" customHeight="1">
      <c r="A226" s="24"/>
      <c r="B226" s="24"/>
      <c r="C226" s="24"/>
      <c r="D226" s="24"/>
      <c r="E226" s="24"/>
      <c r="F226" s="24"/>
      <c r="G226" s="24"/>
      <c r="H226" s="24"/>
      <c r="I226" s="168"/>
      <c r="J226" s="168"/>
      <c r="K226" s="168"/>
      <c r="L226" s="24"/>
      <c r="M226" s="24"/>
      <c r="N226" s="24"/>
      <c r="O226" s="24"/>
      <c r="P226" s="24"/>
      <c r="Q226" s="24"/>
      <c r="R226" s="24"/>
      <c r="S226" s="24"/>
      <c r="T226" s="24"/>
      <c r="U226" s="24"/>
      <c r="V226" s="24"/>
      <c r="W226" s="24"/>
      <c r="X226" s="6"/>
      <c r="Y226" s="6"/>
      <c r="Z226" s="6"/>
    </row>
    <row r="227" ht="15.75" customHeight="1">
      <c r="A227" s="24"/>
      <c r="B227" s="24"/>
      <c r="C227" s="24"/>
      <c r="D227" s="24"/>
      <c r="E227" s="24"/>
      <c r="F227" s="24"/>
      <c r="G227" s="24"/>
      <c r="H227" s="24"/>
      <c r="I227" s="168"/>
      <c r="J227" s="168"/>
      <c r="K227" s="168"/>
      <c r="L227" s="24"/>
      <c r="M227" s="24"/>
      <c r="N227" s="24"/>
      <c r="O227" s="24"/>
      <c r="P227" s="24"/>
      <c r="Q227" s="24"/>
      <c r="R227" s="24"/>
      <c r="S227" s="24"/>
      <c r="T227" s="24"/>
      <c r="U227" s="24"/>
      <c r="V227" s="24"/>
      <c r="W227" s="24"/>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K2:K3"/>
    <mergeCell ref="L2:L3"/>
    <mergeCell ref="A1:B1"/>
    <mergeCell ref="A2:A3"/>
    <mergeCell ref="B2:B3"/>
    <mergeCell ref="C2:C3"/>
    <mergeCell ref="F2:F3"/>
    <mergeCell ref="G2:H2"/>
    <mergeCell ref="I2:J2"/>
  </mergeCells>
  <printOptions/>
  <pageMargins bottom="0.75" footer="0.0" header="0.0" left="0.7" right="0.7" top="0.75"/>
  <pageSetup paperSize="9" orientation="portrait"/>
  <colBreaks count="1" manualBreakCount="1">
    <brk id="3"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25"/>
    <col customWidth="1" min="2" max="2" width="6.38"/>
    <col customWidth="1" min="3" max="3" width="87.25"/>
    <col customWidth="1" min="4" max="4" width="11.38"/>
    <col customWidth="1" min="5" max="5" width="5.13"/>
    <col customWidth="1" min="6" max="6" width="9.38"/>
    <col customWidth="1" min="7" max="26" width="12.63"/>
  </cols>
  <sheetData>
    <row r="1" ht="15.75" customHeight="1">
      <c r="A1" s="169" t="s">
        <v>277</v>
      </c>
      <c r="B1" s="170"/>
      <c r="C1" s="171" t="s">
        <v>278</v>
      </c>
      <c r="D1" s="170"/>
      <c r="E1" s="170"/>
      <c r="F1" s="170"/>
      <c r="G1" s="172"/>
      <c r="H1" s="172"/>
      <c r="I1" s="173"/>
      <c r="J1" s="174"/>
      <c r="K1" s="174"/>
      <c r="L1" s="174"/>
      <c r="M1" s="174"/>
      <c r="N1" s="174"/>
      <c r="O1" s="174"/>
      <c r="P1" s="174"/>
      <c r="Q1" s="174"/>
      <c r="R1" s="174"/>
      <c r="S1" s="174"/>
      <c r="T1" s="174"/>
      <c r="U1" s="174"/>
      <c r="V1" s="174"/>
      <c r="W1" s="174"/>
      <c r="X1" s="174"/>
      <c r="Y1" s="174"/>
      <c r="Z1" s="174"/>
    </row>
    <row r="2" ht="15.75" customHeight="1">
      <c r="A2" s="175" t="s">
        <v>279</v>
      </c>
      <c r="B2" s="175" t="s">
        <v>280</v>
      </c>
      <c r="C2" s="175" t="s">
        <v>5</v>
      </c>
      <c r="D2" s="119" t="s">
        <v>281</v>
      </c>
      <c r="E2" s="175" t="s">
        <v>13</v>
      </c>
      <c r="F2" s="175" t="s">
        <v>282</v>
      </c>
      <c r="G2" s="176" t="s">
        <v>17</v>
      </c>
      <c r="H2" s="176" t="s">
        <v>283</v>
      </c>
      <c r="I2" s="119" t="s">
        <v>7</v>
      </c>
      <c r="J2" s="24"/>
      <c r="K2" s="24"/>
      <c r="L2" s="24"/>
      <c r="M2" s="24"/>
      <c r="N2" s="24"/>
      <c r="O2" s="24"/>
      <c r="P2" s="24"/>
      <c r="Q2" s="24"/>
      <c r="R2" s="24"/>
      <c r="S2" s="24"/>
      <c r="T2" s="24"/>
      <c r="U2" s="24"/>
      <c r="V2" s="24"/>
      <c r="W2" s="24"/>
      <c r="X2" s="24"/>
      <c r="Y2" s="24"/>
      <c r="Z2" s="24"/>
    </row>
    <row r="3" ht="15.75" customHeight="1">
      <c r="A3" s="29"/>
      <c r="B3" s="29"/>
      <c r="C3" s="29"/>
      <c r="D3" s="29"/>
      <c r="E3" s="29"/>
      <c r="F3" s="29"/>
      <c r="G3" s="29"/>
      <c r="H3" s="29"/>
      <c r="I3" s="29"/>
      <c r="J3" s="24"/>
      <c r="K3" s="24"/>
      <c r="L3" s="24"/>
      <c r="M3" s="24"/>
      <c r="N3" s="24"/>
      <c r="O3" s="24"/>
      <c r="P3" s="24"/>
      <c r="Q3" s="24"/>
      <c r="R3" s="24"/>
      <c r="S3" s="24"/>
      <c r="T3" s="24"/>
      <c r="U3" s="24"/>
      <c r="V3" s="24"/>
      <c r="W3" s="24"/>
      <c r="X3" s="24"/>
      <c r="Y3" s="24"/>
      <c r="Z3" s="24"/>
    </row>
    <row r="4" ht="15.75" customHeight="1">
      <c r="A4" s="142"/>
      <c r="B4" s="142"/>
      <c r="C4" s="142"/>
      <c r="D4" s="142"/>
      <c r="E4" s="142"/>
      <c r="F4" s="177"/>
      <c r="G4" s="178"/>
      <c r="H4" s="179"/>
      <c r="I4" s="133"/>
      <c r="J4" s="24"/>
      <c r="K4" s="24"/>
      <c r="L4" s="24"/>
      <c r="M4" s="24"/>
      <c r="N4" s="24"/>
      <c r="O4" s="24"/>
      <c r="P4" s="24"/>
      <c r="Q4" s="24"/>
      <c r="R4" s="24"/>
      <c r="S4" s="24"/>
      <c r="T4" s="24"/>
      <c r="U4" s="24"/>
      <c r="V4" s="24"/>
      <c r="W4" s="24"/>
      <c r="X4" s="24"/>
      <c r="Y4" s="24"/>
      <c r="Z4" s="24"/>
    </row>
    <row r="5" ht="15.75" customHeight="1">
      <c r="A5" s="142"/>
      <c r="B5" s="142"/>
      <c r="C5" s="180" t="s">
        <v>284</v>
      </c>
      <c r="D5" s="142"/>
      <c r="E5" s="142"/>
      <c r="F5" s="177"/>
      <c r="G5" s="178"/>
      <c r="H5" s="179"/>
      <c r="I5" s="133"/>
      <c r="J5" s="24"/>
      <c r="K5" s="24"/>
      <c r="L5" s="24"/>
      <c r="M5" s="24"/>
      <c r="N5" s="24"/>
      <c r="O5" s="24"/>
      <c r="P5" s="24"/>
      <c r="Q5" s="24"/>
      <c r="R5" s="24"/>
      <c r="S5" s="24"/>
      <c r="T5" s="24"/>
      <c r="U5" s="24"/>
      <c r="V5" s="24"/>
      <c r="W5" s="24"/>
      <c r="X5" s="24"/>
      <c r="Y5" s="24"/>
      <c r="Z5" s="24"/>
    </row>
    <row r="6" ht="57.0" customHeight="1">
      <c r="A6" s="142"/>
      <c r="B6" s="142"/>
      <c r="C6" s="180" t="s">
        <v>285</v>
      </c>
      <c r="D6" s="142"/>
      <c r="E6" s="142"/>
      <c r="F6" s="177"/>
      <c r="G6" s="178"/>
      <c r="H6" s="179"/>
      <c r="I6" s="133"/>
      <c r="J6" s="168">
        <f t="shared" ref="J6:J16" si="1">F6*G6</f>
        <v>0</v>
      </c>
      <c r="K6" s="24"/>
      <c r="L6" s="24"/>
      <c r="M6" s="24"/>
      <c r="N6" s="24"/>
      <c r="O6" s="24"/>
      <c r="P6" s="24"/>
      <c r="Q6" s="24"/>
      <c r="R6" s="24"/>
      <c r="S6" s="24"/>
      <c r="T6" s="24"/>
      <c r="U6" s="24"/>
      <c r="V6" s="24"/>
      <c r="W6" s="24"/>
      <c r="X6" s="24"/>
      <c r="Y6" s="24"/>
      <c r="Z6" s="24"/>
    </row>
    <row r="7" ht="15.75" customHeight="1">
      <c r="A7" s="142"/>
      <c r="B7" s="142"/>
      <c r="C7" s="142"/>
      <c r="D7" s="142"/>
      <c r="E7" s="142"/>
      <c r="F7" s="177"/>
      <c r="G7" s="178"/>
      <c r="H7" s="179"/>
      <c r="I7" s="133"/>
      <c r="J7" s="168">
        <f t="shared" si="1"/>
        <v>0</v>
      </c>
      <c r="K7" s="24"/>
      <c r="L7" s="24"/>
      <c r="M7" s="24"/>
      <c r="N7" s="24"/>
      <c r="O7" s="24"/>
      <c r="P7" s="24"/>
      <c r="Q7" s="24"/>
      <c r="R7" s="24"/>
      <c r="S7" s="24"/>
      <c r="T7" s="24"/>
      <c r="U7" s="24"/>
      <c r="V7" s="24"/>
      <c r="W7" s="24"/>
      <c r="X7" s="24"/>
      <c r="Y7" s="24"/>
      <c r="Z7" s="24"/>
    </row>
    <row r="8" ht="15.75" customHeight="1">
      <c r="A8" s="181">
        <v>1.0</v>
      </c>
      <c r="B8" s="133"/>
      <c r="C8" s="150" t="s">
        <v>286</v>
      </c>
      <c r="D8" s="133"/>
      <c r="E8" s="181" t="s">
        <v>287</v>
      </c>
      <c r="F8" s="182">
        <v>1.0</v>
      </c>
      <c r="G8" s="183"/>
      <c r="H8" s="184">
        <f t="shared" ref="H8:H16" si="2">G8*F8</f>
        <v>0</v>
      </c>
      <c r="I8" s="133"/>
      <c r="J8" s="168">
        <f t="shared" si="1"/>
        <v>0</v>
      </c>
      <c r="K8" s="24"/>
      <c r="L8" s="24"/>
      <c r="M8" s="24"/>
      <c r="N8" s="24"/>
      <c r="O8" s="24"/>
      <c r="P8" s="24"/>
      <c r="Q8" s="24"/>
      <c r="R8" s="24"/>
      <c r="S8" s="24"/>
      <c r="T8" s="24"/>
      <c r="U8" s="24"/>
      <c r="V8" s="24"/>
      <c r="W8" s="24"/>
      <c r="X8" s="24"/>
      <c r="Y8" s="24"/>
      <c r="Z8" s="24"/>
    </row>
    <row r="9" ht="15.75" customHeight="1">
      <c r="A9" s="142"/>
      <c r="B9" s="142"/>
      <c r="C9" s="146" t="s">
        <v>288</v>
      </c>
      <c r="D9" s="142"/>
      <c r="E9" s="142"/>
      <c r="F9" s="177"/>
      <c r="G9" s="183"/>
      <c r="H9" s="184">
        <f t="shared" si="2"/>
        <v>0</v>
      </c>
      <c r="I9" s="133"/>
      <c r="J9" s="168">
        <f t="shared" si="1"/>
        <v>0</v>
      </c>
      <c r="K9" s="24"/>
      <c r="L9" s="24"/>
      <c r="M9" s="24"/>
      <c r="N9" s="24"/>
      <c r="O9" s="24"/>
      <c r="P9" s="24"/>
      <c r="Q9" s="24"/>
      <c r="R9" s="24"/>
      <c r="S9" s="24"/>
      <c r="T9" s="24"/>
      <c r="U9" s="24"/>
      <c r="V9" s="24"/>
      <c r="W9" s="24"/>
      <c r="X9" s="24"/>
      <c r="Y9" s="24"/>
      <c r="Z9" s="24"/>
    </row>
    <row r="10" ht="15.75" customHeight="1">
      <c r="A10" s="142"/>
      <c r="B10" s="142"/>
      <c r="C10" s="146" t="s">
        <v>289</v>
      </c>
      <c r="D10" s="142"/>
      <c r="E10" s="142"/>
      <c r="F10" s="177"/>
      <c r="G10" s="183"/>
      <c r="H10" s="184">
        <f t="shared" si="2"/>
        <v>0</v>
      </c>
      <c r="I10" s="133"/>
      <c r="J10" s="168">
        <f t="shared" si="1"/>
        <v>0</v>
      </c>
      <c r="K10" s="24"/>
      <c r="L10" s="24"/>
      <c r="M10" s="24"/>
      <c r="N10" s="24"/>
      <c r="O10" s="24"/>
      <c r="P10" s="24"/>
      <c r="Q10" s="24"/>
      <c r="R10" s="24"/>
      <c r="S10" s="24"/>
      <c r="T10" s="24"/>
      <c r="U10" s="24"/>
      <c r="V10" s="24"/>
      <c r="W10" s="24"/>
      <c r="X10" s="24"/>
      <c r="Y10" s="24"/>
      <c r="Z10" s="24"/>
    </row>
    <row r="11" ht="15.75" customHeight="1">
      <c r="A11" s="133"/>
      <c r="B11" s="133"/>
      <c r="C11" s="133"/>
      <c r="D11" s="133"/>
      <c r="E11" s="133"/>
      <c r="F11" s="185"/>
      <c r="G11" s="183"/>
      <c r="H11" s="184">
        <f t="shared" si="2"/>
        <v>0</v>
      </c>
      <c r="I11" s="133"/>
      <c r="J11" s="168">
        <f t="shared" si="1"/>
        <v>0</v>
      </c>
      <c r="K11" s="24"/>
      <c r="L11" s="24"/>
      <c r="M11" s="24"/>
      <c r="N11" s="24"/>
      <c r="O11" s="24"/>
      <c r="P11" s="24"/>
      <c r="Q11" s="24"/>
      <c r="R11" s="24"/>
      <c r="S11" s="24"/>
      <c r="T11" s="24"/>
      <c r="U11" s="24"/>
      <c r="V11" s="24"/>
      <c r="W11" s="24"/>
      <c r="X11" s="24"/>
      <c r="Y11" s="24"/>
      <c r="Z11" s="24"/>
    </row>
    <row r="12" ht="15.75" customHeight="1">
      <c r="A12" s="181">
        <f>A8+1</f>
        <v>2</v>
      </c>
      <c r="B12" s="133"/>
      <c r="C12" s="150" t="s">
        <v>290</v>
      </c>
      <c r="D12" s="133"/>
      <c r="E12" s="181" t="s">
        <v>287</v>
      </c>
      <c r="F12" s="182">
        <v>1.0</v>
      </c>
      <c r="G12" s="183"/>
      <c r="H12" s="184">
        <f t="shared" si="2"/>
        <v>0</v>
      </c>
      <c r="I12" s="133"/>
      <c r="J12" s="168">
        <f t="shared" si="1"/>
        <v>0</v>
      </c>
      <c r="K12" s="24"/>
      <c r="L12" s="24"/>
      <c r="M12" s="24"/>
      <c r="N12" s="24"/>
      <c r="O12" s="24"/>
      <c r="P12" s="24"/>
      <c r="Q12" s="24"/>
      <c r="R12" s="24"/>
      <c r="S12" s="24"/>
      <c r="T12" s="24"/>
      <c r="U12" s="24"/>
      <c r="V12" s="24"/>
      <c r="W12" s="24"/>
      <c r="X12" s="24"/>
      <c r="Y12" s="24"/>
      <c r="Z12" s="24"/>
    </row>
    <row r="13" ht="15.75" customHeight="1">
      <c r="A13" s="142"/>
      <c r="B13" s="142"/>
      <c r="C13" s="146" t="s">
        <v>291</v>
      </c>
      <c r="D13" s="142"/>
      <c r="E13" s="142"/>
      <c r="F13" s="177"/>
      <c r="G13" s="183"/>
      <c r="H13" s="184">
        <f t="shared" si="2"/>
        <v>0</v>
      </c>
      <c r="I13" s="133"/>
      <c r="J13" s="168">
        <f t="shared" si="1"/>
        <v>0</v>
      </c>
      <c r="K13" s="24"/>
      <c r="L13" s="24"/>
      <c r="M13" s="24"/>
      <c r="N13" s="24"/>
      <c r="O13" s="24"/>
      <c r="P13" s="24"/>
      <c r="Q13" s="24"/>
      <c r="R13" s="24"/>
      <c r="S13" s="24"/>
      <c r="T13" s="24"/>
      <c r="U13" s="24"/>
      <c r="V13" s="24"/>
      <c r="W13" s="24"/>
      <c r="X13" s="24"/>
      <c r="Y13" s="24"/>
      <c r="Z13" s="24"/>
    </row>
    <row r="14" ht="15.75" customHeight="1">
      <c r="A14" s="133"/>
      <c r="B14" s="133"/>
      <c r="C14" s="133"/>
      <c r="D14" s="133"/>
      <c r="E14" s="133"/>
      <c r="F14" s="185"/>
      <c r="G14" s="183"/>
      <c r="H14" s="184">
        <f t="shared" si="2"/>
        <v>0</v>
      </c>
      <c r="I14" s="133"/>
      <c r="J14" s="168">
        <f t="shared" si="1"/>
        <v>0</v>
      </c>
      <c r="K14" s="24"/>
      <c r="L14" s="24"/>
      <c r="M14" s="24"/>
      <c r="N14" s="24"/>
      <c r="O14" s="24"/>
      <c r="P14" s="24"/>
      <c r="Q14" s="24"/>
      <c r="R14" s="24"/>
      <c r="S14" s="24"/>
      <c r="T14" s="24"/>
      <c r="U14" s="24"/>
      <c r="V14" s="24"/>
      <c r="W14" s="24"/>
      <c r="X14" s="24"/>
      <c r="Y14" s="24"/>
      <c r="Z14" s="24"/>
    </row>
    <row r="15" ht="15.75" customHeight="1">
      <c r="A15" s="181">
        <f>A12+0.01</f>
        <v>2.01</v>
      </c>
      <c r="B15" s="133"/>
      <c r="C15" s="150" t="s">
        <v>292</v>
      </c>
      <c r="D15" s="133"/>
      <c r="E15" s="181" t="s">
        <v>287</v>
      </c>
      <c r="F15" s="182">
        <v>1.0</v>
      </c>
      <c r="G15" s="183"/>
      <c r="H15" s="184">
        <f t="shared" si="2"/>
        <v>0</v>
      </c>
      <c r="I15" s="133"/>
      <c r="J15" s="168">
        <f t="shared" si="1"/>
        <v>0</v>
      </c>
      <c r="K15" s="24"/>
      <c r="L15" s="24"/>
      <c r="M15" s="24"/>
      <c r="N15" s="24"/>
      <c r="O15" s="24"/>
      <c r="P15" s="24"/>
      <c r="Q15" s="24"/>
      <c r="R15" s="24"/>
      <c r="S15" s="24"/>
      <c r="T15" s="24"/>
      <c r="U15" s="24"/>
      <c r="V15" s="24"/>
      <c r="W15" s="24"/>
      <c r="X15" s="24"/>
      <c r="Y15" s="24"/>
      <c r="Z15" s="24"/>
    </row>
    <row r="16" ht="15.75" customHeight="1">
      <c r="A16" s="142"/>
      <c r="B16" s="142"/>
      <c r="C16" s="146" t="s">
        <v>293</v>
      </c>
      <c r="D16" s="142"/>
      <c r="E16" s="142"/>
      <c r="F16" s="177"/>
      <c r="G16" s="178"/>
      <c r="H16" s="184">
        <f t="shared" si="2"/>
        <v>0</v>
      </c>
      <c r="I16" s="133"/>
      <c r="J16" s="168">
        <f t="shared" si="1"/>
        <v>0</v>
      </c>
      <c r="K16" s="24"/>
      <c r="L16" s="24"/>
      <c r="M16" s="24"/>
      <c r="N16" s="24"/>
      <c r="O16" s="24"/>
      <c r="P16" s="24"/>
      <c r="Q16" s="24"/>
      <c r="R16" s="24"/>
      <c r="S16" s="24"/>
      <c r="T16" s="24"/>
      <c r="U16" s="24"/>
      <c r="V16" s="24"/>
      <c r="W16" s="24"/>
      <c r="X16" s="24"/>
      <c r="Y16" s="24"/>
      <c r="Z16" s="24"/>
    </row>
    <row r="17" ht="15.75" customHeight="1">
      <c r="A17" s="158"/>
      <c r="B17" s="158"/>
      <c r="C17" s="158"/>
      <c r="D17" s="158"/>
      <c r="E17" s="158"/>
      <c r="F17" s="186"/>
      <c r="G17" s="187"/>
      <c r="H17" s="188"/>
      <c r="I17" s="157"/>
      <c r="J17" s="24"/>
      <c r="K17" s="24"/>
      <c r="L17" s="24"/>
      <c r="M17" s="24"/>
      <c r="N17" s="24"/>
      <c r="O17" s="24"/>
      <c r="P17" s="24"/>
      <c r="Q17" s="24"/>
      <c r="R17" s="24"/>
      <c r="S17" s="24"/>
      <c r="T17" s="24"/>
      <c r="U17" s="24"/>
      <c r="V17" s="24"/>
      <c r="W17" s="24"/>
      <c r="X17" s="24"/>
      <c r="Y17" s="24"/>
      <c r="Z17" s="24"/>
    </row>
    <row r="18" ht="15.75" customHeight="1">
      <c r="A18" s="189"/>
      <c r="B18" s="189"/>
      <c r="C18" s="190" t="s">
        <v>294</v>
      </c>
      <c r="D18" s="189"/>
      <c r="E18" s="189"/>
      <c r="F18" s="189"/>
      <c r="G18" s="191"/>
      <c r="H18" s="192">
        <f>SUM(H7:H17)</f>
        <v>0</v>
      </c>
      <c r="I18" s="189"/>
      <c r="J18" s="192">
        <f>SUM(J7:J17)</f>
        <v>0</v>
      </c>
      <c r="K18" s="24"/>
      <c r="L18" s="24"/>
      <c r="M18" s="24"/>
      <c r="N18" s="24"/>
      <c r="O18" s="24"/>
      <c r="P18" s="24"/>
      <c r="Q18" s="24"/>
      <c r="R18" s="24"/>
      <c r="S18" s="24"/>
      <c r="T18" s="24"/>
      <c r="U18" s="24"/>
      <c r="V18" s="24"/>
      <c r="W18" s="24"/>
      <c r="X18" s="24"/>
      <c r="Y18" s="24"/>
      <c r="Z18" s="24"/>
    </row>
    <row r="19" ht="15.75" customHeight="1">
      <c r="A19" s="24"/>
      <c r="B19" s="24"/>
      <c r="C19" s="24"/>
      <c r="D19" s="24"/>
      <c r="E19" s="24"/>
      <c r="F19" s="24"/>
      <c r="G19" s="193"/>
      <c r="H19" s="193"/>
      <c r="I19" s="24"/>
      <c r="J19" s="24"/>
      <c r="K19" s="24"/>
      <c r="L19" s="24"/>
      <c r="M19" s="24"/>
      <c r="N19" s="24"/>
      <c r="O19" s="24"/>
      <c r="P19" s="24"/>
      <c r="Q19" s="24"/>
      <c r="R19" s="24"/>
      <c r="S19" s="24"/>
      <c r="T19" s="24"/>
      <c r="U19" s="24"/>
      <c r="V19" s="24"/>
      <c r="W19" s="24"/>
      <c r="X19" s="24"/>
      <c r="Y19" s="24"/>
      <c r="Z19" s="24"/>
    </row>
    <row r="20" ht="15.75" customHeight="1">
      <c r="A20" s="24"/>
      <c r="B20" s="24"/>
      <c r="C20" s="24"/>
      <c r="D20" s="24"/>
      <c r="E20" s="24"/>
      <c r="F20" s="24"/>
      <c r="G20" s="193"/>
      <c r="H20" s="193"/>
      <c r="I20" s="24"/>
      <c r="J20" s="24"/>
      <c r="K20" s="24"/>
      <c r="L20" s="24"/>
      <c r="M20" s="24"/>
      <c r="N20" s="24"/>
      <c r="O20" s="24"/>
      <c r="P20" s="24"/>
      <c r="Q20" s="24"/>
      <c r="R20" s="24"/>
      <c r="S20" s="24"/>
      <c r="T20" s="24"/>
      <c r="U20" s="24"/>
      <c r="V20" s="24"/>
      <c r="W20" s="24"/>
      <c r="X20" s="24"/>
      <c r="Y20" s="24"/>
      <c r="Z20" s="24"/>
    </row>
    <row r="21" ht="15.75" customHeight="1">
      <c r="A21" s="24"/>
      <c r="B21" s="24"/>
      <c r="C21" s="24"/>
      <c r="D21" s="24"/>
      <c r="E21" s="24"/>
      <c r="F21" s="24"/>
      <c r="G21" s="193"/>
      <c r="H21" s="193"/>
      <c r="I21" s="24"/>
      <c r="J21" s="24"/>
      <c r="K21" s="24"/>
      <c r="L21" s="24"/>
      <c r="M21" s="24"/>
      <c r="N21" s="24"/>
      <c r="O21" s="24"/>
      <c r="P21" s="24"/>
      <c r="Q21" s="24"/>
      <c r="R21" s="24"/>
      <c r="S21" s="24"/>
      <c r="T21" s="24"/>
      <c r="U21" s="24"/>
      <c r="V21" s="24"/>
      <c r="W21" s="24"/>
      <c r="X21" s="24"/>
      <c r="Y21" s="24"/>
      <c r="Z21" s="24"/>
    </row>
    <row r="22" ht="15.75" customHeight="1">
      <c r="A22" s="24"/>
      <c r="B22" s="24"/>
      <c r="C22" s="24"/>
      <c r="D22" s="24"/>
      <c r="E22" s="24"/>
      <c r="F22" s="24"/>
      <c r="G22" s="193"/>
      <c r="H22" s="193"/>
      <c r="I22" s="24"/>
      <c r="J22" s="24"/>
      <c r="K22" s="24"/>
      <c r="L22" s="24"/>
      <c r="M22" s="24"/>
      <c r="N22" s="24"/>
      <c r="O22" s="24"/>
      <c r="P22" s="24"/>
      <c r="Q22" s="24"/>
      <c r="R22" s="24"/>
      <c r="S22" s="24"/>
      <c r="T22" s="24"/>
      <c r="U22" s="24"/>
      <c r="V22" s="24"/>
      <c r="W22" s="24"/>
      <c r="X22" s="24"/>
      <c r="Y22" s="24"/>
      <c r="Z22" s="24"/>
    </row>
    <row r="23" ht="15.75" customHeight="1">
      <c r="A23" s="24"/>
      <c r="B23" s="24"/>
      <c r="C23" s="24"/>
      <c r="D23" s="24"/>
      <c r="E23" s="24"/>
      <c r="F23" s="24"/>
      <c r="G23" s="193"/>
      <c r="H23" s="193"/>
      <c r="I23" s="24"/>
      <c r="J23" s="24"/>
      <c r="K23" s="24"/>
      <c r="L23" s="24"/>
      <c r="M23" s="24"/>
      <c r="N23" s="24"/>
      <c r="O23" s="24"/>
      <c r="P23" s="24"/>
      <c r="Q23" s="24"/>
      <c r="R23" s="24"/>
      <c r="S23" s="24"/>
      <c r="T23" s="24"/>
      <c r="U23" s="24"/>
      <c r="V23" s="24"/>
      <c r="W23" s="24"/>
      <c r="X23" s="24"/>
      <c r="Y23" s="24"/>
      <c r="Z23" s="24"/>
    </row>
    <row r="24" ht="15.75" customHeight="1">
      <c r="A24" s="24"/>
      <c r="B24" s="24"/>
      <c r="C24" s="24"/>
      <c r="D24" s="24"/>
      <c r="E24" s="24"/>
      <c r="F24" s="24"/>
      <c r="G24" s="193"/>
      <c r="H24" s="193"/>
      <c r="I24" s="24"/>
      <c r="J24" s="24"/>
      <c r="K24" s="24"/>
      <c r="L24" s="24"/>
      <c r="M24" s="24"/>
      <c r="N24" s="24"/>
      <c r="O24" s="24"/>
      <c r="P24" s="24"/>
      <c r="Q24" s="24"/>
      <c r="R24" s="24"/>
      <c r="S24" s="24"/>
      <c r="T24" s="24"/>
      <c r="U24" s="24"/>
      <c r="V24" s="24"/>
      <c r="W24" s="24"/>
      <c r="X24" s="24"/>
      <c r="Y24" s="24"/>
      <c r="Z24" s="24"/>
    </row>
    <row r="25" ht="15.75" customHeight="1">
      <c r="A25" s="24"/>
      <c r="B25" s="24"/>
      <c r="C25" s="24"/>
      <c r="D25" s="24"/>
      <c r="E25" s="24"/>
      <c r="F25" s="24"/>
      <c r="G25" s="193"/>
      <c r="H25" s="193"/>
      <c r="I25" s="24"/>
      <c r="J25" s="24"/>
      <c r="K25" s="24"/>
      <c r="L25" s="24"/>
      <c r="M25" s="24"/>
      <c r="N25" s="24"/>
      <c r="O25" s="24"/>
      <c r="P25" s="24"/>
      <c r="Q25" s="24"/>
      <c r="R25" s="24"/>
      <c r="S25" s="24"/>
      <c r="T25" s="24"/>
      <c r="U25" s="24"/>
      <c r="V25" s="24"/>
      <c r="W25" s="24"/>
      <c r="X25" s="24"/>
      <c r="Y25" s="24"/>
      <c r="Z25" s="24"/>
    </row>
    <row r="26" ht="15.75" customHeight="1">
      <c r="A26" s="24"/>
      <c r="B26" s="24"/>
      <c r="C26" s="24"/>
      <c r="D26" s="24"/>
      <c r="E26" s="24"/>
      <c r="F26" s="24"/>
      <c r="G26" s="193"/>
      <c r="H26" s="193"/>
      <c r="I26" s="24"/>
      <c r="J26" s="24"/>
      <c r="K26" s="24"/>
      <c r="L26" s="24"/>
      <c r="M26" s="24"/>
      <c r="N26" s="24"/>
      <c r="O26" s="24"/>
      <c r="P26" s="24"/>
      <c r="Q26" s="24"/>
      <c r="R26" s="24"/>
      <c r="S26" s="24"/>
      <c r="T26" s="24"/>
      <c r="U26" s="24"/>
      <c r="V26" s="24"/>
      <c r="W26" s="24"/>
      <c r="X26" s="24"/>
      <c r="Y26" s="24"/>
      <c r="Z26" s="24"/>
    </row>
    <row r="27" ht="15.75" customHeight="1">
      <c r="A27" s="24"/>
      <c r="B27" s="24"/>
      <c r="C27" s="24"/>
      <c r="D27" s="24"/>
      <c r="E27" s="24"/>
      <c r="F27" s="24"/>
      <c r="G27" s="193"/>
      <c r="H27" s="193"/>
      <c r="I27" s="24"/>
      <c r="J27" s="24"/>
      <c r="K27" s="24"/>
      <c r="L27" s="24"/>
      <c r="M27" s="24"/>
      <c r="N27" s="24"/>
      <c r="O27" s="24"/>
      <c r="P27" s="24"/>
      <c r="Q27" s="24"/>
      <c r="R27" s="24"/>
      <c r="S27" s="24"/>
      <c r="T27" s="24"/>
      <c r="U27" s="24"/>
      <c r="V27" s="24"/>
      <c r="W27" s="24"/>
      <c r="X27" s="24"/>
      <c r="Y27" s="24"/>
      <c r="Z27" s="24"/>
    </row>
    <row r="28" ht="15.75" customHeight="1">
      <c r="A28" s="24"/>
      <c r="B28" s="24"/>
      <c r="C28" s="24"/>
      <c r="D28" s="24"/>
      <c r="E28" s="24"/>
      <c r="F28" s="24"/>
      <c r="G28" s="193"/>
      <c r="H28" s="193"/>
      <c r="I28" s="24"/>
      <c r="J28" s="24"/>
      <c r="K28" s="24"/>
      <c r="L28" s="24"/>
      <c r="M28" s="24"/>
      <c r="N28" s="24"/>
      <c r="O28" s="24"/>
      <c r="P28" s="24"/>
      <c r="Q28" s="24"/>
      <c r="R28" s="24"/>
      <c r="S28" s="24"/>
      <c r="T28" s="24"/>
      <c r="U28" s="24"/>
      <c r="V28" s="24"/>
      <c r="W28" s="24"/>
      <c r="X28" s="24"/>
      <c r="Y28" s="24"/>
      <c r="Z28" s="24"/>
    </row>
    <row r="29" ht="15.75" customHeight="1">
      <c r="A29" s="24"/>
      <c r="B29" s="24"/>
      <c r="C29" s="24"/>
      <c r="D29" s="24"/>
      <c r="E29" s="24"/>
      <c r="F29" s="24"/>
      <c r="G29" s="193"/>
      <c r="H29" s="193"/>
      <c r="I29" s="24"/>
      <c r="J29" s="24"/>
      <c r="K29" s="24"/>
      <c r="L29" s="24"/>
      <c r="M29" s="24"/>
      <c r="N29" s="24"/>
      <c r="O29" s="24"/>
      <c r="P29" s="24"/>
      <c r="Q29" s="24"/>
      <c r="R29" s="24"/>
      <c r="S29" s="24"/>
      <c r="T29" s="24"/>
      <c r="U29" s="24"/>
      <c r="V29" s="24"/>
      <c r="W29" s="24"/>
      <c r="X29" s="24"/>
      <c r="Y29" s="24"/>
      <c r="Z29" s="24"/>
    </row>
    <row r="30" ht="15.75" customHeight="1">
      <c r="A30" s="24"/>
      <c r="B30" s="24"/>
      <c r="C30" s="24"/>
      <c r="D30" s="24"/>
      <c r="E30" s="24"/>
      <c r="F30" s="24"/>
      <c r="G30" s="193"/>
      <c r="H30" s="193"/>
      <c r="I30" s="24"/>
      <c r="J30" s="24"/>
      <c r="K30" s="24"/>
      <c r="L30" s="24"/>
      <c r="M30" s="24"/>
      <c r="N30" s="24"/>
      <c r="O30" s="24"/>
      <c r="P30" s="24"/>
      <c r="Q30" s="24"/>
      <c r="R30" s="24"/>
      <c r="S30" s="24"/>
      <c r="T30" s="24"/>
      <c r="U30" s="24"/>
      <c r="V30" s="24"/>
      <c r="W30" s="24"/>
      <c r="X30" s="24"/>
      <c r="Y30" s="24"/>
      <c r="Z30" s="24"/>
    </row>
    <row r="31" ht="15.75" customHeight="1">
      <c r="A31" s="24"/>
      <c r="B31" s="24"/>
      <c r="C31" s="24"/>
      <c r="D31" s="24"/>
      <c r="E31" s="24"/>
      <c r="F31" s="24"/>
      <c r="G31" s="193"/>
      <c r="H31" s="193"/>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24"/>
      <c r="F32" s="24"/>
      <c r="G32" s="193"/>
      <c r="H32" s="193"/>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24"/>
      <c r="F33" s="24"/>
      <c r="G33" s="193"/>
      <c r="H33" s="193"/>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24"/>
      <c r="F34" s="24"/>
      <c r="G34" s="193"/>
      <c r="H34" s="193"/>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24"/>
      <c r="F35" s="24"/>
      <c r="G35" s="193"/>
      <c r="H35" s="193"/>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24"/>
      <c r="F36" s="24"/>
      <c r="G36" s="193"/>
      <c r="H36" s="193"/>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24"/>
      <c r="F37" s="24"/>
      <c r="G37" s="193"/>
      <c r="H37" s="193"/>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24"/>
      <c r="F38" s="24"/>
      <c r="G38" s="193"/>
      <c r="H38" s="193"/>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193"/>
      <c r="H39" s="193"/>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193"/>
      <c r="H40" s="193"/>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193"/>
      <c r="H41" s="193"/>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193"/>
      <c r="H42" s="193"/>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193"/>
      <c r="H43" s="193"/>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193"/>
      <c r="H44" s="193"/>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193"/>
      <c r="H45" s="193"/>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193"/>
      <c r="H46" s="193"/>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193"/>
      <c r="H47" s="193"/>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193"/>
      <c r="H48" s="193"/>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193"/>
      <c r="H49" s="193"/>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193"/>
      <c r="H50" s="193"/>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193"/>
      <c r="H51" s="193"/>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193"/>
      <c r="H52" s="193"/>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193"/>
      <c r="H53" s="193"/>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193"/>
      <c r="H54" s="193"/>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193"/>
      <c r="H55" s="193"/>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193"/>
      <c r="H56" s="193"/>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193"/>
      <c r="H57" s="193"/>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193"/>
      <c r="H58" s="193"/>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193"/>
      <c r="H59" s="193"/>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193"/>
      <c r="H60" s="193"/>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193"/>
      <c r="H61" s="193"/>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193"/>
      <c r="H62" s="193"/>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193"/>
      <c r="H63" s="193"/>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193"/>
      <c r="H64" s="193"/>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193"/>
      <c r="H65" s="193"/>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193"/>
      <c r="H66" s="193"/>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193"/>
      <c r="H67" s="193"/>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193"/>
      <c r="H68" s="193"/>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193"/>
      <c r="H69" s="193"/>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193"/>
      <c r="H70" s="193"/>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193"/>
      <c r="H71" s="193"/>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193"/>
      <c r="H72" s="193"/>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193"/>
      <c r="H73" s="193"/>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193"/>
      <c r="H74" s="193"/>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193"/>
      <c r="H75" s="193"/>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193"/>
      <c r="H76" s="193"/>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193"/>
      <c r="H77" s="193"/>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193"/>
      <c r="H78" s="193"/>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193"/>
      <c r="H79" s="193"/>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193"/>
      <c r="H80" s="193"/>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193"/>
      <c r="H81" s="193"/>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193"/>
      <c r="H82" s="193"/>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193"/>
      <c r="H83" s="193"/>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193"/>
      <c r="H84" s="193"/>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193"/>
      <c r="H85" s="193"/>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193"/>
      <c r="H86" s="193"/>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193"/>
      <c r="H87" s="193"/>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193"/>
      <c r="H88" s="193"/>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193"/>
      <c r="H89" s="193"/>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193"/>
      <c r="H90" s="193"/>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193"/>
      <c r="H91" s="193"/>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193"/>
      <c r="H92" s="193"/>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193"/>
      <c r="H93" s="193"/>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193"/>
      <c r="H94" s="193"/>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193"/>
      <c r="H95" s="193"/>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193"/>
      <c r="H96" s="193"/>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193"/>
      <c r="H97" s="193"/>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193"/>
      <c r="H98" s="193"/>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193"/>
      <c r="H99" s="193"/>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193"/>
      <c r="H100" s="193"/>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193"/>
      <c r="H101" s="193"/>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193"/>
      <c r="H102" s="193"/>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193"/>
      <c r="H103" s="193"/>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193"/>
      <c r="H104" s="193"/>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193"/>
      <c r="H105" s="193"/>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193"/>
      <c r="H106" s="193"/>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193"/>
      <c r="H107" s="193"/>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193"/>
      <c r="H108" s="193"/>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193"/>
      <c r="H109" s="193"/>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193"/>
      <c r="H110" s="193"/>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193"/>
      <c r="H111" s="193"/>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193"/>
      <c r="H112" s="193"/>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193"/>
      <c r="H113" s="193"/>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193"/>
      <c r="H114" s="193"/>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193"/>
      <c r="H115" s="193"/>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193"/>
      <c r="H116" s="193"/>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193"/>
      <c r="H117" s="193"/>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193"/>
      <c r="H118" s="193"/>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193"/>
      <c r="H119" s="193"/>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193"/>
      <c r="H120" s="193"/>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193"/>
      <c r="H121" s="193"/>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193"/>
      <c r="H122" s="193"/>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193"/>
      <c r="H123" s="193"/>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193"/>
      <c r="H124" s="193"/>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193"/>
      <c r="H125" s="193"/>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193"/>
      <c r="H126" s="193"/>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193"/>
      <c r="H127" s="193"/>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193"/>
      <c r="H128" s="193"/>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193"/>
      <c r="H129" s="193"/>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193"/>
      <c r="H130" s="193"/>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193"/>
      <c r="H131" s="193"/>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193"/>
      <c r="H132" s="193"/>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193"/>
      <c r="H133" s="193"/>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193"/>
      <c r="H134" s="193"/>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193"/>
      <c r="H135" s="193"/>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193"/>
      <c r="H136" s="193"/>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193"/>
      <c r="H137" s="193"/>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193"/>
      <c r="H138" s="193"/>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193"/>
      <c r="H139" s="193"/>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193"/>
      <c r="H140" s="193"/>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193"/>
      <c r="H141" s="193"/>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193"/>
      <c r="H142" s="193"/>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193"/>
      <c r="H143" s="193"/>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193"/>
      <c r="H144" s="193"/>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193"/>
      <c r="H145" s="193"/>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193"/>
      <c r="H146" s="193"/>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193"/>
      <c r="H147" s="193"/>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193"/>
      <c r="H148" s="193"/>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193"/>
      <c r="H149" s="193"/>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193"/>
      <c r="H150" s="193"/>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193"/>
      <c r="H151" s="193"/>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193"/>
      <c r="H152" s="193"/>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193"/>
      <c r="H153" s="193"/>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193"/>
      <c r="H154" s="193"/>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193"/>
      <c r="H155" s="193"/>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193"/>
      <c r="H156" s="193"/>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193"/>
      <c r="H157" s="193"/>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193"/>
      <c r="H158" s="193"/>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193"/>
      <c r="H159" s="193"/>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193"/>
      <c r="H160" s="193"/>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193"/>
      <c r="H161" s="193"/>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193"/>
      <c r="H162" s="193"/>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193"/>
      <c r="H163" s="193"/>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193"/>
      <c r="H164" s="193"/>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193"/>
      <c r="H165" s="193"/>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193"/>
      <c r="H166" s="193"/>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193"/>
      <c r="H167" s="193"/>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193"/>
      <c r="H168" s="193"/>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193"/>
      <c r="H169" s="193"/>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193"/>
      <c r="H170" s="193"/>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193"/>
      <c r="H171" s="193"/>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193"/>
      <c r="H172" s="193"/>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193"/>
      <c r="H173" s="193"/>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193"/>
      <c r="H174" s="193"/>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193"/>
      <c r="H175" s="193"/>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193"/>
      <c r="H176" s="193"/>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193"/>
      <c r="H177" s="193"/>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193"/>
      <c r="H178" s="193"/>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193"/>
      <c r="H179" s="193"/>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193"/>
      <c r="H180" s="193"/>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193"/>
      <c r="H181" s="193"/>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193"/>
      <c r="H182" s="193"/>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193"/>
      <c r="H183" s="193"/>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193"/>
      <c r="H184" s="193"/>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193"/>
      <c r="H185" s="193"/>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193"/>
      <c r="H186" s="193"/>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193"/>
      <c r="H187" s="193"/>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193"/>
      <c r="H188" s="193"/>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193"/>
      <c r="H189" s="193"/>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193"/>
      <c r="H190" s="193"/>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193"/>
      <c r="H191" s="193"/>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193"/>
      <c r="H192" s="193"/>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193"/>
      <c r="H193" s="193"/>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193"/>
      <c r="H194" s="193"/>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193"/>
      <c r="H195" s="193"/>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193"/>
      <c r="H196" s="193"/>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193"/>
      <c r="H197" s="193"/>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193"/>
      <c r="H198" s="193"/>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193"/>
      <c r="H199" s="193"/>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193"/>
      <c r="H200" s="193"/>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193"/>
      <c r="H201" s="193"/>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193"/>
      <c r="H202" s="193"/>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193"/>
      <c r="H203" s="193"/>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193"/>
      <c r="H204" s="193"/>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193"/>
      <c r="H205" s="193"/>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193"/>
      <c r="H206" s="193"/>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193"/>
      <c r="H207" s="193"/>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193"/>
      <c r="H208" s="193"/>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193"/>
      <c r="H209" s="193"/>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193"/>
      <c r="H210" s="193"/>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193"/>
      <c r="H211" s="193"/>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193"/>
      <c r="H212" s="193"/>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193"/>
      <c r="H213" s="193"/>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193"/>
      <c r="H214" s="193"/>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193"/>
      <c r="H215" s="193"/>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193"/>
      <c r="H216" s="193"/>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193"/>
      <c r="H217" s="193"/>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193"/>
      <c r="H218" s="193"/>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193"/>
      <c r="H219" s="193"/>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193"/>
      <c r="H220" s="193"/>
      <c r="I220" s="24"/>
      <c r="J220" s="24"/>
      <c r="K220" s="24"/>
      <c r="L220" s="24"/>
      <c r="M220" s="24"/>
      <c r="N220" s="24"/>
      <c r="O220" s="24"/>
      <c r="P220" s="24"/>
      <c r="Q220" s="24"/>
      <c r="R220" s="24"/>
      <c r="S220" s="24"/>
      <c r="T220" s="24"/>
      <c r="U220" s="24"/>
      <c r="V220" s="24"/>
      <c r="W220" s="24"/>
      <c r="X220" s="24"/>
      <c r="Y220" s="24"/>
      <c r="Z220" s="24"/>
    </row>
    <row r="221" ht="15.75" customHeight="1">
      <c r="A221" s="6"/>
      <c r="B221" s="6"/>
      <c r="C221" s="194"/>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194"/>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194"/>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194"/>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194"/>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194"/>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194"/>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194"/>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194"/>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194"/>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194"/>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194"/>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194"/>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194"/>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194"/>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194"/>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194"/>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194"/>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194"/>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194"/>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194"/>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194"/>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194"/>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194"/>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194"/>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194"/>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194"/>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194"/>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194"/>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194"/>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194"/>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194"/>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194"/>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194"/>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194"/>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194"/>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194"/>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194"/>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194"/>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194"/>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194"/>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194"/>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194"/>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194"/>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194"/>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194"/>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194"/>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194"/>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194"/>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194"/>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194"/>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194"/>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194"/>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194"/>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194"/>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194"/>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194"/>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194"/>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194"/>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194"/>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194"/>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194"/>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194"/>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194"/>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194"/>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194"/>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194"/>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194"/>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194"/>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194"/>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194"/>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194"/>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194"/>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194"/>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194"/>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194"/>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194"/>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194"/>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194"/>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194"/>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194"/>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194"/>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194"/>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194"/>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194"/>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194"/>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194"/>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194"/>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194"/>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194"/>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194"/>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194"/>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194"/>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194"/>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194"/>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194"/>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194"/>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194"/>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194"/>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194"/>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194"/>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194"/>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194"/>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194"/>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194"/>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194"/>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194"/>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194"/>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194"/>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194"/>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194"/>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194"/>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194"/>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194"/>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194"/>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194"/>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194"/>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194"/>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194"/>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194"/>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194"/>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194"/>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194"/>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194"/>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194"/>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194"/>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194"/>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194"/>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194"/>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194"/>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194"/>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194"/>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194"/>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194"/>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194"/>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194"/>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194"/>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194"/>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194"/>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194"/>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194"/>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194"/>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194"/>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194"/>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194"/>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194"/>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194"/>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194"/>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194"/>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194"/>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194"/>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194"/>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194"/>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194"/>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194"/>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194"/>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194"/>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194"/>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194"/>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194"/>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194"/>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194"/>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194"/>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194"/>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194"/>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194"/>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194"/>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194"/>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194"/>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194"/>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194"/>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194"/>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194"/>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194"/>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194"/>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194"/>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194"/>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194"/>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194"/>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194"/>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194"/>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194"/>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194"/>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194"/>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194"/>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194"/>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194"/>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194"/>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194"/>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194"/>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194"/>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194"/>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194"/>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194"/>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194"/>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194"/>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194"/>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194"/>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194"/>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194"/>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194"/>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194"/>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194"/>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194"/>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194"/>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194"/>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194"/>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194"/>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194"/>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194"/>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194"/>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194"/>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194"/>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194"/>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194"/>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194"/>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194"/>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194"/>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194"/>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194"/>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194"/>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194"/>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194"/>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194"/>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194"/>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194"/>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194"/>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194"/>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194"/>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194"/>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194"/>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194"/>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194"/>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194"/>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194"/>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194"/>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194"/>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194"/>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194"/>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194"/>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194"/>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194"/>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194"/>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194"/>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194"/>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194"/>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194"/>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194"/>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194"/>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194"/>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194"/>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194"/>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194"/>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194"/>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194"/>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194"/>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194"/>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194"/>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194"/>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194"/>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194"/>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194"/>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194"/>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194"/>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194"/>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194"/>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194"/>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194"/>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194"/>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194"/>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194"/>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194"/>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194"/>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194"/>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194"/>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194"/>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194"/>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194"/>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194"/>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194"/>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194"/>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194"/>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194"/>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194"/>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194"/>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194"/>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194"/>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194"/>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194"/>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194"/>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194"/>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194"/>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194"/>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194"/>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194"/>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194"/>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194"/>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194"/>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194"/>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194"/>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194"/>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194"/>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194"/>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194"/>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194"/>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194"/>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194"/>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194"/>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194"/>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194"/>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194"/>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194"/>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194"/>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194"/>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194"/>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194"/>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194"/>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194"/>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194"/>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194"/>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194"/>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194"/>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194"/>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194"/>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194"/>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194"/>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194"/>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194"/>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194"/>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194"/>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194"/>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194"/>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194"/>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194"/>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194"/>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194"/>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194"/>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194"/>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194"/>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194"/>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194"/>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194"/>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194"/>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194"/>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194"/>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194"/>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194"/>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194"/>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194"/>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194"/>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194"/>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194"/>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194"/>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194"/>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194"/>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194"/>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194"/>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194"/>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194"/>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194"/>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194"/>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194"/>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194"/>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194"/>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194"/>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194"/>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194"/>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194"/>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194"/>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194"/>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194"/>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194"/>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194"/>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194"/>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194"/>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194"/>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194"/>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194"/>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194"/>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194"/>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194"/>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194"/>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194"/>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194"/>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194"/>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194"/>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194"/>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194"/>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194"/>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194"/>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194"/>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194"/>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194"/>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194"/>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194"/>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194"/>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194"/>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194"/>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194"/>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194"/>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194"/>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194"/>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194"/>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194"/>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194"/>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194"/>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194"/>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194"/>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194"/>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194"/>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194"/>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194"/>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194"/>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194"/>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194"/>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194"/>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194"/>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194"/>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194"/>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194"/>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194"/>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194"/>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194"/>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194"/>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194"/>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194"/>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194"/>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194"/>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194"/>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194"/>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194"/>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194"/>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194"/>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194"/>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194"/>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194"/>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194"/>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194"/>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194"/>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194"/>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194"/>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194"/>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194"/>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194"/>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194"/>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194"/>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194"/>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194"/>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194"/>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194"/>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194"/>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194"/>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194"/>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194"/>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194"/>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194"/>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194"/>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194"/>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194"/>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194"/>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194"/>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194"/>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194"/>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194"/>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194"/>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194"/>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194"/>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194"/>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194"/>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194"/>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194"/>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194"/>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194"/>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194"/>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194"/>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194"/>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194"/>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194"/>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194"/>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194"/>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194"/>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194"/>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194"/>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194"/>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194"/>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194"/>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194"/>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194"/>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194"/>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194"/>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194"/>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194"/>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194"/>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194"/>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194"/>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194"/>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194"/>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194"/>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194"/>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194"/>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194"/>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194"/>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194"/>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194"/>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194"/>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194"/>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194"/>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194"/>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194"/>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194"/>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194"/>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194"/>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194"/>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194"/>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194"/>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194"/>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194"/>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194"/>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194"/>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194"/>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194"/>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194"/>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194"/>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194"/>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194"/>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194"/>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194"/>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194"/>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194"/>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194"/>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194"/>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194"/>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194"/>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194"/>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194"/>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194"/>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194"/>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194"/>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194"/>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194"/>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194"/>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194"/>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194"/>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194"/>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194"/>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194"/>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194"/>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194"/>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194"/>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194"/>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194"/>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194"/>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194"/>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194"/>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194"/>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194"/>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194"/>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194"/>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194"/>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194"/>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194"/>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194"/>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194"/>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194"/>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194"/>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194"/>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194"/>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194"/>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194"/>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194"/>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194"/>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194"/>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194"/>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194"/>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194"/>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194"/>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194"/>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194"/>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194"/>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194"/>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194"/>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194"/>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194"/>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194"/>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194"/>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194"/>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194"/>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194"/>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194"/>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194"/>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194"/>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194"/>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194"/>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194"/>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194"/>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194"/>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194"/>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194"/>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194"/>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194"/>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194"/>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194"/>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194"/>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194"/>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194"/>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194"/>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194"/>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194"/>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194"/>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194"/>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194"/>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194"/>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194"/>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194"/>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194"/>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194"/>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194"/>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194"/>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194"/>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194"/>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194"/>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194"/>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194"/>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194"/>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194"/>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194"/>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194"/>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194"/>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194"/>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194"/>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194"/>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194"/>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194"/>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194"/>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194"/>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194"/>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194"/>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194"/>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194"/>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194"/>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194"/>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194"/>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194"/>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194"/>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194"/>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194"/>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194"/>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194"/>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194"/>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194"/>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194"/>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194"/>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194"/>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194"/>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194"/>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194"/>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194"/>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194"/>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194"/>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194"/>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194"/>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194"/>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194"/>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194"/>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194"/>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194"/>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194"/>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194"/>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194"/>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194"/>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194"/>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194"/>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194"/>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194"/>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194"/>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194"/>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194"/>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194"/>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194"/>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194"/>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194"/>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194"/>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194"/>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194"/>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194"/>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194"/>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194"/>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194"/>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194"/>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194"/>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194"/>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194"/>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194"/>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194"/>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194"/>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194"/>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194"/>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194"/>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194"/>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194"/>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194"/>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194"/>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194"/>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194"/>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194"/>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194"/>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194"/>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194"/>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194"/>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194"/>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194"/>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194"/>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194"/>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194"/>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194"/>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194"/>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194"/>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194"/>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194"/>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194"/>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194"/>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194"/>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194"/>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194"/>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194"/>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194"/>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194"/>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194"/>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194"/>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194"/>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194"/>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194"/>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194"/>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194"/>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194"/>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194"/>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194"/>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194"/>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194"/>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194"/>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194"/>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194"/>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194"/>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194"/>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194"/>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194"/>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194"/>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194"/>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194"/>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194"/>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194"/>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194"/>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194"/>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194"/>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194"/>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194"/>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194"/>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194"/>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194"/>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194"/>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194"/>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194"/>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194"/>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194"/>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194"/>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194"/>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194"/>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194"/>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194"/>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194"/>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194"/>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194"/>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194"/>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194"/>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194"/>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194"/>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194"/>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194"/>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194"/>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194"/>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9">
    <mergeCell ref="H2:H3"/>
    <mergeCell ref="I2:I3"/>
    <mergeCell ref="A2:A3"/>
    <mergeCell ref="B2:B3"/>
    <mergeCell ref="C2:C3"/>
    <mergeCell ref="D2:D3"/>
    <mergeCell ref="E2:E3"/>
    <mergeCell ref="F2:F3"/>
    <mergeCell ref="G2:G3"/>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13"/>
    <col customWidth="1" min="2" max="2" width="27.63"/>
    <col customWidth="1" min="3" max="3" width="32.88"/>
    <col customWidth="1" min="4" max="4" width="30.25"/>
    <col customWidth="1" min="5" max="26" width="8.63"/>
  </cols>
  <sheetData>
    <row r="1" ht="12.75" customHeight="1">
      <c r="A1" s="195" t="s">
        <v>295</v>
      </c>
      <c r="B1" s="196"/>
      <c r="C1" s="196"/>
      <c r="D1" s="196"/>
    </row>
    <row r="2" ht="12.75" customHeight="1">
      <c r="A2" s="195" t="s">
        <v>296</v>
      </c>
      <c r="B2" s="196"/>
      <c r="C2" s="196"/>
      <c r="D2" s="196"/>
    </row>
    <row r="3" ht="12.75" customHeight="1">
      <c r="A3" s="197" t="s">
        <v>297</v>
      </c>
      <c r="B3" s="197" t="s">
        <v>298</v>
      </c>
      <c r="C3" s="197" t="s">
        <v>299</v>
      </c>
      <c r="D3" s="197" t="s">
        <v>300</v>
      </c>
    </row>
    <row r="4" ht="12.75" customHeight="1">
      <c r="A4" s="195" t="s">
        <v>301</v>
      </c>
      <c r="B4" s="196"/>
      <c r="C4" s="196"/>
      <c r="D4" s="196"/>
    </row>
    <row r="5" ht="12.75" customHeight="1">
      <c r="A5" s="195" t="s">
        <v>302</v>
      </c>
      <c r="B5" s="196"/>
      <c r="C5" s="196"/>
      <c r="D5" s="196"/>
    </row>
    <row r="6" ht="12.75" customHeight="1">
      <c r="A6" s="196">
        <v>1.0</v>
      </c>
      <c r="B6" s="196" t="s">
        <v>303</v>
      </c>
      <c r="C6" s="196" t="s">
        <v>304</v>
      </c>
      <c r="D6" s="196"/>
    </row>
    <row r="7" ht="12.75" customHeight="1">
      <c r="A7" s="196">
        <v>2.0</v>
      </c>
      <c r="B7" s="196" t="s">
        <v>305</v>
      </c>
      <c r="C7" s="196" t="s">
        <v>306</v>
      </c>
      <c r="D7" s="196"/>
    </row>
    <row r="8" ht="12.75" customHeight="1">
      <c r="A8" s="196">
        <v>3.0</v>
      </c>
      <c r="B8" s="196" t="s">
        <v>307</v>
      </c>
      <c r="C8" s="196" t="s">
        <v>306</v>
      </c>
      <c r="D8" s="196"/>
    </row>
    <row r="9" ht="12.75" customHeight="1">
      <c r="A9" s="196">
        <v>4.0</v>
      </c>
      <c r="B9" s="196" t="s">
        <v>308</v>
      </c>
      <c r="C9" s="196" t="s">
        <v>309</v>
      </c>
      <c r="D9" s="196"/>
    </row>
    <row r="10" ht="12.75" customHeight="1">
      <c r="A10" s="196">
        <v>5.0</v>
      </c>
      <c r="B10" s="196" t="s">
        <v>310</v>
      </c>
      <c r="C10" s="196" t="s">
        <v>311</v>
      </c>
      <c r="D10" s="196"/>
    </row>
    <row r="11" ht="12.75" customHeight="1">
      <c r="A11" s="196">
        <v>6.0</v>
      </c>
      <c r="B11" s="196" t="s">
        <v>312</v>
      </c>
      <c r="C11" s="196" t="s">
        <v>313</v>
      </c>
      <c r="D11" s="196"/>
    </row>
    <row r="12" ht="12.75" customHeight="1">
      <c r="A12" s="196">
        <v>7.0</v>
      </c>
      <c r="B12" s="196" t="s">
        <v>314</v>
      </c>
      <c r="C12" s="196" t="s">
        <v>313</v>
      </c>
      <c r="D12" s="196"/>
    </row>
    <row r="13" ht="12.75" customHeight="1">
      <c r="A13" s="196">
        <v>8.0</v>
      </c>
      <c r="B13" s="196" t="s">
        <v>315</v>
      </c>
      <c r="C13" s="196" t="s">
        <v>316</v>
      </c>
      <c r="D13" s="196"/>
    </row>
    <row r="14" ht="12.75" customHeight="1">
      <c r="A14" s="196">
        <v>9.0</v>
      </c>
      <c r="B14" s="196" t="s">
        <v>317</v>
      </c>
      <c r="C14" s="196" t="s">
        <v>318</v>
      </c>
      <c r="D14" s="196" t="s">
        <v>319</v>
      </c>
    </row>
    <row r="15" ht="12.75" customHeight="1">
      <c r="A15" s="196">
        <v>10.0</v>
      </c>
      <c r="B15" s="196" t="s">
        <v>320</v>
      </c>
      <c r="C15" s="196" t="s">
        <v>321</v>
      </c>
      <c r="D15" s="196"/>
    </row>
    <row r="16" ht="12.75" customHeight="1">
      <c r="A16" s="196">
        <v>11.0</v>
      </c>
      <c r="B16" s="196" t="s">
        <v>322</v>
      </c>
      <c r="C16" s="196" t="s">
        <v>323</v>
      </c>
      <c r="D16" s="196"/>
    </row>
    <row r="17" ht="12.75" customHeight="1">
      <c r="A17" s="196">
        <v>12.0</v>
      </c>
      <c r="B17" s="196" t="s">
        <v>324</v>
      </c>
      <c r="C17" s="196" t="s">
        <v>325</v>
      </c>
      <c r="D17" s="196"/>
    </row>
    <row r="18" ht="12.75" customHeight="1">
      <c r="A18" s="196">
        <v>13.0</v>
      </c>
      <c r="B18" s="196" t="s">
        <v>326</v>
      </c>
      <c r="C18" s="196" t="s">
        <v>325</v>
      </c>
      <c r="D18" s="196"/>
    </row>
    <row r="19" ht="12.75" customHeight="1">
      <c r="A19" s="196">
        <v>14.0</v>
      </c>
      <c r="B19" s="196" t="s">
        <v>327</v>
      </c>
      <c r="C19" s="196" t="s">
        <v>328</v>
      </c>
      <c r="D19" s="196"/>
    </row>
    <row r="20" ht="12.75" customHeight="1">
      <c r="A20" s="196">
        <v>15.0</v>
      </c>
      <c r="B20" s="196" t="s">
        <v>329</v>
      </c>
      <c r="C20" s="196" t="s">
        <v>330</v>
      </c>
      <c r="D20" s="196" t="s">
        <v>331</v>
      </c>
    </row>
    <row r="21" ht="12.75" customHeight="1">
      <c r="A21" s="196">
        <v>16.0</v>
      </c>
      <c r="B21" s="196" t="s">
        <v>332</v>
      </c>
      <c r="C21" s="196" t="s">
        <v>333</v>
      </c>
      <c r="D21" s="196"/>
    </row>
    <row r="22" ht="12.75" customHeight="1">
      <c r="A22" s="196">
        <v>17.0</v>
      </c>
      <c r="B22" s="196" t="s">
        <v>334</v>
      </c>
      <c r="C22" s="196" t="s">
        <v>335</v>
      </c>
      <c r="D22" s="196" t="s">
        <v>336</v>
      </c>
    </row>
    <row r="23" ht="12.75" customHeight="1">
      <c r="A23" s="196">
        <v>18.0</v>
      </c>
      <c r="B23" s="196" t="s">
        <v>337</v>
      </c>
      <c r="C23" s="196" t="s">
        <v>335</v>
      </c>
      <c r="D23" s="196" t="s">
        <v>336</v>
      </c>
    </row>
    <row r="24" ht="12.75" customHeight="1">
      <c r="A24" s="196">
        <v>19.0</v>
      </c>
      <c r="B24" s="196" t="s">
        <v>338</v>
      </c>
      <c r="C24" s="196" t="s">
        <v>339</v>
      </c>
      <c r="D24" s="196"/>
    </row>
    <row r="25" ht="12.75" customHeight="1">
      <c r="A25" s="196">
        <v>20.0</v>
      </c>
      <c r="B25" s="196" t="s">
        <v>340</v>
      </c>
      <c r="C25" s="196" t="s">
        <v>339</v>
      </c>
      <c r="D25" s="196"/>
    </row>
    <row r="26" ht="12.75" customHeight="1">
      <c r="A26" s="196">
        <v>21.0</v>
      </c>
      <c r="B26" s="196" t="s">
        <v>341</v>
      </c>
      <c r="C26" s="196" t="s">
        <v>342</v>
      </c>
      <c r="D26" s="196"/>
    </row>
    <row r="27" ht="12.75" customHeight="1">
      <c r="A27" s="196">
        <v>22.0</v>
      </c>
      <c r="B27" s="196" t="s">
        <v>343</v>
      </c>
      <c r="C27" s="196" t="s">
        <v>335</v>
      </c>
      <c r="D27" s="196" t="s">
        <v>336</v>
      </c>
    </row>
    <row r="28" ht="12.75" customHeight="1">
      <c r="A28" s="196">
        <v>23.0</v>
      </c>
      <c r="B28" s="196" t="s">
        <v>344</v>
      </c>
      <c r="C28" s="196" t="s">
        <v>335</v>
      </c>
      <c r="D28" s="196" t="s">
        <v>336</v>
      </c>
    </row>
    <row r="29" ht="12.75" customHeight="1">
      <c r="A29" s="196">
        <v>24.0</v>
      </c>
      <c r="B29" s="196" t="s">
        <v>345</v>
      </c>
      <c r="C29" s="196" t="s">
        <v>335</v>
      </c>
      <c r="D29" s="196" t="s">
        <v>336</v>
      </c>
    </row>
    <row r="30" ht="12.75" customHeight="1">
      <c r="A30" s="196">
        <v>25.0</v>
      </c>
      <c r="B30" s="196" t="s">
        <v>346</v>
      </c>
      <c r="C30" s="196" t="s">
        <v>347</v>
      </c>
      <c r="D30" s="196"/>
    </row>
    <row r="31" ht="12.75" customHeight="1">
      <c r="A31" s="196">
        <v>26.0</v>
      </c>
      <c r="B31" s="196" t="s">
        <v>348</v>
      </c>
      <c r="C31" s="196" t="s">
        <v>349</v>
      </c>
      <c r="D31" s="196" t="s">
        <v>336</v>
      </c>
    </row>
    <row r="32" ht="12.75" customHeight="1">
      <c r="A32" s="196">
        <v>27.0</v>
      </c>
      <c r="B32" s="196" t="s">
        <v>350</v>
      </c>
      <c r="C32" s="196" t="s">
        <v>351</v>
      </c>
      <c r="D32" s="196" t="s">
        <v>352</v>
      </c>
    </row>
    <row r="33" ht="12.75" customHeight="1">
      <c r="A33" s="196">
        <v>28.0</v>
      </c>
      <c r="B33" s="196" t="s">
        <v>353</v>
      </c>
      <c r="C33" s="196" t="s">
        <v>354</v>
      </c>
      <c r="D33" s="196"/>
    </row>
    <row r="34" ht="12.75" customHeight="1">
      <c r="A34" s="196">
        <v>29.0</v>
      </c>
      <c r="B34" s="196" t="s">
        <v>355</v>
      </c>
      <c r="C34" s="196" t="s">
        <v>356</v>
      </c>
      <c r="D34" s="196" t="s">
        <v>357</v>
      </c>
    </row>
    <row r="35" ht="12.75" customHeight="1">
      <c r="A35" s="196">
        <v>30.0</v>
      </c>
      <c r="B35" s="196" t="s">
        <v>358</v>
      </c>
      <c r="C35" s="196" t="s">
        <v>359</v>
      </c>
      <c r="D35" s="196"/>
    </row>
    <row r="36" ht="12.75" customHeight="1">
      <c r="A36" s="196">
        <v>31.0</v>
      </c>
      <c r="B36" s="196" t="s">
        <v>360</v>
      </c>
      <c r="C36" s="196" t="s">
        <v>361</v>
      </c>
      <c r="D36" s="196"/>
    </row>
    <row r="37" ht="12.75" customHeight="1">
      <c r="A37" s="196">
        <v>32.0</v>
      </c>
      <c r="B37" s="196" t="s">
        <v>362</v>
      </c>
      <c r="C37" s="196" t="s">
        <v>363</v>
      </c>
      <c r="D37" s="196"/>
    </row>
    <row r="38" ht="12.75" customHeight="1">
      <c r="A38" s="196">
        <v>33.0</v>
      </c>
      <c r="B38" s="196" t="s">
        <v>364</v>
      </c>
      <c r="C38" s="196" t="s">
        <v>365</v>
      </c>
      <c r="D38" s="196" t="s">
        <v>366</v>
      </c>
    </row>
    <row r="39" ht="12.75" customHeight="1">
      <c r="A39" s="196">
        <v>34.0</v>
      </c>
      <c r="B39" s="196" t="s">
        <v>367</v>
      </c>
      <c r="C39" s="196" t="s">
        <v>368</v>
      </c>
      <c r="D39" s="196"/>
    </row>
    <row r="40" ht="12.75" customHeight="1">
      <c r="A40" s="196">
        <v>35.0</v>
      </c>
      <c r="B40" s="196" t="s">
        <v>369</v>
      </c>
      <c r="C40" s="196" t="s">
        <v>370</v>
      </c>
      <c r="D40" s="196" t="s">
        <v>371</v>
      </c>
    </row>
    <row r="41" ht="12.75" customHeight="1">
      <c r="A41" s="196">
        <v>36.0</v>
      </c>
      <c r="B41" s="196" t="s">
        <v>372</v>
      </c>
      <c r="C41" s="196" t="s">
        <v>370</v>
      </c>
      <c r="D41" s="196" t="s">
        <v>373</v>
      </c>
    </row>
    <row r="42" ht="12.75" customHeight="1">
      <c r="A42" s="196">
        <v>37.0</v>
      </c>
      <c r="B42" s="196" t="s">
        <v>374</v>
      </c>
      <c r="C42" s="196" t="s">
        <v>375</v>
      </c>
      <c r="D42" s="196" t="s">
        <v>376</v>
      </c>
    </row>
    <row r="43" ht="12.75" customHeight="1">
      <c r="A43" s="196">
        <v>38.0</v>
      </c>
      <c r="B43" s="196" t="s">
        <v>377</v>
      </c>
      <c r="C43" s="196" t="s">
        <v>378</v>
      </c>
      <c r="D43" s="196"/>
    </row>
    <row r="44" ht="12.75" customHeight="1">
      <c r="A44" s="196">
        <v>39.0</v>
      </c>
      <c r="B44" s="196" t="s">
        <v>379</v>
      </c>
      <c r="C44" s="196" t="s">
        <v>380</v>
      </c>
      <c r="D44" s="196"/>
    </row>
    <row r="45" ht="12.75" customHeight="1">
      <c r="A45" s="196">
        <v>40.0</v>
      </c>
      <c r="B45" s="196" t="s">
        <v>381</v>
      </c>
      <c r="C45" s="196" t="s">
        <v>380</v>
      </c>
      <c r="D45" s="196"/>
    </row>
    <row r="46" ht="12.75" customHeight="1">
      <c r="A46" s="196">
        <v>41.0</v>
      </c>
      <c r="B46" s="196" t="s">
        <v>382</v>
      </c>
      <c r="C46" s="196" t="s">
        <v>383</v>
      </c>
      <c r="D46" s="196" t="s">
        <v>306</v>
      </c>
    </row>
    <row r="47" ht="12.75" customHeight="1">
      <c r="A47" s="196">
        <v>42.0</v>
      </c>
      <c r="B47" s="196" t="s">
        <v>384</v>
      </c>
      <c r="C47" s="196" t="s">
        <v>385</v>
      </c>
      <c r="D47" s="196" t="s">
        <v>386</v>
      </c>
    </row>
    <row r="48" ht="12.75" customHeight="1">
      <c r="A48" s="196">
        <v>43.0</v>
      </c>
      <c r="B48" s="196" t="s">
        <v>387</v>
      </c>
      <c r="C48" s="196" t="s">
        <v>388</v>
      </c>
      <c r="D48" s="196"/>
    </row>
    <row r="49" ht="12.75" customHeight="1">
      <c r="A49" s="196">
        <v>44.0</v>
      </c>
      <c r="B49" s="196" t="s">
        <v>389</v>
      </c>
      <c r="C49" s="196" t="s">
        <v>388</v>
      </c>
      <c r="D49" s="196"/>
    </row>
    <row r="50" ht="12.75" customHeight="1">
      <c r="A50" s="196">
        <v>45.0</v>
      </c>
      <c r="B50" s="196" t="s">
        <v>390</v>
      </c>
      <c r="C50" s="196" t="s">
        <v>388</v>
      </c>
      <c r="D50" s="196"/>
    </row>
    <row r="51" ht="12.75" customHeight="1">
      <c r="A51" s="196">
        <v>46.0</v>
      </c>
      <c r="B51" s="196" t="s">
        <v>382</v>
      </c>
      <c r="C51" s="196" t="s">
        <v>391</v>
      </c>
      <c r="D51" s="196" t="s">
        <v>306</v>
      </c>
    </row>
    <row r="52" ht="12.75" customHeight="1">
      <c r="A52" s="196">
        <v>47.0</v>
      </c>
      <c r="B52" s="196" t="s">
        <v>392</v>
      </c>
      <c r="C52" s="196" t="s">
        <v>393</v>
      </c>
      <c r="D52" s="196"/>
    </row>
    <row r="53" ht="12.75" customHeight="1">
      <c r="A53" s="196">
        <v>48.0</v>
      </c>
      <c r="B53" s="196" t="s">
        <v>394</v>
      </c>
      <c r="C53" s="196" t="s">
        <v>393</v>
      </c>
      <c r="D53" s="196"/>
    </row>
    <row r="54" ht="12.75" customHeight="1">
      <c r="A54" s="196">
        <v>49.0</v>
      </c>
      <c r="B54" s="196" t="s">
        <v>395</v>
      </c>
      <c r="C54" s="196" t="s">
        <v>388</v>
      </c>
      <c r="D54" s="196"/>
    </row>
    <row r="55" ht="12.75" customHeight="1">
      <c r="A55" s="196">
        <v>50.0</v>
      </c>
      <c r="B55" s="196" t="s">
        <v>396</v>
      </c>
      <c r="C55" s="196" t="s">
        <v>388</v>
      </c>
      <c r="D55" s="196"/>
    </row>
    <row r="56" ht="12.75" customHeight="1">
      <c r="A56" s="196">
        <v>51.0</v>
      </c>
      <c r="B56" s="196" t="s">
        <v>397</v>
      </c>
      <c r="C56" s="196" t="s">
        <v>398</v>
      </c>
      <c r="D56" s="196"/>
    </row>
    <row r="57" ht="12.75" customHeight="1">
      <c r="A57" s="196">
        <v>52.0</v>
      </c>
      <c r="B57" s="196" t="s">
        <v>399</v>
      </c>
      <c r="C57" s="196" t="s">
        <v>400</v>
      </c>
      <c r="D57" s="196" t="s">
        <v>401</v>
      </c>
    </row>
    <row r="58" ht="12.75" customHeight="1">
      <c r="A58" s="196">
        <v>53.0</v>
      </c>
      <c r="B58" s="196" t="s">
        <v>402</v>
      </c>
      <c r="C58" s="198" t="s">
        <v>403</v>
      </c>
      <c r="D58" s="196"/>
    </row>
    <row r="59" ht="12.75" customHeight="1">
      <c r="A59" s="196">
        <v>52.0</v>
      </c>
      <c r="B59" s="196" t="s">
        <v>404</v>
      </c>
      <c r="C59" s="196" t="s">
        <v>388</v>
      </c>
      <c r="D59" s="196"/>
    </row>
    <row r="60" ht="12.75" customHeight="1">
      <c r="A60" s="196">
        <v>54.0</v>
      </c>
      <c r="B60" s="196" t="s">
        <v>405</v>
      </c>
      <c r="C60" s="196" t="s">
        <v>406</v>
      </c>
      <c r="D60" s="196"/>
    </row>
    <row r="61" ht="12.75" customHeight="1">
      <c r="A61" s="196">
        <v>55.0</v>
      </c>
      <c r="B61" s="196" t="s">
        <v>407</v>
      </c>
      <c r="C61" s="196" t="s">
        <v>408</v>
      </c>
      <c r="D61" s="196"/>
    </row>
    <row r="62" ht="12.75" customHeight="1">
      <c r="A62" s="196">
        <v>56.0</v>
      </c>
      <c r="B62" s="196" t="s">
        <v>409</v>
      </c>
      <c r="C62" s="196" t="s">
        <v>333</v>
      </c>
      <c r="D62" s="196"/>
    </row>
    <row r="63" ht="12.75" customHeight="1">
      <c r="A63" s="196">
        <v>57.0</v>
      </c>
      <c r="B63" s="196" t="s">
        <v>410</v>
      </c>
      <c r="C63" s="196" t="s">
        <v>411</v>
      </c>
      <c r="D63" s="196"/>
    </row>
    <row r="64" ht="12.75" customHeight="1">
      <c r="A64" s="195" t="s">
        <v>412</v>
      </c>
      <c r="B64" s="196"/>
      <c r="C64" s="196"/>
      <c r="D64" s="196"/>
    </row>
    <row r="65" ht="12.75" customHeight="1">
      <c r="A65" s="196"/>
      <c r="B65" s="196"/>
      <c r="C65" s="196"/>
      <c r="D65" s="196"/>
    </row>
    <row r="66" ht="12.75" customHeight="1">
      <c r="A66" s="196"/>
      <c r="B66" s="196"/>
      <c r="C66" s="196"/>
      <c r="D66" s="196"/>
    </row>
    <row r="67" ht="12.75" customHeight="1">
      <c r="A67" s="196"/>
      <c r="B67" s="196"/>
      <c r="C67" s="196"/>
      <c r="D67" s="196"/>
    </row>
    <row r="68" ht="12.75" customHeight="1">
      <c r="A68" s="196"/>
      <c r="B68" s="196"/>
      <c r="C68" s="196"/>
      <c r="D68" s="196"/>
    </row>
    <row r="69" ht="12.75" customHeight="1">
      <c r="A69" s="196"/>
      <c r="B69" s="196"/>
      <c r="C69" s="196"/>
      <c r="D69" s="196"/>
    </row>
    <row r="70" ht="12.75" customHeight="1">
      <c r="A70" s="196"/>
      <c r="B70" s="196"/>
      <c r="C70" s="196"/>
      <c r="D70" s="196"/>
    </row>
    <row r="71" ht="12.75" customHeight="1">
      <c r="A71" s="196"/>
      <c r="B71" s="196"/>
      <c r="C71" s="196"/>
      <c r="D71" s="196"/>
    </row>
    <row r="72" ht="12.75" customHeight="1">
      <c r="A72" s="196"/>
      <c r="B72" s="196"/>
      <c r="C72" s="196"/>
      <c r="D72" s="196"/>
    </row>
    <row r="73" ht="12.75" customHeight="1">
      <c r="A73" s="196"/>
      <c r="B73" s="196"/>
      <c r="C73" s="196"/>
      <c r="D73" s="196"/>
    </row>
    <row r="74" ht="12.75" customHeight="1">
      <c r="A74" s="196"/>
      <c r="B74" s="196"/>
      <c r="C74" s="196"/>
      <c r="D74" s="196"/>
    </row>
    <row r="75" ht="12.75" customHeight="1">
      <c r="A75" s="196"/>
      <c r="B75" s="196"/>
      <c r="C75" s="196"/>
      <c r="D75" s="196"/>
    </row>
    <row r="76" ht="12.75" customHeight="1">
      <c r="A76" s="196"/>
      <c r="B76" s="196"/>
      <c r="C76" s="196"/>
      <c r="D76" s="196"/>
    </row>
    <row r="77" ht="12.75" customHeight="1">
      <c r="A77" s="196"/>
      <c r="B77" s="196"/>
      <c r="C77" s="196"/>
      <c r="D77" s="196"/>
    </row>
    <row r="78" ht="12.75" customHeight="1">
      <c r="A78" s="196"/>
      <c r="B78" s="196"/>
      <c r="C78" s="196"/>
      <c r="D78" s="196"/>
    </row>
    <row r="79" ht="12.75" customHeight="1">
      <c r="A79" s="196"/>
      <c r="B79" s="196"/>
      <c r="C79" s="196"/>
      <c r="D79" s="196"/>
    </row>
    <row r="80" ht="12.75" customHeight="1">
      <c r="A80" s="196"/>
      <c r="B80" s="196"/>
      <c r="C80" s="196"/>
      <c r="D80" s="196"/>
    </row>
    <row r="81" ht="12.75" customHeight="1">
      <c r="A81" s="196"/>
      <c r="B81" s="196"/>
      <c r="C81" s="196"/>
      <c r="D81" s="196"/>
    </row>
    <row r="82" ht="12.75" customHeight="1">
      <c r="A82" s="196"/>
      <c r="B82" s="196"/>
      <c r="C82" s="196"/>
      <c r="D82" s="196"/>
    </row>
    <row r="83" ht="12.75" customHeight="1">
      <c r="A83" s="196"/>
      <c r="B83" s="196"/>
      <c r="C83" s="196"/>
      <c r="D83" s="196"/>
    </row>
    <row r="84" ht="12.75" customHeight="1">
      <c r="A84" s="196"/>
      <c r="B84" s="196"/>
      <c r="C84" s="196"/>
      <c r="D84" s="196"/>
    </row>
    <row r="85" ht="12.75" customHeight="1">
      <c r="A85" s="196"/>
      <c r="B85" s="196"/>
      <c r="C85" s="196"/>
      <c r="D85" s="196"/>
    </row>
    <row r="86" ht="12.75" customHeight="1">
      <c r="A86" s="196"/>
      <c r="B86" s="196"/>
      <c r="C86" s="196"/>
      <c r="D86" s="196"/>
    </row>
    <row r="87" ht="12.75" customHeight="1">
      <c r="A87" s="196"/>
      <c r="B87" s="196"/>
      <c r="C87" s="196"/>
      <c r="D87" s="196"/>
    </row>
    <row r="88" ht="12.75" customHeight="1">
      <c r="A88" s="196"/>
      <c r="B88" s="196"/>
      <c r="C88" s="196"/>
      <c r="D88" s="196"/>
    </row>
    <row r="89" ht="12.75" customHeight="1">
      <c r="A89" s="196"/>
      <c r="B89" s="196"/>
      <c r="C89" s="196"/>
      <c r="D89" s="196"/>
    </row>
    <row r="90" ht="12.75" customHeight="1">
      <c r="A90" s="196"/>
      <c r="B90" s="196"/>
      <c r="C90" s="196"/>
      <c r="D90" s="196"/>
    </row>
    <row r="91" ht="12.75" customHeight="1">
      <c r="A91" s="196"/>
      <c r="B91" s="196"/>
      <c r="C91" s="196"/>
      <c r="D91" s="196"/>
    </row>
    <row r="92" ht="12.75" customHeight="1">
      <c r="A92" s="196"/>
      <c r="B92" s="196"/>
      <c r="C92" s="196"/>
      <c r="D92" s="196"/>
    </row>
    <row r="93" ht="12.75" customHeight="1">
      <c r="A93" s="196"/>
      <c r="B93" s="196"/>
      <c r="C93" s="196"/>
      <c r="D93" s="196"/>
    </row>
    <row r="94" ht="12.75" customHeight="1">
      <c r="A94" s="196"/>
      <c r="B94" s="196"/>
      <c r="C94" s="196"/>
      <c r="D94" s="196"/>
    </row>
    <row r="95" ht="12.75" customHeight="1">
      <c r="A95" s="196"/>
      <c r="B95" s="196"/>
      <c r="C95" s="196"/>
      <c r="D95" s="196"/>
    </row>
    <row r="96" ht="12.75" customHeight="1">
      <c r="A96" s="196"/>
      <c r="B96" s="196"/>
      <c r="C96" s="196"/>
      <c r="D96" s="196"/>
    </row>
    <row r="97" ht="12.75" customHeight="1">
      <c r="A97" s="196"/>
      <c r="B97" s="196"/>
      <c r="C97" s="196"/>
      <c r="D97" s="196"/>
    </row>
    <row r="98" ht="12.75" customHeight="1">
      <c r="A98" s="196"/>
      <c r="B98" s="196"/>
      <c r="C98" s="196"/>
      <c r="D98" s="196"/>
    </row>
    <row r="99" ht="12.75" customHeight="1">
      <c r="A99" s="196"/>
      <c r="B99" s="196"/>
      <c r="C99" s="196"/>
      <c r="D99" s="196"/>
    </row>
    <row r="100" ht="12.75" customHeight="1">
      <c r="A100" s="196"/>
      <c r="B100" s="196"/>
      <c r="C100" s="196"/>
      <c r="D100" s="196"/>
    </row>
    <row r="101" ht="12.75" customHeight="1">
      <c r="A101" s="196"/>
      <c r="B101" s="196"/>
      <c r="C101" s="196"/>
      <c r="D101" s="196"/>
    </row>
    <row r="102" ht="12.75" customHeight="1">
      <c r="A102" s="196"/>
      <c r="B102" s="196"/>
      <c r="C102" s="196"/>
      <c r="D102" s="196"/>
    </row>
    <row r="103" ht="12.75" customHeight="1">
      <c r="A103" s="196"/>
      <c r="B103" s="196"/>
      <c r="C103" s="196"/>
      <c r="D103" s="196"/>
    </row>
    <row r="104" ht="12.75" customHeight="1">
      <c r="A104" s="196"/>
      <c r="B104" s="196"/>
      <c r="C104" s="196"/>
      <c r="D104" s="196"/>
    </row>
    <row r="105" ht="12.75" customHeight="1">
      <c r="A105" s="196"/>
      <c r="B105" s="196"/>
      <c r="C105" s="196"/>
      <c r="D105" s="196"/>
    </row>
    <row r="106" ht="12.75" customHeight="1">
      <c r="A106" s="196"/>
      <c r="B106" s="196"/>
      <c r="C106" s="196"/>
      <c r="D106" s="196"/>
    </row>
    <row r="107" ht="12.75" customHeight="1">
      <c r="A107" s="196"/>
      <c r="B107" s="196"/>
      <c r="C107" s="196"/>
      <c r="D107" s="196"/>
    </row>
    <row r="108" ht="12.75" customHeight="1">
      <c r="A108" s="196"/>
      <c r="B108" s="196"/>
      <c r="C108" s="196"/>
      <c r="D108" s="196"/>
    </row>
    <row r="109" ht="12.75" customHeight="1">
      <c r="A109" s="196"/>
      <c r="B109" s="196"/>
      <c r="C109" s="196"/>
      <c r="D109" s="196"/>
    </row>
    <row r="110" ht="12.75" customHeight="1">
      <c r="A110" s="196"/>
      <c r="B110" s="196"/>
      <c r="C110" s="196"/>
      <c r="D110" s="196"/>
    </row>
    <row r="111" ht="12.75" customHeight="1">
      <c r="A111" s="196"/>
      <c r="B111" s="196"/>
      <c r="C111" s="196"/>
      <c r="D111" s="196"/>
    </row>
    <row r="112" ht="12.75" customHeight="1">
      <c r="A112" s="196"/>
      <c r="B112" s="196"/>
      <c r="C112" s="196"/>
      <c r="D112" s="196"/>
    </row>
    <row r="113" ht="12.75" customHeight="1">
      <c r="A113" s="196"/>
      <c r="B113" s="196"/>
      <c r="C113" s="196"/>
      <c r="D113" s="196"/>
    </row>
    <row r="114" ht="12.75" customHeight="1">
      <c r="A114" s="196"/>
      <c r="B114" s="196"/>
      <c r="C114" s="196"/>
      <c r="D114" s="196"/>
    </row>
    <row r="115" ht="12.75" customHeight="1">
      <c r="A115" s="196"/>
      <c r="B115" s="196"/>
      <c r="C115" s="196"/>
      <c r="D115" s="196"/>
    </row>
    <row r="116" ht="12.75" customHeight="1">
      <c r="A116" s="196"/>
      <c r="B116" s="196"/>
      <c r="C116" s="196"/>
      <c r="D116" s="196"/>
    </row>
    <row r="117" ht="12.75" customHeight="1">
      <c r="A117" s="196"/>
      <c r="B117" s="196"/>
      <c r="C117" s="196"/>
      <c r="D117" s="196"/>
    </row>
    <row r="118" ht="12.75" customHeight="1">
      <c r="A118" s="196"/>
      <c r="B118" s="196"/>
      <c r="C118" s="196"/>
      <c r="D118" s="196"/>
    </row>
    <row r="119" ht="12.75" customHeight="1">
      <c r="A119" s="196"/>
      <c r="B119" s="196"/>
      <c r="C119" s="196"/>
      <c r="D119" s="196"/>
    </row>
    <row r="120" ht="12.75" customHeight="1">
      <c r="A120" s="196"/>
      <c r="B120" s="196"/>
      <c r="C120" s="196"/>
      <c r="D120" s="196"/>
    </row>
    <row r="121" ht="12.75" customHeight="1">
      <c r="A121" s="196"/>
      <c r="B121" s="196"/>
      <c r="C121" s="196"/>
      <c r="D121" s="196"/>
    </row>
    <row r="122" ht="12.75" customHeight="1">
      <c r="A122" s="196"/>
      <c r="B122" s="196"/>
      <c r="C122" s="196"/>
      <c r="D122" s="196"/>
    </row>
    <row r="123" ht="12.75" customHeight="1">
      <c r="A123" s="196"/>
      <c r="B123" s="196"/>
      <c r="C123" s="196"/>
      <c r="D123" s="196"/>
    </row>
    <row r="124" ht="12.75" customHeight="1">
      <c r="A124" s="196"/>
      <c r="B124" s="196"/>
      <c r="C124" s="196"/>
      <c r="D124" s="196"/>
    </row>
    <row r="125" ht="12.75" customHeight="1">
      <c r="A125" s="196"/>
      <c r="B125" s="196"/>
      <c r="C125" s="196"/>
      <c r="D125" s="196"/>
    </row>
    <row r="126" ht="12.75" customHeight="1">
      <c r="A126" s="196"/>
      <c r="B126" s="196"/>
      <c r="C126" s="196"/>
      <c r="D126" s="196"/>
    </row>
    <row r="127" ht="12.75" customHeight="1">
      <c r="A127" s="196"/>
      <c r="B127" s="196"/>
      <c r="C127" s="196"/>
      <c r="D127" s="196"/>
    </row>
    <row r="128" ht="12.75" customHeight="1">
      <c r="A128" s="196"/>
      <c r="B128" s="196"/>
      <c r="C128" s="196"/>
      <c r="D128" s="196"/>
    </row>
    <row r="129" ht="12.75" customHeight="1">
      <c r="A129" s="196"/>
      <c r="B129" s="196"/>
      <c r="C129" s="196"/>
      <c r="D129" s="196"/>
    </row>
    <row r="130" ht="12.75" customHeight="1">
      <c r="A130" s="196"/>
      <c r="B130" s="196"/>
      <c r="C130" s="196"/>
      <c r="D130" s="196"/>
    </row>
    <row r="131" ht="12.75" customHeight="1">
      <c r="A131" s="196"/>
      <c r="B131" s="196"/>
      <c r="C131" s="196"/>
      <c r="D131" s="196"/>
    </row>
    <row r="132" ht="12.75" customHeight="1">
      <c r="A132" s="196"/>
      <c r="B132" s="196"/>
      <c r="C132" s="196"/>
      <c r="D132" s="196"/>
    </row>
    <row r="133" ht="12.75" customHeight="1">
      <c r="A133" s="196"/>
      <c r="B133" s="196"/>
      <c r="C133" s="196"/>
      <c r="D133" s="196"/>
    </row>
    <row r="134" ht="12.75" customHeight="1">
      <c r="A134" s="196"/>
      <c r="B134" s="196"/>
      <c r="C134" s="196"/>
      <c r="D134" s="196"/>
    </row>
    <row r="135" ht="12.75" customHeight="1">
      <c r="A135" s="196"/>
      <c r="B135" s="196"/>
      <c r="C135" s="196"/>
      <c r="D135" s="196"/>
    </row>
    <row r="136" ht="12.75" customHeight="1">
      <c r="A136" s="196"/>
      <c r="B136" s="196"/>
      <c r="C136" s="196"/>
      <c r="D136" s="196"/>
    </row>
    <row r="137" ht="12.75" customHeight="1">
      <c r="A137" s="196"/>
      <c r="B137" s="196"/>
      <c r="C137" s="196"/>
      <c r="D137" s="196"/>
    </row>
    <row r="138" ht="12.75" customHeight="1">
      <c r="A138" s="196"/>
      <c r="B138" s="196"/>
      <c r="C138" s="196"/>
      <c r="D138" s="196"/>
    </row>
    <row r="139" ht="12.75" customHeight="1">
      <c r="A139" s="196"/>
      <c r="B139" s="196"/>
      <c r="C139" s="196"/>
      <c r="D139" s="196"/>
    </row>
    <row r="140" ht="12.75" customHeight="1">
      <c r="A140" s="196"/>
      <c r="B140" s="196"/>
      <c r="C140" s="196"/>
      <c r="D140" s="196"/>
    </row>
    <row r="141" ht="12.75" customHeight="1">
      <c r="A141" s="196"/>
      <c r="B141" s="196"/>
      <c r="C141" s="196"/>
      <c r="D141" s="196"/>
    </row>
    <row r="142" ht="12.75" customHeight="1">
      <c r="A142" s="196"/>
      <c r="B142" s="196"/>
      <c r="C142" s="196"/>
      <c r="D142" s="196"/>
    </row>
    <row r="143" ht="12.75" customHeight="1">
      <c r="A143" s="196"/>
      <c r="B143" s="196"/>
      <c r="C143" s="196"/>
      <c r="D143" s="196"/>
    </row>
    <row r="144" ht="12.75" customHeight="1">
      <c r="A144" s="196"/>
      <c r="B144" s="196"/>
      <c r="C144" s="196"/>
      <c r="D144" s="196"/>
    </row>
    <row r="145" ht="12.75" customHeight="1">
      <c r="A145" s="196"/>
      <c r="B145" s="196"/>
      <c r="C145" s="196"/>
      <c r="D145" s="196"/>
    </row>
    <row r="146" ht="12.75" customHeight="1">
      <c r="A146" s="196"/>
      <c r="B146" s="196"/>
      <c r="C146" s="196"/>
      <c r="D146" s="196"/>
    </row>
    <row r="147" ht="12.75" customHeight="1">
      <c r="A147" s="196"/>
      <c r="B147" s="196"/>
      <c r="C147" s="196"/>
      <c r="D147" s="196"/>
    </row>
    <row r="148" ht="12.75" customHeight="1">
      <c r="A148" s="196"/>
      <c r="B148" s="196"/>
      <c r="C148" s="196"/>
      <c r="D148" s="196"/>
    </row>
    <row r="149" ht="12.75" customHeight="1">
      <c r="A149" s="196"/>
      <c r="B149" s="196"/>
      <c r="C149" s="196"/>
      <c r="D149" s="196"/>
    </row>
    <row r="150" ht="12.75" customHeight="1">
      <c r="A150" s="196"/>
      <c r="B150" s="196"/>
      <c r="C150" s="196"/>
      <c r="D150" s="196"/>
    </row>
    <row r="151" ht="12.75" customHeight="1">
      <c r="A151" s="196"/>
      <c r="B151" s="196"/>
      <c r="C151" s="196"/>
      <c r="D151" s="196"/>
    </row>
    <row r="152" ht="12.75" customHeight="1">
      <c r="A152" s="196"/>
      <c r="B152" s="196"/>
      <c r="C152" s="196"/>
      <c r="D152" s="196"/>
    </row>
    <row r="153" ht="12.75" customHeight="1">
      <c r="A153" s="196"/>
      <c r="B153" s="196"/>
      <c r="C153" s="196"/>
      <c r="D153" s="196"/>
    </row>
    <row r="154" ht="12.75" customHeight="1">
      <c r="A154" s="196"/>
      <c r="B154" s="196"/>
      <c r="C154" s="196"/>
      <c r="D154" s="196"/>
    </row>
    <row r="155" ht="12.75" customHeight="1">
      <c r="A155" s="196"/>
      <c r="B155" s="196"/>
      <c r="C155" s="196"/>
      <c r="D155" s="196"/>
    </row>
    <row r="156" ht="12.75" customHeight="1">
      <c r="A156" s="196"/>
      <c r="B156" s="196"/>
      <c r="C156" s="196"/>
      <c r="D156" s="196"/>
    </row>
    <row r="157" ht="12.75" customHeight="1">
      <c r="A157" s="196"/>
      <c r="B157" s="196"/>
      <c r="C157" s="196"/>
      <c r="D157" s="196"/>
    </row>
    <row r="158" ht="12.75" customHeight="1">
      <c r="A158" s="196"/>
      <c r="B158" s="196"/>
      <c r="C158" s="196"/>
      <c r="D158" s="196"/>
    </row>
    <row r="159" ht="12.75" customHeight="1">
      <c r="A159" s="196"/>
      <c r="B159" s="196"/>
      <c r="C159" s="196"/>
      <c r="D159" s="196"/>
    </row>
    <row r="160" ht="12.75" customHeight="1">
      <c r="A160" s="196"/>
      <c r="B160" s="196"/>
      <c r="C160" s="196"/>
      <c r="D160" s="196"/>
    </row>
    <row r="161" ht="12.75" customHeight="1">
      <c r="A161" s="196"/>
      <c r="B161" s="196"/>
      <c r="C161" s="196"/>
      <c r="D161" s="196"/>
    </row>
    <row r="162" ht="12.75" customHeight="1">
      <c r="A162" s="196"/>
      <c r="B162" s="196"/>
      <c r="C162" s="196"/>
      <c r="D162" s="196"/>
    </row>
    <row r="163" ht="12.75" customHeight="1">
      <c r="A163" s="196"/>
      <c r="B163" s="196"/>
      <c r="C163" s="196"/>
      <c r="D163" s="196"/>
    </row>
    <row r="164" ht="12.75" customHeight="1">
      <c r="A164" s="196"/>
      <c r="B164" s="196"/>
      <c r="C164" s="196"/>
      <c r="D164" s="196"/>
    </row>
    <row r="165" ht="12.75" customHeight="1">
      <c r="A165" s="196"/>
      <c r="B165" s="196"/>
      <c r="C165" s="196"/>
      <c r="D165" s="196"/>
    </row>
    <row r="166" ht="12.75" customHeight="1">
      <c r="A166" s="196"/>
      <c r="B166" s="196"/>
      <c r="C166" s="196"/>
      <c r="D166" s="196"/>
    </row>
    <row r="167" ht="12.75" customHeight="1">
      <c r="A167" s="196"/>
      <c r="B167" s="196"/>
      <c r="C167" s="196"/>
      <c r="D167" s="196"/>
    </row>
    <row r="168" ht="12.75" customHeight="1">
      <c r="A168" s="196"/>
      <c r="B168" s="196"/>
      <c r="C168" s="196"/>
      <c r="D168" s="196"/>
    </row>
    <row r="169" ht="12.75" customHeight="1">
      <c r="A169" s="196"/>
      <c r="B169" s="196"/>
      <c r="C169" s="196"/>
      <c r="D169" s="196"/>
    </row>
    <row r="170" ht="12.75" customHeight="1">
      <c r="A170" s="196"/>
      <c r="B170" s="196"/>
      <c r="C170" s="196"/>
      <c r="D170" s="196"/>
    </row>
    <row r="171" ht="12.75" customHeight="1">
      <c r="A171" s="196"/>
      <c r="B171" s="196"/>
      <c r="C171" s="196"/>
      <c r="D171" s="196"/>
    </row>
    <row r="172" ht="12.75" customHeight="1">
      <c r="A172" s="196"/>
      <c r="B172" s="196"/>
      <c r="C172" s="196"/>
      <c r="D172" s="196"/>
    </row>
    <row r="173" ht="12.75" customHeight="1">
      <c r="A173" s="196"/>
      <c r="B173" s="196"/>
      <c r="C173" s="196"/>
      <c r="D173" s="196"/>
    </row>
    <row r="174" ht="12.75" customHeight="1">
      <c r="A174" s="196"/>
      <c r="B174" s="196"/>
      <c r="C174" s="196"/>
      <c r="D174" s="196"/>
    </row>
    <row r="175" ht="12.75" customHeight="1">
      <c r="A175" s="196"/>
      <c r="B175" s="196"/>
      <c r="C175" s="196"/>
      <c r="D175" s="196"/>
    </row>
    <row r="176" ht="12.75" customHeight="1">
      <c r="A176" s="196"/>
      <c r="B176" s="196"/>
      <c r="C176" s="196"/>
      <c r="D176" s="196"/>
    </row>
    <row r="177" ht="12.75" customHeight="1">
      <c r="A177" s="196"/>
      <c r="B177" s="196"/>
      <c r="C177" s="196"/>
      <c r="D177" s="196"/>
    </row>
    <row r="178" ht="12.75" customHeight="1">
      <c r="A178" s="196"/>
      <c r="B178" s="196"/>
      <c r="C178" s="196"/>
      <c r="D178" s="196"/>
    </row>
    <row r="179" ht="12.75" customHeight="1">
      <c r="A179" s="196"/>
      <c r="B179" s="196"/>
      <c r="C179" s="196"/>
      <c r="D179" s="196"/>
    </row>
    <row r="180" ht="12.75" customHeight="1">
      <c r="A180" s="196"/>
      <c r="B180" s="196"/>
      <c r="C180" s="196"/>
      <c r="D180" s="196"/>
    </row>
    <row r="181" ht="12.75" customHeight="1">
      <c r="A181" s="196"/>
      <c r="B181" s="196"/>
      <c r="C181" s="196"/>
      <c r="D181" s="196"/>
    </row>
    <row r="182" ht="12.75" customHeight="1">
      <c r="A182" s="196"/>
      <c r="B182" s="196"/>
      <c r="C182" s="196"/>
      <c r="D182" s="196"/>
    </row>
    <row r="183" ht="12.75" customHeight="1">
      <c r="A183" s="196"/>
      <c r="B183" s="196"/>
      <c r="C183" s="196"/>
      <c r="D183" s="196"/>
    </row>
    <row r="184" ht="12.75" customHeight="1">
      <c r="A184" s="196"/>
      <c r="B184" s="196"/>
      <c r="C184" s="196"/>
      <c r="D184" s="196"/>
    </row>
    <row r="185" ht="12.75" customHeight="1">
      <c r="A185" s="196"/>
      <c r="B185" s="196"/>
      <c r="C185" s="196"/>
      <c r="D185" s="196"/>
    </row>
    <row r="186" ht="12.75" customHeight="1">
      <c r="A186" s="196"/>
      <c r="B186" s="196"/>
      <c r="C186" s="196"/>
      <c r="D186" s="196"/>
    </row>
    <row r="187" ht="12.75" customHeight="1">
      <c r="A187" s="196"/>
      <c r="B187" s="196"/>
      <c r="C187" s="196"/>
      <c r="D187" s="196"/>
    </row>
    <row r="188" ht="12.75" customHeight="1">
      <c r="A188" s="196"/>
      <c r="B188" s="196"/>
      <c r="C188" s="196"/>
      <c r="D188" s="196"/>
    </row>
    <row r="189" ht="12.75" customHeight="1">
      <c r="A189" s="196"/>
      <c r="B189" s="196"/>
      <c r="C189" s="196"/>
      <c r="D189" s="196"/>
    </row>
    <row r="190" ht="12.75" customHeight="1">
      <c r="A190" s="196"/>
      <c r="B190" s="196"/>
      <c r="C190" s="196"/>
      <c r="D190" s="196"/>
    </row>
    <row r="191" ht="12.75" customHeight="1">
      <c r="A191" s="196"/>
      <c r="B191" s="196"/>
      <c r="C191" s="196"/>
      <c r="D191" s="196"/>
    </row>
    <row r="192" ht="12.75" customHeight="1">
      <c r="A192" s="196"/>
      <c r="B192" s="196"/>
      <c r="C192" s="196"/>
      <c r="D192" s="196"/>
    </row>
    <row r="193" ht="12.75" customHeight="1">
      <c r="A193" s="196"/>
      <c r="B193" s="196"/>
      <c r="C193" s="196"/>
      <c r="D193" s="196"/>
    </row>
    <row r="194" ht="12.75" customHeight="1">
      <c r="A194" s="196"/>
      <c r="B194" s="196"/>
      <c r="C194" s="196"/>
      <c r="D194" s="196"/>
    </row>
    <row r="195" ht="12.75" customHeight="1">
      <c r="A195" s="196"/>
      <c r="B195" s="196"/>
      <c r="C195" s="196"/>
      <c r="D195" s="196"/>
    </row>
    <row r="196" ht="12.75" customHeight="1">
      <c r="A196" s="196"/>
      <c r="B196" s="196"/>
      <c r="C196" s="196"/>
      <c r="D196" s="196"/>
    </row>
    <row r="197" ht="12.75" customHeight="1">
      <c r="A197" s="196"/>
      <c r="B197" s="196"/>
      <c r="C197" s="196"/>
      <c r="D197" s="196"/>
    </row>
    <row r="198" ht="12.75" customHeight="1">
      <c r="A198" s="196"/>
      <c r="B198" s="196"/>
      <c r="C198" s="196"/>
      <c r="D198" s="196"/>
    </row>
    <row r="199" ht="12.75" customHeight="1">
      <c r="A199" s="196"/>
      <c r="B199" s="196"/>
      <c r="C199" s="196"/>
      <c r="D199" s="196"/>
    </row>
    <row r="200" ht="12.75" customHeight="1">
      <c r="A200" s="196"/>
      <c r="B200" s="196"/>
      <c r="C200" s="196"/>
      <c r="D200" s="196"/>
    </row>
    <row r="201" ht="12.75" customHeight="1">
      <c r="A201" s="196"/>
      <c r="B201" s="196"/>
      <c r="C201" s="196"/>
      <c r="D201" s="196"/>
    </row>
    <row r="202" ht="12.75" customHeight="1">
      <c r="A202" s="196"/>
      <c r="B202" s="196"/>
      <c r="C202" s="196"/>
      <c r="D202" s="196"/>
    </row>
    <row r="203" ht="12.75" customHeight="1">
      <c r="A203" s="196"/>
      <c r="B203" s="196"/>
      <c r="C203" s="196"/>
      <c r="D203" s="196"/>
    </row>
    <row r="204" ht="12.75" customHeight="1">
      <c r="A204" s="196"/>
      <c r="B204" s="196"/>
      <c r="C204" s="196"/>
      <c r="D204" s="196"/>
    </row>
    <row r="205" ht="12.75" customHeight="1">
      <c r="A205" s="196"/>
      <c r="B205" s="196"/>
      <c r="C205" s="196"/>
      <c r="D205" s="196"/>
    </row>
    <row r="206" ht="12.75" customHeight="1">
      <c r="A206" s="196"/>
      <c r="B206" s="196"/>
      <c r="C206" s="196"/>
      <c r="D206" s="196"/>
    </row>
    <row r="207" ht="12.75" customHeight="1">
      <c r="A207" s="196"/>
      <c r="B207" s="196"/>
      <c r="C207" s="196"/>
      <c r="D207" s="196"/>
    </row>
    <row r="208" ht="12.75" customHeight="1">
      <c r="A208" s="196"/>
      <c r="B208" s="196"/>
      <c r="C208" s="196"/>
      <c r="D208" s="196"/>
    </row>
    <row r="209" ht="12.75" customHeight="1">
      <c r="A209" s="196"/>
      <c r="B209" s="196"/>
      <c r="C209" s="196"/>
      <c r="D209" s="196"/>
    </row>
    <row r="210" ht="12.75" customHeight="1">
      <c r="A210" s="196"/>
      <c r="B210" s="196"/>
      <c r="C210" s="196"/>
      <c r="D210" s="196"/>
    </row>
    <row r="211" ht="12.75" customHeight="1">
      <c r="A211" s="196"/>
      <c r="B211" s="196"/>
      <c r="C211" s="196"/>
      <c r="D211" s="196"/>
    </row>
    <row r="212" ht="12.75" customHeight="1">
      <c r="A212" s="196"/>
      <c r="B212" s="196"/>
      <c r="C212" s="196"/>
      <c r="D212" s="196"/>
    </row>
    <row r="213" ht="12.75" customHeight="1">
      <c r="A213" s="196"/>
      <c r="B213" s="196"/>
      <c r="C213" s="196"/>
      <c r="D213" s="196"/>
    </row>
    <row r="214" ht="12.75" customHeight="1">
      <c r="A214" s="196"/>
      <c r="B214" s="196"/>
      <c r="C214" s="196"/>
      <c r="D214" s="196"/>
    </row>
    <row r="215" ht="12.75" customHeight="1">
      <c r="A215" s="196"/>
      <c r="B215" s="196"/>
      <c r="C215" s="196"/>
      <c r="D215" s="196"/>
    </row>
    <row r="216" ht="12.75" customHeight="1">
      <c r="A216" s="196"/>
      <c r="B216" s="196"/>
      <c r="C216" s="196"/>
      <c r="D216" s="196"/>
    </row>
    <row r="217" ht="12.75" customHeight="1">
      <c r="A217" s="196"/>
      <c r="B217" s="196"/>
      <c r="C217" s="196"/>
      <c r="D217" s="196"/>
    </row>
    <row r="218" ht="12.75" customHeight="1">
      <c r="A218" s="196"/>
      <c r="B218" s="196"/>
      <c r="C218" s="196"/>
      <c r="D218" s="196"/>
    </row>
    <row r="219" ht="12.75" customHeight="1">
      <c r="A219" s="196"/>
      <c r="B219" s="196"/>
      <c r="C219" s="196"/>
      <c r="D219" s="196"/>
    </row>
    <row r="220" ht="12.75" customHeight="1">
      <c r="A220" s="196"/>
      <c r="B220" s="196"/>
      <c r="C220" s="196"/>
      <c r="D220" s="196"/>
    </row>
    <row r="221" ht="12.75" customHeight="1">
      <c r="A221" s="196"/>
      <c r="B221" s="196"/>
      <c r="C221" s="196"/>
      <c r="D221" s="196"/>
    </row>
    <row r="222" ht="12.75" customHeight="1">
      <c r="A222" s="196"/>
      <c r="B222" s="196"/>
      <c r="C222" s="196"/>
      <c r="D222" s="196"/>
    </row>
    <row r="223" ht="12.75" customHeight="1">
      <c r="A223" s="196"/>
      <c r="B223" s="196"/>
      <c r="C223" s="196"/>
      <c r="D223" s="196"/>
    </row>
    <row r="224" ht="12.75" customHeight="1">
      <c r="A224" s="196"/>
      <c r="B224" s="196"/>
      <c r="C224" s="196"/>
      <c r="D224" s="196"/>
    </row>
    <row r="225" ht="12.75" customHeight="1">
      <c r="A225" s="196"/>
      <c r="B225" s="196"/>
      <c r="C225" s="196"/>
      <c r="D225" s="196"/>
    </row>
    <row r="226" ht="12.75" customHeight="1">
      <c r="A226" s="196"/>
      <c r="B226" s="196"/>
      <c r="C226" s="196"/>
      <c r="D226" s="196"/>
    </row>
    <row r="227" ht="12.75" customHeight="1">
      <c r="A227" s="196"/>
      <c r="B227" s="196"/>
      <c r="C227" s="196"/>
      <c r="D227" s="196"/>
    </row>
    <row r="228" ht="12.75" customHeight="1">
      <c r="A228" s="196"/>
      <c r="B228" s="196"/>
      <c r="C228" s="196"/>
      <c r="D228" s="196"/>
    </row>
    <row r="229" ht="12.75" customHeight="1">
      <c r="A229" s="196"/>
      <c r="B229" s="196"/>
      <c r="C229" s="196"/>
      <c r="D229" s="196"/>
    </row>
    <row r="230" ht="12.75" customHeight="1">
      <c r="A230" s="196"/>
      <c r="B230" s="196"/>
      <c r="C230" s="196"/>
      <c r="D230" s="196"/>
    </row>
    <row r="231" ht="12.75" customHeight="1">
      <c r="A231" s="196"/>
      <c r="B231" s="196"/>
      <c r="C231" s="196"/>
      <c r="D231" s="196"/>
    </row>
    <row r="232" ht="12.75" customHeight="1">
      <c r="A232" s="196"/>
      <c r="B232" s="196"/>
      <c r="C232" s="196"/>
      <c r="D232" s="196"/>
    </row>
    <row r="233" ht="12.75" customHeight="1">
      <c r="A233" s="196"/>
      <c r="B233" s="196"/>
      <c r="C233" s="196"/>
      <c r="D233" s="196"/>
    </row>
    <row r="234" ht="12.75" customHeight="1">
      <c r="A234" s="196"/>
      <c r="B234" s="196"/>
      <c r="C234" s="196"/>
      <c r="D234" s="196"/>
    </row>
    <row r="235" ht="12.75" customHeight="1">
      <c r="A235" s="196"/>
      <c r="B235" s="196"/>
      <c r="C235" s="196"/>
      <c r="D235" s="196"/>
    </row>
    <row r="236" ht="12.75" customHeight="1">
      <c r="A236" s="196"/>
      <c r="B236" s="196"/>
      <c r="C236" s="196"/>
      <c r="D236" s="196"/>
    </row>
    <row r="237" ht="12.75" customHeight="1">
      <c r="A237" s="196"/>
      <c r="B237" s="196"/>
      <c r="C237" s="196"/>
      <c r="D237" s="196"/>
    </row>
    <row r="238" ht="12.75" customHeight="1">
      <c r="A238" s="196"/>
      <c r="B238" s="196"/>
      <c r="C238" s="196"/>
      <c r="D238" s="196"/>
    </row>
    <row r="239" ht="12.75" customHeight="1">
      <c r="A239" s="196"/>
      <c r="B239" s="196"/>
      <c r="C239" s="196"/>
      <c r="D239" s="196"/>
    </row>
    <row r="240" ht="12.75" customHeight="1">
      <c r="A240" s="196"/>
      <c r="B240" s="196"/>
      <c r="C240" s="196"/>
      <c r="D240" s="196"/>
    </row>
    <row r="241" ht="12.75" customHeight="1">
      <c r="A241" s="196"/>
      <c r="B241" s="196"/>
      <c r="C241" s="196"/>
      <c r="D241" s="196"/>
    </row>
    <row r="242" ht="12.75" customHeight="1">
      <c r="A242" s="196"/>
      <c r="B242" s="196"/>
      <c r="C242" s="196"/>
      <c r="D242" s="196"/>
    </row>
    <row r="243" ht="12.75" customHeight="1">
      <c r="A243" s="196"/>
      <c r="B243" s="196"/>
      <c r="C243" s="196"/>
      <c r="D243" s="196"/>
    </row>
    <row r="244" ht="12.75" customHeight="1">
      <c r="A244" s="196"/>
      <c r="B244" s="196"/>
      <c r="C244" s="196"/>
      <c r="D244" s="196"/>
    </row>
    <row r="245" ht="12.75" customHeight="1">
      <c r="A245" s="196"/>
      <c r="B245" s="196"/>
      <c r="C245" s="196"/>
      <c r="D245" s="196"/>
    </row>
    <row r="246" ht="12.75" customHeight="1">
      <c r="A246" s="196"/>
      <c r="B246" s="196"/>
      <c r="C246" s="196"/>
      <c r="D246" s="196"/>
    </row>
    <row r="247" ht="12.75" customHeight="1">
      <c r="A247" s="196"/>
      <c r="B247" s="196"/>
      <c r="C247" s="196"/>
      <c r="D247" s="196"/>
    </row>
    <row r="248" ht="12.75" customHeight="1">
      <c r="A248" s="196"/>
      <c r="B248" s="196"/>
      <c r="C248" s="196"/>
      <c r="D248" s="196"/>
    </row>
    <row r="249" ht="12.75" customHeight="1">
      <c r="A249" s="196"/>
      <c r="B249" s="196"/>
      <c r="C249" s="196"/>
      <c r="D249" s="196"/>
    </row>
    <row r="250" ht="12.75" customHeight="1">
      <c r="A250" s="196"/>
      <c r="B250" s="196"/>
      <c r="C250" s="196"/>
      <c r="D250" s="196"/>
    </row>
    <row r="251" ht="12.75" customHeight="1">
      <c r="A251" s="196"/>
      <c r="B251" s="196"/>
      <c r="C251" s="196"/>
      <c r="D251" s="196"/>
    </row>
    <row r="252" ht="12.75" customHeight="1">
      <c r="A252" s="196"/>
      <c r="B252" s="196"/>
      <c r="C252" s="196"/>
      <c r="D252" s="196"/>
    </row>
    <row r="253" ht="12.75" customHeight="1">
      <c r="A253" s="196"/>
      <c r="B253" s="196"/>
      <c r="C253" s="196"/>
      <c r="D253" s="196"/>
    </row>
    <row r="254" ht="12.75" customHeight="1">
      <c r="A254" s="196"/>
      <c r="B254" s="196"/>
      <c r="C254" s="196"/>
      <c r="D254" s="196"/>
    </row>
    <row r="255" ht="12.75" customHeight="1">
      <c r="A255" s="196"/>
      <c r="B255" s="196"/>
      <c r="C255" s="196"/>
      <c r="D255" s="196"/>
    </row>
    <row r="256" ht="12.75" customHeight="1">
      <c r="A256" s="196"/>
      <c r="B256" s="196"/>
      <c r="C256" s="196"/>
      <c r="D256" s="196"/>
    </row>
    <row r="257" ht="12.75" customHeight="1">
      <c r="A257" s="196"/>
      <c r="B257" s="196"/>
      <c r="C257" s="196"/>
      <c r="D257" s="196"/>
    </row>
    <row r="258" ht="12.75" customHeight="1">
      <c r="A258" s="196"/>
      <c r="B258" s="196"/>
      <c r="C258" s="196"/>
      <c r="D258" s="196"/>
    </row>
    <row r="259" ht="12.75" customHeight="1">
      <c r="A259" s="196"/>
      <c r="B259" s="196"/>
      <c r="C259" s="196"/>
      <c r="D259" s="196"/>
    </row>
    <row r="260" ht="12.75" customHeight="1">
      <c r="A260" s="196"/>
      <c r="B260" s="196"/>
      <c r="C260" s="196"/>
      <c r="D260" s="196"/>
    </row>
    <row r="261" ht="12.75" customHeight="1">
      <c r="A261" s="196"/>
      <c r="B261" s="196"/>
      <c r="C261" s="196"/>
      <c r="D261" s="196"/>
    </row>
    <row r="262" ht="12.75" customHeight="1">
      <c r="A262" s="196"/>
      <c r="B262" s="196"/>
      <c r="C262" s="196"/>
      <c r="D262" s="196"/>
    </row>
    <row r="263" ht="12.75" customHeight="1">
      <c r="A263" s="196"/>
      <c r="B263" s="196"/>
      <c r="C263" s="196"/>
      <c r="D263" s="196"/>
    </row>
    <row r="264" ht="12.75" customHeight="1">
      <c r="A264" s="196"/>
      <c r="B264" s="196"/>
      <c r="C264" s="196"/>
      <c r="D264" s="196"/>
    </row>
    <row r="265" ht="12.75" customHeight="1">
      <c r="A265" s="196"/>
      <c r="B265" s="196"/>
      <c r="C265" s="196"/>
      <c r="D265" s="196"/>
    </row>
    <row r="266" ht="12.75" customHeight="1">
      <c r="A266" s="196"/>
      <c r="B266" s="196"/>
      <c r="C266" s="196"/>
      <c r="D266" s="196"/>
    </row>
    <row r="267" ht="12.75" customHeight="1">
      <c r="A267" s="196"/>
      <c r="B267" s="196"/>
      <c r="C267" s="196"/>
      <c r="D267" s="196"/>
    </row>
    <row r="268" ht="12.75" customHeight="1">
      <c r="A268" s="196"/>
      <c r="B268" s="196"/>
      <c r="C268" s="196"/>
      <c r="D268" s="196"/>
    </row>
    <row r="269" ht="12.75" customHeight="1">
      <c r="A269" s="196"/>
      <c r="B269" s="196"/>
      <c r="C269" s="196"/>
      <c r="D269" s="196"/>
    </row>
    <row r="270" ht="12.75" customHeight="1">
      <c r="A270" s="196"/>
      <c r="B270" s="196"/>
      <c r="C270" s="196"/>
      <c r="D270" s="196"/>
    </row>
    <row r="271" ht="12.75" customHeight="1">
      <c r="A271" s="196"/>
      <c r="B271" s="196"/>
      <c r="C271" s="196"/>
      <c r="D271" s="196"/>
    </row>
    <row r="272" ht="12.75" customHeight="1">
      <c r="A272" s="196"/>
      <c r="B272" s="196"/>
      <c r="C272" s="196"/>
      <c r="D272" s="196"/>
    </row>
    <row r="273" ht="12.75" customHeight="1">
      <c r="A273" s="196"/>
      <c r="B273" s="196"/>
      <c r="C273" s="196"/>
      <c r="D273" s="196"/>
    </row>
    <row r="274" ht="12.75" customHeight="1">
      <c r="A274" s="196"/>
      <c r="B274" s="196"/>
      <c r="C274" s="196"/>
      <c r="D274" s="196"/>
    </row>
    <row r="275" ht="12.75" customHeight="1">
      <c r="A275" s="196"/>
      <c r="B275" s="196"/>
      <c r="C275" s="196"/>
      <c r="D275" s="196"/>
    </row>
    <row r="276" ht="12.75" customHeight="1">
      <c r="A276" s="196"/>
      <c r="B276" s="196"/>
      <c r="C276" s="196"/>
      <c r="D276" s="196"/>
    </row>
    <row r="277" ht="12.75" customHeight="1">
      <c r="A277" s="196"/>
      <c r="B277" s="196"/>
      <c r="C277" s="196"/>
      <c r="D277" s="196"/>
    </row>
    <row r="278" ht="12.75" customHeight="1">
      <c r="A278" s="196"/>
      <c r="B278" s="196"/>
      <c r="C278" s="196"/>
      <c r="D278" s="196"/>
    </row>
    <row r="279" ht="12.75" customHeight="1">
      <c r="A279" s="196"/>
      <c r="B279" s="196"/>
      <c r="C279" s="196"/>
      <c r="D279" s="196"/>
    </row>
    <row r="280" ht="12.75" customHeight="1">
      <c r="A280" s="196"/>
      <c r="B280" s="196"/>
      <c r="C280" s="196"/>
      <c r="D280" s="196"/>
    </row>
    <row r="281" ht="12.75" customHeight="1">
      <c r="A281" s="196"/>
      <c r="B281" s="196"/>
      <c r="C281" s="196"/>
      <c r="D281" s="196"/>
    </row>
    <row r="282" ht="12.75" customHeight="1">
      <c r="A282" s="196"/>
      <c r="B282" s="196"/>
      <c r="C282" s="196"/>
      <c r="D282" s="196"/>
    </row>
    <row r="283" ht="12.75" customHeight="1">
      <c r="A283" s="196"/>
      <c r="B283" s="196"/>
      <c r="C283" s="196"/>
      <c r="D283" s="196"/>
    </row>
    <row r="284" ht="12.75" customHeight="1">
      <c r="A284" s="196"/>
      <c r="B284" s="196"/>
      <c r="C284" s="196"/>
      <c r="D284" s="196"/>
    </row>
    <row r="285" ht="12.75" customHeight="1">
      <c r="A285" s="196"/>
      <c r="B285" s="196"/>
      <c r="C285" s="196"/>
      <c r="D285" s="196"/>
    </row>
    <row r="286" ht="12.75" customHeight="1">
      <c r="A286" s="196"/>
      <c r="B286" s="196"/>
      <c r="C286" s="196"/>
      <c r="D286" s="196"/>
    </row>
    <row r="287" ht="12.75" customHeight="1">
      <c r="A287" s="196"/>
      <c r="B287" s="196"/>
      <c r="C287" s="196"/>
      <c r="D287" s="196"/>
    </row>
    <row r="288" ht="12.75" customHeight="1">
      <c r="A288" s="196"/>
      <c r="B288" s="196"/>
      <c r="C288" s="196"/>
      <c r="D288" s="196"/>
    </row>
    <row r="289" ht="12.75" customHeight="1">
      <c r="A289" s="196"/>
      <c r="B289" s="196"/>
      <c r="C289" s="196"/>
      <c r="D289" s="196"/>
    </row>
    <row r="290" ht="12.75" customHeight="1">
      <c r="A290" s="196"/>
      <c r="B290" s="196"/>
      <c r="C290" s="196"/>
      <c r="D290" s="196"/>
    </row>
    <row r="291" ht="12.75" customHeight="1">
      <c r="A291" s="196"/>
      <c r="B291" s="196"/>
      <c r="C291" s="196"/>
      <c r="D291" s="196"/>
    </row>
    <row r="292" ht="12.75" customHeight="1">
      <c r="A292" s="196"/>
      <c r="B292" s="196"/>
      <c r="C292" s="196"/>
      <c r="D292" s="196"/>
    </row>
    <row r="293" ht="12.75" customHeight="1">
      <c r="A293" s="196"/>
      <c r="B293" s="196"/>
      <c r="C293" s="196"/>
      <c r="D293" s="196"/>
    </row>
    <row r="294" ht="12.75" customHeight="1">
      <c r="A294" s="196"/>
      <c r="B294" s="196"/>
      <c r="C294" s="196"/>
      <c r="D294" s="196"/>
    </row>
    <row r="295" ht="12.75" customHeight="1">
      <c r="A295" s="196"/>
      <c r="B295" s="196"/>
      <c r="C295" s="196"/>
      <c r="D295" s="196"/>
    </row>
    <row r="296" ht="12.75" customHeight="1">
      <c r="A296" s="196"/>
      <c r="B296" s="196"/>
      <c r="C296" s="196"/>
      <c r="D296" s="196"/>
    </row>
    <row r="297" ht="12.75" customHeight="1">
      <c r="A297" s="196"/>
      <c r="B297" s="196"/>
      <c r="C297" s="196"/>
      <c r="D297" s="196"/>
    </row>
    <row r="298" ht="12.75" customHeight="1">
      <c r="A298" s="196"/>
      <c r="B298" s="196"/>
      <c r="C298" s="196"/>
      <c r="D298" s="196"/>
    </row>
    <row r="299" ht="12.75" customHeight="1">
      <c r="A299" s="196"/>
      <c r="B299" s="196"/>
      <c r="C299" s="196"/>
      <c r="D299" s="196"/>
    </row>
    <row r="300" ht="12.75" customHeight="1">
      <c r="A300" s="196"/>
      <c r="B300" s="196"/>
      <c r="C300" s="196"/>
      <c r="D300" s="196"/>
    </row>
    <row r="301" ht="12.75" customHeight="1">
      <c r="A301" s="196"/>
      <c r="B301" s="196"/>
      <c r="C301" s="196"/>
      <c r="D301" s="196"/>
    </row>
    <row r="302" ht="12.75" customHeight="1">
      <c r="A302" s="196"/>
      <c r="B302" s="196"/>
      <c r="C302" s="196"/>
      <c r="D302" s="196"/>
    </row>
    <row r="303" ht="12.75" customHeight="1">
      <c r="A303" s="196"/>
      <c r="B303" s="196"/>
      <c r="C303" s="196"/>
      <c r="D303" s="196"/>
    </row>
    <row r="304" ht="12.75" customHeight="1">
      <c r="A304" s="196"/>
      <c r="B304" s="196"/>
      <c r="C304" s="196"/>
      <c r="D304" s="196"/>
    </row>
    <row r="305" ht="12.75" customHeight="1">
      <c r="A305" s="196"/>
      <c r="B305" s="196"/>
      <c r="C305" s="196"/>
      <c r="D305" s="196"/>
    </row>
    <row r="306" ht="12.75" customHeight="1">
      <c r="A306" s="196"/>
      <c r="B306" s="196"/>
      <c r="C306" s="196"/>
      <c r="D306" s="196"/>
    </row>
    <row r="307" ht="12.75" customHeight="1">
      <c r="A307" s="196"/>
      <c r="B307" s="196"/>
      <c r="C307" s="196"/>
      <c r="D307" s="196"/>
    </row>
    <row r="308" ht="12.75" customHeight="1">
      <c r="A308" s="196"/>
      <c r="B308" s="196"/>
      <c r="C308" s="196"/>
      <c r="D308" s="196"/>
    </row>
    <row r="309" ht="12.75" customHeight="1">
      <c r="A309" s="196"/>
      <c r="B309" s="196"/>
      <c r="C309" s="196"/>
      <c r="D309" s="196"/>
    </row>
    <row r="310" ht="12.75" customHeight="1">
      <c r="A310" s="196"/>
      <c r="B310" s="196"/>
      <c r="C310" s="196"/>
      <c r="D310" s="196"/>
    </row>
    <row r="311" ht="12.75" customHeight="1">
      <c r="A311" s="196"/>
      <c r="B311" s="196"/>
      <c r="C311" s="196"/>
      <c r="D311" s="196"/>
    </row>
    <row r="312" ht="12.75" customHeight="1">
      <c r="A312" s="196"/>
      <c r="B312" s="196"/>
      <c r="C312" s="196"/>
      <c r="D312" s="196"/>
    </row>
    <row r="313" ht="12.75" customHeight="1">
      <c r="A313" s="196"/>
      <c r="B313" s="196"/>
      <c r="C313" s="196"/>
      <c r="D313" s="196"/>
    </row>
    <row r="314" ht="12.75" customHeight="1">
      <c r="A314" s="196"/>
      <c r="B314" s="196"/>
      <c r="C314" s="196"/>
      <c r="D314" s="196"/>
    </row>
    <row r="315" ht="12.75" customHeight="1">
      <c r="A315" s="196"/>
      <c r="B315" s="196"/>
      <c r="C315" s="196"/>
      <c r="D315" s="196"/>
    </row>
    <row r="316" ht="12.75" customHeight="1">
      <c r="A316" s="196"/>
      <c r="B316" s="196"/>
      <c r="C316" s="196"/>
      <c r="D316" s="196"/>
    </row>
    <row r="317" ht="12.75" customHeight="1">
      <c r="A317" s="196"/>
      <c r="B317" s="196"/>
      <c r="C317" s="196"/>
      <c r="D317" s="196"/>
    </row>
    <row r="318" ht="12.75" customHeight="1">
      <c r="A318" s="196"/>
      <c r="B318" s="196"/>
      <c r="C318" s="196"/>
      <c r="D318" s="196"/>
    </row>
    <row r="319" ht="12.75" customHeight="1">
      <c r="A319" s="196"/>
      <c r="B319" s="196"/>
      <c r="C319" s="196"/>
      <c r="D319" s="196"/>
    </row>
    <row r="320" ht="12.75" customHeight="1">
      <c r="A320" s="196"/>
      <c r="B320" s="196"/>
      <c r="C320" s="196"/>
      <c r="D320" s="196"/>
    </row>
    <row r="321" ht="12.75" customHeight="1">
      <c r="A321" s="196"/>
      <c r="B321" s="196"/>
      <c r="C321" s="196"/>
      <c r="D321" s="196"/>
    </row>
    <row r="322" ht="12.75" customHeight="1">
      <c r="A322" s="196"/>
      <c r="B322" s="196"/>
      <c r="C322" s="196"/>
      <c r="D322" s="196"/>
    </row>
    <row r="323" ht="12.75" customHeight="1">
      <c r="A323" s="196"/>
      <c r="B323" s="196"/>
      <c r="C323" s="196"/>
      <c r="D323" s="196"/>
    </row>
    <row r="324" ht="12.75" customHeight="1">
      <c r="A324" s="196"/>
      <c r="B324" s="196"/>
      <c r="C324" s="196"/>
      <c r="D324" s="196"/>
    </row>
    <row r="325" ht="12.75" customHeight="1">
      <c r="A325" s="196"/>
      <c r="B325" s="196"/>
      <c r="C325" s="196"/>
      <c r="D325" s="196"/>
    </row>
    <row r="326" ht="12.75" customHeight="1">
      <c r="A326" s="196"/>
      <c r="B326" s="196"/>
      <c r="C326" s="196"/>
      <c r="D326" s="196"/>
    </row>
    <row r="327" ht="12.75" customHeight="1">
      <c r="A327" s="196"/>
      <c r="B327" s="196"/>
      <c r="C327" s="196"/>
      <c r="D327" s="196"/>
    </row>
    <row r="328" ht="12.75" customHeight="1">
      <c r="A328" s="196"/>
      <c r="B328" s="196"/>
      <c r="C328" s="196"/>
      <c r="D328" s="196"/>
    </row>
    <row r="329" ht="12.75" customHeight="1">
      <c r="A329" s="196"/>
      <c r="B329" s="196"/>
      <c r="C329" s="196"/>
      <c r="D329" s="196"/>
    </row>
    <row r="330" ht="12.75" customHeight="1">
      <c r="A330" s="196"/>
      <c r="B330" s="196"/>
      <c r="C330" s="196"/>
      <c r="D330" s="196"/>
    </row>
    <row r="331" ht="12.75" customHeight="1">
      <c r="A331" s="196"/>
      <c r="B331" s="196"/>
      <c r="C331" s="196"/>
      <c r="D331" s="196"/>
    </row>
    <row r="332" ht="12.75" customHeight="1">
      <c r="A332" s="196"/>
      <c r="B332" s="196"/>
      <c r="C332" s="196"/>
      <c r="D332" s="196"/>
    </row>
    <row r="333" ht="12.75" customHeight="1">
      <c r="A333" s="196"/>
      <c r="B333" s="196"/>
      <c r="C333" s="196"/>
      <c r="D333" s="196"/>
    </row>
    <row r="334" ht="12.75" customHeight="1">
      <c r="A334" s="196"/>
      <c r="B334" s="196"/>
      <c r="C334" s="196"/>
      <c r="D334" s="196"/>
    </row>
    <row r="335" ht="12.75" customHeight="1">
      <c r="A335" s="196"/>
      <c r="B335" s="196"/>
      <c r="C335" s="196"/>
      <c r="D335" s="196"/>
    </row>
    <row r="336" ht="12.75" customHeight="1">
      <c r="A336" s="196"/>
      <c r="B336" s="196"/>
      <c r="C336" s="196"/>
      <c r="D336" s="196"/>
    </row>
    <row r="337" ht="12.75" customHeight="1">
      <c r="A337" s="196"/>
      <c r="B337" s="196"/>
      <c r="C337" s="196"/>
      <c r="D337" s="196"/>
    </row>
    <row r="338" ht="12.75" customHeight="1">
      <c r="A338" s="196"/>
      <c r="B338" s="196"/>
      <c r="C338" s="196"/>
      <c r="D338" s="196"/>
    </row>
    <row r="339" ht="12.75" customHeight="1">
      <c r="A339" s="196"/>
      <c r="B339" s="196"/>
      <c r="C339" s="196"/>
      <c r="D339" s="196"/>
    </row>
    <row r="340" ht="12.75" customHeight="1">
      <c r="A340" s="196"/>
      <c r="B340" s="196"/>
      <c r="C340" s="196"/>
      <c r="D340" s="196"/>
    </row>
    <row r="341" ht="12.75" customHeight="1">
      <c r="A341" s="196"/>
      <c r="B341" s="196"/>
      <c r="C341" s="196"/>
      <c r="D341" s="196"/>
    </row>
    <row r="342" ht="12.75" customHeight="1">
      <c r="A342" s="196"/>
      <c r="B342" s="196"/>
      <c r="C342" s="196"/>
      <c r="D342" s="196"/>
    </row>
    <row r="343" ht="12.75" customHeight="1">
      <c r="A343" s="196"/>
      <c r="B343" s="196"/>
      <c r="C343" s="196"/>
      <c r="D343" s="196"/>
    </row>
    <row r="344" ht="12.75" customHeight="1">
      <c r="A344" s="196"/>
      <c r="B344" s="196"/>
      <c r="C344" s="196"/>
      <c r="D344" s="196"/>
    </row>
    <row r="345" ht="12.75" customHeight="1">
      <c r="A345" s="196"/>
      <c r="B345" s="196"/>
      <c r="C345" s="196"/>
      <c r="D345" s="196"/>
    </row>
    <row r="346" ht="12.75" customHeight="1">
      <c r="A346" s="196"/>
      <c r="B346" s="196"/>
      <c r="C346" s="196"/>
      <c r="D346" s="196"/>
    </row>
    <row r="347" ht="12.75" customHeight="1">
      <c r="A347" s="196"/>
      <c r="B347" s="196"/>
      <c r="C347" s="196"/>
      <c r="D347" s="196"/>
    </row>
    <row r="348" ht="12.75" customHeight="1">
      <c r="A348" s="196"/>
      <c r="B348" s="196"/>
      <c r="C348" s="196"/>
      <c r="D348" s="196"/>
    </row>
    <row r="349" ht="12.75" customHeight="1">
      <c r="A349" s="196"/>
      <c r="B349" s="196"/>
      <c r="C349" s="196"/>
      <c r="D349" s="196"/>
    </row>
    <row r="350" ht="12.75" customHeight="1">
      <c r="A350" s="196"/>
      <c r="B350" s="196"/>
      <c r="C350" s="196"/>
      <c r="D350" s="196"/>
    </row>
    <row r="351" ht="12.75" customHeight="1">
      <c r="A351" s="196"/>
      <c r="B351" s="196"/>
      <c r="C351" s="196"/>
      <c r="D351" s="196"/>
    </row>
    <row r="352" ht="12.75" customHeight="1">
      <c r="A352" s="196"/>
      <c r="B352" s="196"/>
      <c r="C352" s="196"/>
      <c r="D352" s="196"/>
    </row>
    <row r="353" ht="12.75" customHeight="1">
      <c r="A353" s="196"/>
      <c r="B353" s="196"/>
      <c r="C353" s="196"/>
      <c r="D353" s="196"/>
    </row>
    <row r="354" ht="12.75" customHeight="1">
      <c r="A354" s="196"/>
      <c r="B354" s="196"/>
      <c r="C354" s="196"/>
      <c r="D354" s="196"/>
    </row>
    <row r="355" ht="12.75" customHeight="1">
      <c r="A355" s="196"/>
      <c r="B355" s="196"/>
      <c r="C355" s="196"/>
      <c r="D355" s="196"/>
    </row>
    <row r="356" ht="12.75" customHeight="1">
      <c r="A356" s="196"/>
      <c r="B356" s="196"/>
      <c r="C356" s="196"/>
      <c r="D356" s="196"/>
    </row>
    <row r="357" ht="12.75" customHeight="1">
      <c r="A357" s="196"/>
      <c r="B357" s="196"/>
      <c r="C357" s="196"/>
      <c r="D357" s="196"/>
    </row>
    <row r="358" ht="12.75" customHeight="1">
      <c r="A358" s="196"/>
      <c r="B358" s="196"/>
      <c r="C358" s="196"/>
      <c r="D358" s="196"/>
    </row>
    <row r="359" ht="12.75" customHeight="1">
      <c r="A359" s="196"/>
      <c r="B359" s="196"/>
      <c r="C359" s="196"/>
      <c r="D359" s="196"/>
    </row>
    <row r="360" ht="12.75" customHeight="1">
      <c r="A360" s="196"/>
      <c r="B360" s="196"/>
      <c r="C360" s="196"/>
      <c r="D360" s="196"/>
    </row>
    <row r="361" ht="12.75" customHeight="1">
      <c r="A361" s="196"/>
      <c r="B361" s="196"/>
      <c r="C361" s="196"/>
      <c r="D361" s="196"/>
    </row>
    <row r="362" ht="12.75" customHeight="1">
      <c r="A362" s="196"/>
      <c r="B362" s="196"/>
      <c r="C362" s="196"/>
      <c r="D362" s="196"/>
    </row>
    <row r="363" ht="12.75" customHeight="1">
      <c r="A363" s="196"/>
      <c r="B363" s="196"/>
      <c r="C363" s="196"/>
      <c r="D363" s="196"/>
    </row>
    <row r="364" ht="12.75" customHeight="1">
      <c r="A364" s="196"/>
      <c r="B364" s="196"/>
      <c r="C364" s="196"/>
      <c r="D364" s="196"/>
    </row>
    <row r="365" ht="12.75" customHeight="1">
      <c r="A365" s="196"/>
      <c r="B365" s="196"/>
      <c r="C365" s="196"/>
      <c r="D365" s="196"/>
    </row>
    <row r="366" ht="12.75" customHeight="1">
      <c r="A366" s="196"/>
      <c r="B366" s="196"/>
      <c r="C366" s="196"/>
      <c r="D366" s="196"/>
    </row>
    <row r="367" ht="12.75" customHeight="1">
      <c r="A367" s="196"/>
      <c r="B367" s="196"/>
      <c r="C367" s="196"/>
      <c r="D367" s="196"/>
    </row>
    <row r="368" ht="12.75" customHeight="1">
      <c r="A368" s="196"/>
      <c r="B368" s="196"/>
      <c r="C368" s="196"/>
      <c r="D368" s="196"/>
    </row>
    <row r="369" ht="12.75" customHeight="1">
      <c r="A369" s="196"/>
      <c r="B369" s="196"/>
      <c r="C369" s="196"/>
      <c r="D369" s="196"/>
    </row>
    <row r="370" ht="12.75" customHeight="1">
      <c r="A370" s="196"/>
      <c r="B370" s="196"/>
      <c r="C370" s="196"/>
      <c r="D370" s="196"/>
    </row>
    <row r="371" ht="12.75" customHeight="1">
      <c r="A371" s="196"/>
      <c r="B371" s="196"/>
      <c r="C371" s="196"/>
      <c r="D371" s="196"/>
    </row>
    <row r="372" ht="12.75" customHeight="1">
      <c r="A372" s="196"/>
      <c r="B372" s="196"/>
      <c r="C372" s="196"/>
      <c r="D372" s="196"/>
    </row>
    <row r="373" ht="12.75" customHeight="1">
      <c r="A373" s="196"/>
      <c r="B373" s="196"/>
      <c r="C373" s="196"/>
      <c r="D373" s="196"/>
    </row>
    <row r="374" ht="12.75" customHeight="1">
      <c r="A374" s="196"/>
      <c r="B374" s="196"/>
      <c r="C374" s="196"/>
      <c r="D374" s="196"/>
    </row>
    <row r="375" ht="12.75" customHeight="1">
      <c r="A375" s="196"/>
      <c r="B375" s="196"/>
      <c r="C375" s="196"/>
      <c r="D375" s="196"/>
    </row>
    <row r="376" ht="12.75" customHeight="1">
      <c r="A376" s="196"/>
      <c r="B376" s="196"/>
      <c r="C376" s="196"/>
      <c r="D376" s="196"/>
    </row>
    <row r="377" ht="12.75" customHeight="1">
      <c r="A377" s="196"/>
      <c r="B377" s="196"/>
      <c r="C377" s="196"/>
      <c r="D377" s="196"/>
    </row>
    <row r="378" ht="12.75" customHeight="1">
      <c r="A378" s="196"/>
      <c r="B378" s="196"/>
      <c r="C378" s="196"/>
      <c r="D378" s="196"/>
    </row>
    <row r="379" ht="12.75" customHeight="1">
      <c r="A379" s="196"/>
      <c r="B379" s="196"/>
      <c r="C379" s="196"/>
      <c r="D379" s="196"/>
    </row>
    <row r="380" ht="12.75" customHeight="1">
      <c r="A380" s="196"/>
      <c r="B380" s="196"/>
      <c r="C380" s="196"/>
      <c r="D380" s="196"/>
    </row>
    <row r="381" ht="12.75" customHeight="1">
      <c r="A381" s="196"/>
      <c r="B381" s="196"/>
      <c r="C381" s="196"/>
      <c r="D381" s="196"/>
    </row>
    <row r="382" ht="12.75" customHeight="1">
      <c r="A382" s="196"/>
      <c r="B382" s="196"/>
      <c r="C382" s="196"/>
      <c r="D382" s="196"/>
    </row>
    <row r="383" ht="12.75" customHeight="1">
      <c r="A383" s="196"/>
      <c r="B383" s="196"/>
      <c r="C383" s="196"/>
      <c r="D383" s="196"/>
    </row>
    <row r="384" ht="12.75" customHeight="1">
      <c r="A384" s="196"/>
      <c r="B384" s="196"/>
      <c r="C384" s="196"/>
      <c r="D384" s="196"/>
    </row>
    <row r="385" ht="12.75" customHeight="1">
      <c r="A385" s="196"/>
      <c r="B385" s="196"/>
      <c r="C385" s="196"/>
      <c r="D385" s="196"/>
    </row>
    <row r="386" ht="12.75" customHeight="1">
      <c r="A386" s="196"/>
      <c r="B386" s="196"/>
      <c r="C386" s="196"/>
      <c r="D386" s="196"/>
    </row>
    <row r="387" ht="12.75" customHeight="1">
      <c r="A387" s="196"/>
      <c r="B387" s="196"/>
      <c r="C387" s="196"/>
      <c r="D387" s="196"/>
    </row>
    <row r="388" ht="12.75" customHeight="1">
      <c r="A388" s="196"/>
      <c r="B388" s="196"/>
      <c r="C388" s="196"/>
      <c r="D388" s="196"/>
    </row>
    <row r="389" ht="12.75" customHeight="1">
      <c r="A389" s="196"/>
      <c r="B389" s="196"/>
      <c r="C389" s="196"/>
      <c r="D389" s="196"/>
    </row>
    <row r="390" ht="12.75" customHeight="1">
      <c r="A390" s="196"/>
      <c r="B390" s="196"/>
      <c r="C390" s="196"/>
      <c r="D390" s="196"/>
    </row>
    <row r="391" ht="12.75" customHeight="1">
      <c r="A391" s="196"/>
      <c r="B391" s="196"/>
      <c r="C391" s="196"/>
      <c r="D391" s="196"/>
    </row>
    <row r="392" ht="12.75" customHeight="1">
      <c r="A392" s="196"/>
      <c r="B392" s="196"/>
      <c r="C392" s="196"/>
      <c r="D392" s="196"/>
    </row>
    <row r="393" ht="12.75" customHeight="1">
      <c r="A393" s="196"/>
      <c r="B393" s="196"/>
      <c r="C393" s="196"/>
      <c r="D393" s="196"/>
    </row>
    <row r="394" ht="12.75" customHeight="1">
      <c r="A394" s="196"/>
      <c r="B394" s="196"/>
      <c r="C394" s="196"/>
      <c r="D394" s="196"/>
    </row>
    <row r="395" ht="12.75" customHeight="1">
      <c r="A395" s="196"/>
      <c r="B395" s="196"/>
      <c r="C395" s="196"/>
      <c r="D395" s="196"/>
    </row>
    <row r="396" ht="12.75" customHeight="1">
      <c r="A396" s="196"/>
      <c r="B396" s="196"/>
      <c r="C396" s="196"/>
      <c r="D396" s="196"/>
    </row>
    <row r="397" ht="12.75" customHeight="1">
      <c r="A397" s="196"/>
      <c r="B397" s="196"/>
      <c r="C397" s="196"/>
      <c r="D397" s="196"/>
    </row>
    <row r="398" ht="12.75" customHeight="1">
      <c r="A398" s="196"/>
      <c r="B398" s="196"/>
      <c r="C398" s="196"/>
      <c r="D398" s="196"/>
    </row>
    <row r="399" ht="12.75" customHeight="1">
      <c r="A399" s="196"/>
      <c r="B399" s="196"/>
      <c r="C399" s="196"/>
      <c r="D399" s="196"/>
    </row>
    <row r="400" ht="12.75" customHeight="1">
      <c r="A400" s="196"/>
      <c r="B400" s="196"/>
      <c r="C400" s="196"/>
      <c r="D400" s="196"/>
    </row>
    <row r="401" ht="12.75" customHeight="1">
      <c r="A401" s="196"/>
      <c r="B401" s="196"/>
      <c r="C401" s="196"/>
      <c r="D401" s="196"/>
    </row>
    <row r="402" ht="12.75" customHeight="1">
      <c r="A402" s="196"/>
      <c r="B402" s="196"/>
      <c r="C402" s="196"/>
      <c r="D402" s="196"/>
    </row>
    <row r="403" ht="12.75" customHeight="1">
      <c r="A403" s="196"/>
      <c r="B403" s="196"/>
      <c r="C403" s="196"/>
      <c r="D403" s="196"/>
    </row>
    <row r="404" ht="12.75" customHeight="1">
      <c r="A404" s="196"/>
      <c r="B404" s="196"/>
      <c r="C404" s="196"/>
      <c r="D404" s="196"/>
    </row>
    <row r="405" ht="12.75" customHeight="1">
      <c r="A405" s="196"/>
      <c r="B405" s="196"/>
      <c r="C405" s="196"/>
      <c r="D405" s="196"/>
    </row>
    <row r="406" ht="12.75" customHeight="1">
      <c r="A406" s="196"/>
      <c r="B406" s="196"/>
      <c r="C406" s="196"/>
      <c r="D406" s="196"/>
    </row>
    <row r="407" ht="12.75" customHeight="1">
      <c r="A407" s="196"/>
      <c r="B407" s="196"/>
      <c r="C407" s="196"/>
      <c r="D407" s="196"/>
    </row>
    <row r="408" ht="12.75" customHeight="1">
      <c r="A408" s="196"/>
      <c r="B408" s="196"/>
      <c r="C408" s="196"/>
      <c r="D408" s="196"/>
    </row>
    <row r="409" ht="12.75" customHeight="1">
      <c r="A409" s="196"/>
      <c r="B409" s="196"/>
      <c r="C409" s="196"/>
      <c r="D409" s="196"/>
    </row>
    <row r="410" ht="12.75" customHeight="1">
      <c r="A410" s="196"/>
      <c r="B410" s="196"/>
      <c r="C410" s="196"/>
      <c r="D410" s="196"/>
    </row>
    <row r="411" ht="12.75" customHeight="1">
      <c r="A411" s="196"/>
      <c r="B411" s="196"/>
      <c r="C411" s="196"/>
      <c r="D411" s="196"/>
    </row>
    <row r="412" ht="12.75" customHeight="1">
      <c r="A412" s="196"/>
      <c r="B412" s="196"/>
      <c r="C412" s="196"/>
      <c r="D412" s="196"/>
    </row>
    <row r="413" ht="12.75" customHeight="1">
      <c r="A413" s="196"/>
      <c r="B413" s="196"/>
      <c r="C413" s="196"/>
      <c r="D413" s="196"/>
    </row>
    <row r="414" ht="12.75" customHeight="1">
      <c r="A414" s="196"/>
      <c r="B414" s="196"/>
      <c r="C414" s="196"/>
      <c r="D414" s="196"/>
    </row>
    <row r="415" ht="12.75" customHeight="1">
      <c r="A415" s="196"/>
      <c r="B415" s="196"/>
      <c r="C415" s="196"/>
      <c r="D415" s="196"/>
    </row>
    <row r="416" ht="12.75" customHeight="1">
      <c r="A416" s="196"/>
      <c r="B416" s="196"/>
      <c r="C416" s="196"/>
      <c r="D416" s="196"/>
    </row>
    <row r="417" ht="12.75" customHeight="1">
      <c r="A417" s="196"/>
      <c r="B417" s="196"/>
      <c r="C417" s="196"/>
      <c r="D417" s="196"/>
    </row>
    <row r="418" ht="12.75" customHeight="1">
      <c r="A418" s="196"/>
      <c r="B418" s="196"/>
      <c r="C418" s="196"/>
      <c r="D418" s="196"/>
    </row>
    <row r="419" ht="12.75" customHeight="1">
      <c r="A419" s="196"/>
      <c r="B419" s="196"/>
      <c r="C419" s="196"/>
      <c r="D419" s="196"/>
    </row>
    <row r="420" ht="12.75" customHeight="1">
      <c r="A420" s="196"/>
      <c r="B420" s="196"/>
      <c r="C420" s="196"/>
      <c r="D420" s="196"/>
    </row>
    <row r="421" ht="12.75" customHeight="1">
      <c r="A421" s="196"/>
      <c r="B421" s="196"/>
      <c r="C421" s="196"/>
      <c r="D421" s="196"/>
    </row>
    <row r="422" ht="12.75" customHeight="1">
      <c r="A422" s="196"/>
      <c r="B422" s="196"/>
      <c r="C422" s="196"/>
      <c r="D422" s="196"/>
    </row>
    <row r="423" ht="12.75" customHeight="1">
      <c r="A423" s="196"/>
      <c r="B423" s="196"/>
      <c r="C423" s="196"/>
      <c r="D423" s="196"/>
    </row>
    <row r="424" ht="12.75" customHeight="1">
      <c r="A424" s="196"/>
      <c r="B424" s="196"/>
      <c r="C424" s="196"/>
      <c r="D424" s="196"/>
    </row>
    <row r="425" ht="12.75" customHeight="1">
      <c r="A425" s="196"/>
      <c r="B425" s="196"/>
      <c r="C425" s="196"/>
      <c r="D425" s="196"/>
    </row>
    <row r="426" ht="12.75" customHeight="1">
      <c r="A426" s="196"/>
      <c r="B426" s="196"/>
      <c r="C426" s="196"/>
      <c r="D426" s="196"/>
    </row>
    <row r="427" ht="12.75" customHeight="1">
      <c r="A427" s="196"/>
      <c r="B427" s="196"/>
      <c r="C427" s="196"/>
      <c r="D427" s="196"/>
    </row>
    <row r="428" ht="12.75" customHeight="1">
      <c r="A428" s="196"/>
      <c r="B428" s="196"/>
      <c r="C428" s="196"/>
      <c r="D428" s="196"/>
    </row>
    <row r="429" ht="12.75" customHeight="1">
      <c r="A429" s="196"/>
      <c r="B429" s="196"/>
      <c r="C429" s="196"/>
      <c r="D429" s="196"/>
    </row>
    <row r="430" ht="12.75" customHeight="1">
      <c r="A430" s="196"/>
      <c r="B430" s="196"/>
      <c r="C430" s="196"/>
      <c r="D430" s="196"/>
    </row>
    <row r="431" ht="12.75" customHeight="1">
      <c r="A431" s="196"/>
      <c r="B431" s="196"/>
      <c r="C431" s="196"/>
      <c r="D431" s="196"/>
    </row>
    <row r="432" ht="12.75" customHeight="1">
      <c r="A432" s="196"/>
      <c r="B432" s="196"/>
      <c r="C432" s="196"/>
      <c r="D432" s="196"/>
    </row>
    <row r="433" ht="12.75" customHeight="1">
      <c r="A433" s="196"/>
      <c r="B433" s="196"/>
      <c r="C433" s="196"/>
      <c r="D433" s="196"/>
    </row>
    <row r="434" ht="12.75" customHeight="1">
      <c r="A434" s="196"/>
      <c r="B434" s="196"/>
      <c r="C434" s="196"/>
      <c r="D434" s="196"/>
    </row>
    <row r="435" ht="12.75" customHeight="1">
      <c r="A435" s="196"/>
      <c r="B435" s="196"/>
      <c r="C435" s="196"/>
      <c r="D435" s="196"/>
    </row>
    <row r="436" ht="12.75" customHeight="1">
      <c r="A436" s="196"/>
      <c r="B436" s="196"/>
      <c r="C436" s="196"/>
      <c r="D436" s="196"/>
    </row>
    <row r="437" ht="12.75" customHeight="1">
      <c r="A437" s="196"/>
      <c r="B437" s="196"/>
      <c r="C437" s="196"/>
      <c r="D437" s="196"/>
    </row>
    <row r="438" ht="12.75" customHeight="1">
      <c r="A438" s="196"/>
      <c r="B438" s="196"/>
      <c r="C438" s="196"/>
      <c r="D438" s="196"/>
    </row>
    <row r="439" ht="12.75" customHeight="1">
      <c r="A439" s="196"/>
      <c r="B439" s="196"/>
      <c r="C439" s="196"/>
      <c r="D439" s="196"/>
    </row>
    <row r="440" ht="12.75" customHeight="1">
      <c r="A440" s="196"/>
      <c r="B440" s="196"/>
      <c r="C440" s="196"/>
      <c r="D440" s="196"/>
    </row>
    <row r="441" ht="12.75" customHeight="1">
      <c r="A441" s="196"/>
      <c r="B441" s="196"/>
      <c r="C441" s="196"/>
      <c r="D441" s="196"/>
    </row>
    <row r="442" ht="12.75" customHeight="1">
      <c r="A442" s="196"/>
      <c r="B442" s="196"/>
      <c r="C442" s="196"/>
      <c r="D442" s="196"/>
    </row>
    <row r="443" ht="12.75" customHeight="1">
      <c r="A443" s="196"/>
      <c r="B443" s="196"/>
      <c r="C443" s="196"/>
      <c r="D443" s="196"/>
    </row>
    <row r="444" ht="12.75" customHeight="1">
      <c r="A444" s="196"/>
      <c r="B444" s="196"/>
      <c r="C444" s="196"/>
      <c r="D444" s="196"/>
    </row>
    <row r="445" ht="12.75" customHeight="1">
      <c r="A445" s="196"/>
      <c r="B445" s="196"/>
      <c r="C445" s="196"/>
      <c r="D445" s="196"/>
    </row>
    <row r="446" ht="12.75" customHeight="1">
      <c r="A446" s="196"/>
      <c r="B446" s="196"/>
      <c r="C446" s="196"/>
      <c r="D446" s="196"/>
    </row>
    <row r="447" ht="12.75" customHeight="1">
      <c r="A447" s="196"/>
      <c r="B447" s="196"/>
      <c r="C447" s="196"/>
      <c r="D447" s="196"/>
    </row>
    <row r="448" ht="12.75" customHeight="1">
      <c r="A448" s="196"/>
      <c r="B448" s="196"/>
      <c r="C448" s="196"/>
      <c r="D448" s="196"/>
    </row>
    <row r="449" ht="12.75" customHeight="1">
      <c r="A449" s="196"/>
      <c r="B449" s="196"/>
      <c r="C449" s="196"/>
      <c r="D449" s="196"/>
    </row>
    <row r="450" ht="12.75" customHeight="1">
      <c r="A450" s="196"/>
      <c r="B450" s="196"/>
      <c r="C450" s="196"/>
      <c r="D450" s="196"/>
    </row>
    <row r="451" ht="12.75" customHeight="1">
      <c r="A451" s="196"/>
      <c r="B451" s="196"/>
      <c r="C451" s="196"/>
      <c r="D451" s="196"/>
    </row>
    <row r="452" ht="12.75" customHeight="1">
      <c r="A452" s="196"/>
      <c r="B452" s="196"/>
      <c r="C452" s="196"/>
      <c r="D452" s="196"/>
    </row>
    <row r="453" ht="12.75" customHeight="1">
      <c r="A453" s="196"/>
      <c r="B453" s="196"/>
      <c r="C453" s="196"/>
      <c r="D453" s="196"/>
    </row>
    <row r="454" ht="12.75" customHeight="1">
      <c r="A454" s="196"/>
      <c r="B454" s="196"/>
      <c r="C454" s="196"/>
      <c r="D454" s="196"/>
    </row>
    <row r="455" ht="12.75" customHeight="1">
      <c r="A455" s="196"/>
      <c r="B455" s="196"/>
      <c r="C455" s="196"/>
      <c r="D455" s="196"/>
    </row>
    <row r="456" ht="12.75" customHeight="1">
      <c r="A456" s="196"/>
      <c r="B456" s="196"/>
      <c r="C456" s="196"/>
      <c r="D456" s="196"/>
    </row>
    <row r="457" ht="12.75" customHeight="1">
      <c r="A457" s="196"/>
      <c r="B457" s="196"/>
      <c r="C457" s="196"/>
      <c r="D457" s="196"/>
    </row>
    <row r="458" ht="12.75" customHeight="1">
      <c r="A458" s="196"/>
      <c r="B458" s="196"/>
      <c r="C458" s="196"/>
      <c r="D458" s="196"/>
    </row>
    <row r="459" ht="12.75" customHeight="1">
      <c r="A459" s="196"/>
      <c r="B459" s="196"/>
      <c r="C459" s="196"/>
      <c r="D459" s="196"/>
    </row>
    <row r="460" ht="12.75" customHeight="1">
      <c r="A460" s="196"/>
      <c r="B460" s="196"/>
      <c r="C460" s="196"/>
      <c r="D460" s="196"/>
    </row>
    <row r="461" ht="12.75" customHeight="1">
      <c r="A461" s="196"/>
      <c r="B461" s="196"/>
      <c r="C461" s="196"/>
      <c r="D461" s="196"/>
    </row>
    <row r="462" ht="12.75" customHeight="1">
      <c r="A462" s="196"/>
      <c r="B462" s="196"/>
      <c r="C462" s="196"/>
      <c r="D462" s="196"/>
    </row>
    <row r="463" ht="12.75" customHeight="1">
      <c r="A463" s="196"/>
      <c r="B463" s="196"/>
      <c r="C463" s="196"/>
      <c r="D463" s="196"/>
    </row>
    <row r="464" ht="12.75" customHeight="1">
      <c r="A464" s="196"/>
      <c r="B464" s="196"/>
      <c r="C464" s="196"/>
      <c r="D464" s="196"/>
    </row>
    <row r="465" ht="12.75" customHeight="1">
      <c r="A465" s="196"/>
      <c r="B465" s="196"/>
      <c r="C465" s="196"/>
      <c r="D465" s="196"/>
    </row>
    <row r="466" ht="12.75" customHeight="1">
      <c r="A466" s="196"/>
      <c r="B466" s="196"/>
      <c r="C466" s="196"/>
      <c r="D466" s="196"/>
    </row>
    <row r="467" ht="12.75" customHeight="1">
      <c r="A467" s="196"/>
      <c r="B467" s="196"/>
      <c r="C467" s="196"/>
      <c r="D467" s="196"/>
    </row>
    <row r="468" ht="12.75" customHeight="1">
      <c r="A468" s="196"/>
      <c r="B468" s="196"/>
      <c r="C468" s="196"/>
      <c r="D468" s="196"/>
    </row>
    <row r="469" ht="12.75" customHeight="1">
      <c r="A469" s="196"/>
      <c r="B469" s="196"/>
      <c r="C469" s="196"/>
      <c r="D469" s="196"/>
    </row>
    <row r="470" ht="12.75" customHeight="1">
      <c r="A470" s="196"/>
      <c r="B470" s="196"/>
      <c r="C470" s="196"/>
      <c r="D470" s="196"/>
    </row>
    <row r="471" ht="12.75" customHeight="1">
      <c r="A471" s="196"/>
      <c r="B471" s="196"/>
      <c r="C471" s="196"/>
      <c r="D471" s="196"/>
    </row>
    <row r="472" ht="12.75" customHeight="1">
      <c r="A472" s="196"/>
      <c r="B472" s="196"/>
      <c r="C472" s="196"/>
      <c r="D472" s="196"/>
    </row>
    <row r="473" ht="12.75" customHeight="1">
      <c r="A473" s="196"/>
      <c r="B473" s="196"/>
      <c r="C473" s="196"/>
      <c r="D473" s="196"/>
    </row>
    <row r="474" ht="12.75" customHeight="1">
      <c r="A474" s="196"/>
      <c r="B474" s="196"/>
      <c r="C474" s="196"/>
      <c r="D474" s="196"/>
    </row>
    <row r="475" ht="12.75" customHeight="1">
      <c r="A475" s="196"/>
      <c r="B475" s="196"/>
      <c r="C475" s="196"/>
      <c r="D475" s="196"/>
    </row>
    <row r="476" ht="12.75" customHeight="1">
      <c r="A476" s="196"/>
      <c r="B476" s="196"/>
      <c r="C476" s="196"/>
      <c r="D476" s="196"/>
    </row>
    <row r="477" ht="12.75" customHeight="1">
      <c r="A477" s="196"/>
      <c r="B477" s="196"/>
      <c r="C477" s="196"/>
      <c r="D477" s="196"/>
    </row>
    <row r="478" ht="12.75" customHeight="1">
      <c r="A478" s="196"/>
      <c r="B478" s="196"/>
      <c r="C478" s="196"/>
      <c r="D478" s="196"/>
    </row>
    <row r="479" ht="12.75" customHeight="1">
      <c r="A479" s="196"/>
      <c r="B479" s="196"/>
      <c r="C479" s="196"/>
      <c r="D479" s="196"/>
    </row>
    <row r="480" ht="12.75" customHeight="1">
      <c r="A480" s="196"/>
      <c r="B480" s="196"/>
      <c r="C480" s="196"/>
      <c r="D480" s="196"/>
    </row>
    <row r="481" ht="12.75" customHeight="1">
      <c r="A481" s="196"/>
      <c r="B481" s="196"/>
      <c r="C481" s="196"/>
      <c r="D481" s="196"/>
    </row>
    <row r="482" ht="12.75" customHeight="1">
      <c r="A482" s="196"/>
      <c r="B482" s="196"/>
      <c r="C482" s="196"/>
      <c r="D482" s="196"/>
    </row>
    <row r="483" ht="12.75" customHeight="1">
      <c r="A483" s="196"/>
      <c r="B483" s="196"/>
      <c r="C483" s="196"/>
      <c r="D483" s="196"/>
    </row>
    <row r="484" ht="12.75" customHeight="1">
      <c r="A484" s="196"/>
      <c r="B484" s="196"/>
      <c r="C484" s="196"/>
      <c r="D484" s="196"/>
    </row>
    <row r="485" ht="12.75" customHeight="1">
      <c r="A485" s="196"/>
      <c r="B485" s="196"/>
      <c r="C485" s="196"/>
      <c r="D485" s="196"/>
    </row>
    <row r="486" ht="12.75" customHeight="1">
      <c r="A486" s="196"/>
      <c r="B486" s="196"/>
      <c r="C486" s="196"/>
      <c r="D486" s="196"/>
    </row>
    <row r="487" ht="12.75" customHeight="1">
      <c r="A487" s="196"/>
      <c r="B487" s="196"/>
      <c r="C487" s="196"/>
      <c r="D487" s="196"/>
    </row>
    <row r="488" ht="12.75" customHeight="1">
      <c r="A488" s="196"/>
      <c r="B488" s="196"/>
      <c r="C488" s="196"/>
      <c r="D488" s="196"/>
    </row>
    <row r="489" ht="12.75" customHeight="1">
      <c r="A489" s="196"/>
      <c r="B489" s="196"/>
      <c r="C489" s="196"/>
      <c r="D489" s="196"/>
    </row>
    <row r="490" ht="12.75" customHeight="1">
      <c r="A490" s="196"/>
      <c r="B490" s="196"/>
      <c r="C490" s="196"/>
      <c r="D490" s="196"/>
    </row>
    <row r="491" ht="12.75" customHeight="1">
      <c r="A491" s="196"/>
      <c r="B491" s="196"/>
      <c r="C491" s="196"/>
      <c r="D491" s="196"/>
    </row>
    <row r="492" ht="12.75" customHeight="1">
      <c r="A492" s="196"/>
      <c r="B492" s="196"/>
      <c r="C492" s="196"/>
      <c r="D492" s="196"/>
    </row>
    <row r="493" ht="12.75" customHeight="1">
      <c r="A493" s="196"/>
      <c r="B493" s="196"/>
      <c r="C493" s="196"/>
      <c r="D493" s="196"/>
    </row>
    <row r="494" ht="12.75" customHeight="1">
      <c r="A494" s="196"/>
      <c r="B494" s="196"/>
      <c r="C494" s="196"/>
      <c r="D494" s="196"/>
    </row>
    <row r="495" ht="12.75" customHeight="1">
      <c r="A495" s="196"/>
      <c r="B495" s="196"/>
      <c r="C495" s="196"/>
      <c r="D495" s="196"/>
    </row>
    <row r="496" ht="12.75" customHeight="1">
      <c r="A496" s="196"/>
      <c r="B496" s="196"/>
      <c r="C496" s="196"/>
      <c r="D496" s="196"/>
    </row>
    <row r="497" ht="12.75" customHeight="1">
      <c r="A497" s="196"/>
      <c r="B497" s="196"/>
      <c r="C497" s="196"/>
      <c r="D497" s="196"/>
    </row>
    <row r="498" ht="12.75" customHeight="1">
      <c r="A498" s="196"/>
      <c r="B498" s="196"/>
      <c r="C498" s="196"/>
      <c r="D498" s="196"/>
    </row>
    <row r="499" ht="12.75" customHeight="1">
      <c r="A499" s="196"/>
      <c r="B499" s="196"/>
      <c r="C499" s="196"/>
      <c r="D499" s="196"/>
    </row>
    <row r="500" ht="12.75" customHeight="1">
      <c r="A500" s="196"/>
      <c r="B500" s="196"/>
      <c r="C500" s="196"/>
      <c r="D500" s="196"/>
    </row>
    <row r="501" ht="12.75" customHeight="1">
      <c r="A501" s="196"/>
      <c r="B501" s="196"/>
      <c r="C501" s="196"/>
      <c r="D501" s="196"/>
    </row>
    <row r="502" ht="12.75" customHeight="1">
      <c r="A502" s="196"/>
      <c r="B502" s="196"/>
      <c r="C502" s="196"/>
      <c r="D502" s="196"/>
    </row>
    <row r="503" ht="12.75" customHeight="1">
      <c r="A503" s="196"/>
      <c r="B503" s="196"/>
      <c r="C503" s="196"/>
      <c r="D503" s="196"/>
    </row>
    <row r="504" ht="12.75" customHeight="1">
      <c r="A504" s="196"/>
      <c r="B504" s="196"/>
      <c r="C504" s="196"/>
      <c r="D504" s="196"/>
    </row>
    <row r="505" ht="12.75" customHeight="1">
      <c r="A505" s="196"/>
      <c r="B505" s="196"/>
      <c r="C505" s="196"/>
      <c r="D505" s="196"/>
    </row>
    <row r="506" ht="12.75" customHeight="1">
      <c r="A506" s="196"/>
      <c r="B506" s="196"/>
      <c r="C506" s="196"/>
      <c r="D506" s="196"/>
    </row>
    <row r="507" ht="12.75" customHeight="1">
      <c r="A507" s="196"/>
      <c r="B507" s="196"/>
      <c r="C507" s="196"/>
      <c r="D507" s="196"/>
    </row>
    <row r="508" ht="12.75" customHeight="1">
      <c r="A508" s="196"/>
      <c r="B508" s="196"/>
      <c r="C508" s="196"/>
      <c r="D508" s="196"/>
    </row>
    <row r="509" ht="12.75" customHeight="1">
      <c r="A509" s="196"/>
      <c r="B509" s="196"/>
      <c r="C509" s="196"/>
      <c r="D509" s="196"/>
    </row>
    <row r="510" ht="12.75" customHeight="1">
      <c r="A510" s="196"/>
      <c r="B510" s="196"/>
      <c r="C510" s="196"/>
      <c r="D510" s="196"/>
    </row>
    <row r="511" ht="12.75" customHeight="1">
      <c r="A511" s="196"/>
      <c r="B511" s="196"/>
      <c r="C511" s="196"/>
      <c r="D511" s="196"/>
    </row>
    <row r="512" ht="12.75" customHeight="1">
      <c r="A512" s="196"/>
      <c r="B512" s="196"/>
      <c r="C512" s="196"/>
      <c r="D512" s="196"/>
    </row>
    <row r="513" ht="12.75" customHeight="1">
      <c r="A513" s="196"/>
      <c r="B513" s="196"/>
      <c r="C513" s="196"/>
      <c r="D513" s="196"/>
    </row>
    <row r="514" ht="12.75" customHeight="1">
      <c r="A514" s="196"/>
      <c r="B514" s="196"/>
      <c r="C514" s="196"/>
      <c r="D514" s="196"/>
    </row>
    <row r="515" ht="12.75" customHeight="1">
      <c r="A515" s="196"/>
      <c r="B515" s="196"/>
      <c r="C515" s="196"/>
      <c r="D515" s="196"/>
    </row>
    <row r="516" ht="12.75" customHeight="1">
      <c r="A516" s="196"/>
      <c r="B516" s="196"/>
      <c r="C516" s="196"/>
      <c r="D516" s="196"/>
    </row>
    <row r="517" ht="12.75" customHeight="1">
      <c r="A517" s="196"/>
      <c r="B517" s="196"/>
      <c r="C517" s="196"/>
      <c r="D517" s="196"/>
    </row>
    <row r="518" ht="12.75" customHeight="1">
      <c r="A518" s="196"/>
      <c r="B518" s="196"/>
      <c r="C518" s="196"/>
      <c r="D518" s="196"/>
    </row>
    <row r="519" ht="12.75" customHeight="1">
      <c r="A519" s="196"/>
      <c r="B519" s="196"/>
      <c r="C519" s="196"/>
      <c r="D519" s="196"/>
    </row>
    <row r="520" ht="12.75" customHeight="1">
      <c r="A520" s="196"/>
      <c r="B520" s="196"/>
      <c r="C520" s="196"/>
      <c r="D520" s="196"/>
    </row>
    <row r="521" ht="12.75" customHeight="1">
      <c r="A521" s="196"/>
      <c r="B521" s="196"/>
      <c r="C521" s="196"/>
      <c r="D521" s="196"/>
    </row>
    <row r="522" ht="12.75" customHeight="1">
      <c r="A522" s="196"/>
      <c r="B522" s="196"/>
      <c r="C522" s="196"/>
      <c r="D522" s="196"/>
    </row>
    <row r="523" ht="12.75" customHeight="1">
      <c r="A523" s="196"/>
      <c r="B523" s="196"/>
      <c r="C523" s="196"/>
      <c r="D523" s="196"/>
    </row>
    <row r="524" ht="12.75" customHeight="1">
      <c r="A524" s="196"/>
      <c r="B524" s="196"/>
      <c r="C524" s="196"/>
      <c r="D524" s="196"/>
    </row>
    <row r="525" ht="12.75" customHeight="1">
      <c r="A525" s="196"/>
      <c r="B525" s="196"/>
      <c r="C525" s="196"/>
      <c r="D525" s="196"/>
    </row>
    <row r="526" ht="12.75" customHeight="1">
      <c r="A526" s="196"/>
      <c r="B526" s="196"/>
      <c r="C526" s="196"/>
      <c r="D526" s="196"/>
    </row>
    <row r="527" ht="12.75" customHeight="1">
      <c r="A527" s="196"/>
      <c r="B527" s="196"/>
      <c r="C527" s="196"/>
      <c r="D527" s="196"/>
    </row>
    <row r="528" ht="12.75" customHeight="1">
      <c r="A528" s="196"/>
      <c r="B528" s="196"/>
      <c r="C528" s="196"/>
      <c r="D528" s="196"/>
    </row>
    <row r="529" ht="12.75" customHeight="1">
      <c r="A529" s="196"/>
      <c r="B529" s="196"/>
      <c r="C529" s="196"/>
      <c r="D529" s="196"/>
    </row>
    <row r="530" ht="12.75" customHeight="1">
      <c r="A530" s="196"/>
      <c r="B530" s="196"/>
      <c r="C530" s="196"/>
      <c r="D530" s="196"/>
    </row>
    <row r="531" ht="12.75" customHeight="1">
      <c r="A531" s="196"/>
      <c r="B531" s="196"/>
      <c r="C531" s="196"/>
      <c r="D531" s="196"/>
    </row>
    <row r="532" ht="12.75" customHeight="1">
      <c r="A532" s="196"/>
      <c r="B532" s="196"/>
      <c r="C532" s="196"/>
      <c r="D532" s="196"/>
    </row>
    <row r="533" ht="12.75" customHeight="1">
      <c r="A533" s="196"/>
      <c r="B533" s="196"/>
      <c r="C533" s="196"/>
      <c r="D533" s="196"/>
    </row>
    <row r="534" ht="12.75" customHeight="1">
      <c r="A534" s="196"/>
      <c r="B534" s="196"/>
      <c r="C534" s="196"/>
      <c r="D534" s="196"/>
    </row>
    <row r="535" ht="12.75" customHeight="1">
      <c r="A535" s="196"/>
      <c r="B535" s="196"/>
      <c r="C535" s="196"/>
      <c r="D535" s="196"/>
    </row>
    <row r="536" ht="12.75" customHeight="1">
      <c r="A536" s="196"/>
      <c r="B536" s="196"/>
      <c r="C536" s="196"/>
      <c r="D536" s="196"/>
    </row>
    <row r="537" ht="12.75" customHeight="1">
      <c r="A537" s="196"/>
      <c r="B537" s="196"/>
      <c r="C537" s="196"/>
      <c r="D537" s="196"/>
    </row>
    <row r="538" ht="12.75" customHeight="1">
      <c r="A538" s="196"/>
      <c r="B538" s="196"/>
      <c r="C538" s="196"/>
      <c r="D538" s="196"/>
    </row>
    <row r="539" ht="12.75" customHeight="1">
      <c r="A539" s="196"/>
      <c r="B539" s="196"/>
      <c r="C539" s="196"/>
      <c r="D539" s="196"/>
    </row>
    <row r="540" ht="12.75" customHeight="1">
      <c r="A540" s="196"/>
      <c r="B540" s="196"/>
      <c r="C540" s="196"/>
      <c r="D540" s="196"/>
    </row>
    <row r="541" ht="12.75" customHeight="1">
      <c r="A541" s="196"/>
      <c r="B541" s="196"/>
      <c r="C541" s="196"/>
      <c r="D541" s="196"/>
    </row>
    <row r="542" ht="12.75" customHeight="1">
      <c r="A542" s="196"/>
      <c r="B542" s="196"/>
      <c r="C542" s="196"/>
      <c r="D542" s="196"/>
    </row>
    <row r="543" ht="12.75" customHeight="1">
      <c r="A543" s="196"/>
      <c r="B543" s="196"/>
      <c r="C543" s="196"/>
      <c r="D543" s="196"/>
    </row>
    <row r="544" ht="12.75" customHeight="1">
      <c r="A544" s="196"/>
      <c r="B544" s="196"/>
      <c r="C544" s="196"/>
      <c r="D544" s="196"/>
    </row>
    <row r="545" ht="12.75" customHeight="1">
      <c r="A545" s="196"/>
      <c r="B545" s="196"/>
      <c r="C545" s="196"/>
      <c r="D545" s="196"/>
    </row>
    <row r="546" ht="12.75" customHeight="1">
      <c r="A546" s="196"/>
      <c r="B546" s="196"/>
      <c r="C546" s="196"/>
      <c r="D546" s="196"/>
    </row>
    <row r="547" ht="12.75" customHeight="1">
      <c r="A547" s="196"/>
      <c r="B547" s="196"/>
      <c r="C547" s="196"/>
      <c r="D547" s="196"/>
    </row>
    <row r="548" ht="12.75" customHeight="1">
      <c r="A548" s="196"/>
      <c r="B548" s="196"/>
      <c r="C548" s="196"/>
      <c r="D548" s="196"/>
    </row>
    <row r="549" ht="12.75" customHeight="1">
      <c r="A549" s="196"/>
      <c r="B549" s="196"/>
      <c r="C549" s="196"/>
      <c r="D549" s="196"/>
    </row>
    <row r="550" ht="12.75" customHeight="1">
      <c r="A550" s="196"/>
      <c r="B550" s="196"/>
      <c r="C550" s="196"/>
      <c r="D550" s="196"/>
    </row>
    <row r="551" ht="12.75" customHeight="1">
      <c r="A551" s="196"/>
      <c r="B551" s="196"/>
      <c r="C551" s="196"/>
      <c r="D551" s="196"/>
    </row>
    <row r="552" ht="12.75" customHeight="1">
      <c r="A552" s="196"/>
      <c r="B552" s="196"/>
      <c r="C552" s="196"/>
      <c r="D552" s="196"/>
    </row>
    <row r="553" ht="12.75" customHeight="1">
      <c r="A553" s="196"/>
      <c r="B553" s="196"/>
      <c r="C553" s="196"/>
      <c r="D553" s="196"/>
    </row>
    <row r="554" ht="12.75" customHeight="1">
      <c r="A554" s="196"/>
      <c r="B554" s="196"/>
      <c r="C554" s="196"/>
      <c r="D554" s="196"/>
    </row>
    <row r="555" ht="12.75" customHeight="1">
      <c r="A555" s="196"/>
      <c r="B555" s="196"/>
      <c r="C555" s="196"/>
      <c r="D555" s="196"/>
    </row>
    <row r="556" ht="12.75" customHeight="1">
      <c r="A556" s="196"/>
      <c r="B556" s="196"/>
      <c r="C556" s="196"/>
      <c r="D556" s="196"/>
    </row>
    <row r="557" ht="12.75" customHeight="1">
      <c r="A557" s="196"/>
      <c r="B557" s="196"/>
      <c r="C557" s="196"/>
      <c r="D557" s="196"/>
    </row>
    <row r="558" ht="12.75" customHeight="1">
      <c r="A558" s="196"/>
      <c r="B558" s="196"/>
      <c r="C558" s="196"/>
      <c r="D558" s="196"/>
    </row>
    <row r="559" ht="12.75" customHeight="1">
      <c r="A559" s="196"/>
      <c r="B559" s="196"/>
      <c r="C559" s="196"/>
      <c r="D559" s="196"/>
    </row>
    <row r="560" ht="12.75" customHeight="1">
      <c r="A560" s="196"/>
      <c r="B560" s="196"/>
      <c r="C560" s="196"/>
      <c r="D560" s="196"/>
    </row>
    <row r="561" ht="12.75" customHeight="1">
      <c r="A561" s="196"/>
      <c r="B561" s="196"/>
      <c r="C561" s="196"/>
      <c r="D561" s="196"/>
    </row>
    <row r="562" ht="12.75" customHeight="1">
      <c r="A562" s="196"/>
      <c r="B562" s="196"/>
      <c r="C562" s="196"/>
      <c r="D562" s="196"/>
    </row>
    <row r="563" ht="12.75" customHeight="1">
      <c r="A563" s="196"/>
      <c r="B563" s="196"/>
      <c r="C563" s="196"/>
      <c r="D563" s="196"/>
    </row>
    <row r="564" ht="12.75" customHeight="1">
      <c r="A564" s="196"/>
      <c r="B564" s="196"/>
      <c r="C564" s="196"/>
      <c r="D564" s="196"/>
    </row>
    <row r="565" ht="12.75" customHeight="1">
      <c r="A565" s="196"/>
      <c r="B565" s="196"/>
      <c r="C565" s="196"/>
      <c r="D565" s="196"/>
    </row>
    <row r="566" ht="12.75" customHeight="1">
      <c r="A566" s="196"/>
      <c r="B566" s="196"/>
      <c r="C566" s="196"/>
      <c r="D566" s="196"/>
    </row>
    <row r="567" ht="12.75" customHeight="1">
      <c r="A567" s="196"/>
      <c r="B567" s="196"/>
      <c r="C567" s="196"/>
      <c r="D567" s="196"/>
    </row>
    <row r="568" ht="12.75" customHeight="1">
      <c r="A568" s="196"/>
      <c r="B568" s="196"/>
      <c r="C568" s="196"/>
      <c r="D568" s="196"/>
    </row>
    <row r="569" ht="12.75" customHeight="1">
      <c r="A569" s="196"/>
      <c r="B569" s="196"/>
      <c r="C569" s="196"/>
      <c r="D569" s="196"/>
    </row>
    <row r="570" ht="12.75" customHeight="1">
      <c r="A570" s="196"/>
      <c r="B570" s="196"/>
      <c r="C570" s="196"/>
      <c r="D570" s="196"/>
    </row>
    <row r="571" ht="12.75" customHeight="1">
      <c r="A571" s="196"/>
      <c r="B571" s="196"/>
      <c r="C571" s="196"/>
      <c r="D571" s="196"/>
    </row>
    <row r="572" ht="12.75" customHeight="1">
      <c r="A572" s="196"/>
      <c r="B572" s="196"/>
      <c r="C572" s="196"/>
      <c r="D572" s="196"/>
    </row>
    <row r="573" ht="12.75" customHeight="1">
      <c r="A573" s="196"/>
      <c r="B573" s="196"/>
      <c r="C573" s="196"/>
      <c r="D573" s="196"/>
    </row>
    <row r="574" ht="12.75" customHeight="1">
      <c r="A574" s="196"/>
      <c r="B574" s="196"/>
      <c r="C574" s="196"/>
      <c r="D574" s="196"/>
    </row>
    <row r="575" ht="12.75" customHeight="1">
      <c r="A575" s="196"/>
      <c r="B575" s="196"/>
      <c r="C575" s="196"/>
      <c r="D575" s="196"/>
    </row>
    <row r="576" ht="12.75" customHeight="1">
      <c r="A576" s="196"/>
      <c r="B576" s="196"/>
      <c r="C576" s="196"/>
      <c r="D576" s="196"/>
    </row>
    <row r="577" ht="12.75" customHeight="1">
      <c r="A577" s="196"/>
      <c r="B577" s="196"/>
      <c r="C577" s="196"/>
      <c r="D577" s="196"/>
    </row>
    <row r="578" ht="12.75" customHeight="1">
      <c r="A578" s="196"/>
      <c r="B578" s="196"/>
      <c r="C578" s="196"/>
      <c r="D578" s="196"/>
    </row>
    <row r="579" ht="12.75" customHeight="1">
      <c r="A579" s="196"/>
      <c r="B579" s="196"/>
      <c r="C579" s="196"/>
      <c r="D579" s="196"/>
    </row>
    <row r="580" ht="12.75" customHeight="1">
      <c r="A580" s="196"/>
      <c r="B580" s="196"/>
      <c r="C580" s="196"/>
      <c r="D580" s="196"/>
    </row>
    <row r="581" ht="12.75" customHeight="1">
      <c r="A581" s="196"/>
      <c r="B581" s="196"/>
      <c r="C581" s="196"/>
      <c r="D581" s="196"/>
    </row>
    <row r="582" ht="12.75" customHeight="1">
      <c r="A582" s="196"/>
      <c r="B582" s="196"/>
      <c r="C582" s="196"/>
      <c r="D582" s="196"/>
    </row>
    <row r="583" ht="12.75" customHeight="1">
      <c r="A583" s="196"/>
      <c r="B583" s="196"/>
      <c r="C583" s="196"/>
      <c r="D583" s="196"/>
    </row>
    <row r="584" ht="12.75" customHeight="1">
      <c r="A584" s="196"/>
      <c r="B584" s="196"/>
      <c r="C584" s="196"/>
      <c r="D584" s="196"/>
    </row>
    <row r="585" ht="12.75" customHeight="1">
      <c r="A585" s="196"/>
      <c r="B585" s="196"/>
      <c r="C585" s="196"/>
      <c r="D585" s="196"/>
    </row>
    <row r="586" ht="12.75" customHeight="1">
      <c r="A586" s="196"/>
      <c r="B586" s="196"/>
      <c r="C586" s="196"/>
      <c r="D586" s="196"/>
    </row>
    <row r="587" ht="12.75" customHeight="1">
      <c r="A587" s="196"/>
      <c r="B587" s="196"/>
      <c r="C587" s="196"/>
      <c r="D587" s="196"/>
    </row>
    <row r="588" ht="12.75" customHeight="1">
      <c r="A588" s="196"/>
      <c r="B588" s="196"/>
      <c r="C588" s="196"/>
      <c r="D588" s="196"/>
    </row>
    <row r="589" ht="12.75" customHeight="1">
      <c r="A589" s="196"/>
      <c r="B589" s="196"/>
      <c r="C589" s="196"/>
      <c r="D589" s="196"/>
    </row>
    <row r="590" ht="12.75" customHeight="1">
      <c r="A590" s="196"/>
      <c r="B590" s="196"/>
      <c r="C590" s="196"/>
      <c r="D590" s="196"/>
    </row>
    <row r="591" ht="12.75" customHeight="1">
      <c r="A591" s="196"/>
      <c r="B591" s="196"/>
      <c r="C591" s="196"/>
      <c r="D591" s="196"/>
    </row>
    <row r="592" ht="12.75" customHeight="1">
      <c r="A592" s="196"/>
      <c r="B592" s="196"/>
      <c r="C592" s="196"/>
      <c r="D592" s="196"/>
    </row>
    <row r="593" ht="12.75" customHeight="1">
      <c r="A593" s="196"/>
      <c r="B593" s="196"/>
      <c r="C593" s="196"/>
      <c r="D593" s="196"/>
    </row>
    <row r="594" ht="12.75" customHeight="1">
      <c r="A594" s="196"/>
      <c r="B594" s="196"/>
      <c r="C594" s="196"/>
      <c r="D594" s="196"/>
    </row>
    <row r="595" ht="12.75" customHeight="1">
      <c r="A595" s="196"/>
      <c r="B595" s="196"/>
      <c r="C595" s="196"/>
      <c r="D595" s="196"/>
    </row>
    <row r="596" ht="12.75" customHeight="1">
      <c r="A596" s="196"/>
      <c r="B596" s="196"/>
      <c r="C596" s="196"/>
      <c r="D596" s="196"/>
    </row>
    <row r="597" ht="12.75" customHeight="1">
      <c r="A597" s="196"/>
      <c r="B597" s="196"/>
      <c r="C597" s="196"/>
      <c r="D597" s="196"/>
    </row>
    <row r="598" ht="12.75" customHeight="1">
      <c r="A598" s="196"/>
      <c r="B598" s="196"/>
      <c r="C598" s="196"/>
      <c r="D598" s="196"/>
    </row>
    <row r="599" ht="12.75" customHeight="1">
      <c r="A599" s="196"/>
      <c r="B599" s="196"/>
      <c r="C599" s="196"/>
      <c r="D599" s="196"/>
    </row>
    <row r="600" ht="12.75" customHeight="1">
      <c r="A600" s="196"/>
      <c r="B600" s="196"/>
      <c r="C600" s="196"/>
      <c r="D600" s="196"/>
    </row>
    <row r="601" ht="12.75" customHeight="1">
      <c r="A601" s="196"/>
      <c r="B601" s="196"/>
      <c r="C601" s="196"/>
      <c r="D601" s="196"/>
    </row>
    <row r="602" ht="12.75" customHeight="1">
      <c r="A602" s="196"/>
      <c r="B602" s="196"/>
      <c r="C602" s="196"/>
      <c r="D602" s="196"/>
    </row>
    <row r="603" ht="12.75" customHeight="1">
      <c r="A603" s="196"/>
      <c r="B603" s="196"/>
      <c r="C603" s="196"/>
      <c r="D603" s="196"/>
    </row>
    <row r="604" ht="12.75" customHeight="1">
      <c r="A604" s="196"/>
      <c r="B604" s="196"/>
      <c r="C604" s="196"/>
      <c r="D604" s="196"/>
    </row>
    <row r="605" ht="12.75" customHeight="1">
      <c r="A605" s="196"/>
      <c r="B605" s="196"/>
      <c r="C605" s="196"/>
      <c r="D605" s="196"/>
    </row>
    <row r="606" ht="12.75" customHeight="1">
      <c r="A606" s="196"/>
      <c r="B606" s="196"/>
      <c r="C606" s="196"/>
      <c r="D606" s="196"/>
    </row>
    <row r="607" ht="12.75" customHeight="1">
      <c r="A607" s="196"/>
      <c r="B607" s="196"/>
      <c r="C607" s="196"/>
      <c r="D607" s="196"/>
    </row>
    <row r="608" ht="12.75" customHeight="1">
      <c r="A608" s="196"/>
      <c r="B608" s="196"/>
      <c r="C608" s="196"/>
      <c r="D608" s="196"/>
    </row>
    <row r="609" ht="12.75" customHeight="1">
      <c r="A609" s="196"/>
      <c r="B609" s="196"/>
      <c r="C609" s="196"/>
      <c r="D609" s="196"/>
    </row>
    <row r="610" ht="12.75" customHeight="1">
      <c r="A610" s="196"/>
      <c r="B610" s="196"/>
      <c r="C610" s="196"/>
      <c r="D610" s="196"/>
    </row>
    <row r="611" ht="12.75" customHeight="1">
      <c r="A611" s="196"/>
      <c r="B611" s="196"/>
      <c r="C611" s="196"/>
      <c r="D611" s="196"/>
    </row>
    <row r="612" ht="12.75" customHeight="1">
      <c r="A612" s="196"/>
      <c r="B612" s="196"/>
      <c r="C612" s="196"/>
      <c r="D612" s="196"/>
    </row>
    <row r="613" ht="12.75" customHeight="1">
      <c r="A613" s="196"/>
      <c r="B613" s="196"/>
      <c r="C613" s="196"/>
      <c r="D613" s="196"/>
    </row>
    <row r="614" ht="12.75" customHeight="1">
      <c r="A614" s="196"/>
      <c r="B614" s="196"/>
      <c r="C614" s="196"/>
      <c r="D614" s="196"/>
    </row>
    <row r="615" ht="12.75" customHeight="1">
      <c r="A615" s="196"/>
      <c r="B615" s="196"/>
      <c r="C615" s="196"/>
      <c r="D615" s="196"/>
    </row>
    <row r="616" ht="12.75" customHeight="1">
      <c r="A616" s="196"/>
      <c r="B616" s="196"/>
      <c r="C616" s="196"/>
      <c r="D616" s="196"/>
    </row>
    <row r="617" ht="12.75" customHeight="1">
      <c r="A617" s="196"/>
      <c r="B617" s="196"/>
      <c r="C617" s="196"/>
      <c r="D617" s="196"/>
    </row>
    <row r="618" ht="12.75" customHeight="1">
      <c r="A618" s="196"/>
      <c r="B618" s="196"/>
      <c r="C618" s="196"/>
      <c r="D618" s="196"/>
    </row>
    <row r="619" ht="12.75" customHeight="1">
      <c r="A619" s="196"/>
      <c r="B619" s="196"/>
      <c r="C619" s="196"/>
      <c r="D619" s="196"/>
    </row>
    <row r="620" ht="12.75" customHeight="1">
      <c r="A620" s="196"/>
      <c r="B620" s="196"/>
      <c r="C620" s="196"/>
      <c r="D620" s="196"/>
    </row>
    <row r="621" ht="12.75" customHeight="1">
      <c r="A621" s="196"/>
      <c r="B621" s="196"/>
      <c r="C621" s="196"/>
      <c r="D621" s="196"/>
    </row>
    <row r="622" ht="12.75" customHeight="1">
      <c r="A622" s="196"/>
      <c r="B622" s="196"/>
      <c r="C622" s="196"/>
      <c r="D622" s="196"/>
    </row>
    <row r="623" ht="12.75" customHeight="1">
      <c r="A623" s="196"/>
      <c r="B623" s="196"/>
      <c r="C623" s="196"/>
      <c r="D623" s="196"/>
    </row>
    <row r="624" ht="12.75" customHeight="1">
      <c r="A624" s="196"/>
      <c r="B624" s="196"/>
      <c r="C624" s="196"/>
      <c r="D624" s="196"/>
    </row>
    <row r="625" ht="12.75" customHeight="1">
      <c r="A625" s="196"/>
      <c r="B625" s="196"/>
      <c r="C625" s="196"/>
      <c r="D625" s="196"/>
    </row>
    <row r="626" ht="12.75" customHeight="1">
      <c r="A626" s="196"/>
      <c r="B626" s="196"/>
      <c r="C626" s="196"/>
      <c r="D626" s="196"/>
    </row>
    <row r="627" ht="12.75" customHeight="1">
      <c r="A627" s="196"/>
      <c r="B627" s="196"/>
      <c r="C627" s="196"/>
      <c r="D627" s="196"/>
    </row>
    <row r="628" ht="12.75" customHeight="1">
      <c r="A628" s="196"/>
      <c r="B628" s="196"/>
      <c r="C628" s="196"/>
      <c r="D628" s="196"/>
    </row>
    <row r="629" ht="12.75" customHeight="1">
      <c r="A629" s="196"/>
      <c r="B629" s="196"/>
      <c r="C629" s="196"/>
      <c r="D629" s="196"/>
    </row>
    <row r="630" ht="12.75" customHeight="1">
      <c r="A630" s="196"/>
      <c r="B630" s="196"/>
      <c r="C630" s="196"/>
      <c r="D630" s="196"/>
    </row>
    <row r="631" ht="12.75" customHeight="1">
      <c r="A631" s="196"/>
      <c r="B631" s="196"/>
      <c r="C631" s="196"/>
      <c r="D631" s="196"/>
    </row>
    <row r="632" ht="12.75" customHeight="1">
      <c r="A632" s="196"/>
      <c r="B632" s="196"/>
      <c r="C632" s="196"/>
      <c r="D632" s="196"/>
    </row>
    <row r="633" ht="12.75" customHeight="1">
      <c r="A633" s="196"/>
      <c r="B633" s="196"/>
      <c r="C633" s="196"/>
      <c r="D633" s="196"/>
    </row>
    <row r="634" ht="12.75" customHeight="1">
      <c r="A634" s="196"/>
      <c r="B634" s="196"/>
      <c r="C634" s="196"/>
      <c r="D634" s="196"/>
    </row>
    <row r="635" ht="12.75" customHeight="1">
      <c r="A635" s="196"/>
      <c r="B635" s="196"/>
      <c r="C635" s="196"/>
      <c r="D635" s="196"/>
    </row>
    <row r="636" ht="12.75" customHeight="1">
      <c r="A636" s="196"/>
      <c r="B636" s="196"/>
      <c r="C636" s="196"/>
      <c r="D636" s="196"/>
    </row>
    <row r="637" ht="12.75" customHeight="1">
      <c r="A637" s="196"/>
      <c r="B637" s="196"/>
      <c r="C637" s="196"/>
      <c r="D637" s="196"/>
    </row>
    <row r="638" ht="12.75" customHeight="1">
      <c r="A638" s="196"/>
      <c r="B638" s="196"/>
      <c r="C638" s="196"/>
      <c r="D638" s="196"/>
    </row>
    <row r="639" ht="12.75" customHeight="1">
      <c r="A639" s="196"/>
      <c r="B639" s="196"/>
      <c r="C639" s="196"/>
      <c r="D639" s="196"/>
    </row>
    <row r="640" ht="12.75" customHeight="1">
      <c r="A640" s="196"/>
      <c r="B640" s="196"/>
      <c r="C640" s="196"/>
      <c r="D640" s="196"/>
    </row>
    <row r="641" ht="12.75" customHeight="1">
      <c r="A641" s="196"/>
      <c r="B641" s="196"/>
      <c r="C641" s="196"/>
      <c r="D641" s="196"/>
    </row>
    <row r="642" ht="12.75" customHeight="1">
      <c r="A642" s="196"/>
      <c r="B642" s="196"/>
      <c r="C642" s="196"/>
      <c r="D642" s="196"/>
    </row>
    <row r="643" ht="12.75" customHeight="1">
      <c r="A643" s="196"/>
      <c r="B643" s="196"/>
      <c r="C643" s="196"/>
      <c r="D643" s="196"/>
    </row>
    <row r="644" ht="12.75" customHeight="1">
      <c r="A644" s="196"/>
      <c r="B644" s="196"/>
      <c r="C644" s="196"/>
      <c r="D644" s="196"/>
    </row>
    <row r="645" ht="12.75" customHeight="1">
      <c r="A645" s="196"/>
      <c r="B645" s="196"/>
      <c r="C645" s="196"/>
      <c r="D645" s="196"/>
    </row>
    <row r="646" ht="12.75" customHeight="1">
      <c r="A646" s="196"/>
      <c r="B646" s="196"/>
      <c r="C646" s="196"/>
      <c r="D646" s="196"/>
    </row>
    <row r="647" ht="12.75" customHeight="1">
      <c r="A647" s="196"/>
      <c r="B647" s="196"/>
      <c r="C647" s="196"/>
      <c r="D647" s="196"/>
    </row>
    <row r="648" ht="12.75" customHeight="1">
      <c r="A648" s="196"/>
      <c r="B648" s="196"/>
      <c r="C648" s="196"/>
      <c r="D648" s="196"/>
    </row>
    <row r="649" ht="12.75" customHeight="1">
      <c r="A649" s="196"/>
      <c r="B649" s="196"/>
      <c r="C649" s="196"/>
      <c r="D649" s="196"/>
    </row>
    <row r="650" ht="12.75" customHeight="1">
      <c r="A650" s="196"/>
      <c r="B650" s="196"/>
      <c r="C650" s="196"/>
      <c r="D650" s="196"/>
    </row>
    <row r="651" ht="12.75" customHeight="1">
      <c r="A651" s="196"/>
      <c r="B651" s="196"/>
      <c r="C651" s="196"/>
      <c r="D651" s="196"/>
    </row>
    <row r="652" ht="12.75" customHeight="1">
      <c r="A652" s="196"/>
      <c r="B652" s="196"/>
      <c r="C652" s="196"/>
      <c r="D652" s="196"/>
    </row>
    <row r="653" ht="12.75" customHeight="1">
      <c r="A653" s="196"/>
      <c r="B653" s="196"/>
      <c r="C653" s="196"/>
      <c r="D653" s="196"/>
    </row>
    <row r="654" ht="12.75" customHeight="1">
      <c r="A654" s="196"/>
      <c r="B654" s="196"/>
      <c r="C654" s="196"/>
      <c r="D654" s="196"/>
    </row>
    <row r="655" ht="12.75" customHeight="1">
      <c r="A655" s="196"/>
      <c r="B655" s="196"/>
      <c r="C655" s="196"/>
      <c r="D655" s="196"/>
    </row>
    <row r="656" ht="12.75" customHeight="1">
      <c r="A656" s="196"/>
      <c r="B656" s="196"/>
      <c r="C656" s="196"/>
      <c r="D656" s="196"/>
    </row>
    <row r="657" ht="12.75" customHeight="1">
      <c r="A657" s="196"/>
      <c r="B657" s="196"/>
      <c r="C657" s="196"/>
      <c r="D657" s="196"/>
    </row>
    <row r="658" ht="12.75" customHeight="1">
      <c r="A658" s="196"/>
      <c r="B658" s="196"/>
      <c r="C658" s="196"/>
      <c r="D658" s="196"/>
    </row>
    <row r="659" ht="12.75" customHeight="1">
      <c r="A659" s="196"/>
      <c r="B659" s="196"/>
      <c r="C659" s="196"/>
      <c r="D659" s="196"/>
    </row>
    <row r="660" ht="12.75" customHeight="1">
      <c r="A660" s="196"/>
      <c r="B660" s="196"/>
      <c r="C660" s="196"/>
      <c r="D660" s="196"/>
    </row>
    <row r="661" ht="12.75" customHeight="1">
      <c r="A661" s="196"/>
      <c r="B661" s="196"/>
      <c r="C661" s="196"/>
      <c r="D661" s="196"/>
    </row>
    <row r="662" ht="12.75" customHeight="1">
      <c r="A662" s="196"/>
      <c r="B662" s="196"/>
      <c r="C662" s="196"/>
      <c r="D662" s="196"/>
    </row>
    <row r="663" ht="12.75" customHeight="1">
      <c r="A663" s="196"/>
      <c r="B663" s="196"/>
      <c r="C663" s="196"/>
      <c r="D663" s="196"/>
    </row>
    <row r="664" ht="12.75" customHeight="1">
      <c r="A664" s="196"/>
      <c r="B664" s="196"/>
      <c r="C664" s="196"/>
      <c r="D664" s="196"/>
    </row>
    <row r="665" ht="12.75" customHeight="1">
      <c r="A665" s="196"/>
      <c r="B665" s="196"/>
      <c r="C665" s="196"/>
      <c r="D665" s="196"/>
    </row>
    <row r="666" ht="12.75" customHeight="1">
      <c r="A666" s="196"/>
      <c r="B666" s="196"/>
      <c r="C666" s="196"/>
      <c r="D666" s="196"/>
    </row>
    <row r="667" ht="12.75" customHeight="1">
      <c r="A667" s="196"/>
      <c r="B667" s="196"/>
      <c r="C667" s="196"/>
      <c r="D667" s="196"/>
    </row>
    <row r="668" ht="12.75" customHeight="1">
      <c r="A668" s="196"/>
      <c r="B668" s="196"/>
      <c r="C668" s="196"/>
      <c r="D668" s="196"/>
    </row>
    <row r="669" ht="12.75" customHeight="1">
      <c r="A669" s="196"/>
      <c r="B669" s="196"/>
      <c r="C669" s="196"/>
      <c r="D669" s="196"/>
    </row>
    <row r="670" ht="12.75" customHeight="1">
      <c r="A670" s="196"/>
      <c r="B670" s="196"/>
      <c r="C670" s="196"/>
      <c r="D670" s="196"/>
    </row>
    <row r="671" ht="12.75" customHeight="1">
      <c r="A671" s="196"/>
      <c r="B671" s="196"/>
      <c r="C671" s="196"/>
      <c r="D671" s="196"/>
    </row>
    <row r="672" ht="12.75" customHeight="1">
      <c r="A672" s="196"/>
      <c r="B672" s="196"/>
      <c r="C672" s="196"/>
      <c r="D672" s="196"/>
    </row>
    <row r="673" ht="12.75" customHeight="1">
      <c r="A673" s="196"/>
      <c r="B673" s="196"/>
      <c r="C673" s="196"/>
      <c r="D673" s="196"/>
    </row>
    <row r="674" ht="12.75" customHeight="1">
      <c r="A674" s="196"/>
      <c r="B674" s="196"/>
      <c r="C674" s="196"/>
      <c r="D674" s="196"/>
    </row>
    <row r="675" ht="12.75" customHeight="1">
      <c r="A675" s="196"/>
      <c r="B675" s="196"/>
      <c r="C675" s="196"/>
      <c r="D675" s="196"/>
    </row>
    <row r="676" ht="12.75" customHeight="1">
      <c r="A676" s="196"/>
      <c r="B676" s="196"/>
      <c r="C676" s="196"/>
      <c r="D676" s="196"/>
    </row>
    <row r="677" ht="12.75" customHeight="1">
      <c r="A677" s="196"/>
      <c r="B677" s="196"/>
      <c r="C677" s="196"/>
      <c r="D677" s="196"/>
    </row>
    <row r="678" ht="12.75" customHeight="1">
      <c r="A678" s="196"/>
      <c r="B678" s="196"/>
      <c r="C678" s="196"/>
      <c r="D678" s="196"/>
    </row>
    <row r="679" ht="12.75" customHeight="1">
      <c r="A679" s="196"/>
      <c r="B679" s="196"/>
      <c r="C679" s="196"/>
      <c r="D679" s="196"/>
    </row>
    <row r="680" ht="12.75" customHeight="1">
      <c r="A680" s="196"/>
      <c r="B680" s="196"/>
      <c r="C680" s="196"/>
      <c r="D680" s="196"/>
    </row>
    <row r="681" ht="12.75" customHeight="1">
      <c r="A681" s="196"/>
      <c r="B681" s="196"/>
      <c r="C681" s="196"/>
      <c r="D681" s="196"/>
    </row>
    <row r="682" ht="12.75" customHeight="1">
      <c r="A682" s="196"/>
      <c r="B682" s="196"/>
      <c r="C682" s="196"/>
      <c r="D682" s="196"/>
    </row>
    <row r="683" ht="12.75" customHeight="1">
      <c r="A683" s="196"/>
      <c r="B683" s="196"/>
      <c r="C683" s="196"/>
      <c r="D683" s="196"/>
    </row>
    <row r="684" ht="12.75" customHeight="1">
      <c r="A684" s="196"/>
      <c r="B684" s="196"/>
      <c r="C684" s="196"/>
      <c r="D684" s="196"/>
    </row>
    <row r="685" ht="12.75" customHeight="1">
      <c r="A685" s="196"/>
      <c r="B685" s="196"/>
      <c r="C685" s="196"/>
      <c r="D685" s="196"/>
    </row>
    <row r="686" ht="12.75" customHeight="1">
      <c r="A686" s="196"/>
      <c r="B686" s="196"/>
      <c r="C686" s="196"/>
      <c r="D686" s="196"/>
    </row>
    <row r="687" ht="12.75" customHeight="1">
      <c r="A687" s="196"/>
      <c r="B687" s="196"/>
      <c r="C687" s="196"/>
      <c r="D687" s="196"/>
    </row>
    <row r="688" ht="12.75" customHeight="1">
      <c r="A688" s="196"/>
      <c r="B688" s="196"/>
      <c r="C688" s="196"/>
      <c r="D688" s="196"/>
    </row>
    <row r="689" ht="12.75" customHeight="1">
      <c r="A689" s="196"/>
      <c r="B689" s="196"/>
      <c r="C689" s="196"/>
      <c r="D689" s="196"/>
    </row>
    <row r="690" ht="12.75" customHeight="1">
      <c r="A690" s="196"/>
      <c r="B690" s="196"/>
      <c r="C690" s="196"/>
      <c r="D690" s="196"/>
    </row>
    <row r="691" ht="12.75" customHeight="1">
      <c r="A691" s="196"/>
      <c r="B691" s="196"/>
      <c r="C691" s="196"/>
      <c r="D691" s="196"/>
    </row>
    <row r="692" ht="12.75" customHeight="1">
      <c r="A692" s="196"/>
      <c r="B692" s="196"/>
      <c r="C692" s="196"/>
      <c r="D692" s="196"/>
    </row>
    <row r="693" ht="12.75" customHeight="1">
      <c r="A693" s="196"/>
      <c r="B693" s="196"/>
      <c r="C693" s="196"/>
      <c r="D693" s="196"/>
    </row>
    <row r="694" ht="12.75" customHeight="1">
      <c r="A694" s="196"/>
      <c r="B694" s="196"/>
      <c r="C694" s="196"/>
      <c r="D694" s="196"/>
    </row>
    <row r="695" ht="12.75" customHeight="1">
      <c r="A695" s="196"/>
      <c r="B695" s="196"/>
      <c r="C695" s="196"/>
      <c r="D695" s="196"/>
    </row>
    <row r="696" ht="12.75" customHeight="1">
      <c r="A696" s="196"/>
      <c r="B696" s="196"/>
      <c r="C696" s="196"/>
      <c r="D696" s="196"/>
    </row>
    <row r="697" ht="12.75" customHeight="1">
      <c r="A697" s="196"/>
      <c r="B697" s="196"/>
      <c r="C697" s="196"/>
      <c r="D697" s="196"/>
    </row>
    <row r="698" ht="12.75" customHeight="1">
      <c r="A698" s="196"/>
      <c r="B698" s="196"/>
      <c r="C698" s="196"/>
      <c r="D698" s="196"/>
    </row>
    <row r="699" ht="12.75" customHeight="1">
      <c r="A699" s="196"/>
      <c r="B699" s="196"/>
      <c r="C699" s="196"/>
      <c r="D699" s="196"/>
    </row>
    <row r="700" ht="12.75" customHeight="1">
      <c r="A700" s="196"/>
      <c r="B700" s="196"/>
      <c r="C700" s="196"/>
      <c r="D700" s="196"/>
    </row>
    <row r="701" ht="12.75" customHeight="1">
      <c r="A701" s="196"/>
      <c r="B701" s="196"/>
      <c r="C701" s="196"/>
      <c r="D701" s="196"/>
    </row>
    <row r="702" ht="12.75" customHeight="1">
      <c r="A702" s="196"/>
      <c r="B702" s="196"/>
      <c r="C702" s="196"/>
      <c r="D702" s="196"/>
    </row>
    <row r="703" ht="12.75" customHeight="1">
      <c r="A703" s="196"/>
      <c r="B703" s="196"/>
      <c r="C703" s="196"/>
      <c r="D703" s="196"/>
    </row>
    <row r="704" ht="12.75" customHeight="1">
      <c r="A704" s="196"/>
      <c r="B704" s="196"/>
      <c r="C704" s="196"/>
      <c r="D704" s="196"/>
    </row>
    <row r="705" ht="12.75" customHeight="1">
      <c r="A705" s="196"/>
      <c r="B705" s="196"/>
      <c r="C705" s="196"/>
      <c r="D705" s="196"/>
    </row>
    <row r="706" ht="12.75" customHeight="1">
      <c r="A706" s="196"/>
      <c r="B706" s="196"/>
      <c r="C706" s="196"/>
      <c r="D706" s="196"/>
    </row>
    <row r="707" ht="12.75" customHeight="1">
      <c r="A707" s="196"/>
      <c r="B707" s="196"/>
      <c r="C707" s="196"/>
      <c r="D707" s="196"/>
    </row>
    <row r="708" ht="12.75" customHeight="1">
      <c r="A708" s="196"/>
      <c r="B708" s="196"/>
      <c r="C708" s="196"/>
      <c r="D708" s="196"/>
    </row>
    <row r="709" ht="12.75" customHeight="1">
      <c r="A709" s="196"/>
      <c r="B709" s="196"/>
      <c r="C709" s="196"/>
      <c r="D709" s="196"/>
    </row>
    <row r="710" ht="12.75" customHeight="1">
      <c r="A710" s="196"/>
      <c r="B710" s="196"/>
      <c r="C710" s="196"/>
      <c r="D710" s="196"/>
    </row>
    <row r="711" ht="12.75" customHeight="1">
      <c r="A711" s="196"/>
      <c r="B711" s="196"/>
      <c r="C711" s="196"/>
      <c r="D711" s="196"/>
    </row>
    <row r="712" ht="12.75" customHeight="1">
      <c r="A712" s="196"/>
      <c r="B712" s="196"/>
      <c r="C712" s="196"/>
      <c r="D712" s="196"/>
    </row>
    <row r="713" ht="12.75" customHeight="1">
      <c r="A713" s="196"/>
      <c r="B713" s="196"/>
      <c r="C713" s="196"/>
      <c r="D713" s="196"/>
    </row>
    <row r="714" ht="12.75" customHeight="1">
      <c r="A714" s="196"/>
      <c r="B714" s="196"/>
      <c r="C714" s="196"/>
      <c r="D714" s="196"/>
    </row>
    <row r="715" ht="12.75" customHeight="1">
      <c r="A715" s="196"/>
      <c r="B715" s="196"/>
      <c r="C715" s="196"/>
      <c r="D715" s="196"/>
    </row>
    <row r="716" ht="12.75" customHeight="1">
      <c r="A716" s="196"/>
      <c r="B716" s="196"/>
      <c r="C716" s="196"/>
      <c r="D716" s="196"/>
    </row>
    <row r="717" ht="12.75" customHeight="1">
      <c r="A717" s="196"/>
      <c r="B717" s="196"/>
      <c r="C717" s="196"/>
      <c r="D717" s="196"/>
    </row>
    <row r="718" ht="12.75" customHeight="1">
      <c r="A718" s="196"/>
      <c r="B718" s="196"/>
      <c r="C718" s="196"/>
      <c r="D718" s="196"/>
    </row>
    <row r="719" ht="12.75" customHeight="1">
      <c r="A719" s="196"/>
      <c r="B719" s="196"/>
      <c r="C719" s="196"/>
      <c r="D719" s="196"/>
    </row>
    <row r="720" ht="12.75" customHeight="1">
      <c r="A720" s="196"/>
      <c r="B720" s="196"/>
      <c r="C720" s="196"/>
      <c r="D720" s="196"/>
    </row>
    <row r="721" ht="12.75" customHeight="1">
      <c r="A721" s="196"/>
      <c r="B721" s="196"/>
      <c r="C721" s="196"/>
      <c r="D721" s="196"/>
    </row>
    <row r="722" ht="12.75" customHeight="1">
      <c r="A722" s="196"/>
      <c r="B722" s="196"/>
      <c r="C722" s="196"/>
      <c r="D722" s="196"/>
    </row>
    <row r="723" ht="12.75" customHeight="1">
      <c r="A723" s="196"/>
      <c r="B723" s="196"/>
      <c r="C723" s="196"/>
      <c r="D723" s="196"/>
    </row>
    <row r="724" ht="12.75" customHeight="1">
      <c r="A724" s="196"/>
      <c r="B724" s="196"/>
      <c r="C724" s="196"/>
      <c r="D724" s="196"/>
    </row>
    <row r="725" ht="12.75" customHeight="1">
      <c r="A725" s="196"/>
      <c r="B725" s="196"/>
      <c r="C725" s="196"/>
      <c r="D725" s="196"/>
    </row>
    <row r="726" ht="12.75" customHeight="1">
      <c r="A726" s="196"/>
      <c r="B726" s="196"/>
      <c r="C726" s="196"/>
      <c r="D726" s="196"/>
    </row>
    <row r="727" ht="12.75" customHeight="1">
      <c r="A727" s="196"/>
      <c r="B727" s="196"/>
      <c r="C727" s="196"/>
      <c r="D727" s="196"/>
    </row>
    <row r="728" ht="12.75" customHeight="1">
      <c r="A728" s="196"/>
      <c r="B728" s="196"/>
      <c r="C728" s="196"/>
      <c r="D728" s="196"/>
    </row>
    <row r="729" ht="12.75" customHeight="1">
      <c r="A729" s="196"/>
      <c r="B729" s="196"/>
      <c r="C729" s="196"/>
      <c r="D729" s="196"/>
    </row>
    <row r="730" ht="12.75" customHeight="1">
      <c r="A730" s="196"/>
      <c r="B730" s="196"/>
      <c r="C730" s="196"/>
      <c r="D730" s="196"/>
    </row>
    <row r="731" ht="12.75" customHeight="1">
      <c r="A731" s="196"/>
      <c r="B731" s="196"/>
      <c r="C731" s="196"/>
      <c r="D731" s="196"/>
    </row>
    <row r="732" ht="12.75" customHeight="1">
      <c r="A732" s="196"/>
      <c r="B732" s="196"/>
      <c r="C732" s="196"/>
      <c r="D732" s="196"/>
    </row>
    <row r="733" ht="12.75" customHeight="1">
      <c r="A733" s="196"/>
      <c r="B733" s="196"/>
      <c r="C733" s="196"/>
      <c r="D733" s="196"/>
    </row>
    <row r="734" ht="12.75" customHeight="1">
      <c r="A734" s="196"/>
      <c r="B734" s="196"/>
      <c r="C734" s="196"/>
      <c r="D734" s="196"/>
    </row>
    <row r="735" ht="12.75" customHeight="1">
      <c r="A735" s="196"/>
      <c r="B735" s="196"/>
      <c r="C735" s="196"/>
      <c r="D735" s="196"/>
    </row>
    <row r="736" ht="12.75" customHeight="1">
      <c r="A736" s="196"/>
      <c r="B736" s="196"/>
      <c r="C736" s="196"/>
      <c r="D736" s="196"/>
    </row>
    <row r="737" ht="12.75" customHeight="1">
      <c r="A737" s="196"/>
      <c r="B737" s="196"/>
      <c r="C737" s="196"/>
      <c r="D737" s="196"/>
    </row>
    <row r="738" ht="12.75" customHeight="1">
      <c r="A738" s="196"/>
      <c r="B738" s="196"/>
      <c r="C738" s="196"/>
      <c r="D738" s="196"/>
    </row>
    <row r="739" ht="12.75" customHeight="1">
      <c r="A739" s="196"/>
      <c r="B739" s="196"/>
      <c r="C739" s="196"/>
      <c r="D739" s="196"/>
    </row>
    <row r="740" ht="12.75" customHeight="1">
      <c r="A740" s="196"/>
      <c r="B740" s="196"/>
      <c r="C740" s="196"/>
      <c r="D740" s="196"/>
    </row>
    <row r="741" ht="12.75" customHeight="1">
      <c r="A741" s="196"/>
      <c r="B741" s="196"/>
      <c r="C741" s="196"/>
      <c r="D741" s="196"/>
    </row>
    <row r="742" ht="12.75" customHeight="1">
      <c r="A742" s="196"/>
      <c r="B742" s="196"/>
      <c r="C742" s="196"/>
      <c r="D742" s="196"/>
    </row>
    <row r="743" ht="12.75" customHeight="1">
      <c r="A743" s="196"/>
      <c r="B743" s="196"/>
      <c r="C743" s="196"/>
      <c r="D743" s="196"/>
    </row>
    <row r="744" ht="12.75" customHeight="1">
      <c r="A744" s="196"/>
      <c r="B744" s="196"/>
      <c r="C744" s="196"/>
      <c r="D744" s="196"/>
    </row>
    <row r="745" ht="12.75" customHeight="1">
      <c r="A745" s="196"/>
      <c r="B745" s="196"/>
      <c r="C745" s="196"/>
      <c r="D745" s="196"/>
    </row>
    <row r="746" ht="12.75" customHeight="1">
      <c r="A746" s="196"/>
      <c r="B746" s="196"/>
      <c r="C746" s="196"/>
      <c r="D746" s="196"/>
    </row>
    <row r="747" ht="12.75" customHeight="1">
      <c r="A747" s="196"/>
      <c r="B747" s="196"/>
      <c r="C747" s="196"/>
      <c r="D747" s="196"/>
    </row>
    <row r="748" ht="12.75" customHeight="1">
      <c r="A748" s="196"/>
      <c r="B748" s="196"/>
      <c r="C748" s="196"/>
      <c r="D748" s="196"/>
    </row>
    <row r="749" ht="12.75" customHeight="1">
      <c r="A749" s="196"/>
      <c r="B749" s="196"/>
      <c r="C749" s="196"/>
      <c r="D749" s="196"/>
    </row>
    <row r="750" ht="12.75" customHeight="1">
      <c r="A750" s="196"/>
      <c r="B750" s="196"/>
      <c r="C750" s="196"/>
      <c r="D750" s="196"/>
    </row>
    <row r="751" ht="12.75" customHeight="1">
      <c r="A751" s="196"/>
      <c r="B751" s="196"/>
      <c r="C751" s="196"/>
      <c r="D751" s="196"/>
    </row>
    <row r="752" ht="12.75" customHeight="1">
      <c r="A752" s="196"/>
      <c r="B752" s="196"/>
      <c r="C752" s="196"/>
      <c r="D752" s="196"/>
    </row>
    <row r="753" ht="12.75" customHeight="1">
      <c r="A753" s="196"/>
      <c r="B753" s="196"/>
      <c r="C753" s="196"/>
      <c r="D753" s="196"/>
    </row>
    <row r="754" ht="12.75" customHeight="1">
      <c r="A754" s="196"/>
      <c r="B754" s="196"/>
      <c r="C754" s="196"/>
      <c r="D754" s="196"/>
    </row>
    <row r="755" ht="12.75" customHeight="1">
      <c r="A755" s="196"/>
      <c r="B755" s="196"/>
      <c r="C755" s="196"/>
      <c r="D755" s="196"/>
    </row>
    <row r="756" ht="12.75" customHeight="1">
      <c r="A756" s="196"/>
      <c r="B756" s="196"/>
      <c r="C756" s="196"/>
      <c r="D756" s="196"/>
    </row>
    <row r="757" ht="12.75" customHeight="1">
      <c r="A757" s="196"/>
      <c r="B757" s="196"/>
      <c r="C757" s="196"/>
      <c r="D757" s="196"/>
    </row>
    <row r="758" ht="12.75" customHeight="1">
      <c r="A758" s="196"/>
      <c r="B758" s="196"/>
      <c r="C758" s="196"/>
      <c r="D758" s="196"/>
    </row>
    <row r="759" ht="12.75" customHeight="1">
      <c r="A759" s="196"/>
      <c r="B759" s="196"/>
      <c r="C759" s="196"/>
      <c r="D759" s="196"/>
    </row>
    <row r="760" ht="12.75" customHeight="1">
      <c r="A760" s="196"/>
      <c r="B760" s="196"/>
      <c r="C760" s="196"/>
      <c r="D760" s="196"/>
    </row>
    <row r="761" ht="12.75" customHeight="1">
      <c r="A761" s="196"/>
      <c r="B761" s="196"/>
      <c r="C761" s="196"/>
      <c r="D761" s="196"/>
    </row>
    <row r="762" ht="12.75" customHeight="1">
      <c r="A762" s="196"/>
      <c r="B762" s="196"/>
      <c r="C762" s="196"/>
      <c r="D762" s="196"/>
    </row>
    <row r="763" ht="12.75" customHeight="1">
      <c r="A763" s="196"/>
      <c r="B763" s="196"/>
      <c r="C763" s="196"/>
      <c r="D763" s="196"/>
    </row>
    <row r="764" ht="12.75" customHeight="1">
      <c r="A764" s="196"/>
      <c r="B764" s="196"/>
      <c r="C764" s="196"/>
      <c r="D764" s="196"/>
    </row>
    <row r="765" ht="12.75" customHeight="1">
      <c r="A765" s="196"/>
      <c r="B765" s="196"/>
      <c r="C765" s="196"/>
      <c r="D765" s="196"/>
    </row>
    <row r="766" ht="12.75" customHeight="1">
      <c r="A766" s="196"/>
      <c r="B766" s="196"/>
      <c r="C766" s="196"/>
      <c r="D766" s="196"/>
    </row>
    <row r="767" ht="12.75" customHeight="1">
      <c r="A767" s="196"/>
      <c r="B767" s="196"/>
      <c r="C767" s="196"/>
      <c r="D767" s="196"/>
    </row>
    <row r="768" ht="12.75" customHeight="1">
      <c r="A768" s="196"/>
      <c r="B768" s="196"/>
      <c r="C768" s="196"/>
      <c r="D768" s="196"/>
    </row>
    <row r="769" ht="12.75" customHeight="1">
      <c r="A769" s="196"/>
      <c r="B769" s="196"/>
      <c r="C769" s="196"/>
      <c r="D769" s="196"/>
    </row>
    <row r="770" ht="12.75" customHeight="1">
      <c r="A770" s="196"/>
      <c r="B770" s="196"/>
      <c r="C770" s="196"/>
      <c r="D770" s="196"/>
    </row>
    <row r="771" ht="12.75" customHeight="1">
      <c r="A771" s="196"/>
      <c r="B771" s="196"/>
      <c r="C771" s="196"/>
      <c r="D771" s="196"/>
    </row>
    <row r="772" ht="12.75" customHeight="1">
      <c r="A772" s="196"/>
      <c r="B772" s="196"/>
      <c r="C772" s="196"/>
      <c r="D772" s="196"/>
    </row>
    <row r="773" ht="12.75" customHeight="1">
      <c r="A773" s="196"/>
      <c r="B773" s="196"/>
      <c r="C773" s="196"/>
      <c r="D773" s="196"/>
    </row>
    <row r="774" ht="12.75" customHeight="1">
      <c r="A774" s="196"/>
      <c r="B774" s="196"/>
      <c r="C774" s="196"/>
      <c r="D774" s="196"/>
    </row>
    <row r="775" ht="12.75" customHeight="1">
      <c r="A775" s="196"/>
      <c r="B775" s="196"/>
      <c r="C775" s="196"/>
      <c r="D775" s="196"/>
    </row>
    <row r="776" ht="12.75" customHeight="1">
      <c r="A776" s="196"/>
      <c r="B776" s="196"/>
      <c r="C776" s="196"/>
      <c r="D776" s="196"/>
    </row>
    <row r="777" ht="12.75" customHeight="1">
      <c r="A777" s="196"/>
      <c r="B777" s="196"/>
      <c r="C777" s="196"/>
      <c r="D777" s="196"/>
    </row>
    <row r="778" ht="12.75" customHeight="1">
      <c r="A778" s="196"/>
      <c r="B778" s="196"/>
      <c r="C778" s="196"/>
      <c r="D778" s="196"/>
    </row>
    <row r="779" ht="12.75" customHeight="1">
      <c r="A779" s="196"/>
      <c r="B779" s="196"/>
      <c r="C779" s="196"/>
      <c r="D779" s="196"/>
    </row>
    <row r="780" ht="12.75" customHeight="1">
      <c r="A780" s="196"/>
      <c r="B780" s="196"/>
      <c r="C780" s="196"/>
      <c r="D780" s="196"/>
    </row>
    <row r="781" ht="12.75" customHeight="1">
      <c r="A781" s="196"/>
      <c r="B781" s="196"/>
      <c r="C781" s="196"/>
      <c r="D781" s="196"/>
    </row>
    <row r="782" ht="12.75" customHeight="1">
      <c r="A782" s="196"/>
      <c r="B782" s="196"/>
      <c r="C782" s="196"/>
      <c r="D782" s="196"/>
    </row>
    <row r="783" ht="12.75" customHeight="1">
      <c r="A783" s="196"/>
      <c r="B783" s="196"/>
      <c r="C783" s="196"/>
      <c r="D783" s="196"/>
    </row>
    <row r="784" ht="12.75" customHeight="1">
      <c r="A784" s="196"/>
      <c r="B784" s="196"/>
      <c r="C784" s="196"/>
      <c r="D784" s="196"/>
    </row>
    <row r="785" ht="12.75" customHeight="1">
      <c r="A785" s="196"/>
      <c r="B785" s="196"/>
      <c r="C785" s="196"/>
      <c r="D785" s="196"/>
    </row>
    <row r="786" ht="12.75" customHeight="1">
      <c r="A786" s="196"/>
      <c r="B786" s="196"/>
      <c r="C786" s="196"/>
      <c r="D786" s="196"/>
    </row>
    <row r="787" ht="12.75" customHeight="1">
      <c r="A787" s="196"/>
      <c r="B787" s="196"/>
      <c r="C787" s="196"/>
      <c r="D787" s="196"/>
    </row>
    <row r="788" ht="12.75" customHeight="1">
      <c r="A788" s="196"/>
      <c r="B788" s="196"/>
      <c r="C788" s="196"/>
      <c r="D788" s="196"/>
    </row>
    <row r="789" ht="12.75" customHeight="1">
      <c r="A789" s="196"/>
      <c r="B789" s="196"/>
      <c r="C789" s="196"/>
      <c r="D789" s="196"/>
    </row>
    <row r="790" ht="12.75" customHeight="1">
      <c r="A790" s="196"/>
      <c r="B790" s="196"/>
      <c r="C790" s="196"/>
      <c r="D790" s="196"/>
    </row>
    <row r="791" ht="12.75" customHeight="1">
      <c r="A791" s="196"/>
      <c r="B791" s="196"/>
      <c r="C791" s="196"/>
      <c r="D791" s="196"/>
    </row>
    <row r="792" ht="12.75" customHeight="1">
      <c r="A792" s="196"/>
      <c r="B792" s="196"/>
      <c r="C792" s="196"/>
      <c r="D792" s="196"/>
    </row>
    <row r="793" ht="12.75" customHeight="1">
      <c r="A793" s="196"/>
      <c r="B793" s="196"/>
      <c r="C793" s="196"/>
      <c r="D793" s="196"/>
    </row>
    <row r="794" ht="12.75" customHeight="1">
      <c r="A794" s="196"/>
      <c r="B794" s="196"/>
      <c r="C794" s="196"/>
      <c r="D794" s="196"/>
    </row>
    <row r="795" ht="12.75" customHeight="1">
      <c r="A795" s="196"/>
      <c r="B795" s="196"/>
      <c r="C795" s="196"/>
      <c r="D795" s="196"/>
    </row>
    <row r="796" ht="12.75" customHeight="1">
      <c r="A796" s="196"/>
      <c r="B796" s="196"/>
      <c r="C796" s="196"/>
      <c r="D796" s="196"/>
    </row>
    <row r="797" ht="12.75" customHeight="1">
      <c r="A797" s="196"/>
      <c r="B797" s="196"/>
      <c r="C797" s="196"/>
      <c r="D797" s="196"/>
    </row>
    <row r="798" ht="12.75" customHeight="1">
      <c r="A798" s="196"/>
      <c r="B798" s="196"/>
      <c r="C798" s="196"/>
      <c r="D798" s="196"/>
    </row>
    <row r="799" ht="12.75" customHeight="1">
      <c r="A799" s="196"/>
      <c r="B799" s="196"/>
      <c r="C799" s="196"/>
      <c r="D799" s="196"/>
    </row>
    <row r="800" ht="12.75" customHeight="1">
      <c r="A800" s="196"/>
      <c r="B800" s="196"/>
      <c r="C800" s="196"/>
      <c r="D800" s="196"/>
    </row>
    <row r="801" ht="12.75" customHeight="1">
      <c r="A801" s="196"/>
      <c r="B801" s="196"/>
      <c r="C801" s="196"/>
      <c r="D801" s="196"/>
    </row>
    <row r="802" ht="12.75" customHeight="1">
      <c r="A802" s="196"/>
      <c r="B802" s="196"/>
      <c r="C802" s="196"/>
      <c r="D802" s="196"/>
    </row>
    <row r="803" ht="12.75" customHeight="1">
      <c r="A803" s="196"/>
      <c r="B803" s="196"/>
      <c r="C803" s="196"/>
      <c r="D803" s="196"/>
    </row>
    <row r="804" ht="12.75" customHeight="1">
      <c r="A804" s="196"/>
      <c r="B804" s="196"/>
      <c r="C804" s="196"/>
      <c r="D804" s="196"/>
    </row>
    <row r="805" ht="12.75" customHeight="1">
      <c r="A805" s="196"/>
      <c r="B805" s="196"/>
      <c r="C805" s="196"/>
      <c r="D805" s="196"/>
    </row>
    <row r="806" ht="12.75" customHeight="1">
      <c r="A806" s="196"/>
      <c r="B806" s="196"/>
      <c r="C806" s="196"/>
      <c r="D806" s="196"/>
    </row>
    <row r="807" ht="12.75" customHeight="1">
      <c r="A807" s="196"/>
      <c r="B807" s="196"/>
      <c r="C807" s="196"/>
      <c r="D807" s="196"/>
    </row>
    <row r="808" ht="12.75" customHeight="1">
      <c r="A808" s="196"/>
      <c r="B808" s="196"/>
      <c r="C808" s="196"/>
      <c r="D808" s="196"/>
    </row>
    <row r="809" ht="12.75" customHeight="1">
      <c r="A809" s="196"/>
      <c r="B809" s="196"/>
      <c r="C809" s="196"/>
      <c r="D809" s="196"/>
    </row>
    <row r="810" ht="12.75" customHeight="1">
      <c r="A810" s="196"/>
      <c r="B810" s="196"/>
      <c r="C810" s="196"/>
      <c r="D810" s="196"/>
    </row>
    <row r="811" ht="12.75" customHeight="1">
      <c r="A811" s="196"/>
      <c r="B811" s="196"/>
      <c r="C811" s="196"/>
      <c r="D811" s="196"/>
    </row>
    <row r="812" ht="12.75" customHeight="1">
      <c r="A812" s="196"/>
      <c r="B812" s="196"/>
      <c r="C812" s="196"/>
      <c r="D812" s="196"/>
    </row>
    <row r="813" ht="12.75" customHeight="1">
      <c r="A813" s="196"/>
      <c r="B813" s="196"/>
      <c r="C813" s="196"/>
      <c r="D813" s="196"/>
    </row>
    <row r="814" ht="12.75" customHeight="1">
      <c r="A814" s="196"/>
      <c r="B814" s="196"/>
      <c r="C814" s="196"/>
      <c r="D814" s="196"/>
    </row>
    <row r="815" ht="12.75" customHeight="1">
      <c r="A815" s="196"/>
      <c r="B815" s="196"/>
      <c r="C815" s="196"/>
      <c r="D815" s="196"/>
    </row>
    <row r="816" ht="12.75" customHeight="1">
      <c r="A816" s="196"/>
      <c r="B816" s="196"/>
      <c r="C816" s="196"/>
      <c r="D816" s="196"/>
    </row>
    <row r="817" ht="12.75" customHeight="1">
      <c r="A817" s="196"/>
      <c r="B817" s="196"/>
      <c r="C817" s="196"/>
      <c r="D817" s="196"/>
    </row>
    <row r="818" ht="12.75" customHeight="1">
      <c r="A818" s="196"/>
      <c r="B818" s="196"/>
      <c r="C818" s="196"/>
      <c r="D818" s="196"/>
    </row>
    <row r="819" ht="12.75" customHeight="1">
      <c r="A819" s="196"/>
      <c r="B819" s="196"/>
      <c r="C819" s="196"/>
      <c r="D819" s="196"/>
    </row>
    <row r="820" ht="12.75" customHeight="1">
      <c r="A820" s="196"/>
      <c r="B820" s="196"/>
      <c r="C820" s="196"/>
      <c r="D820" s="196"/>
    </row>
    <row r="821" ht="12.75" customHeight="1">
      <c r="A821" s="196"/>
      <c r="B821" s="196"/>
      <c r="C821" s="196"/>
      <c r="D821" s="196"/>
    </row>
    <row r="822" ht="12.75" customHeight="1">
      <c r="A822" s="196"/>
      <c r="B822" s="196"/>
      <c r="C822" s="196"/>
      <c r="D822" s="196"/>
    </row>
    <row r="823" ht="12.75" customHeight="1">
      <c r="A823" s="196"/>
      <c r="B823" s="196"/>
      <c r="C823" s="196"/>
      <c r="D823" s="196"/>
    </row>
    <row r="824" ht="12.75" customHeight="1">
      <c r="A824" s="196"/>
      <c r="B824" s="196"/>
      <c r="C824" s="196"/>
      <c r="D824" s="196"/>
    </row>
    <row r="825" ht="12.75" customHeight="1">
      <c r="A825" s="196"/>
      <c r="B825" s="196"/>
      <c r="C825" s="196"/>
      <c r="D825" s="196"/>
    </row>
    <row r="826" ht="12.75" customHeight="1">
      <c r="A826" s="196"/>
      <c r="B826" s="196"/>
      <c r="C826" s="196"/>
      <c r="D826" s="196"/>
    </row>
    <row r="827" ht="12.75" customHeight="1">
      <c r="A827" s="196"/>
      <c r="B827" s="196"/>
      <c r="C827" s="196"/>
      <c r="D827" s="196"/>
    </row>
    <row r="828" ht="12.75" customHeight="1">
      <c r="A828" s="196"/>
      <c r="B828" s="196"/>
      <c r="C828" s="196"/>
      <c r="D828" s="196"/>
    </row>
    <row r="829" ht="12.75" customHeight="1">
      <c r="A829" s="196"/>
      <c r="B829" s="196"/>
      <c r="C829" s="196"/>
      <c r="D829" s="196"/>
    </row>
    <row r="830" ht="12.75" customHeight="1">
      <c r="A830" s="196"/>
      <c r="B830" s="196"/>
      <c r="C830" s="196"/>
      <c r="D830" s="196"/>
    </row>
    <row r="831" ht="12.75" customHeight="1">
      <c r="A831" s="196"/>
      <c r="B831" s="196"/>
      <c r="C831" s="196"/>
      <c r="D831" s="196"/>
    </row>
    <row r="832" ht="12.75" customHeight="1">
      <c r="A832" s="196"/>
      <c r="B832" s="196"/>
      <c r="C832" s="196"/>
      <c r="D832" s="196"/>
    </row>
    <row r="833" ht="12.75" customHeight="1">
      <c r="A833" s="196"/>
      <c r="B833" s="196"/>
      <c r="C833" s="196"/>
      <c r="D833" s="196"/>
    </row>
    <row r="834" ht="12.75" customHeight="1">
      <c r="A834" s="196"/>
      <c r="B834" s="196"/>
      <c r="C834" s="196"/>
      <c r="D834" s="196"/>
    </row>
    <row r="835" ht="12.75" customHeight="1">
      <c r="A835" s="196"/>
      <c r="B835" s="196"/>
      <c r="C835" s="196"/>
      <c r="D835" s="196"/>
    </row>
    <row r="836" ht="12.75" customHeight="1">
      <c r="A836" s="196"/>
      <c r="B836" s="196"/>
      <c r="C836" s="196"/>
      <c r="D836" s="196"/>
    </row>
    <row r="837" ht="12.75" customHeight="1">
      <c r="A837" s="196"/>
      <c r="B837" s="196"/>
      <c r="C837" s="196"/>
      <c r="D837" s="196"/>
    </row>
    <row r="838" ht="12.75" customHeight="1">
      <c r="A838" s="196"/>
      <c r="B838" s="196"/>
      <c r="C838" s="196"/>
      <c r="D838" s="196"/>
    </row>
    <row r="839" ht="12.75" customHeight="1">
      <c r="A839" s="196"/>
      <c r="B839" s="196"/>
      <c r="C839" s="196"/>
      <c r="D839" s="196"/>
    </row>
    <row r="840" ht="12.75" customHeight="1">
      <c r="A840" s="196"/>
      <c r="B840" s="196"/>
      <c r="C840" s="196"/>
      <c r="D840" s="196"/>
    </row>
    <row r="841" ht="12.75" customHeight="1">
      <c r="A841" s="196"/>
      <c r="B841" s="196"/>
      <c r="C841" s="196"/>
      <c r="D841" s="196"/>
    </row>
    <row r="842" ht="12.75" customHeight="1">
      <c r="A842" s="196"/>
      <c r="B842" s="196"/>
      <c r="C842" s="196"/>
      <c r="D842" s="196"/>
    </row>
    <row r="843" ht="12.75" customHeight="1">
      <c r="A843" s="196"/>
      <c r="B843" s="196"/>
      <c r="C843" s="196"/>
      <c r="D843" s="196"/>
    </row>
    <row r="844" ht="12.75" customHeight="1">
      <c r="A844" s="196"/>
      <c r="B844" s="196"/>
      <c r="C844" s="196"/>
      <c r="D844" s="196"/>
    </row>
    <row r="845" ht="12.75" customHeight="1">
      <c r="A845" s="196"/>
      <c r="B845" s="196"/>
      <c r="C845" s="196"/>
      <c r="D845" s="196"/>
    </row>
    <row r="846" ht="12.75" customHeight="1">
      <c r="A846" s="196"/>
      <c r="B846" s="196"/>
      <c r="C846" s="196"/>
      <c r="D846" s="196"/>
    </row>
    <row r="847" ht="12.75" customHeight="1">
      <c r="A847" s="196"/>
      <c r="B847" s="196"/>
      <c r="C847" s="196"/>
      <c r="D847" s="196"/>
    </row>
    <row r="848" ht="12.75" customHeight="1">
      <c r="A848" s="196"/>
      <c r="B848" s="196"/>
      <c r="C848" s="196"/>
      <c r="D848" s="196"/>
    </row>
    <row r="849" ht="12.75" customHeight="1">
      <c r="A849" s="196"/>
      <c r="B849" s="196"/>
      <c r="C849" s="196"/>
      <c r="D849" s="196"/>
    </row>
    <row r="850" ht="12.75" customHeight="1">
      <c r="A850" s="196"/>
      <c r="B850" s="196"/>
      <c r="C850" s="196"/>
      <c r="D850" s="196"/>
    </row>
    <row r="851" ht="12.75" customHeight="1">
      <c r="A851" s="196"/>
      <c r="B851" s="196"/>
      <c r="C851" s="196"/>
      <c r="D851" s="196"/>
    </row>
    <row r="852" ht="12.75" customHeight="1">
      <c r="A852" s="196"/>
      <c r="B852" s="196"/>
      <c r="C852" s="196"/>
      <c r="D852" s="196"/>
    </row>
    <row r="853" ht="12.75" customHeight="1">
      <c r="A853" s="196"/>
      <c r="B853" s="196"/>
      <c r="C853" s="196"/>
      <c r="D853" s="196"/>
    </row>
    <row r="854" ht="12.75" customHeight="1">
      <c r="A854" s="196"/>
      <c r="B854" s="196"/>
      <c r="C854" s="196"/>
      <c r="D854" s="196"/>
    </row>
    <row r="855" ht="12.75" customHeight="1">
      <c r="A855" s="196"/>
      <c r="B855" s="196"/>
      <c r="C855" s="196"/>
      <c r="D855" s="196"/>
    </row>
    <row r="856" ht="12.75" customHeight="1">
      <c r="A856" s="196"/>
      <c r="B856" s="196"/>
      <c r="C856" s="196"/>
      <c r="D856" s="196"/>
    </row>
    <row r="857" ht="12.75" customHeight="1">
      <c r="A857" s="196"/>
      <c r="B857" s="196"/>
      <c r="C857" s="196"/>
      <c r="D857" s="196"/>
    </row>
    <row r="858" ht="12.75" customHeight="1">
      <c r="A858" s="196"/>
      <c r="B858" s="196"/>
      <c r="C858" s="196"/>
      <c r="D858" s="196"/>
    </row>
    <row r="859" ht="12.75" customHeight="1">
      <c r="A859" s="196"/>
      <c r="B859" s="196"/>
      <c r="C859" s="196"/>
      <c r="D859" s="196"/>
    </row>
    <row r="860" ht="12.75" customHeight="1">
      <c r="A860" s="196"/>
      <c r="B860" s="196"/>
      <c r="C860" s="196"/>
      <c r="D860" s="196"/>
    </row>
    <row r="861" ht="12.75" customHeight="1">
      <c r="A861" s="196"/>
      <c r="B861" s="196"/>
      <c r="C861" s="196"/>
      <c r="D861" s="196"/>
    </row>
    <row r="862" ht="12.75" customHeight="1">
      <c r="A862" s="196"/>
      <c r="B862" s="196"/>
      <c r="C862" s="196"/>
      <c r="D862" s="196"/>
    </row>
    <row r="863" ht="12.75" customHeight="1">
      <c r="A863" s="196"/>
      <c r="B863" s="196"/>
      <c r="C863" s="196"/>
      <c r="D863" s="196"/>
    </row>
    <row r="864" ht="12.75" customHeight="1">
      <c r="A864" s="196"/>
      <c r="B864" s="196"/>
      <c r="C864" s="196"/>
      <c r="D864" s="196"/>
    </row>
    <row r="865" ht="12.75" customHeight="1">
      <c r="A865" s="196"/>
      <c r="B865" s="196"/>
      <c r="C865" s="196"/>
      <c r="D865" s="196"/>
    </row>
    <row r="866" ht="12.75" customHeight="1">
      <c r="A866" s="196"/>
      <c r="B866" s="196"/>
      <c r="C866" s="196"/>
      <c r="D866" s="196"/>
    </row>
    <row r="867" ht="12.75" customHeight="1">
      <c r="A867" s="196"/>
      <c r="B867" s="196"/>
      <c r="C867" s="196"/>
      <c r="D867" s="196"/>
    </row>
    <row r="868" ht="12.75" customHeight="1">
      <c r="A868" s="196"/>
      <c r="B868" s="196"/>
      <c r="C868" s="196"/>
      <c r="D868" s="196"/>
    </row>
    <row r="869" ht="12.75" customHeight="1">
      <c r="A869" s="196"/>
      <c r="B869" s="196"/>
      <c r="C869" s="196"/>
      <c r="D869" s="196"/>
    </row>
    <row r="870" ht="12.75" customHeight="1">
      <c r="A870" s="196"/>
      <c r="B870" s="196"/>
      <c r="C870" s="196"/>
      <c r="D870" s="196"/>
    </row>
    <row r="871" ht="12.75" customHeight="1">
      <c r="A871" s="196"/>
      <c r="B871" s="196"/>
      <c r="C871" s="196"/>
      <c r="D871" s="196"/>
    </row>
    <row r="872" ht="12.75" customHeight="1">
      <c r="A872" s="196"/>
      <c r="B872" s="196"/>
      <c r="C872" s="196"/>
      <c r="D872" s="196"/>
    </row>
    <row r="873" ht="12.75" customHeight="1">
      <c r="A873" s="196"/>
      <c r="B873" s="196"/>
      <c r="C873" s="196"/>
      <c r="D873" s="196"/>
    </row>
    <row r="874" ht="12.75" customHeight="1">
      <c r="A874" s="196"/>
      <c r="B874" s="196"/>
      <c r="C874" s="196"/>
      <c r="D874" s="196"/>
    </row>
    <row r="875" ht="12.75" customHeight="1">
      <c r="A875" s="196"/>
      <c r="B875" s="196"/>
      <c r="C875" s="196"/>
      <c r="D875" s="196"/>
    </row>
    <row r="876" ht="12.75" customHeight="1">
      <c r="A876" s="196"/>
      <c r="B876" s="196"/>
      <c r="C876" s="196"/>
      <c r="D876" s="196"/>
    </row>
    <row r="877" ht="12.75" customHeight="1">
      <c r="A877" s="196"/>
      <c r="B877" s="196"/>
      <c r="C877" s="196"/>
      <c r="D877" s="196"/>
    </row>
    <row r="878" ht="12.75" customHeight="1">
      <c r="A878" s="196"/>
      <c r="B878" s="196"/>
      <c r="C878" s="196"/>
      <c r="D878" s="196"/>
    </row>
    <row r="879" ht="12.75" customHeight="1">
      <c r="A879" s="196"/>
      <c r="B879" s="196"/>
      <c r="C879" s="196"/>
      <c r="D879" s="196"/>
    </row>
    <row r="880" ht="12.75" customHeight="1">
      <c r="A880" s="196"/>
      <c r="B880" s="196"/>
      <c r="C880" s="196"/>
      <c r="D880" s="196"/>
    </row>
    <row r="881" ht="12.75" customHeight="1">
      <c r="A881" s="196"/>
      <c r="B881" s="196"/>
      <c r="C881" s="196"/>
      <c r="D881" s="196"/>
    </row>
    <row r="882" ht="12.75" customHeight="1">
      <c r="A882" s="196"/>
      <c r="B882" s="196"/>
      <c r="C882" s="196"/>
      <c r="D882" s="196"/>
    </row>
    <row r="883" ht="12.75" customHeight="1">
      <c r="A883" s="196"/>
      <c r="B883" s="196"/>
      <c r="C883" s="196"/>
      <c r="D883" s="196"/>
    </row>
    <row r="884" ht="12.75" customHeight="1">
      <c r="A884" s="196"/>
      <c r="B884" s="196"/>
      <c r="C884" s="196"/>
      <c r="D884" s="196"/>
    </row>
    <row r="885" ht="12.75" customHeight="1">
      <c r="A885" s="196"/>
      <c r="B885" s="196"/>
      <c r="C885" s="196"/>
      <c r="D885" s="196"/>
    </row>
    <row r="886" ht="12.75" customHeight="1">
      <c r="A886" s="196"/>
      <c r="B886" s="196"/>
      <c r="C886" s="196"/>
      <c r="D886" s="196"/>
    </row>
    <row r="887" ht="12.75" customHeight="1">
      <c r="A887" s="196"/>
      <c r="B887" s="196"/>
      <c r="C887" s="196"/>
      <c r="D887" s="196"/>
    </row>
    <row r="888" ht="12.75" customHeight="1">
      <c r="A888" s="196"/>
      <c r="B888" s="196"/>
      <c r="C888" s="196"/>
      <c r="D888" s="196"/>
    </row>
    <row r="889" ht="12.75" customHeight="1">
      <c r="A889" s="196"/>
      <c r="B889" s="196"/>
      <c r="C889" s="196"/>
      <c r="D889" s="196"/>
    </row>
    <row r="890" ht="12.75" customHeight="1">
      <c r="A890" s="196"/>
      <c r="B890" s="196"/>
      <c r="C890" s="196"/>
      <c r="D890" s="196"/>
    </row>
    <row r="891" ht="12.75" customHeight="1">
      <c r="A891" s="196"/>
      <c r="B891" s="196"/>
      <c r="C891" s="196"/>
      <c r="D891" s="196"/>
    </row>
    <row r="892" ht="12.75" customHeight="1">
      <c r="A892" s="196"/>
      <c r="B892" s="196"/>
      <c r="C892" s="196"/>
      <c r="D892" s="196"/>
    </row>
    <row r="893" ht="12.75" customHeight="1">
      <c r="A893" s="196"/>
      <c r="B893" s="196"/>
      <c r="C893" s="196"/>
      <c r="D893" s="196"/>
    </row>
    <row r="894" ht="12.75" customHeight="1">
      <c r="A894" s="196"/>
      <c r="B894" s="196"/>
      <c r="C894" s="196"/>
      <c r="D894" s="196"/>
    </row>
    <row r="895" ht="12.75" customHeight="1">
      <c r="A895" s="196"/>
      <c r="B895" s="196"/>
      <c r="C895" s="196"/>
      <c r="D895" s="196"/>
    </row>
    <row r="896" ht="12.75" customHeight="1">
      <c r="A896" s="196"/>
      <c r="B896" s="196"/>
      <c r="C896" s="196"/>
      <c r="D896" s="196"/>
    </row>
    <row r="897" ht="12.75" customHeight="1">
      <c r="A897" s="196"/>
      <c r="B897" s="196"/>
      <c r="C897" s="196"/>
      <c r="D897" s="196"/>
    </row>
    <row r="898" ht="12.75" customHeight="1">
      <c r="A898" s="196"/>
      <c r="B898" s="196"/>
      <c r="C898" s="196"/>
      <c r="D898" s="196"/>
    </row>
    <row r="899" ht="12.75" customHeight="1">
      <c r="A899" s="196"/>
      <c r="B899" s="196"/>
      <c r="C899" s="196"/>
      <c r="D899" s="196"/>
    </row>
    <row r="900" ht="12.75" customHeight="1">
      <c r="A900" s="196"/>
      <c r="B900" s="196"/>
      <c r="C900" s="196"/>
      <c r="D900" s="196"/>
    </row>
    <row r="901" ht="12.75" customHeight="1">
      <c r="A901" s="196"/>
      <c r="B901" s="196"/>
      <c r="C901" s="196"/>
      <c r="D901" s="196"/>
    </row>
    <row r="902" ht="12.75" customHeight="1">
      <c r="A902" s="196"/>
      <c r="B902" s="196"/>
      <c r="C902" s="196"/>
      <c r="D902" s="196"/>
    </row>
    <row r="903" ht="12.75" customHeight="1">
      <c r="A903" s="196"/>
      <c r="B903" s="196"/>
      <c r="C903" s="196"/>
      <c r="D903" s="196"/>
    </row>
    <row r="904" ht="12.75" customHeight="1">
      <c r="A904" s="196"/>
      <c r="B904" s="196"/>
      <c r="C904" s="196"/>
      <c r="D904" s="196"/>
    </row>
    <row r="905" ht="12.75" customHeight="1">
      <c r="A905" s="196"/>
      <c r="B905" s="196"/>
      <c r="C905" s="196"/>
      <c r="D905" s="196"/>
    </row>
    <row r="906" ht="12.75" customHeight="1">
      <c r="A906" s="196"/>
      <c r="B906" s="196"/>
      <c r="C906" s="196"/>
      <c r="D906" s="196"/>
    </row>
    <row r="907" ht="12.75" customHeight="1">
      <c r="A907" s="196"/>
      <c r="B907" s="196"/>
      <c r="C907" s="196"/>
      <c r="D907" s="196"/>
    </row>
    <row r="908" ht="12.75" customHeight="1">
      <c r="A908" s="196"/>
      <c r="B908" s="196"/>
      <c r="C908" s="196"/>
      <c r="D908" s="196"/>
    </row>
    <row r="909" ht="12.75" customHeight="1">
      <c r="A909" s="196"/>
      <c r="B909" s="196"/>
      <c r="C909" s="196"/>
      <c r="D909" s="196"/>
    </row>
    <row r="910" ht="12.75" customHeight="1">
      <c r="A910" s="196"/>
      <c r="B910" s="196"/>
      <c r="C910" s="196"/>
      <c r="D910" s="196"/>
    </row>
    <row r="911" ht="12.75" customHeight="1">
      <c r="A911" s="196"/>
      <c r="B911" s="196"/>
      <c r="C911" s="196"/>
      <c r="D911" s="196"/>
    </row>
    <row r="912" ht="12.75" customHeight="1">
      <c r="A912" s="196"/>
      <c r="B912" s="196"/>
      <c r="C912" s="196"/>
      <c r="D912" s="196"/>
    </row>
    <row r="913" ht="12.75" customHeight="1">
      <c r="A913" s="196"/>
      <c r="B913" s="196"/>
      <c r="C913" s="196"/>
      <c r="D913" s="196"/>
    </row>
    <row r="914" ht="12.75" customHeight="1">
      <c r="A914" s="196"/>
      <c r="B914" s="196"/>
      <c r="C914" s="196"/>
      <c r="D914" s="196"/>
    </row>
    <row r="915" ht="12.75" customHeight="1">
      <c r="A915" s="196"/>
      <c r="B915" s="196"/>
      <c r="C915" s="196"/>
      <c r="D915" s="196"/>
    </row>
    <row r="916" ht="12.75" customHeight="1">
      <c r="A916" s="196"/>
      <c r="B916" s="196"/>
      <c r="C916" s="196"/>
      <c r="D916" s="196"/>
    </row>
    <row r="917" ht="12.75" customHeight="1">
      <c r="A917" s="196"/>
      <c r="B917" s="196"/>
      <c r="C917" s="196"/>
      <c r="D917" s="196"/>
    </row>
    <row r="918" ht="12.75" customHeight="1">
      <c r="A918" s="196"/>
      <c r="B918" s="196"/>
      <c r="C918" s="196"/>
      <c r="D918" s="196"/>
    </row>
    <row r="919" ht="12.75" customHeight="1">
      <c r="A919" s="196"/>
      <c r="B919" s="196"/>
      <c r="C919" s="196"/>
      <c r="D919" s="196"/>
    </row>
    <row r="920" ht="12.75" customHeight="1">
      <c r="A920" s="196"/>
      <c r="B920" s="196"/>
      <c r="C920" s="196"/>
      <c r="D920" s="196"/>
    </row>
    <row r="921" ht="12.75" customHeight="1">
      <c r="A921" s="196"/>
      <c r="B921" s="196"/>
      <c r="C921" s="196"/>
      <c r="D921" s="196"/>
    </row>
    <row r="922" ht="12.75" customHeight="1">
      <c r="A922" s="196"/>
      <c r="B922" s="196"/>
      <c r="C922" s="196"/>
      <c r="D922" s="196"/>
    </row>
    <row r="923" ht="12.75" customHeight="1">
      <c r="A923" s="196"/>
      <c r="B923" s="196"/>
      <c r="C923" s="196"/>
      <c r="D923" s="196"/>
    </row>
    <row r="924" ht="12.75" customHeight="1">
      <c r="A924" s="196"/>
      <c r="B924" s="196"/>
      <c r="C924" s="196"/>
      <c r="D924" s="196"/>
    </row>
    <row r="925" ht="12.75" customHeight="1">
      <c r="A925" s="196"/>
      <c r="B925" s="196"/>
      <c r="C925" s="196"/>
      <c r="D925" s="196"/>
    </row>
    <row r="926" ht="12.75" customHeight="1">
      <c r="A926" s="196"/>
      <c r="B926" s="196"/>
      <c r="C926" s="196"/>
      <c r="D926" s="196"/>
    </row>
    <row r="927" ht="12.75" customHeight="1">
      <c r="A927" s="196"/>
      <c r="B927" s="196"/>
      <c r="C927" s="196"/>
      <c r="D927" s="196"/>
    </row>
    <row r="928" ht="12.75" customHeight="1">
      <c r="A928" s="196"/>
      <c r="B928" s="196"/>
      <c r="C928" s="196"/>
      <c r="D928" s="196"/>
    </row>
    <row r="929" ht="12.75" customHeight="1">
      <c r="A929" s="196"/>
      <c r="B929" s="196"/>
      <c r="C929" s="196"/>
      <c r="D929" s="196"/>
    </row>
    <row r="930" ht="12.75" customHeight="1">
      <c r="A930" s="196"/>
      <c r="B930" s="196"/>
      <c r="C930" s="196"/>
      <c r="D930" s="196"/>
    </row>
    <row r="931" ht="12.75" customHeight="1">
      <c r="A931" s="196"/>
      <c r="B931" s="196"/>
      <c r="C931" s="196"/>
      <c r="D931" s="196"/>
    </row>
    <row r="932" ht="12.75" customHeight="1">
      <c r="A932" s="196"/>
      <c r="B932" s="196"/>
      <c r="C932" s="196"/>
      <c r="D932" s="196"/>
    </row>
    <row r="933" ht="12.75" customHeight="1">
      <c r="A933" s="196"/>
      <c r="B933" s="196"/>
      <c r="C933" s="196"/>
      <c r="D933" s="196"/>
    </row>
    <row r="934" ht="12.75" customHeight="1">
      <c r="A934" s="196"/>
      <c r="B934" s="196"/>
      <c r="C934" s="196"/>
      <c r="D934" s="196"/>
    </row>
    <row r="935" ht="12.75" customHeight="1">
      <c r="A935" s="196"/>
      <c r="B935" s="196"/>
      <c r="C935" s="196"/>
      <c r="D935" s="196"/>
    </row>
    <row r="936" ht="12.75" customHeight="1">
      <c r="A936" s="196"/>
      <c r="B936" s="196"/>
      <c r="C936" s="196"/>
      <c r="D936" s="196"/>
    </row>
    <row r="937" ht="12.75" customHeight="1">
      <c r="A937" s="196"/>
      <c r="B937" s="196"/>
      <c r="C937" s="196"/>
      <c r="D937" s="196"/>
    </row>
    <row r="938" ht="12.75" customHeight="1">
      <c r="A938" s="196"/>
      <c r="B938" s="196"/>
      <c r="C938" s="196"/>
      <c r="D938" s="196"/>
    </row>
    <row r="939" ht="12.75" customHeight="1">
      <c r="A939" s="196"/>
      <c r="B939" s="196"/>
      <c r="C939" s="196"/>
      <c r="D939" s="196"/>
    </row>
    <row r="940" ht="12.75" customHeight="1">
      <c r="A940" s="196"/>
      <c r="B940" s="196"/>
      <c r="C940" s="196"/>
      <c r="D940" s="196"/>
    </row>
    <row r="941" ht="12.75" customHeight="1">
      <c r="A941" s="196"/>
      <c r="B941" s="196"/>
      <c r="C941" s="196"/>
      <c r="D941" s="196"/>
    </row>
    <row r="942" ht="12.75" customHeight="1">
      <c r="A942" s="196"/>
      <c r="B942" s="196"/>
      <c r="C942" s="196"/>
      <c r="D942" s="196"/>
    </row>
    <row r="943" ht="12.75" customHeight="1">
      <c r="A943" s="196"/>
      <c r="B943" s="196"/>
      <c r="C943" s="196"/>
      <c r="D943" s="196"/>
    </row>
    <row r="944" ht="12.75" customHeight="1">
      <c r="A944" s="196"/>
      <c r="B944" s="196"/>
      <c r="C944" s="196"/>
      <c r="D944" s="196"/>
    </row>
    <row r="945" ht="12.75" customHeight="1">
      <c r="A945" s="196"/>
      <c r="B945" s="196"/>
      <c r="C945" s="196"/>
      <c r="D945" s="196"/>
    </row>
    <row r="946" ht="12.75" customHeight="1">
      <c r="A946" s="196"/>
      <c r="B946" s="196"/>
      <c r="C946" s="196"/>
      <c r="D946" s="196"/>
    </row>
    <row r="947" ht="12.75" customHeight="1">
      <c r="A947" s="196"/>
      <c r="B947" s="196"/>
      <c r="C947" s="196"/>
      <c r="D947" s="196"/>
    </row>
    <row r="948" ht="12.75" customHeight="1">
      <c r="A948" s="196"/>
      <c r="B948" s="196"/>
      <c r="C948" s="196"/>
      <c r="D948" s="196"/>
    </row>
    <row r="949" ht="12.75" customHeight="1">
      <c r="A949" s="196"/>
      <c r="B949" s="196"/>
      <c r="C949" s="196"/>
      <c r="D949" s="196"/>
    </row>
    <row r="950" ht="12.75" customHeight="1">
      <c r="A950" s="196"/>
      <c r="B950" s="196"/>
      <c r="C950" s="196"/>
      <c r="D950" s="196"/>
    </row>
    <row r="951" ht="12.75" customHeight="1">
      <c r="A951" s="196"/>
      <c r="B951" s="196"/>
      <c r="C951" s="196"/>
      <c r="D951" s="196"/>
    </row>
    <row r="952" ht="12.75" customHeight="1">
      <c r="A952" s="196"/>
      <c r="B952" s="196"/>
      <c r="C952" s="196"/>
      <c r="D952" s="196"/>
    </row>
    <row r="953" ht="12.75" customHeight="1">
      <c r="A953" s="196"/>
      <c r="B953" s="196"/>
      <c r="C953" s="196"/>
      <c r="D953" s="196"/>
    </row>
    <row r="954" ht="12.75" customHeight="1">
      <c r="A954" s="196"/>
      <c r="B954" s="196"/>
      <c r="C954" s="196"/>
      <c r="D954" s="196"/>
    </row>
    <row r="955" ht="12.75" customHeight="1">
      <c r="A955" s="196"/>
      <c r="B955" s="196"/>
      <c r="C955" s="196"/>
      <c r="D955" s="196"/>
    </row>
    <row r="956" ht="12.75" customHeight="1">
      <c r="A956" s="196"/>
      <c r="B956" s="196"/>
      <c r="C956" s="196"/>
      <c r="D956" s="196"/>
    </row>
    <row r="957" ht="12.75" customHeight="1">
      <c r="A957" s="196"/>
      <c r="B957" s="196"/>
      <c r="C957" s="196"/>
      <c r="D957" s="196"/>
    </row>
    <row r="958" ht="12.75" customHeight="1">
      <c r="A958" s="196"/>
      <c r="B958" s="196"/>
      <c r="C958" s="196"/>
      <c r="D958" s="196"/>
    </row>
    <row r="959" ht="12.75" customHeight="1">
      <c r="A959" s="196"/>
      <c r="B959" s="196"/>
      <c r="C959" s="196"/>
      <c r="D959" s="196"/>
    </row>
    <row r="960" ht="12.75" customHeight="1">
      <c r="A960" s="196"/>
      <c r="B960" s="196"/>
      <c r="C960" s="196"/>
      <c r="D960" s="196"/>
    </row>
    <row r="961" ht="12.75" customHeight="1">
      <c r="A961" s="196"/>
      <c r="B961" s="196"/>
      <c r="C961" s="196"/>
      <c r="D961" s="196"/>
    </row>
    <row r="962" ht="12.75" customHeight="1">
      <c r="A962" s="196"/>
      <c r="B962" s="196"/>
      <c r="C962" s="196"/>
      <c r="D962" s="196"/>
    </row>
    <row r="963" ht="12.75" customHeight="1">
      <c r="A963" s="196"/>
      <c r="B963" s="196"/>
      <c r="C963" s="196"/>
      <c r="D963" s="196"/>
    </row>
    <row r="964" ht="12.75" customHeight="1">
      <c r="A964" s="196"/>
      <c r="B964" s="196"/>
      <c r="C964" s="196"/>
      <c r="D964" s="196"/>
    </row>
    <row r="965" ht="12.75" customHeight="1">
      <c r="A965" s="196"/>
      <c r="B965" s="196"/>
      <c r="C965" s="196"/>
      <c r="D965" s="196"/>
    </row>
    <row r="966" ht="12.75" customHeight="1">
      <c r="A966" s="196"/>
      <c r="B966" s="196"/>
      <c r="C966" s="196"/>
      <c r="D966" s="196"/>
    </row>
    <row r="967" ht="12.75" customHeight="1">
      <c r="A967" s="196"/>
      <c r="B967" s="196"/>
      <c r="C967" s="196"/>
      <c r="D967" s="196"/>
    </row>
    <row r="968" ht="12.75" customHeight="1">
      <c r="A968" s="196"/>
      <c r="B968" s="196"/>
      <c r="C968" s="196"/>
      <c r="D968" s="196"/>
    </row>
    <row r="969" ht="12.75" customHeight="1">
      <c r="A969" s="196"/>
      <c r="B969" s="196"/>
      <c r="C969" s="196"/>
      <c r="D969" s="196"/>
    </row>
    <row r="970" ht="12.75" customHeight="1">
      <c r="A970" s="196"/>
      <c r="B970" s="196"/>
      <c r="C970" s="196"/>
      <c r="D970" s="196"/>
    </row>
    <row r="971" ht="12.75" customHeight="1">
      <c r="A971" s="196"/>
      <c r="B971" s="196"/>
      <c r="C971" s="196"/>
      <c r="D971" s="196"/>
    </row>
    <row r="972" ht="12.75" customHeight="1">
      <c r="A972" s="196"/>
      <c r="B972" s="196"/>
      <c r="C972" s="196"/>
      <c r="D972" s="196"/>
    </row>
    <row r="973" ht="12.75" customHeight="1">
      <c r="A973" s="196"/>
      <c r="B973" s="196"/>
      <c r="C973" s="196"/>
      <c r="D973" s="196"/>
    </row>
    <row r="974" ht="12.75" customHeight="1">
      <c r="A974" s="196"/>
      <c r="B974" s="196"/>
      <c r="C974" s="196"/>
      <c r="D974" s="196"/>
    </row>
    <row r="975" ht="12.75" customHeight="1">
      <c r="A975" s="196"/>
      <c r="B975" s="196"/>
      <c r="C975" s="196"/>
      <c r="D975" s="196"/>
    </row>
    <row r="976" ht="12.75" customHeight="1">
      <c r="A976" s="196"/>
      <c r="B976" s="196"/>
      <c r="C976" s="196"/>
      <c r="D976" s="196"/>
    </row>
    <row r="977" ht="12.75" customHeight="1">
      <c r="A977" s="196"/>
      <c r="B977" s="196"/>
      <c r="C977" s="196"/>
      <c r="D977" s="196"/>
    </row>
    <row r="978" ht="12.75" customHeight="1">
      <c r="A978" s="196"/>
      <c r="B978" s="196"/>
      <c r="C978" s="196"/>
      <c r="D978" s="196"/>
    </row>
    <row r="979" ht="12.75" customHeight="1">
      <c r="A979" s="196"/>
      <c r="B979" s="196"/>
      <c r="C979" s="196"/>
      <c r="D979" s="196"/>
    </row>
    <row r="980" ht="12.75" customHeight="1">
      <c r="A980" s="196"/>
      <c r="B980" s="196"/>
      <c r="C980" s="196"/>
      <c r="D980" s="196"/>
    </row>
    <row r="981" ht="12.75" customHeight="1">
      <c r="A981" s="196"/>
      <c r="B981" s="196"/>
      <c r="C981" s="196"/>
      <c r="D981" s="196"/>
    </row>
    <row r="982" ht="12.75" customHeight="1">
      <c r="A982" s="196"/>
      <c r="B982" s="196"/>
      <c r="C982" s="196"/>
      <c r="D982" s="196"/>
    </row>
    <row r="983" ht="12.75" customHeight="1">
      <c r="A983" s="196"/>
      <c r="B983" s="196"/>
      <c r="C983" s="196"/>
      <c r="D983" s="196"/>
    </row>
    <row r="984" ht="12.75" customHeight="1">
      <c r="A984" s="196"/>
      <c r="B984" s="196"/>
      <c r="C984" s="196"/>
      <c r="D984" s="196"/>
    </row>
    <row r="985" ht="12.75" customHeight="1">
      <c r="A985" s="196"/>
      <c r="B985" s="196"/>
      <c r="C985" s="196"/>
      <c r="D985" s="196"/>
    </row>
    <row r="986" ht="12.75" customHeight="1">
      <c r="A986" s="196"/>
      <c r="B986" s="196"/>
      <c r="C986" s="196"/>
      <c r="D986" s="196"/>
    </row>
    <row r="987" ht="12.75" customHeight="1">
      <c r="A987" s="196"/>
      <c r="B987" s="196"/>
      <c r="C987" s="196"/>
      <c r="D987" s="196"/>
    </row>
    <row r="988" ht="12.75" customHeight="1">
      <c r="A988" s="196"/>
      <c r="B988" s="196"/>
      <c r="C988" s="196"/>
      <c r="D988" s="196"/>
    </row>
    <row r="989" ht="12.75" customHeight="1">
      <c r="A989" s="196"/>
      <c r="B989" s="196"/>
      <c r="C989" s="196"/>
      <c r="D989" s="196"/>
    </row>
    <row r="990" ht="12.75" customHeight="1">
      <c r="A990" s="196"/>
      <c r="B990" s="196"/>
      <c r="C990" s="196"/>
      <c r="D990" s="196"/>
    </row>
    <row r="991" ht="12.75" customHeight="1">
      <c r="A991" s="196"/>
      <c r="B991" s="196"/>
      <c r="C991" s="196"/>
      <c r="D991" s="196"/>
    </row>
    <row r="992" ht="12.75" customHeight="1">
      <c r="A992" s="196"/>
      <c r="B992" s="196"/>
      <c r="C992" s="196"/>
      <c r="D992" s="196"/>
    </row>
    <row r="993" ht="12.75" customHeight="1">
      <c r="A993" s="196"/>
      <c r="B993" s="196"/>
      <c r="C993" s="196"/>
      <c r="D993" s="196"/>
    </row>
    <row r="994" ht="12.75" customHeight="1">
      <c r="A994" s="196"/>
      <c r="B994" s="196"/>
      <c r="C994" s="196"/>
      <c r="D994" s="196"/>
    </row>
    <row r="995" ht="12.75" customHeight="1">
      <c r="A995" s="196"/>
      <c r="B995" s="196"/>
      <c r="C995" s="196"/>
      <c r="D995" s="196"/>
    </row>
    <row r="996" ht="12.75" customHeight="1">
      <c r="A996" s="196"/>
      <c r="B996" s="196"/>
      <c r="C996" s="196"/>
      <c r="D996" s="196"/>
    </row>
    <row r="997" ht="12.75" customHeight="1">
      <c r="A997" s="196"/>
      <c r="B997" s="196"/>
      <c r="C997" s="196"/>
      <c r="D997" s="196"/>
    </row>
    <row r="998" ht="12.75" customHeight="1">
      <c r="A998" s="196"/>
      <c r="B998" s="196"/>
      <c r="C998" s="196"/>
      <c r="D998" s="196"/>
    </row>
    <row r="999" ht="12.75" customHeight="1">
      <c r="A999" s="196"/>
      <c r="B999" s="196"/>
      <c r="C999" s="196"/>
      <c r="D999" s="196"/>
    </row>
    <row r="1000" ht="12.75" customHeight="1">
      <c r="A1000" s="196"/>
      <c r="B1000" s="196"/>
      <c r="C1000" s="196"/>
      <c r="D1000" s="196"/>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