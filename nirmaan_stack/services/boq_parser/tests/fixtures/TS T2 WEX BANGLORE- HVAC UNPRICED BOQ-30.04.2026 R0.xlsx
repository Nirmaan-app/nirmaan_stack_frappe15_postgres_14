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nj2-my.sharepoint.com/personal/nasim_ahmed_anj_co_in/Documents/Desktop/NEW TABLE SPACE BANGLORE/"/>
    </mc:Choice>
  </mc:AlternateContent>
  <xr:revisionPtr revIDLastSave="20" documentId="8_{47F9F12D-57EA-4F84-9F7C-B400ABEA4948}" xr6:coauthVersionLast="47" xr6:coauthVersionMax="47" xr10:uidLastSave="{16B524EB-7621-4802-99FD-E8DA5768C85F}"/>
  <bookViews>
    <workbookView xWindow="-120" yWindow="-120" windowWidth="29040" windowHeight="15840" tabRatio="931" activeTab="1" xr2:uid="{00000000-000D-0000-FFFF-FFFF00000000}"/>
  </bookViews>
  <sheets>
    <sheet name="HVAC SUMMARY" sheetId="36" r:id="rId1"/>
    <sheet name="HVAC LOW SIDE " sheetId="37" r:id="rId2"/>
  </sheets>
  <definedNames>
    <definedName name="_" hidden="1">#REF!</definedName>
    <definedName name="__________________________________tem1" localSheetId="1" hidden="1">{#N/A,#N/A,TRUE,"Front";#N/A,#N/A,TRUE,"Simple Letter";#N/A,#N/A,TRUE,"Inside";#N/A,#N/A,TRUE,"Contents";#N/A,#N/A,TRUE,"Basis";#N/A,#N/A,TRUE,"Inclusions";#N/A,#N/A,TRUE,"Exclusions";#N/A,#N/A,TRUE,"Areas";#N/A,#N/A,TRUE,"Summary";#N/A,#N/A,TRUE,"Detail"}</definedName>
    <definedName name="__________________________________tem1" localSheetId="0" hidden="1">{#N/A,#N/A,TRUE,"Front";#N/A,#N/A,TRUE,"Simple Letter";#N/A,#N/A,TRUE,"Inside";#N/A,#N/A,TRUE,"Contents";#N/A,#N/A,TRUE,"Basis";#N/A,#N/A,TRUE,"Inclusions";#N/A,#N/A,TRUE,"Exclusions";#N/A,#N/A,TRUE,"Areas";#N/A,#N/A,TRUE,"Summary";#N/A,#N/A,TRUE,"Detail"}</definedName>
    <definedName name="__________________________________tem1" hidden="1">{#N/A,#N/A,TRUE,"Front";#N/A,#N/A,TRUE,"Simple Letter";#N/A,#N/A,TRUE,"Inside";#N/A,#N/A,TRUE,"Contents";#N/A,#N/A,TRUE,"Basis";#N/A,#N/A,TRUE,"Inclusions";#N/A,#N/A,TRUE,"Exclusions";#N/A,#N/A,TRUE,"Areas";#N/A,#N/A,TRUE,"Summary";#N/A,#N/A,TRUE,"Detail"}</definedName>
    <definedName name="_________________________________tem1" localSheetId="1" hidden="1">{#N/A,#N/A,TRUE,"Front";#N/A,#N/A,TRUE,"Simple Letter";#N/A,#N/A,TRUE,"Inside";#N/A,#N/A,TRUE,"Contents";#N/A,#N/A,TRUE,"Basis";#N/A,#N/A,TRUE,"Inclusions";#N/A,#N/A,TRUE,"Exclusions";#N/A,#N/A,TRUE,"Areas";#N/A,#N/A,TRUE,"Summary";#N/A,#N/A,TRUE,"Detail"}</definedName>
    <definedName name="_________________________________tem1" localSheetId="0" hidden="1">{#N/A,#N/A,TRUE,"Front";#N/A,#N/A,TRUE,"Simple Letter";#N/A,#N/A,TRUE,"Inside";#N/A,#N/A,TRUE,"Contents";#N/A,#N/A,TRUE,"Basis";#N/A,#N/A,TRUE,"Inclusions";#N/A,#N/A,TRUE,"Exclusions";#N/A,#N/A,TRUE,"Areas";#N/A,#N/A,TRUE,"Summary";#N/A,#N/A,TRUE,"Detail"}</definedName>
    <definedName name="_________________________________tem1" hidden="1">{#N/A,#N/A,TRUE,"Front";#N/A,#N/A,TRUE,"Simple Letter";#N/A,#N/A,TRUE,"Inside";#N/A,#N/A,TRUE,"Contents";#N/A,#N/A,TRUE,"Basis";#N/A,#N/A,TRUE,"Inclusions";#N/A,#N/A,TRUE,"Exclusions";#N/A,#N/A,TRUE,"Areas";#N/A,#N/A,TRUE,"Summary";#N/A,#N/A,TRUE,"Detail"}</definedName>
    <definedName name="________________________________tem1" localSheetId="1" hidden="1">{#N/A,#N/A,TRUE,"Front";#N/A,#N/A,TRUE,"Simple Letter";#N/A,#N/A,TRUE,"Inside";#N/A,#N/A,TRUE,"Contents";#N/A,#N/A,TRUE,"Basis";#N/A,#N/A,TRUE,"Inclusions";#N/A,#N/A,TRUE,"Exclusions";#N/A,#N/A,TRUE,"Areas";#N/A,#N/A,TRUE,"Summary";#N/A,#N/A,TRUE,"Detail"}</definedName>
    <definedName name="________________________________tem1" localSheetId="0" hidden="1">{#N/A,#N/A,TRUE,"Front";#N/A,#N/A,TRUE,"Simple Letter";#N/A,#N/A,TRUE,"Inside";#N/A,#N/A,TRUE,"Contents";#N/A,#N/A,TRUE,"Basis";#N/A,#N/A,TRUE,"Inclusions";#N/A,#N/A,TRUE,"Exclusions";#N/A,#N/A,TRUE,"Areas";#N/A,#N/A,TRUE,"Summary";#N/A,#N/A,TRUE,"Detail"}</definedName>
    <definedName name="________________________________tem1" hidden="1">{#N/A,#N/A,TRUE,"Front";#N/A,#N/A,TRUE,"Simple Letter";#N/A,#N/A,TRUE,"Inside";#N/A,#N/A,TRUE,"Contents";#N/A,#N/A,TRUE,"Basis";#N/A,#N/A,TRUE,"Inclusions";#N/A,#N/A,TRUE,"Exclusions";#N/A,#N/A,TRUE,"Areas";#N/A,#N/A,TRUE,"Summary";#N/A,#N/A,TRUE,"Detail"}</definedName>
    <definedName name="_______________________________hp10" localSheetId="1" hidden="1">{#N/A,#N/A,TRUE,"Front";#N/A,#N/A,TRUE,"Simple Letter";#N/A,#N/A,TRUE,"Inside";#N/A,#N/A,TRUE,"Contents";#N/A,#N/A,TRUE,"Basis";#N/A,#N/A,TRUE,"Inclusions";#N/A,#N/A,TRUE,"Exclusions";#N/A,#N/A,TRUE,"Areas";#N/A,#N/A,TRUE,"Summary";#N/A,#N/A,TRUE,"Detail"}</definedName>
    <definedName name="_______________________________hp10" localSheetId="0" hidden="1">{#N/A,#N/A,TRUE,"Front";#N/A,#N/A,TRUE,"Simple Letter";#N/A,#N/A,TRUE,"Inside";#N/A,#N/A,TRUE,"Contents";#N/A,#N/A,TRUE,"Basis";#N/A,#N/A,TRUE,"Inclusions";#N/A,#N/A,TRUE,"Exclusions";#N/A,#N/A,TRUE,"Areas";#N/A,#N/A,TRUE,"Summary";#N/A,#N/A,TRUE,"Detail"}</definedName>
    <definedName name="_______________________________hp10" hidden="1">{#N/A,#N/A,TRUE,"Front";#N/A,#N/A,TRUE,"Simple Letter";#N/A,#N/A,TRUE,"Inside";#N/A,#N/A,TRUE,"Contents";#N/A,#N/A,TRUE,"Basis";#N/A,#N/A,TRUE,"Inclusions";#N/A,#N/A,TRUE,"Exclusions";#N/A,#N/A,TRUE,"Areas";#N/A,#N/A,TRUE,"Summary";#N/A,#N/A,TRUE,"Detail"}</definedName>
    <definedName name="_______________________________tem1" localSheetId="1" hidden="1">{#N/A,#N/A,TRUE,"Front";#N/A,#N/A,TRUE,"Simple Letter";#N/A,#N/A,TRUE,"Inside";#N/A,#N/A,TRUE,"Contents";#N/A,#N/A,TRUE,"Basis";#N/A,#N/A,TRUE,"Inclusions";#N/A,#N/A,TRUE,"Exclusions";#N/A,#N/A,TRUE,"Areas";#N/A,#N/A,TRUE,"Summary";#N/A,#N/A,TRUE,"Detail"}</definedName>
    <definedName name="_______________________________tem1" localSheetId="0" hidden="1">{#N/A,#N/A,TRUE,"Front";#N/A,#N/A,TRUE,"Simple Letter";#N/A,#N/A,TRUE,"Inside";#N/A,#N/A,TRUE,"Contents";#N/A,#N/A,TRUE,"Basis";#N/A,#N/A,TRUE,"Inclusions";#N/A,#N/A,TRUE,"Exclusions";#N/A,#N/A,TRUE,"Areas";#N/A,#N/A,TRUE,"Summary";#N/A,#N/A,TRUE,"Detail"}</definedName>
    <definedName name="_______________________________tem1" hidden="1">{#N/A,#N/A,TRUE,"Front";#N/A,#N/A,TRUE,"Simple Letter";#N/A,#N/A,TRUE,"Inside";#N/A,#N/A,TRUE,"Contents";#N/A,#N/A,TRUE,"Basis";#N/A,#N/A,TRUE,"Inclusions";#N/A,#N/A,TRUE,"Exclusions";#N/A,#N/A,TRUE,"Areas";#N/A,#N/A,TRUE,"Summary";#N/A,#N/A,TRUE,"Detail"}</definedName>
    <definedName name="______________________________tem1" localSheetId="1" hidden="1">{#N/A,#N/A,TRUE,"Front";#N/A,#N/A,TRUE,"Simple Letter";#N/A,#N/A,TRUE,"Inside";#N/A,#N/A,TRUE,"Contents";#N/A,#N/A,TRUE,"Basis";#N/A,#N/A,TRUE,"Inclusions";#N/A,#N/A,TRUE,"Exclusions";#N/A,#N/A,TRUE,"Areas";#N/A,#N/A,TRUE,"Summary";#N/A,#N/A,TRUE,"Detail"}</definedName>
    <definedName name="______________________________tem1" localSheetId="0" hidden="1">{#N/A,#N/A,TRUE,"Front";#N/A,#N/A,TRUE,"Simple Letter";#N/A,#N/A,TRUE,"Inside";#N/A,#N/A,TRUE,"Contents";#N/A,#N/A,TRUE,"Basis";#N/A,#N/A,TRUE,"Inclusions";#N/A,#N/A,TRUE,"Exclusions";#N/A,#N/A,TRUE,"Areas";#N/A,#N/A,TRUE,"Summary";#N/A,#N/A,TRUE,"Detail"}</definedName>
    <definedName name="______________________________tem1" hidden="1">{#N/A,#N/A,TRUE,"Front";#N/A,#N/A,TRUE,"Simple Letter";#N/A,#N/A,TRUE,"Inside";#N/A,#N/A,TRUE,"Contents";#N/A,#N/A,TRUE,"Basis";#N/A,#N/A,TRUE,"Inclusions";#N/A,#N/A,TRUE,"Exclusions";#N/A,#N/A,TRUE,"Areas";#N/A,#N/A,TRUE,"Summary";#N/A,#N/A,TRUE,"Detail"}</definedName>
    <definedName name="_____________________________hp10" localSheetId="1" hidden="1">{#N/A,#N/A,TRUE,"Front";#N/A,#N/A,TRUE,"Simple Letter";#N/A,#N/A,TRUE,"Inside";#N/A,#N/A,TRUE,"Contents";#N/A,#N/A,TRUE,"Basis";#N/A,#N/A,TRUE,"Inclusions";#N/A,#N/A,TRUE,"Exclusions";#N/A,#N/A,TRUE,"Areas";#N/A,#N/A,TRUE,"Summary";#N/A,#N/A,TRUE,"Detail"}</definedName>
    <definedName name="_____________________________hp10" localSheetId="0" hidden="1">{#N/A,#N/A,TRUE,"Front";#N/A,#N/A,TRUE,"Simple Letter";#N/A,#N/A,TRUE,"Inside";#N/A,#N/A,TRUE,"Contents";#N/A,#N/A,TRUE,"Basis";#N/A,#N/A,TRUE,"Inclusions";#N/A,#N/A,TRUE,"Exclusions";#N/A,#N/A,TRUE,"Areas";#N/A,#N/A,TRUE,"Summary";#N/A,#N/A,TRUE,"Detail"}</definedName>
    <definedName name="_____________________________hp10" hidden="1">{#N/A,#N/A,TRUE,"Front";#N/A,#N/A,TRUE,"Simple Letter";#N/A,#N/A,TRUE,"Inside";#N/A,#N/A,TRUE,"Contents";#N/A,#N/A,TRUE,"Basis";#N/A,#N/A,TRUE,"Inclusions";#N/A,#N/A,TRUE,"Exclusions";#N/A,#N/A,TRUE,"Areas";#N/A,#N/A,TRUE,"Summary";#N/A,#N/A,TRUE,"Detail"}</definedName>
    <definedName name="_____________________________tem1" localSheetId="1" hidden="1">{#N/A,#N/A,TRUE,"Front";#N/A,#N/A,TRUE,"Simple Letter";#N/A,#N/A,TRUE,"Inside";#N/A,#N/A,TRUE,"Contents";#N/A,#N/A,TRUE,"Basis";#N/A,#N/A,TRUE,"Inclusions";#N/A,#N/A,TRUE,"Exclusions";#N/A,#N/A,TRUE,"Areas";#N/A,#N/A,TRUE,"Summary";#N/A,#N/A,TRUE,"Detail"}</definedName>
    <definedName name="_____________________________tem1" localSheetId="0" hidden="1">{#N/A,#N/A,TRUE,"Front";#N/A,#N/A,TRUE,"Simple Letter";#N/A,#N/A,TRUE,"Inside";#N/A,#N/A,TRUE,"Contents";#N/A,#N/A,TRUE,"Basis";#N/A,#N/A,TRUE,"Inclusions";#N/A,#N/A,TRUE,"Exclusions";#N/A,#N/A,TRUE,"Areas";#N/A,#N/A,TRUE,"Summary";#N/A,#N/A,TRUE,"Detail"}</definedName>
    <definedName name="_____________________________tem1" hidden="1">{#N/A,#N/A,TRUE,"Front";#N/A,#N/A,TRUE,"Simple Letter";#N/A,#N/A,TRUE,"Inside";#N/A,#N/A,TRUE,"Contents";#N/A,#N/A,TRUE,"Basis";#N/A,#N/A,TRUE,"Inclusions";#N/A,#N/A,TRUE,"Exclusions";#N/A,#N/A,TRUE,"Areas";#N/A,#N/A,TRUE,"Summary";#N/A,#N/A,TRUE,"Detail"}</definedName>
    <definedName name="____________________________hp10" localSheetId="1" hidden="1">{#N/A,#N/A,TRUE,"Front";#N/A,#N/A,TRUE,"Simple Letter";#N/A,#N/A,TRUE,"Inside";#N/A,#N/A,TRUE,"Contents";#N/A,#N/A,TRUE,"Basis";#N/A,#N/A,TRUE,"Inclusions";#N/A,#N/A,TRUE,"Exclusions";#N/A,#N/A,TRUE,"Areas";#N/A,#N/A,TRUE,"Summary";#N/A,#N/A,TRUE,"Detail"}</definedName>
    <definedName name="____________________________hp10" localSheetId="0" hidden="1">{#N/A,#N/A,TRUE,"Front";#N/A,#N/A,TRUE,"Simple Letter";#N/A,#N/A,TRUE,"Inside";#N/A,#N/A,TRUE,"Contents";#N/A,#N/A,TRUE,"Basis";#N/A,#N/A,TRUE,"Inclusions";#N/A,#N/A,TRUE,"Exclusions";#N/A,#N/A,TRUE,"Areas";#N/A,#N/A,TRUE,"Summary";#N/A,#N/A,TRUE,"Detail"}</definedName>
    <definedName name="____________________________hp10" hidden="1">{#N/A,#N/A,TRUE,"Front";#N/A,#N/A,TRUE,"Simple Letter";#N/A,#N/A,TRUE,"Inside";#N/A,#N/A,TRUE,"Contents";#N/A,#N/A,TRUE,"Basis";#N/A,#N/A,TRUE,"Inclusions";#N/A,#N/A,TRUE,"Exclusions";#N/A,#N/A,TRUE,"Areas";#N/A,#N/A,TRUE,"Summary";#N/A,#N/A,TRUE,"Detail"}</definedName>
    <definedName name="____________________________RAB002" localSheetId="1" hidden="1">{#N/A,#N/A,TRUE,"Front";#N/A,#N/A,TRUE,"Simple Letter";#N/A,#N/A,TRUE,"Inside";#N/A,#N/A,TRUE,"Contents";#N/A,#N/A,TRUE,"Basis";#N/A,#N/A,TRUE,"Inclusions";#N/A,#N/A,TRUE,"Exclusions";#N/A,#N/A,TRUE,"Areas";#N/A,#N/A,TRUE,"Summary";#N/A,#N/A,TRUE,"Detail"}</definedName>
    <definedName name="____________________________RAB002" localSheetId="0" hidden="1">{#N/A,#N/A,TRUE,"Front";#N/A,#N/A,TRUE,"Simple Letter";#N/A,#N/A,TRUE,"Inside";#N/A,#N/A,TRUE,"Contents";#N/A,#N/A,TRUE,"Basis";#N/A,#N/A,TRUE,"Inclusions";#N/A,#N/A,TRUE,"Exclusions";#N/A,#N/A,TRUE,"Areas";#N/A,#N/A,TRUE,"Summary";#N/A,#N/A,TRUE,"Detail"}</definedName>
    <definedName name="____________________________RAB002" hidden="1">{#N/A,#N/A,TRUE,"Front";#N/A,#N/A,TRUE,"Simple Letter";#N/A,#N/A,TRUE,"Inside";#N/A,#N/A,TRUE,"Contents";#N/A,#N/A,TRUE,"Basis";#N/A,#N/A,TRUE,"Inclusions";#N/A,#N/A,TRUE,"Exclusions";#N/A,#N/A,TRUE,"Areas";#N/A,#N/A,TRUE,"Summary";#N/A,#N/A,TRUE,"Detail"}</definedName>
    <definedName name="____________________________tem1" localSheetId="1" hidden="1">{#N/A,#N/A,TRUE,"Front";#N/A,#N/A,TRUE,"Simple Letter";#N/A,#N/A,TRUE,"Inside";#N/A,#N/A,TRUE,"Contents";#N/A,#N/A,TRUE,"Basis";#N/A,#N/A,TRUE,"Inclusions";#N/A,#N/A,TRUE,"Exclusions";#N/A,#N/A,TRUE,"Areas";#N/A,#N/A,TRUE,"Summary";#N/A,#N/A,TRUE,"Detail"}</definedName>
    <definedName name="____________________________tem1" localSheetId="0" hidden="1">{#N/A,#N/A,TRUE,"Front";#N/A,#N/A,TRUE,"Simple Letter";#N/A,#N/A,TRUE,"Inside";#N/A,#N/A,TRUE,"Contents";#N/A,#N/A,TRUE,"Basis";#N/A,#N/A,TRUE,"Inclusions";#N/A,#N/A,TRUE,"Exclusions";#N/A,#N/A,TRUE,"Areas";#N/A,#N/A,TRUE,"Summary";#N/A,#N/A,TRUE,"Detail"}</definedName>
    <definedName name="____________________________tem1" hidden="1">{#N/A,#N/A,TRUE,"Front";#N/A,#N/A,TRUE,"Simple Letter";#N/A,#N/A,TRUE,"Inside";#N/A,#N/A,TRUE,"Contents";#N/A,#N/A,TRUE,"Basis";#N/A,#N/A,TRUE,"Inclusions";#N/A,#N/A,TRUE,"Exclusions";#N/A,#N/A,TRUE,"Areas";#N/A,#N/A,TRUE,"Summary";#N/A,#N/A,TRUE,"Detail"}</definedName>
    <definedName name="___________________________hp10" localSheetId="1" hidden="1">{#N/A,#N/A,TRUE,"Front";#N/A,#N/A,TRUE,"Simple Letter";#N/A,#N/A,TRUE,"Inside";#N/A,#N/A,TRUE,"Contents";#N/A,#N/A,TRUE,"Basis";#N/A,#N/A,TRUE,"Inclusions";#N/A,#N/A,TRUE,"Exclusions";#N/A,#N/A,TRUE,"Areas";#N/A,#N/A,TRUE,"Summary";#N/A,#N/A,TRUE,"Detail"}</definedName>
    <definedName name="___________________________hp10" localSheetId="0" hidden="1">{#N/A,#N/A,TRUE,"Front";#N/A,#N/A,TRUE,"Simple Letter";#N/A,#N/A,TRUE,"Inside";#N/A,#N/A,TRUE,"Contents";#N/A,#N/A,TRUE,"Basis";#N/A,#N/A,TRUE,"Inclusions";#N/A,#N/A,TRUE,"Exclusions";#N/A,#N/A,TRUE,"Areas";#N/A,#N/A,TRUE,"Summary";#N/A,#N/A,TRUE,"Detail"}</definedName>
    <definedName name="___________________________hp10" hidden="1">{#N/A,#N/A,TRUE,"Front";#N/A,#N/A,TRUE,"Simple Letter";#N/A,#N/A,TRUE,"Inside";#N/A,#N/A,TRUE,"Contents";#N/A,#N/A,TRUE,"Basis";#N/A,#N/A,TRUE,"Inclusions";#N/A,#N/A,TRUE,"Exclusions";#N/A,#N/A,TRUE,"Areas";#N/A,#N/A,TRUE,"Summary";#N/A,#N/A,TRUE,"Detail"}</definedName>
    <definedName name="___________________________RAB002" localSheetId="1" hidden="1">{#N/A,#N/A,TRUE,"Front";#N/A,#N/A,TRUE,"Simple Letter";#N/A,#N/A,TRUE,"Inside";#N/A,#N/A,TRUE,"Contents";#N/A,#N/A,TRUE,"Basis";#N/A,#N/A,TRUE,"Inclusions";#N/A,#N/A,TRUE,"Exclusions";#N/A,#N/A,TRUE,"Areas";#N/A,#N/A,TRUE,"Summary";#N/A,#N/A,TRUE,"Detail"}</definedName>
    <definedName name="___________________________RAB002" localSheetId="0" hidden="1">{#N/A,#N/A,TRUE,"Front";#N/A,#N/A,TRUE,"Simple Letter";#N/A,#N/A,TRUE,"Inside";#N/A,#N/A,TRUE,"Contents";#N/A,#N/A,TRUE,"Basis";#N/A,#N/A,TRUE,"Inclusions";#N/A,#N/A,TRUE,"Exclusions";#N/A,#N/A,TRUE,"Areas";#N/A,#N/A,TRUE,"Summary";#N/A,#N/A,TRUE,"Detail"}</definedName>
    <definedName name="___________________________RAB002" hidden="1">{#N/A,#N/A,TRUE,"Front";#N/A,#N/A,TRUE,"Simple Letter";#N/A,#N/A,TRUE,"Inside";#N/A,#N/A,TRUE,"Contents";#N/A,#N/A,TRUE,"Basis";#N/A,#N/A,TRUE,"Inclusions";#N/A,#N/A,TRUE,"Exclusions";#N/A,#N/A,TRUE,"Areas";#N/A,#N/A,TRUE,"Summary";#N/A,#N/A,TRUE,"Detail"}</definedName>
    <definedName name="___________________________tem1" localSheetId="1" hidden="1">{#N/A,#N/A,TRUE,"Front";#N/A,#N/A,TRUE,"Simple Letter";#N/A,#N/A,TRUE,"Inside";#N/A,#N/A,TRUE,"Contents";#N/A,#N/A,TRUE,"Basis";#N/A,#N/A,TRUE,"Inclusions";#N/A,#N/A,TRUE,"Exclusions";#N/A,#N/A,TRUE,"Areas";#N/A,#N/A,TRUE,"Summary";#N/A,#N/A,TRUE,"Detail"}</definedName>
    <definedName name="___________________________tem1" localSheetId="0" hidden="1">{#N/A,#N/A,TRUE,"Front";#N/A,#N/A,TRUE,"Simple Letter";#N/A,#N/A,TRUE,"Inside";#N/A,#N/A,TRUE,"Contents";#N/A,#N/A,TRUE,"Basis";#N/A,#N/A,TRUE,"Inclusions";#N/A,#N/A,TRUE,"Exclusions";#N/A,#N/A,TRUE,"Areas";#N/A,#N/A,TRUE,"Summary";#N/A,#N/A,TRUE,"Detail"}</definedName>
    <definedName name="___________________________tem1" hidden="1">{#N/A,#N/A,TRUE,"Front";#N/A,#N/A,TRUE,"Simple Letter";#N/A,#N/A,TRUE,"Inside";#N/A,#N/A,TRUE,"Contents";#N/A,#N/A,TRUE,"Basis";#N/A,#N/A,TRUE,"Inclusions";#N/A,#N/A,TRUE,"Exclusions";#N/A,#N/A,TRUE,"Areas";#N/A,#N/A,TRUE,"Summary";#N/A,#N/A,TRUE,"Detail"}</definedName>
    <definedName name="__________________________hp10" localSheetId="1" hidden="1">{#N/A,#N/A,TRUE,"Front";#N/A,#N/A,TRUE,"Simple Letter";#N/A,#N/A,TRUE,"Inside";#N/A,#N/A,TRUE,"Contents";#N/A,#N/A,TRUE,"Basis";#N/A,#N/A,TRUE,"Inclusions";#N/A,#N/A,TRUE,"Exclusions";#N/A,#N/A,TRUE,"Areas";#N/A,#N/A,TRUE,"Summary";#N/A,#N/A,TRUE,"Detail"}</definedName>
    <definedName name="__________________________hp10" localSheetId="0" hidden="1">{#N/A,#N/A,TRUE,"Front";#N/A,#N/A,TRUE,"Simple Letter";#N/A,#N/A,TRUE,"Inside";#N/A,#N/A,TRUE,"Contents";#N/A,#N/A,TRUE,"Basis";#N/A,#N/A,TRUE,"Inclusions";#N/A,#N/A,TRUE,"Exclusions";#N/A,#N/A,TRUE,"Areas";#N/A,#N/A,TRUE,"Summary";#N/A,#N/A,TRUE,"Detail"}</definedName>
    <definedName name="__________________________hp10" hidden="1">{#N/A,#N/A,TRUE,"Front";#N/A,#N/A,TRUE,"Simple Letter";#N/A,#N/A,TRUE,"Inside";#N/A,#N/A,TRUE,"Contents";#N/A,#N/A,TRUE,"Basis";#N/A,#N/A,TRUE,"Inclusions";#N/A,#N/A,TRUE,"Exclusions";#N/A,#N/A,TRUE,"Areas";#N/A,#N/A,TRUE,"Summary";#N/A,#N/A,TRUE,"Detail"}</definedName>
    <definedName name="__________________________RAB002" localSheetId="1" hidden="1">{#N/A,#N/A,TRUE,"Front";#N/A,#N/A,TRUE,"Simple Letter";#N/A,#N/A,TRUE,"Inside";#N/A,#N/A,TRUE,"Contents";#N/A,#N/A,TRUE,"Basis";#N/A,#N/A,TRUE,"Inclusions";#N/A,#N/A,TRUE,"Exclusions";#N/A,#N/A,TRUE,"Areas";#N/A,#N/A,TRUE,"Summary";#N/A,#N/A,TRUE,"Detail"}</definedName>
    <definedName name="__________________________RAB002" localSheetId="0" hidden="1">{#N/A,#N/A,TRUE,"Front";#N/A,#N/A,TRUE,"Simple Letter";#N/A,#N/A,TRUE,"Inside";#N/A,#N/A,TRUE,"Contents";#N/A,#N/A,TRUE,"Basis";#N/A,#N/A,TRUE,"Inclusions";#N/A,#N/A,TRUE,"Exclusions";#N/A,#N/A,TRUE,"Areas";#N/A,#N/A,TRUE,"Summary";#N/A,#N/A,TRUE,"Detail"}</definedName>
    <definedName name="__________________________RAB002" hidden="1">{#N/A,#N/A,TRUE,"Front";#N/A,#N/A,TRUE,"Simple Letter";#N/A,#N/A,TRUE,"Inside";#N/A,#N/A,TRUE,"Contents";#N/A,#N/A,TRUE,"Basis";#N/A,#N/A,TRUE,"Inclusions";#N/A,#N/A,TRUE,"Exclusions";#N/A,#N/A,TRUE,"Areas";#N/A,#N/A,TRUE,"Summary";#N/A,#N/A,TRUE,"Detail"}</definedName>
    <definedName name="__________________________tem1" localSheetId="1" hidden="1">{#N/A,#N/A,TRUE,"Front";#N/A,#N/A,TRUE,"Simple Letter";#N/A,#N/A,TRUE,"Inside";#N/A,#N/A,TRUE,"Contents";#N/A,#N/A,TRUE,"Basis";#N/A,#N/A,TRUE,"Inclusions";#N/A,#N/A,TRUE,"Exclusions";#N/A,#N/A,TRUE,"Areas";#N/A,#N/A,TRUE,"Summary";#N/A,#N/A,TRUE,"Detail"}</definedName>
    <definedName name="__________________________tem1" localSheetId="0" hidden="1">{#N/A,#N/A,TRUE,"Front";#N/A,#N/A,TRUE,"Simple Letter";#N/A,#N/A,TRUE,"Inside";#N/A,#N/A,TRUE,"Contents";#N/A,#N/A,TRUE,"Basis";#N/A,#N/A,TRUE,"Inclusions";#N/A,#N/A,TRUE,"Exclusions";#N/A,#N/A,TRUE,"Areas";#N/A,#N/A,TRUE,"Summary";#N/A,#N/A,TRUE,"Detail"}</definedName>
    <definedName name="__________________________tem1" hidden="1">{#N/A,#N/A,TRUE,"Front";#N/A,#N/A,TRUE,"Simple Letter";#N/A,#N/A,TRUE,"Inside";#N/A,#N/A,TRUE,"Contents";#N/A,#N/A,TRUE,"Basis";#N/A,#N/A,TRUE,"Inclusions";#N/A,#N/A,TRUE,"Exclusions";#N/A,#N/A,TRUE,"Areas";#N/A,#N/A,TRUE,"Summary";#N/A,#N/A,TRUE,"Detail"}</definedName>
    <definedName name="__________________________tm3" localSheetId="1" hidden="1">{#N/A,#N/A,TRUE,"Front";#N/A,#N/A,TRUE,"Simple Letter";#N/A,#N/A,TRUE,"Inside";#N/A,#N/A,TRUE,"Contents";#N/A,#N/A,TRUE,"Basis";#N/A,#N/A,TRUE,"Inclusions";#N/A,#N/A,TRUE,"Exclusions";#N/A,#N/A,TRUE,"Areas";#N/A,#N/A,TRUE,"Summary";#N/A,#N/A,TRUE,"Detail"}</definedName>
    <definedName name="__________________________tm3" localSheetId="0" hidden="1">{#N/A,#N/A,TRUE,"Front";#N/A,#N/A,TRUE,"Simple Letter";#N/A,#N/A,TRUE,"Inside";#N/A,#N/A,TRUE,"Contents";#N/A,#N/A,TRUE,"Basis";#N/A,#N/A,TRUE,"Inclusions";#N/A,#N/A,TRUE,"Exclusions";#N/A,#N/A,TRUE,"Areas";#N/A,#N/A,TRUE,"Summary";#N/A,#N/A,TRUE,"Detail"}</definedName>
    <definedName name="__________________________tm3" hidden="1">{#N/A,#N/A,TRUE,"Front";#N/A,#N/A,TRUE,"Simple Letter";#N/A,#N/A,TRUE,"Inside";#N/A,#N/A,TRUE,"Contents";#N/A,#N/A,TRUE,"Basis";#N/A,#N/A,TRUE,"Inclusions";#N/A,#N/A,TRUE,"Exclusions";#N/A,#N/A,TRUE,"Areas";#N/A,#N/A,TRUE,"Summary";#N/A,#N/A,TRUE,"Detail"}</definedName>
    <definedName name="_________________________cat12" localSheetId="1" hidden="1">{#N/A,#N/A,TRUE,"Front";#N/A,#N/A,TRUE,"Simple Letter";#N/A,#N/A,TRUE,"Inside";#N/A,#N/A,TRUE,"Contents";#N/A,#N/A,TRUE,"Basis";#N/A,#N/A,TRUE,"Inclusions";#N/A,#N/A,TRUE,"Exclusions";#N/A,#N/A,TRUE,"Areas";#N/A,#N/A,TRUE,"Summary";#N/A,#N/A,TRUE,"Detail"}</definedName>
    <definedName name="_________________________cat12" localSheetId="0" hidden="1">{#N/A,#N/A,TRUE,"Front";#N/A,#N/A,TRUE,"Simple Letter";#N/A,#N/A,TRUE,"Inside";#N/A,#N/A,TRUE,"Contents";#N/A,#N/A,TRUE,"Basis";#N/A,#N/A,TRUE,"Inclusions";#N/A,#N/A,TRUE,"Exclusions";#N/A,#N/A,TRUE,"Areas";#N/A,#N/A,TRUE,"Summary";#N/A,#N/A,TRUE,"Detail"}</definedName>
    <definedName name="_________________________cat12" hidden="1">{#N/A,#N/A,TRUE,"Front";#N/A,#N/A,TRUE,"Simple Letter";#N/A,#N/A,TRUE,"Inside";#N/A,#N/A,TRUE,"Contents";#N/A,#N/A,TRUE,"Basis";#N/A,#N/A,TRUE,"Inclusions";#N/A,#N/A,TRUE,"Exclusions";#N/A,#N/A,TRUE,"Areas";#N/A,#N/A,TRUE,"Summary";#N/A,#N/A,TRUE,"Detail"}</definedName>
    <definedName name="_________________________hp10" localSheetId="1" hidden="1">{#N/A,#N/A,TRUE,"Front";#N/A,#N/A,TRUE,"Simple Letter";#N/A,#N/A,TRUE,"Inside";#N/A,#N/A,TRUE,"Contents";#N/A,#N/A,TRUE,"Basis";#N/A,#N/A,TRUE,"Inclusions";#N/A,#N/A,TRUE,"Exclusions";#N/A,#N/A,TRUE,"Areas";#N/A,#N/A,TRUE,"Summary";#N/A,#N/A,TRUE,"Detail"}</definedName>
    <definedName name="_________________________hp10" localSheetId="0" hidden="1">{#N/A,#N/A,TRUE,"Front";#N/A,#N/A,TRUE,"Simple Letter";#N/A,#N/A,TRUE,"Inside";#N/A,#N/A,TRUE,"Contents";#N/A,#N/A,TRUE,"Basis";#N/A,#N/A,TRUE,"Inclusions";#N/A,#N/A,TRUE,"Exclusions";#N/A,#N/A,TRUE,"Areas";#N/A,#N/A,TRUE,"Summary";#N/A,#N/A,TRUE,"Detail"}</definedName>
    <definedName name="_________________________hp10" hidden="1">{#N/A,#N/A,TRUE,"Front";#N/A,#N/A,TRUE,"Simple Letter";#N/A,#N/A,TRUE,"Inside";#N/A,#N/A,TRUE,"Contents";#N/A,#N/A,TRUE,"Basis";#N/A,#N/A,TRUE,"Inclusions";#N/A,#N/A,TRUE,"Exclusions";#N/A,#N/A,TRUE,"Areas";#N/A,#N/A,TRUE,"Summary";#N/A,#N/A,TRUE,"Detail"}</definedName>
    <definedName name="_________________________RAB002" localSheetId="1" hidden="1">{#N/A,#N/A,TRUE,"Front";#N/A,#N/A,TRUE,"Simple Letter";#N/A,#N/A,TRUE,"Inside";#N/A,#N/A,TRUE,"Contents";#N/A,#N/A,TRUE,"Basis";#N/A,#N/A,TRUE,"Inclusions";#N/A,#N/A,TRUE,"Exclusions";#N/A,#N/A,TRUE,"Areas";#N/A,#N/A,TRUE,"Summary";#N/A,#N/A,TRUE,"Detail"}</definedName>
    <definedName name="_________________________RAB002" localSheetId="0" hidden="1">{#N/A,#N/A,TRUE,"Front";#N/A,#N/A,TRUE,"Simple Letter";#N/A,#N/A,TRUE,"Inside";#N/A,#N/A,TRUE,"Contents";#N/A,#N/A,TRUE,"Basis";#N/A,#N/A,TRUE,"Inclusions";#N/A,#N/A,TRUE,"Exclusions";#N/A,#N/A,TRUE,"Areas";#N/A,#N/A,TRUE,"Summary";#N/A,#N/A,TRUE,"Detail"}</definedName>
    <definedName name="_________________________RAB002" hidden="1">{#N/A,#N/A,TRUE,"Front";#N/A,#N/A,TRUE,"Simple Letter";#N/A,#N/A,TRUE,"Inside";#N/A,#N/A,TRUE,"Contents";#N/A,#N/A,TRUE,"Basis";#N/A,#N/A,TRUE,"Inclusions";#N/A,#N/A,TRUE,"Exclusions";#N/A,#N/A,TRUE,"Areas";#N/A,#N/A,TRUE,"Summary";#N/A,#N/A,TRUE,"Detail"}</definedName>
    <definedName name="_________________________tem1" localSheetId="1" hidden="1">{#N/A,#N/A,TRUE,"Front";#N/A,#N/A,TRUE,"Simple Letter";#N/A,#N/A,TRUE,"Inside";#N/A,#N/A,TRUE,"Contents";#N/A,#N/A,TRUE,"Basis";#N/A,#N/A,TRUE,"Inclusions";#N/A,#N/A,TRUE,"Exclusions";#N/A,#N/A,TRUE,"Areas";#N/A,#N/A,TRUE,"Summary";#N/A,#N/A,TRUE,"Detail"}</definedName>
    <definedName name="_________________________tem1" localSheetId="0" hidden="1">{#N/A,#N/A,TRUE,"Front";#N/A,#N/A,TRUE,"Simple Letter";#N/A,#N/A,TRUE,"Inside";#N/A,#N/A,TRUE,"Contents";#N/A,#N/A,TRUE,"Basis";#N/A,#N/A,TRUE,"Inclusions";#N/A,#N/A,TRUE,"Exclusions";#N/A,#N/A,TRUE,"Areas";#N/A,#N/A,TRUE,"Summary";#N/A,#N/A,TRUE,"Detail"}</definedName>
    <definedName name="_________________________tem1" hidden="1">{#N/A,#N/A,TRUE,"Front";#N/A,#N/A,TRUE,"Simple Letter";#N/A,#N/A,TRUE,"Inside";#N/A,#N/A,TRUE,"Contents";#N/A,#N/A,TRUE,"Basis";#N/A,#N/A,TRUE,"Inclusions";#N/A,#N/A,TRUE,"Exclusions";#N/A,#N/A,TRUE,"Areas";#N/A,#N/A,TRUE,"Summary";#N/A,#N/A,TRUE,"Detail"}</definedName>
    <definedName name="_________________________tm3" localSheetId="1" hidden="1">{#N/A,#N/A,TRUE,"Front";#N/A,#N/A,TRUE,"Simple Letter";#N/A,#N/A,TRUE,"Inside";#N/A,#N/A,TRUE,"Contents";#N/A,#N/A,TRUE,"Basis";#N/A,#N/A,TRUE,"Inclusions";#N/A,#N/A,TRUE,"Exclusions";#N/A,#N/A,TRUE,"Areas";#N/A,#N/A,TRUE,"Summary";#N/A,#N/A,TRUE,"Detail"}</definedName>
    <definedName name="_________________________tm3" localSheetId="0" hidden="1">{#N/A,#N/A,TRUE,"Front";#N/A,#N/A,TRUE,"Simple Letter";#N/A,#N/A,TRUE,"Inside";#N/A,#N/A,TRUE,"Contents";#N/A,#N/A,TRUE,"Basis";#N/A,#N/A,TRUE,"Inclusions";#N/A,#N/A,TRUE,"Exclusions";#N/A,#N/A,TRUE,"Areas";#N/A,#N/A,TRUE,"Summary";#N/A,#N/A,TRUE,"Detail"}</definedName>
    <definedName name="_________________________tm3" hidden="1">{#N/A,#N/A,TRUE,"Front";#N/A,#N/A,TRUE,"Simple Letter";#N/A,#N/A,TRUE,"Inside";#N/A,#N/A,TRUE,"Contents";#N/A,#N/A,TRUE,"Basis";#N/A,#N/A,TRUE,"Inclusions";#N/A,#N/A,TRUE,"Exclusions";#N/A,#N/A,TRUE,"Areas";#N/A,#N/A,TRUE,"Summary";#N/A,#N/A,TRUE,"Detail"}</definedName>
    <definedName name="________________________cat12" localSheetId="1" hidden="1">{#N/A,#N/A,TRUE,"Front";#N/A,#N/A,TRUE,"Simple Letter";#N/A,#N/A,TRUE,"Inside";#N/A,#N/A,TRUE,"Contents";#N/A,#N/A,TRUE,"Basis";#N/A,#N/A,TRUE,"Inclusions";#N/A,#N/A,TRUE,"Exclusions";#N/A,#N/A,TRUE,"Areas";#N/A,#N/A,TRUE,"Summary";#N/A,#N/A,TRUE,"Detail"}</definedName>
    <definedName name="________________________cat12" localSheetId="0" hidden="1">{#N/A,#N/A,TRUE,"Front";#N/A,#N/A,TRUE,"Simple Letter";#N/A,#N/A,TRUE,"Inside";#N/A,#N/A,TRUE,"Contents";#N/A,#N/A,TRUE,"Basis";#N/A,#N/A,TRUE,"Inclusions";#N/A,#N/A,TRUE,"Exclusions";#N/A,#N/A,TRUE,"Areas";#N/A,#N/A,TRUE,"Summary";#N/A,#N/A,TRUE,"Detail"}</definedName>
    <definedName name="________________________cat12" hidden="1">{#N/A,#N/A,TRUE,"Front";#N/A,#N/A,TRUE,"Simple Letter";#N/A,#N/A,TRUE,"Inside";#N/A,#N/A,TRUE,"Contents";#N/A,#N/A,TRUE,"Basis";#N/A,#N/A,TRUE,"Inclusions";#N/A,#N/A,TRUE,"Exclusions";#N/A,#N/A,TRUE,"Areas";#N/A,#N/A,TRUE,"Summary";#N/A,#N/A,TRUE,"Detail"}</definedName>
    <definedName name="________________________hp10" localSheetId="1" hidden="1">{#N/A,#N/A,TRUE,"Front";#N/A,#N/A,TRUE,"Simple Letter";#N/A,#N/A,TRUE,"Inside";#N/A,#N/A,TRUE,"Contents";#N/A,#N/A,TRUE,"Basis";#N/A,#N/A,TRUE,"Inclusions";#N/A,#N/A,TRUE,"Exclusions";#N/A,#N/A,TRUE,"Areas";#N/A,#N/A,TRUE,"Summary";#N/A,#N/A,TRUE,"Detail"}</definedName>
    <definedName name="________________________hp10" localSheetId="0" hidden="1">{#N/A,#N/A,TRUE,"Front";#N/A,#N/A,TRUE,"Simple Letter";#N/A,#N/A,TRUE,"Inside";#N/A,#N/A,TRUE,"Contents";#N/A,#N/A,TRUE,"Basis";#N/A,#N/A,TRUE,"Inclusions";#N/A,#N/A,TRUE,"Exclusions";#N/A,#N/A,TRUE,"Areas";#N/A,#N/A,TRUE,"Summary";#N/A,#N/A,TRUE,"Detail"}</definedName>
    <definedName name="________________________hp10" hidden="1">{#N/A,#N/A,TRUE,"Front";#N/A,#N/A,TRUE,"Simple Letter";#N/A,#N/A,TRUE,"Inside";#N/A,#N/A,TRUE,"Contents";#N/A,#N/A,TRUE,"Basis";#N/A,#N/A,TRUE,"Inclusions";#N/A,#N/A,TRUE,"Exclusions";#N/A,#N/A,TRUE,"Areas";#N/A,#N/A,TRUE,"Summary";#N/A,#N/A,TRUE,"Detail"}</definedName>
    <definedName name="________________________RAB002" localSheetId="1" hidden="1">{#N/A,#N/A,TRUE,"Front";#N/A,#N/A,TRUE,"Simple Letter";#N/A,#N/A,TRUE,"Inside";#N/A,#N/A,TRUE,"Contents";#N/A,#N/A,TRUE,"Basis";#N/A,#N/A,TRUE,"Inclusions";#N/A,#N/A,TRUE,"Exclusions";#N/A,#N/A,TRUE,"Areas";#N/A,#N/A,TRUE,"Summary";#N/A,#N/A,TRUE,"Detail"}</definedName>
    <definedName name="________________________RAB002" localSheetId="0" hidden="1">{#N/A,#N/A,TRUE,"Front";#N/A,#N/A,TRUE,"Simple Letter";#N/A,#N/A,TRUE,"Inside";#N/A,#N/A,TRUE,"Contents";#N/A,#N/A,TRUE,"Basis";#N/A,#N/A,TRUE,"Inclusions";#N/A,#N/A,TRUE,"Exclusions";#N/A,#N/A,TRUE,"Areas";#N/A,#N/A,TRUE,"Summary";#N/A,#N/A,TRUE,"Detail"}</definedName>
    <definedName name="________________________RAB002" hidden="1">{#N/A,#N/A,TRUE,"Front";#N/A,#N/A,TRUE,"Simple Letter";#N/A,#N/A,TRUE,"Inside";#N/A,#N/A,TRUE,"Contents";#N/A,#N/A,TRUE,"Basis";#N/A,#N/A,TRUE,"Inclusions";#N/A,#N/A,TRUE,"Exclusions";#N/A,#N/A,TRUE,"Areas";#N/A,#N/A,TRUE,"Summary";#N/A,#N/A,TRUE,"Detail"}</definedName>
    <definedName name="________________________tem1" localSheetId="1" hidden="1">{#N/A,#N/A,TRUE,"Front";#N/A,#N/A,TRUE,"Simple Letter";#N/A,#N/A,TRUE,"Inside";#N/A,#N/A,TRUE,"Contents";#N/A,#N/A,TRUE,"Basis";#N/A,#N/A,TRUE,"Inclusions";#N/A,#N/A,TRUE,"Exclusions";#N/A,#N/A,TRUE,"Areas";#N/A,#N/A,TRUE,"Summary";#N/A,#N/A,TRUE,"Detail"}</definedName>
    <definedName name="________________________tem1" localSheetId="0" hidden="1">{#N/A,#N/A,TRUE,"Front";#N/A,#N/A,TRUE,"Simple Letter";#N/A,#N/A,TRUE,"Inside";#N/A,#N/A,TRUE,"Contents";#N/A,#N/A,TRUE,"Basis";#N/A,#N/A,TRUE,"Inclusions";#N/A,#N/A,TRUE,"Exclusions";#N/A,#N/A,TRUE,"Areas";#N/A,#N/A,TRUE,"Summary";#N/A,#N/A,TRUE,"Detail"}</definedName>
    <definedName name="________________________tem1" hidden="1">{#N/A,#N/A,TRUE,"Front";#N/A,#N/A,TRUE,"Simple Letter";#N/A,#N/A,TRUE,"Inside";#N/A,#N/A,TRUE,"Contents";#N/A,#N/A,TRUE,"Basis";#N/A,#N/A,TRUE,"Inclusions";#N/A,#N/A,TRUE,"Exclusions";#N/A,#N/A,TRUE,"Areas";#N/A,#N/A,TRUE,"Summary";#N/A,#N/A,TRUE,"Detail"}</definedName>
    <definedName name="________________________tm3" localSheetId="1" hidden="1">{#N/A,#N/A,TRUE,"Front";#N/A,#N/A,TRUE,"Simple Letter";#N/A,#N/A,TRUE,"Inside";#N/A,#N/A,TRUE,"Contents";#N/A,#N/A,TRUE,"Basis";#N/A,#N/A,TRUE,"Inclusions";#N/A,#N/A,TRUE,"Exclusions";#N/A,#N/A,TRUE,"Areas";#N/A,#N/A,TRUE,"Summary";#N/A,#N/A,TRUE,"Detail"}</definedName>
    <definedName name="________________________tm3" localSheetId="0" hidden="1">{#N/A,#N/A,TRUE,"Front";#N/A,#N/A,TRUE,"Simple Letter";#N/A,#N/A,TRUE,"Inside";#N/A,#N/A,TRUE,"Contents";#N/A,#N/A,TRUE,"Basis";#N/A,#N/A,TRUE,"Inclusions";#N/A,#N/A,TRUE,"Exclusions";#N/A,#N/A,TRUE,"Areas";#N/A,#N/A,TRUE,"Summary";#N/A,#N/A,TRUE,"Detail"}</definedName>
    <definedName name="________________________tm3" hidden="1">{#N/A,#N/A,TRUE,"Front";#N/A,#N/A,TRUE,"Simple Letter";#N/A,#N/A,TRUE,"Inside";#N/A,#N/A,TRUE,"Contents";#N/A,#N/A,TRUE,"Basis";#N/A,#N/A,TRUE,"Inclusions";#N/A,#N/A,TRUE,"Exclusions";#N/A,#N/A,TRUE,"Areas";#N/A,#N/A,TRUE,"Summary";#N/A,#N/A,TRUE,"Detail"}</definedName>
    <definedName name="_______________________hp10" localSheetId="1" hidden="1">{#N/A,#N/A,TRUE,"Front";#N/A,#N/A,TRUE,"Simple Letter";#N/A,#N/A,TRUE,"Inside";#N/A,#N/A,TRUE,"Contents";#N/A,#N/A,TRUE,"Basis";#N/A,#N/A,TRUE,"Inclusions";#N/A,#N/A,TRUE,"Exclusions";#N/A,#N/A,TRUE,"Areas";#N/A,#N/A,TRUE,"Summary";#N/A,#N/A,TRUE,"Detail"}</definedName>
    <definedName name="_______________________hp10" localSheetId="0" hidden="1">{#N/A,#N/A,TRUE,"Front";#N/A,#N/A,TRUE,"Simple Letter";#N/A,#N/A,TRUE,"Inside";#N/A,#N/A,TRUE,"Contents";#N/A,#N/A,TRUE,"Basis";#N/A,#N/A,TRUE,"Inclusions";#N/A,#N/A,TRUE,"Exclusions";#N/A,#N/A,TRUE,"Areas";#N/A,#N/A,TRUE,"Summary";#N/A,#N/A,TRUE,"Detail"}</definedName>
    <definedName name="_______________________hp10" hidden="1">{#N/A,#N/A,TRUE,"Front";#N/A,#N/A,TRUE,"Simple Letter";#N/A,#N/A,TRUE,"Inside";#N/A,#N/A,TRUE,"Contents";#N/A,#N/A,TRUE,"Basis";#N/A,#N/A,TRUE,"Inclusions";#N/A,#N/A,TRUE,"Exclusions";#N/A,#N/A,TRUE,"Areas";#N/A,#N/A,TRUE,"Summary";#N/A,#N/A,TRUE,"Detail"}</definedName>
    <definedName name="_______________________RAB002" localSheetId="1" hidden="1">{#N/A,#N/A,TRUE,"Front";#N/A,#N/A,TRUE,"Simple Letter";#N/A,#N/A,TRUE,"Inside";#N/A,#N/A,TRUE,"Contents";#N/A,#N/A,TRUE,"Basis";#N/A,#N/A,TRUE,"Inclusions";#N/A,#N/A,TRUE,"Exclusions";#N/A,#N/A,TRUE,"Areas";#N/A,#N/A,TRUE,"Summary";#N/A,#N/A,TRUE,"Detail"}</definedName>
    <definedName name="_______________________RAB002" localSheetId="0" hidden="1">{#N/A,#N/A,TRUE,"Front";#N/A,#N/A,TRUE,"Simple Letter";#N/A,#N/A,TRUE,"Inside";#N/A,#N/A,TRUE,"Contents";#N/A,#N/A,TRUE,"Basis";#N/A,#N/A,TRUE,"Inclusions";#N/A,#N/A,TRUE,"Exclusions";#N/A,#N/A,TRUE,"Areas";#N/A,#N/A,TRUE,"Summary";#N/A,#N/A,TRUE,"Detail"}</definedName>
    <definedName name="_______________________RAB002" hidden="1">{#N/A,#N/A,TRUE,"Front";#N/A,#N/A,TRUE,"Simple Letter";#N/A,#N/A,TRUE,"Inside";#N/A,#N/A,TRUE,"Contents";#N/A,#N/A,TRUE,"Basis";#N/A,#N/A,TRUE,"Inclusions";#N/A,#N/A,TRUE,"Exclusions";#N/A,#N/A,TRUE,"Areas";#N/A,#N/A,TRUE,"Summary";#N/A,#N/A,TRUE,"Detail"}</definedName>
    <definedName name="_______________________tem1" localSheetId="1" hidden="1">{#N/A,#N/A,TRUE,"Front";#N/A,#N/A,TRUE,"Simple Letter";#N/A,#N/A,TRUE,"Inside";#N/A,#N/A,TRUE,"Contents";#N/A,#N/A,TRUE,"Basis";#N/A,#N/A,TRUE,"Inclusions";#N/A,#N/A,TRUE,"Exclusions";#N/A,#N/A,TRUE,"Areas";#N/A,#N/A,TRUE,"Summary";#N/A,#N/A,TRUE,"Detail"}</definedName>
    <definedName name="_______________________tem1" localSheetId="0" hidden="1">{#N/A,#N/A,TRUE,"Front";#N/A,#N/A,TRUE,"Simple Letter";#N/A,#N/A,TRUE,"Inside";#N/A,#N/A,TRUE,"Contents";#N/A,#N/A,TRUE,"Basis";#N/A,#N/A,TRUE,"Inclusions";#N/A,#N/A,TRUE,"Exclusions";#N/A,#N/A,TRUE,"Areas";#N/A,#N/A,TRUE,"Summary";#N/A,#N/A,TRUE,"Detail"}</definedName>
    <definedName name="_______________________tem1" hidden="1">{#N/A,#N/A,TRUE,"Front";#N/A,#N/A,TRUE,"Simple Letter";#N/A,#N/A,TRUE,"Inside";#N/A,#N/A,TRUE,"Contents";#N/A,#N/A,TRUE,"Basis";#N/A,#N/A,TRUE,"Inclusions";#N/A,#N/A,TRUE,"Exclusions";#N/A,#N/A,TRUE,"Areas";#N/A,#N/A,TRUE,"Summary";#N/A,#N/A,TRUE,"Detail"}</definedName>
    <definedName name="_______________________tm3" localSheetId="1" hidden="1">{#N/A,#N/A,TRUE,"Front";#N/A,#N/A,TRUE,"Simple Letter";#N/A,#N/A,TRUE,"Inside";#N/A,#N/A,TRUE,"Contents";#N/A,#N/A,TRUE,"Basis";#N/A,#N/A,TRUE,"Inclusions";#N/A,#N/A,TRUE,"Exclusions";#N/A,#N/A,TRUE,"Areas";#N/A,#N/A,TRUE,"Summary";#N/A,#N/A,TRUE,"Detail"}</definedName>
    <definedName name="_______________________tm3" localSheetId="0" hidden="1">{#N/A,#N/A,TRUE,"Front";#N/A,#N/A,TRUE,"Simple Letter";#N/A,#N/A,TRUE,"Inside";#N/A,#N/A,TRUE,"Contents";#N/A,#N/A,TRUE,"Basis";#N/A,#N/A,TRUE,"Inclusions";#N/A,#N/A,TRUE,"Exclusions";#N/A,#N/A,TRUE,"Areas";#N/A,#N/A,TRUE,"Summary";#N/A,#N/A,TRUE,"Detail"}</definedName>
    <definedName name="_______________________tm3" hidden="1">{#N/A,#N/A,TRUE,"Front";#N/A,#N/A,TRUE,"Simple Letter";#N/A,#N/A,TRUE,"Inside";#N/A,#N/A,TRUE,"Contents";#N/A,#N/A,TRUE,"Basis";#N/A,#N/A,TRUE,"Inclusions";#N/A,#N/A,TRUE,"Exclusions";#N/A,#N/A,TRUE,"Areas";#N/A,#N/A,TRUE,"Summary";#N/A,#N/A,TRUE,"Detail"}</definedName>
    <definedName name="______________________cat12" localSheetId="1" hidden="1">{#N/A,#N/A,TRUE,"Front";#N/A,#N/A,TRUE,"Simple Letter";#N/A,#N/A,TRUE,"Inside";#N/A,#N/A,TRUE,"Contents";#N/A,#N/A,TRUE,"Basis";#N/A,#N/A,TRUE,"Inclusions";#N/A,#N/A,TRUE,"Exclusions";#N/A,#N/A,TRUE,"Areas";#N/A,#N/A,TRUE,"Summary";#N/A,#N/A,TRUE,"Detail"}</definedName>
    <definedName name="______________________cat12" localSheetId="0" hidden="1">{#N/A,#N/A,TRUE,"Front";#N/A,#N/A,TRUE,"Simple Letter";#N/A,#N/A,TRUE,"Inside";#N/A,#N/A,TRUE,"Contents";#N/A,#N/A,TRUE,"Basis";#N/A,#N/A,TRUE,"Inclusions";#N/A,#N/A,TRUE,"Exclusions";#N/A,#N/A,TRUE,"Areas";#N/A,#N/A,TRUE,"Summary";#N/A,#N/A,TRUE,"Detail"}</definedName>
    <definedName name="______________________cat12" hidden="1">{#N/A,#N/A,TRUE,"Front";#N/A,#N/A,TRUE,"Simple Letter";#N/A,#N/A,TRUE,"Inside";#N/A,#N/A,TRUE,"Contents";#N/A,#N/A,TRUE,"Basis";#N/A,#N/A,TRUE,"Inclusions";#N/A,#N/A,TRUE,"Exclusions";#N/A,#N/A,TRUE,"Areas";#N/A,#N/A,TRUE,"Summary";#N/A,#N/A,TRUE,"Detail"}</definedName>
    <definedName name="______________________hp10" localSheetId="1" hidden="1">{#N/A,#N/A,TRUE,"Front";#N/A,#N/A,TRUE,"Simple Letter";#N/A,#N/A,TRUE,"Inside";#N/A,#N/A,TRUE,"Contents";#N/A,#N/A,TRUE,"Basis";#N/A,#N/A,TRUE,"Inclusions";#N/A,#N/A,TRUE,"Exclusions";#N/A,#N/A,TRUE,"Areas";#N/A,#N/A,TRUE,"Summary";#N/A,#N/A,TRUE,"Detail"}</definedName>
    <definedName name="______________________hp10" localSheetId="0" hidden="1">{#N/A,#N/A,TRUE,"Front";#N/A,#N/A,TRUE,"Simple Letter";#N/A,#N/A,TRUE,"Inside";#N/A,#N/A,TRUE,"Contents";#N/A,#N/A,TRUE,"Basis";#N/A,#N/A,TRUE,"Inclusions";#N/A,#N/A,TRUE,"Exclusions";#N/A,#N/A,TRUE,"Areas";#N/A,#N/A,TRUE,"Summary";#N/A,#N/A,TRUE,"Detail"}</definedName>
    <definedName name="______________________hp10" hidden="1">{#N/A,#N/A,TRUE,"Front";#N/A,#N/A,TRUE,"Simple Letter";#N/A,#N/A,TRUE,"Inside";#N/A,#N/A,TRUE,"Contents";#N/A,#N/A,TRUE,"Basis";#N/A,#N/A,TRUE,"Inclusions";#N/A,#N/A,TRUE,"Exclusions";#N/A,#N/A,TRUE,"Areas";#N/A,#N/A,TRUE,"Summary";#N/A,#N/A,TRUE,"Detail"}</definedName>
    <definedName name="______________________RAB002" localSheetId="1" hidden="1">{#N/A,#N/A,TRUE,"Front";#N/A,#N/A,TRUE,"Simple Letter";#N/A,#N/A,TRUE,"Inside";#N/A,#N/A,TRUE,"Contents";#N/A,#N/A,TRUE,"Basis";#N/A,#N/A,TRUE,"Inclusions";#N/A,#N/A,TRUE,"Exclusions";#N/A,#N/A,TRUE,"Areas";#N/A,#N/A,TRUE,"Summary";#N/A,#N/A,TRUE,"Detail"}</definedName>
    <definedName name="______________________RAB002" localSheetId="0" hidden="1">{#N/A,#N/A,TRUE,"Front";#N/A,#N/A,TRUE,"Simple Letter";#N/A,#N/A,TRUE,"Inside";#N/A,#N/A,TRUE,"Contents";#N/A,#N/A,TRUE,"Basis";#N/A,#N/A,TRUE,"Inclusions";#N/A,#N/A,TRUE,"Exclusions";#N/A,#N/A,TRUE,"Areas";#N/A,#N/A,TRUE,"Summary";#N/A,#N/A,TRUE,"Detail"}</definedName>
    <definedName name="______________________RAB002" hidden="1">{#N/A,#N/A,TRUE,"Front";#N/A,#N/A,TRUE,"Simple Letter";#N/A,#N/A,TRUE,"Inside";#N/A,#N/A,TRUE,"Contents";#N/A,#N/A,TRUE,"Basis";#N/A,#N/A,TRUE,"Inclusions";#N/A,#N/A,TRUE,"Exclusions";#N/A,#N/A,TRUE,"Areas";#N/A,#N/A,TRUE,"Summary";#N/A,#N/A,TRUE,"Detail"}</definedName>
    <definedName name="______________________tem1" localSheetId="1" hidden="1">{#N/A,#N/A,TRUE,"Front";#N/A,#N/A,TRUE,"Simple Letter";#N/A,#N/A,TRUE,"Inside";#N/A,#N/A,TRUE,"Contents";#N/A,#N/A,TRUE,"Basis";#N/A,#N/A,TRUE,"Inclusions";#N/A,#N/A,TRUE,"Exclusions";#N/A,#N/A,TRUE,"Areas";#N/A,#N/A,TRUE,"Summary";#N/A,#N/A,TRUE,"Detail"}</definedName>
    <definedName name="______________________tem1" localSheetId="0" hidden="1">{#N/A,#N/A,TRUE,"Front";#N/A,#N/A,TRUE,"Simple Letter";#N/A,#N/A,TRUE,"Inside";#N/A,#N/A,TRUE,"Contents";#N/A,#N/A,TRUE,"Basis";#N/A,#N/A,TRUE,"Inclusions";#N/A,#N/A,TRUE,"Exclusions";#N/A,#N/A,TRUE,"Areas";#N/A,#N/A,TRUE,"Summary";#N/A,#N/A,TRUE,"Detail"}</definedName>
    <definedName name="______________________tem1" hidden="1">{#N/A,#N/A,TRUE,"Front";#N/A,#N/A,TRUE,"Simple Letter";#N/A,#N/A,TRUE,"Inside";#N/A,#N/A,TRUE,"Contents";#N/A,#N/A,TRUE,"Basis";#N/A,#N/A,TRUE,"Inclusions";#N/A,#N/A,TRUE,"Exclusions";#N/A,#N/A,TRUE,"Areas";#N/A,#N/A,TRUE,"Summary";#N/A,#N/A,TRUE,"Detail"}</definedName>
    <definedName name="______________________tm3" localSheetId="1" hidden="1">{#N/A,#N/A,TRUE,"Front";#N/A,#N/A,TRUE,"Simple Letter";#N/A,#N/A,TRUE,"Inside";#N/A,#N/A,TRUE,"Contents";#N/A,#N/A,TRUE,"Basis";#N/A,#N/A,TRUE,"Inclusions";#N/A,#N/A,TRUE,"Exclusions";#N/A,#N/A,TRUE,"Areas";#N/A,#N/A,TRUE,"Summary";#N/A,#N/A,TRUE,"Detail"}</definedName>
    <definedName name="______________________tm3" localSheetId="0" hidden="1">{#N/A,#N/A,TRUE,"Front";#N/A,#N/A,TRUE,"Simple Letter";#N/A,#N/A,TRUE,"Inside";#N/A,#N/A,TRUE,"Contents";#N/A,#N/A,TRUE,"Basis";#N/A,#N/A,TRUE,"Inclusions";#N/A,#N/A,TRUE,"Exclusions";#N/A,#N/A,TRUE,"Areas";#N/A,#N/A,TRUE,"Summary";#N/A,#N/A,TRUE,"Detail"}</definedName>
    <definedName name="______________________tm3" hidden="1">{#N/A,#N/A,TRUE,"Front";#N/A,#N/A,TRUE,"Simple Letter";#N/A,#N/A,TRUE,"Inside";#N/A,#N/A,TRUE,"Contents";#N/A,#N/A,TRUE,"Basis";#N/A,#N/A,TRUE,"Inclusions";#N/A,#N/A,TRUE,"Exclusions";#N/A,#N/A,TRUE,"Areas";#N/A,#N/A,TRUE,"Summary";#N/A,#N/A,TRUE,"Detail"}</definedName>
    <definedName name="_____________________cat12" localSheetId="1" hidden="1">{#N/A,#N/A,TRUE,"Front";#N/A,#N/A,TRUE,"Simple Letter";#N/A,#N/A,TRUE,"Inside";#N/A,#N/A,TRUE,"Contents";#N/A,#N/A,TRUE,"Basis";#N/A,#N/A,TRUE,"Inclusions";#N/A,#N/A,TRUE,"Exclusions";#N/A,#N/A,TRUE,"Areas";#N/A,#N/A,TRUE,"Summary";#N/A,#N/A,TRUE,"Detail"}</definedName>
    <definedName name="_____________________cat12" localSheetId="0" hidden="1">{#N/A,#N/A,TRUE,"Front";#N/A,#N/A,TRUE,"Simple Letter";#N/A,#N/A,TRUE,"Inside";#N/A,#N/A,TRUE,"Contents";#N/A,#N/A,TRUE,"Basis";#N/A,#N/A,TRUE,"Inclusions";#N/A,#N/A,TRUE,"Exclusions";#N/A,#N/A,TRUE,"Areas";#N/A,#N/A,TRUE,"Summary";#N/A,#N/A,TRUE,"Detail"}</definedName>
    <definedName name="_____________________cat12" hidden="1">{#N/A,#N/A,TRUE,"Front";#N/A,#N/A,TRUE,"Simple Letter";#N/A,#N/A,TRUE,"Inside";#N/A,#N/A,TRUE,"Contents";#N/A,#N/A,TRUE,"Basis";#N/A,#N/A,TRUE,"Inclusions";#N/A,#N/A,TRUE,"Exclusions";#N/A,#N/A,TRUE,"Areas";#N/A,#N/A,TRUE,"Summary";#N/A,#N/A,TRUE,"Detail"}</definedName>
    <definedName name="_____________________hp10" localSheetId="1" hidden="1">{#N/A,#N/A,TRUE,"Front";#N/A,#N/A,TRUE,"Simple Letter";#N/A,#N/A,TRUE,"Inside";#N/A,#N/A,TRUE,"Contents";#N/A,#N/A,TRUE,"Basis";#N/A,#N/A,TRUE,"Inclusions";#N/A,#N/A,TRUE,"Exclusions";#N/A,#N/A,TRUE,"Areas";#N/A,#N/A,TRUE,"Summary";#N/A,#N/A,TRUE,"Detail"}</definedName>
    <definedName name="_____________________hp10" localSheetId="0" hidden="1">{#N/A,#N/A,TRUE,"Front";#N/A,#N/A,TRUE,"Simple Letter";#N/A,#N/A,TRUE,"Inside";#N/A,#N/A,TRUE,"Contents";#N/A,#N/A,TRUE,"Basis";#N/A,#N/A,TRUE,"Inclusions";#N/A,#N/A,TRUE,"Exclusions";#N/A,#N/A,TRUE,"Areas";#N/A,#N/A,TRUE,"Summary";#N/A,#N/A,TRUE,"Detail"}</definedName>
    <definedName name="_____________________hp10" hidden="1">{#N/A,#N/A,TRUE,"Front";#N/A,#N/A,TRUE,"Simple Letter";#N/A,#N/A,TRUE,"Inside";#N/A,#N/A,TRUE,"Contents";#N/A,#N/A,TRUE,"Basis";#N/A,#N/A,TRUE,"Inclusions";#N/A,#N/A,TRUE,"Exclusions";#N/A,#N/A,TRUE,"Areas";#N/A,#N/A,TRUE,"Summary";#N/A,#N/A,TRUE,"Detail"}</definedName>
    <definedName name="_____________________PA1" localSheetId="1" hidden="1">{#N/A,#N/A,TRUE,"Front";#N/A,#N/A,TRUE,"Simple Letter";#N/A,#N/A,TRUE,"Inside";#N/A,#N/A,TRUE,"Contents";#N/A,#N/A,TRUE,"Basis";#N/A,#N/A,TRUE,"Inclusions";#N/A,#N/A,TRUE,"Exclusions";#N/A,#N/A,TRUE,"Areas";#N/A,#N/A,TRUE,"Summary";#N/A,#N/A,TRUE,"Detail"}</definedName>
    <definedName name="_____________________PA1" localSheetId="0" hidden="1">{#N/A,#N/A,TRUE,"Front";#N/A,#N/A,TRUE,"Simple Letter";#N/A,#N/A,TRUE,"Inside";#N/A,#N/A,TRUE,"Contents";#N/A,#N/A,TRUE,"Basis";#N/A,#N/A,TRUE,"Inclusions";#N/A,#N/A,TRUE,"Exclusions";#N/A,#N/A,TRUE,"Areas";#N/A,#N/A,TRUE,"Summary";#N/A,#N/A,TRUE,"Detail"}</definedName>
    <definedName name="_____________________PA1" hidden="1">{#N/A,#N/A,TRUE,"Front";#N/A,#N/A,TRUE,"Simple Letter";#N/A,#N/A,TRUE,"Inside";#N/A,#N/A,TRUE,"Contents";#N/A,#N/A,TRUE,"Basis";#N/A,#N/A,TRUE,"Inclusions";#N/A,#N/A,TRUE,"Exclusions";#N/A,#N/A,TRUE,"Areas";#N/A,#N/A,TRUE,"Summary";#N/A,#N/A,TRUE,"Detail"}</definedName>
    <definedName name="_____________________RAB002" localSheetId="1" hidden="1">{#N/A,#N/A,TRUE,"Front";#N/A,#N/A,TRUE,"Simple Letter";#N/A,#N/A,TRUE,"Inside";#N/A,#N/A,TRUE,"Contents";#N/A,#N/A,TRUE,"Basis";#N/A,#N/A,TRUE,"Inclusions";#N/A,#N/A,TRUE,"Exclusions";#N/A,#N/A,TRUE,"Areas";#N/A,#N/A,TRUE,"Summary";#N/A,#N/A,TRUE,"Detail"}</definedName>
    <definedName name="_____________________RAB002" localSheetId="0" hidden="1">{#N/A,#N/A,TRUE,"Front";#N/A,#N/A,TRUE,"Simple Letter";#N/A,#N/A,TRUE,"Inside";#N/A,#N/A,TRUE,"Contents";#N/A,#N/A,TRUE,"Basis";#N/A,#N/A,TRUE,"Inclusions";#N/A,#N/A,TRUE,"Exclusions";#N/A,#N/A,TRUE,"Areas";#N/A,#N/A,TRUE,"Summary";#N/A,#N/A,TRUE,"Detail"}</definedName>
    <definedName name="_____________________RAB002" hidden="1">{#N/A,#N/A,TRUE,"Front";#N/A,#N/A,TRUE,"Simple Letter";#N/A,#N/A,TRUE,"Inside";#N/A,#N/A,TRUE,"Contents";#N/A,#N/A,TRUE,"Basis";#N/A,#N/A,TRUE,"Inclusions";#N/A,#N/A,TRUE,"Exclusions";#N/A,#N/A,TRUE,"Areas";#N/A,#N/A,TRUE,"Summary";#N/A,#N/A,TRUE,"Detail"}</definedName>
    <definedName name="_____________________tem1" localSheetId="1" hidden="1">{#N/A,#N/A,TRUE,"Front";#N/A,#N/A,TRUE,"Simple Letter";#N/A,#N/A,TRUE,"Inside";#N/A,#N/A,TRUE,"Contents";#N/A,#N/A,TRUE,"Basis";#N/A,#N/A,TRUE,"Inclusions";#N/A,#N/A,TRUE,"Exclusions";#N/A,#N/A,TRUE,"Areas";#N/A,#N/A,TRUE,"Summary";#N/A,#N/A,TRUE,"Detail"}</definedName>
    <definedName name="_____________________tem1" localSheetId="0" hidden="1">{#N/A,#N/A,TRUE,"Front";#N/A,#N/A,TRUE,"Simple Letter";#N/A,#N/A,TRUE,"Inside";#N/A,#N/A,TRUE,"Contents";#N/A,#N/A,TRUE,"Basis";#N/A,#N/A,TRUE,"Inclusions";#N/A,#N/A,TRUE,"Exclusions";#N/A,#N/A,TRUE,"Areas";#N/A,#N/A,TRUE,"Summary";#N/A,#N/A,TRUE,"Detail"}</definedName>
    <definedName name="_____________________tem1" hidden="1">{#N/A,#N/A,TRUE,"Front";#N/A,#N/A,TRUE,"Simple Letter";#N/A,#N/A,TRUE,"Inside";#N/A,#N/A,TRUE,"Contents";#N/A,#N/A,TRUE,"Basis";#N/A,#N/A,TRUE,"Inclusions";#N/A,#N/A,TRUE,"Exclusions";#N/A,#N/A,TRUE,"Areas";#N/A,#N/A,TRUE,"Summary";#N/A,#N/A,TRUE,"Detail"}</definedName>
    <definedName name="_____________________tm3" localSheetId="1" hidden="1">{#N/A,#N/A,TRUE,"Front";#N/A,#N/A,TRUE,"Simple Letter";#N/A,#N/A,TRUE,"Inside";#N/A,#N/A,TRUE,"Contents";#N/A,#N/A,TRUE,"Basis";#N/A,#N/A,TRUE,"Inclusions";#N/A,#N/A,TRUE,"Exclusions";#N/A,#N/A,TRUE,"Areas";#N/A,#N/A,TRUE,"Summary";#N/A,#N/A,TRUE,"Detail"}</definedName>
    <definedName name="_____________________tm3" localSheetId="0" hidden="1">{#N/A,#N/A,TRUE,"Front";#N/A,#N/A,TRUE,"Simple Letter";#N/A,#N/A,TRUE,"Inside";#N/A,#N/A,TRUE,"Contents";#N/A,#N/A,TRUE,"Basis";#N/A,#N/A,TRUE,"Inclusions";#N/A,#N/A,TRUE,"Exclusions";#N/A,#N/A,TRUE,"Areas";#N/A,#N/A,TRUE,"Summary";#N/A,#N/A,TRUE,"Detail"}</definedName>
    <definedName name="_____________________tm3" hidden="1">{#N/A,#N/A,TRUE,"Front";#N/A,#N/A,TRUE,"Simple Letter";#N/A,#N/A,TRUE,"Inside";#N/A,#N/A,TRUE,"Contents";#N/A,#N/A,TRUE,"Basis";#N/A,#N/A,TRUE,"Inclusions";#N/A,#N/A,TRUE,"Exclusions";#N/A,#N/A,TRUE,"Areas";#N/A,#N/A,TRUE,"Summary";#N/A,#N/A,TRUE,"Detail"}</definedName>
    <definedName name="____________________cat12" localSheetId="1" hidden="1">{#N/A,#N/A,TRUE,"Front";#N/A,#N/A,TRUE,"Simple Letter";#N/A,#N/A,TRUE,"Inside";#N/A,#N/A,TRUE,"Contents";#N/A,#N/A,TRUE,"Basis";#N/A,#N/A,TRUE,"Inclusions";#N/A,#N/A,TRUE,"Exclusions";#N/A,#N/A,TRUE,"Areas";#N/A,#N/A,TRUE,"Summary";#N/A,#N/A,TRUE,"Detail"}</definedName>
    <definedName name="____________________cat12" localSheetId="0" hidden="1">{#N/A,#N/A,TRUE,"Front";#N/A,#N/A,TRUE,"Simple Letter";#N/A,#N/A,TRUE,"Inside";#N/A,#N/A,TRUE,"Contents";#N/A,#N/A,TRUE,"Basis";#N/A,#N/A,TRUE,"Inclusions";#N/A,#N/A,TRUE,"Exclusions";#N/A,#N/A,TRUE,"Areas";#N/A,#N/A,TRUE,"Summary";#N/A,#N/A,TRUE,"Detail"}</definedName>
    <definedName name="____________________cat12" hidden="1">{#N/A,#N/A,TRUE,"Front";#N/A,#N/A,TRUE,"Simple Letter";#N/A,#N/A,TRUE,"Inside";#N/A,#N/A,TRUE,"Contents";#N/A,#N/A,TRUE,"Basis";#N/A,#N/A,TRUE,"Inclusions";#N/A,#N/A,TRUE,"Exclusions";#N/A,#N/A,TRUE,"Areas";#N/A,#N/A,TRUE,"Summary";#N/A,#N/A,TRUE,"Detail"}</definedName>
    <definedName name="____________________hp10" localSheetId="1" hidden="1">{#N/A,#N/A,TRUE,"Front";#N/A,#N/A,TRUE,"Simple Letter";#N/A,#N/A,TRUE,"Inside";#N/A,#N/A,TRUE,"Contents";#N/A,#N/A,TRUE,"Basis";#N/A,#N/A,TRUE,"Inclusions";#N/A,#N/A,TRUE,"Exclusions";#N/A,#N/A,TRUE,"Areas";#N/A,#N/A,TRUE,"Summary";#N/A,#N/A,TRUE,"Detail"}</definedName>
    <definedName name="____________________hp10" localSheetId="0" hidden="1">{#N/A,#N/A,TRUE,"Front";#N/A,#N/A,TRUE,"Simple Letter";#N/A,#N/A,TRUE,"Inside";#N/A,#N/A,TRUE,"Contents";#N/A,#N/A,TRUE,"Basis";#N/A,#N/A,TRUE,"Inclusions";#N/A,#N/A,TRUE,"Exclusions";#N/A,#N/A,TRUE,"Areas";#N/A,#N/A,TRUE,"Summary";#N/A,#N/A,TRUE,"Detail"}</definedName>
    <definedName name="____________________hp10" hidden="1">{#N/A,#N/A,TRUE,"Front";#N/A,#N/A,TRUE,"Simple Letter";#N/A,#N/A,TRUE,"Inside";#N/A,#N/A,TRUE,"Contents";#N/A,#N/A,TRUE,"Basis";#N/A,#N/A,TRUE,"Inclusions";#N/A,#N/A,TRUE,"Exclusions";#N/A,#N/A,TRUE,"Areas";#N/A,#N/A,TRUE,"Summary";#N/A,#N/A,TRUE,"Detail"}</definedName>
    <definedName name="____________________PA1" localSheetId="1" hidden="1">{#N/A,#N/A,TRUE,"Front";#N/A,#N/A,TRUE,"Simple Letter";#N/A,#N/A,TRUE,"Inside";#N/A,#N/A,TRUE,"Contents";#N/A,#N/A,TRUE,"Basis";#N/A,#N/A,TRUE,"Inclusions";#N/A,#N/A,TRUE,"Exclusions";#N/A,#N/A,TRUE,"Areas";#N/A,#N/A,TRUE,"Summary";#N/A,#N/A,TRUE,"Detail"}</definedName>
    <definedName name="____________________PA1" localSheetId="0" hidden="1">{#N/A,#N/A,TRUE,"Front";#N/A,#N/A,TRUE,"Simple Letter";#N/A,#N/A,TRUE,"Inside";#N/A,#N/A,TRUE,"Contents";#N/A,#N/A,TRUE,"Basis";#N/A,#N/A,TRUE,"Inclusions";#N/A,#N/A,TRUE,"Exclusions";#N/A,#N/A,TRUE,"Areas";#N/A,#N/A,TRUE,"Summary";#N/A,#N/A,TRUE,"Detail"}</definedName>
    <definedName name="____________________PA1" hidden="1">{#N/A,#N/A,TRUE,"Front";#N/A,#N/A,TRUE,"Simple Letter";#N/A,#N/A,TRUE,"Inside";#N/A,#N/A,TRUE,"Contents";#N/A,#N/A,TRUE,"Basis";#N/A,#N/A,TRUE,"Inclusions";#N/A,#N/A,TRUE,"Exclusions";#N/A,#N/A,TRUE,"Areas";#N/A,#N/A,TRUE,"Summary";#N/A,#N/A,TRUE,"Detail"}</definedName>
    <definedName name="____________________RAB002" localSheetId="1" hidden="1">{#N/A,#N/A,TRUE,"Front";#N/A,#N/A,TRUE,"Simple Letter";#N/A,#N/A,TRUE,"Inside";#N/A,#N/A,TRUE,"Contents";#N/A,#N/A,TRUE,"Basis";#N/A,#N/A,TRUE,"Inclusions";#N/A,#N/A,TRUE,"Exclusions";#N/A,#N/A,TRUE,"Areas";#N/A,#N/A,TRUE,"Summary";#N/A,#N/A,TRUE,"Detail"}</definedName>
    <definedName name="____________________RAB002" localSheetId="0" hidden="1">{#N/A,#N/A,TRUE,"Front";#N/A,#N/A,TRUE,"Simple Letter";#N/A,#N/A,TRUE,"Inside";#N/A,#N/A,TRUE,"Contents";#N/A,#N/A,TRUE,"Basis";#N/A,#N/A,TRUE,"Inclusions";#N/A,#N/A,TRUE,"Exclusions";#N/A,#N/A,TRUE,"Areas";#N/A,#N/A,TRUE,"Summary";#N/A,#N/A,TRUE,"Detail"}</definedName>
    <definedName name="____________________RAB002" hidden="1">{#N/A,#N/A,TRUE,"Front";#N/A,#N/A,TRUE,"Simple Letter";#N/A,#N/A,TRUE,"Inside";#N/A,#N/A,TRUE,"Contents";#N/A,#N/A,TRUE,"Basis";#N/A,#N/A,TRUE,"Inclusions";#N/A,#N/A,TRUE,"Exclusions";#N/A,#N/A,TRUE,"Areas";#N/A,#N/A,TRUE,"Summary";#N/A,#N/A,TRUE,"Detail"}</definedName>
    <definedName name="____________________tem1" localSheetId="1" hidden="1">{#N/A,#N/A,TRUE,"Front";#N/A,#N/A,TRUE,"Simple Letter";#N/A,#N/A,TRUE,"Inside";#N/A,#N/A,TRUE,"Contents";#N/A,#N/A,TRUE,"Basis";#N/A,#N/A,TRUE,"Inclusions";#N/A,#N/A,TRUE,"Exclusions";#N/A,#N/A,TRUE,"Areas";#N/A,#N/A,TRUE,"Summary";#N/A,#N/A,TRUE,"Detail"}</definedName>
    <definedName name="____________________tem1" localSheetId="0" hidden="1">{#N/A,#N/A,TRUE,"Front";#N/A,#N/A,TRUE,"Simple Letter";#N/A,#N/A,TRUE,"Inside";#N/A,#N/A,TRUE,"Contents";#N/A,#N/A,TRUE,"Basis";#N/A,#N/A,TRUE,"Inclusions";#N/A,#N/A,TRUE,"Exclusions";#N/A,#N/A,TRUE,"Areas";#N/A,#N/A,TRUE,"Summary";#N/A,#N/A,TRUE,"Detail"}</definedName>
    <definedName name="____________________tem1" hidden="1">{#N/A,#N/A,TRUE,"Front";#N/A,#N/A,TRUE,"Simple Letter";#N/A,#N/A,TRUE,"Inside";#N/A,#N/A,TRUE,"Contents";#N/A,#N/A,TRUE,"Basis";#N/A,#N/A,TRUE,"Inclusions";#N/A,#N/A,TRUE,"Exclusions";#N/A,#N/A,TRUE,"Areas";#N/A,#N/A,TRUE,"Summary";#N/A,#N/A,TRUE,"Detail"}</definedName>
    <definedName name="____________________tm3" localSheetId="1" hidden="1">{#N/A,#N/A,TRUE,"Front";#N/A,#N/A,TRUE,"Simple Letter";#N/A,#N/A,TRUE,"Inside";#N/A,#N/A,TRUE,"Contents";#N/A,#N/A,TRUE,"Basis";#N/A,#N/A,TRUE,"Inclusions";#N/A,#N/A,TRUE,"Exclusions";#N/A,#N/A,TRUE,"Areas";#N/A,#N/A,TRUE,"Summary";#N/A,#N/A,TRUE,"Detail"}</definedName>
    <definedName name="____________________tm3" localSheetId="0" hidden="1">{#N/A,#N/A,TRUE,"Front";#N/A,#N/A,TRUE,"Simple Letter";#N/A,#N/A,TRUE,"Inside";#N/A,#N/A,TRUE,"Contents";#N/A,#N/A,TRUE,"Basis";#N/A,#N/A,TRUE,"Inclusions";#N/A,#N/A,TRUE,"Exclusions";#N/A,#N/A,TRUE,"Areas";#N/A,#N/A,TRUE,"Summary";#N/A,#N/A,TRUE,"Detail"}</definedName>
    <definedName name="____________________tm3" hidden="1">{#N/A,#N/A,TRUE,"Front";#N/A,#N/A,TRUE,"Simple Letter";#N/A,#N/A,TRUE,"Inside";#N/A,#N/A,TRUE,"Contents";#N/A,#N/A,TRUE,"Basis";#N/A,#N/A,TRUE,"Inclusions";#N/A,#N/A,TRUE,"Exclusions";#N/A,#N/A,TRUE,"Areas";#N/A,#N/A,TRUE,"Summary";#N/A,#N/A,TRUE,"Detail"}</definedName>
    <definedName name="___________________cat12" localSheetId="1" hidden="1">{#N/A,#N/A,TRUE,"Front";#N/A,#N/A,TRUE,"Simple Letter";#N/A,#N/A,TRUE,"Inside";#N/A,#N/A,TRUE,"Contents";#N/A,#N/A,TRUE,"Basis";#N/A,#N/A,TRUE,"Inclusions";#N/A,#N/A,TRUE,"Exclusions";#N/A,#N/A,TRUE,"Areas";#N/A,#N/A,TRUE,"Summary";#N/A,#N/A,TRUE,"Detail"}</definedName>
    <definedName name="___________________cat12" localSheetId="0" hidden="1">{#N/A,#N/A,TRUE,"Front";#N/A,#N/A,TRUE,"Simple Letter";#N/A,#N/A,TRUE,"Inside";#N/A,#N/A,TRUE,"Contents";#N/A,#N/A,TRUE,"Basis";#N/A,#N/A,TRUE,"Inclusions";#N/A,#N/A,TRUE,"Exclusions";#N/A,#N/A,TRUE,"Areas";#N/A,#N/A,TRUE,"Summary";#N/A,#N/A,TRUE,"Detail"}</definedName>
    <definedName name="___________________cat12" hidden="1">{#N/A,#N/A,TRUE,"Front";#N/A,#N/A,TRUE,"Simple Letter";#N/A,#N/A,TRUE,"Inside";#N/A,#N/A,TRUE,"Contents";#N/A,#N/A,TRUE,"Basis";#N/A,#N/A,TRUE,"Inclusions";#N/A,#N/A,TRUE,"Exclusions";#N/A,#N/A,TRUE,"Areas";#N/A,#N/A,TRUE,"Summary";#N/A,#N/A,TRUE,"Detail"}</definedName>
    <definedName name="___________________hp10" localSheetId="1" hidden="1">{#N/A,#N/A,TRUE,"Front";#N/A,#N/A,TRUE,"Simple Letter";#N/A,#N/A,TRUE,"Inside";#N/A,#N/A,TRUE,"Contents";#N/A,#N/A,TRUE,"Basis";#N/A,#N/A,TRUE,"Inclusions";#N/A,#N/A,TRUE,"Exclusions";#N/A,#N/A,TRUE,"Areas";#N/A,#N/A,TRUE,"Summary";#N/A,#N/A,TRUE,"Detail"}</definedName>
    <definedName name="___________________hp10" localSheetId="0" hidden="1">{#N/A,#N/A,TRUE,"Front";#N/A,#N/A,TRUE,"Simple Letter";#N/A,#N/A,TRUE,"Inside";#N/A,#N/A,TRUE,"Contents";#N/A,#N/A,TRUE,"Basis";#N/A,#N/A,TRUE,"Inclusions";#N/A,#N/A,TRUE,"Exclusions";#N/A,#N/A,TRUE,"Areas";#N/A,#N/A,TRUE,"Summary";#N/A,#N/A,TRUE,"Detail"}</definedName>
    <definedName name="___________________hp10" hidden="1">{#N/A,#N/A,TRUE,"Front";#N/A,#N/A,TRUE,"Simple Letter";#N/A,#N/A,TRUE,"Inside";#N/A,#N/A,TRUE,"Contents";#N/A,#N/A,TRUE,"Basis";#N/A,#N/A,TRUE,"Inclusions";#N/A,#N/A,TRUE,"Exclusions";#N/A,#N/A,TRUE,"Areas";#N/A,#N/A,TRUE,"Summary";#N/A,#N/A,TRUE,"Detail"}</definedName>
    <definedName name="___________________RAB002" localSheetId="1" hidden="1">{#N/A,#N/A,TRUE,"Front";#N/A,#N/A,TRUE,"Simple Letter";#N/A,#N/A,TRUE,"Inside";#N/A,#N/A,TRUE,"Contents";#N/A,#N/A,TRUE,"Basis";#N/A,#N/A,TRUE,"Inclusions";#N/A,#N/A,TRUE,"Exclusions";#N/A,#N/A,TRUE,"Areas";#N/A,#N/A,TRUE,"Summary";#N/A,#N/A,TRUE,"Detail"}</definedName>
    <definedName name="___________________RAB002" localSheetId="0" hidden="1">{#N/A,#N/A,TRUE,"Front";#N/A,#N/A,TRUE,"Simple Letter";#N/A,#N/A,TRUE,"Inside";#N/A,#N/A,TRUE,"Contents";#N/A,#N/A,TRUE,"Basis";#N/A,#N/A,TRUE,"Inclusions";#N/A,#N/A,TRUE,"Exclusions";#N/A,#N/A,TRUE,"Areas";#N/A,#N/A,TRUE,"Summary";#N/A,#N/A,TRUE,"Detail"}</definedName>
    <definedName name="___________________RAB002" hidden="1">{#N/A,#N/A,TRUE,"Front";#N/A,#N/A,TRUE,"Simple Letter";#N/A,#N/A,TRUE,"Inside";#N/A,#N/A,TRUE,"Contents";#N/A,#N/A,TRUE,"Basis";#N/A,#N/A,TRUE,"Inclusions";#N/A,#N/A,TRUE,"Exclusions";#N/A,#N/A,TRUE,"Areas";#N/A,#N/A,TRUE,"Summary";#N/A,#N/A,TRUE,"Detail"}</definedName>
    <definedName name="___________________tem1" localSheetId="1" hidden="1">{#N/A,#N/A,TRUE,"Front";#N/A,#N/A,TRUE,"Simple Letter";#N/A,#N/A,TRUE,"Inside";#N/A,#N/A,TRUE,"Contents";#N/A,#N/A,TRUE,"Basis";#N/A,#N/A,TRUE,"Inclusions";#N/A,#N/A,TRUE,"Exclusions";#N/A,#N/A,TRUE,"Areas";#N/A,#N/A,TRUE,"Summary";#N/A,#N/A,TRUE,"Detail"}</definedName>
    <definedName name="___________________tem1" localSheetId="0" hidden="1">{#N/A,#N/A,TRUE,"Front";#N/A,#N/A,TRUE,"Simple Letter";#N/A,#N/A,TRUE,"Inside";#N/A,#N/A,TRUE,"Contents";#N/A,#N/A,TRUE,"Basis";#N/A,#N/A,TRUE,"Inclusions";#N/A,#N/A,TRUE,"Exclusions";#N/A,#N/A,TRUE,"Areas";#N/A,#N/A,TRUE,"Summary";#N/A,#N/A,TRUE,"Detail"}</definedName>
    <definedName name="___________________tem1" hidden="1">{#N/A,#N/A,TRUE,"Front";#N/A,#N/A,TRUE,"Simple Letter";#N/A,#N/A,TRUE,"Inside";#N/A,#N/A,TRUE,"Contents";#N/A,#N/A,TRUE,"Basis";#N/A,#N/A,TRUE,"Inclusions";#N/A,#N/A,TRUE,"Exclusions";#N/A,#N/A,TRUE,"Areas";#N/A,#N/A,TRUE,"Summary";#N/A,#N/A,TRUE,"Detail"}</definedName>
    <definedName name="___________________tm3" localSheetId="1" hidden="1">{#N/A,#N/A,TRUE,"Front";#N/A,#N/A,TRUE,"Simple Letter";#N/A,#N/A,TRUE,"Inside";#N/A,#N/A,TRUE,"Contents";#N/A,#N/A,TRUE,"Basis";#N/A,#N/A,TRUE,"Inclusions";#N/A,#N/A,TRUE,"Exclusions";#N/A,#N/A,TRUE,"Areas";#N/A,#N/A,TRUE,"Summary";#N/A,#N/A,TRUE,"Detail"}</definedName>
    <definedName name="___________________tm3" localSheetId="0" hidden="1">{#N/A,#N/A,TRUE,"Front";#N/A,#N/A,TRUE,"Simple Letter";#N/A,#N/A,TRUE,"Inside";#N/A,#N/A,TRUE,"Contents";#N/A,#N/A,TRUE,"Basis";#N/A,#N/A,TRUE,"Inclusions";#N/A,#N/A,TRUE,"Exclusions";#N/A,#N/A,TRUE,"Areas";#N/A,#N/A,TRUE,"Summary";#N/A,#N/A,TRUE,"Detail"}</definedName>
    <definedName name="___________________tm3" hidden="1">{#N/A,#N/A,TRUE,"Front";#N/A,#N/A,TRUE,"Simple Letter";#N/A,#N/A,TRUE,"Inside";#N/A,#N/A,TRUE,"Contents";#N/A,#N/A,TRUE,"Basis";#N/A,#N/A,TRUE,"Inclusions";#N/A,#N/A,TRUE,"Exclusions";#N/A,#N/A,TRUE,"Areas";#N/A,#N/A,TRUE,"Summary";#N/A,#N/A,TRUE,"Detail"}</definedName>
    <definedName name="__________________cat12" localSheetId="1" hidden="1">{#N/A,#N/A,TRUE,"Front";#N/A,#N/A,TRUE,"Simple Letter";#N/A,#N/A,TRUE,"Inside";#N/A,#N/A,TRUE,"Contents";#N/A,#N/A,TRUE,"Basis";#N/A,#N/A,TRUE,"Inclusions";#N/A,#N/A,TRUE,"Exclusions";#N/A,#N/A,TRUE,"Areas";#N/A,#N/A,TRUE,"Summary";#N/A,#N/A,TRUE,"Detail"}</definedName>
    <definedName name="__________________cat12" localSheetId="0" hidden="1">{#N/A,#N/A,TRUE,"Front";#N/A,#N/A,TRUE,"Simple Letter";#N/A,#N/A,TRUE,"Inside";#N/A,#N/A,TRUE,"Contents";#N/A,#N/A,TRUE,"Basis";#N/A,#N/A,TRUE,"Inclusions";#N/A,#N/A,TRUE,"Exclusions";#N/A,#N/A,TRUE,"Areas";#N/A,#N/A,TRUE,"Summary";#N/A,#N/A,TRUE,"Detail"}</definedName>
    <definedName name="__________________cat12" hidden="1">{#N/A,#N/A,TRUE,"Front";#N/A,#N/A,TRUE,"Simple Letter";#N/A,#N/A,TRUE,"Inside";#N/A,#N/A,TRUE,"Contents";#N/A,#N/A,TRUE,"Basis";#N/A,#N/A,TRUE,"Inclusions";#N/A,#N/A,TRUE,"Exclusions";#N/A,#N/A,TRUE,"Areas";#N/A,#N/A,TRUE,"Summary";#N/A,#N/A,TRUE,"Detail"}</definedName>
    <definedName name="__________________hp10" localSheetId="1" hidden="1">{#N/A,#N/A,TRUE,"Front";#N/A,#N/A,TRUE,"Simple Letter";#N/A,#N/A,TRUE,"Inside";#N/A,#N/A,TRUE,"Contents";#N/A,#N/A,TRUE,"Basis";#N/A,#N/A,TRUE,"Inclusions";#N/A,#N/A,TRUE,"Exclusions";#N/A,#N/A,TRUE,"Areas";#N/A,#N/A,TRUE,"Summary";#N/A,#N/A,TRUE,"Detail"}</definedName>
    <definedName name="__________________hp10" localSheetId="0" hidden="1">{#N/A,#N/A,TRUE,"Front";#N/A,#N/A,TRUE,"Simple Letter";#N/A,#N/A,TRUE,"Inside";#N/A,#N/A,TRUE,"Contents";#N/A,#N/A,TRUE,"Basis";#N/A,#N/A,TRUE,"Inclusions";#N/A,#N/A,TRUE,"Exclusions";#N/A,#N/A,TRUE,"Areas";#N/A,#N/A,TRUE,"Summary";#N/A,#N/A,TRUE,"Detail"}</definedName>
    <definedName name="__________________hp10" hidden="1">{#N/A,#N/A,TRUE,"Front";#N/A,#N/A,TRUE,"Simple Letter";#N/A,#N/A,TRUE,"Inside";#N/A,#N/A,TRUE,"Contents";#N/A,#N/A,TRUE,"Basis";#N/A,#N/A,TRUE,"Inclusions";#N/A,#N/A,TRUE,"Exclusions";#N/A,#N/A,TRUE,"Areas";#N/A,#N/A,TRUE,"Summary";#N/A,#N/A,TRUE,"Detail"}</definedName>
    <definedName name="__________________PA1" localSheetId="1" hidden="1">{#N/A,#N/A,TRUE,"Front";#N/A,#N/A,TRUE,"Simple Letter";#N/A,#N/A,TRUE,"Inside";#N/A,#N/A,TRUE,"Contents";#N/A,#N/A,TRUE,"Basis";#N/A,#N/A,TRUE,"Inclusions";#N/A,#N/A,TRUE,"Exclusions";#N/A,#N/A,TRUE,"Areas";#N/A,#N/A,TRUE,"Summary";#N/A,#N/A,TRUE,"Detail"}</definedName>
    <definedName name="__________________PA1" localSheetId="0" hidden="1">{#N/A,#N/A,TRUE,"Front";#N/A,#N/A,TRUE,"Simple Letter";#N/A,#N/A,TRUE,"Inside";#N/A,#N/A,TRUE,"Contents";#N/A,#N/A,TRUE,"Basis";#N/A,#N/A,TRUE,"Inclusions";#N/A,#N/A,TRUE,"Exclusions";#N/A,#N/A,TRUE,"Areas";#N/A,#N/A,TRUE,"Summary";#N/A,#N/A,TRUE,"Detail"}</definedName>
    <definedName name="__________________PA1" hidden="1">{#N/A,#N/A,TRUE,"Front";#N/A,#N/A,TRUE,"Simple Letter";#N/A,#N/A,TRUE,"Inside";#N/A,#N/A,TRUE,"Contents";#N/A,#N/A,TRUE,"Basis";#N/A,#N/A,TRUE,"Inclusions";#N/A,#N/A,TRUE,"Exclusions";#N/A,#N/A,TRUE,"Areas";#N/A,#N/A,TRUE,"Summary";#N/A,#N/A,TRUE,"Detail"}</definedName>
    <definedName name="__________________RAB002" localSheetId="1" hidden="1">{#N/A,#N/A,TRUE,"Front";#N/A,#N/A,TRUE,"Simple Letter";#N/A,#N/A,TRUE,"Inside";#N/A,#N/A,TRUE,"Contents";#N/A,#N/A,TRUE,"Basis";#N/A,#N/A,TRUE,"Inclusions";#N/A,#N/A,TRUE,"Exclusions";#N/A,#N/A,TRUE,"Areas";#N/A,#N/A,TRUE,"Summary";#N/A,#N/A,TRUE,"Detail"}</definedName>
    <definedName name="__________________RAB002" localSheetId="0" hidden="1">{#N/A,#N/A,TRUE,"Front";#N/A,#N/A,TRUE,"Simple Letter";#N/A,#N/A,TRUE,"Inside";#N/A,#N/A,TRUE,"Contents";#N/A,#N/A,TRUE,"Basis";#N/A,#N/A,TRUE,"Inclusions";#N/A,#N/A,TRUE,"Exclusions";#N/A,#N/A,TRUE,"Areas";#N/A,#N/A,TRUE,"Summary";#N/A,#N/A,TRUE,"Detail"}</definedName>
    <definedName name="__________________RAB002" hidden="1">{#N/A,#N/A,TRUE,"Front";#N/A,#N/A,TRUE,"Simple Letter";#N/A,#N/A,TRUE,"Inside";#N/A,#N/A,TRUE,"Contents";#N/A,#N/A,TRUE,"Basis";#N/A,#N/A,TRUE,"Inclusions";#N/A,#N/A,TRUE,"Exclusions";#N/A,#N/A,TRUE,"Areas";#N/A,#N/A,TRUE,"Summary";#N/A,#N/A,TRUE,"Detail"}</definedName>
    <definedName name="__________________tem1" localSheetId="1" hidden="1">{#N/A,#N/A,TRUE,"Front";#N/A,#N/A,TRUE,"Simple Letter";#N/A,#N/A,TRUE,"Inside";#N/A,#N/A,TRUE,"Contents";#N/A,#N/A,TRUE,"Basis";#N/A,#N/A,TRUE,"Inclusions";#N/A,#N/A,TRUE,"Exclusions";#N/A,#N/A,TRUE,"Areas";#N/A,#N/A,TRUE,"Summary";#N/A,#N/A,TRUE,"Detail"}</definedName>
    <definedName name="__________________tem1" localSheetId="0" hidden="1">{#N/A,#N/A,TRUE,"Front";#N/A,#N/A,TRUE,"Simple Letter";#N/A,#N/A,TRUE,"Inside";#N/A,#N/A,TRUE,"Contents";#N/A,#N/A,TRUE,"Basis";#N/A,#N/A,TRUE,"Inclusions";#N/A,#N/A,TRUE,"Exclusions";#N/A,#N/A,TRUE,"Areas";#N/A,#N/A,TRUE,"Summary";#N/A,#N/A,TRUE,"Detail"}</definedName>
    <definedName name="__________________tem1" hidden="1">{#N/A,#N/A,TRUE,"Front";#N/A,#N/A,TRUE,"Simple Letter";#N/A,#N/A,TRUE,"Inside";#N/A,#N/A,TRUE,"Contents";#N/A,#N/A,TRUE,"Basis";#N/A,#N/A,TRUE,"Inclusions";#N/A,#N/A,TRUE,"Exclusions";#N/A,#N/A,TRUE,"Areas";#N/A,#N/A,TRUE,"Summary";#N/A,#N/A,TRUE,"Detail"}</definedName>
    <definedName name="__________________tm3" localSheetId="1" hidden="1">{#N/A,#N/A,TRUE,"Front";#N/A,#N/A,TRUE,"Simple Letter";#N/A,#N/A,TRUE,"Inside";#N/A,#N/A,TRUE,"Contents";#N/A,#N/A,TRUE,"Basis";#N/A,#N/A,TRUE,"Inclusions";#N/A,#N/A,TRUE,"Exclusions";#N/A,#N/A,TRUE,"Areas";#N/A,#N/A,TRUE,"Summary";#N/A,#N/A,TRUE,"Detail"}</definedName>
    <definedName name="__________________tm3" localSheetId="0" hidden="1">{#N/A,#N/A,TRUE,"Front";#N/A,#N/A,TRUE,"Simple Letter";#N/A,#N/A,TRUE,"Inside";#N/A,#N/A,TRUE,"Contents";#N/A,#N/A,TRUE,"Basis";#N/A,#N/A,TRUE,"Inclusions";#N/A,#N/A,TRUE,"Exclusions";#N/A,#N/A,TRUE,"Areas";#N/A,#N/A,TRUE,"Summary";#N/A,#N/A,TRUE,"Detail"}</definedName>
    <definedName name="__________________tm3" hidden="1">{#N/A,#N/A,TRUE,"Front";#N/A,#N/A,TRUE,"Simple Letter";#N/A,#N/A,TRUE,"Inside";#N/A,#N/A,TRUE,"Contents";#N/A,#N/A,TRUE,"Basis";#N/A,#N/A,TRUE,"Inclusions";#N/A,#N/A,TRUE,"Exclusions";#N/A,#N/A,TRUE,"Areas";#N/A,#N/A,TRUE,"Summary";#N/A,#N/A,TRUE,"Detail"}</definedName>
    <definedName name="_________________cat12" localSheetId="1" hidden="1">{#N/A,#N/A,TRUE,"Front";#N/A,#N/A,TRUE,"Simple Letter";#N/A,#N/A,TRUE,"Inside";#N/A,#N/A,TRUE,"Contents";#N/A,#N/A,TRUE,"Basis";#N/A,#N/A,TRUE,"Inclusions";#N/A,#N/A,TRUE,"Exclusions";#N/A,#N/A,TRUE,"Areas";#N/A,#N/A,TRUE,"Summary";#N/A,#N/A,TRUE,"Detail"}</definedName>
    <definedName name="_________________cat12" localSheetId="0" hidden="1">{#N/A,#N/A,TRUE,"Front";#N/A,#N/A,TRUE,"Simple Letter";#N/A,#N/A,TRUE,"Inside";#N/A,#N/A,TRUE,"Contents";#N/A,#N/A,TRUE,"Basis";#N/A,#N/A,TRUE,"Inclusions";#N/A,#N/A,TRUE,"Exclusions";#N/A,#N/A,TRUE,"Areas";#N/A,#N/A,TRUE,"Summary";#N/A,#N/A,TRUE,"Detail"}</definedName>
    <definedName name="_________________cat12" hidden="1">{#N/A,#N/A,TRUE,"Front";#N/A,#N/A,TRUE,"Simple Letter";#N/A,#N/A,TRUE,"Inside";#N/A,#N/A,TRUE,"Contents";#N/A,#N/A,TRUE,"Basis";#N/A,#N/A,TRUE,"Inclusions";#N/A,#N/A,TRUE,"Exclusions";#N/A,#N/A,TRUE,"Areas";#N/A,#N/A,TRUE,"Summary";#N/A,#N/A,TRUE,"Detail"}</definedName>
    <definedName name="_________________hp10" localSheetId="1" hidden="1">{#N/A,#N/A,TRUE,"Front";#N/A,#N/A,TRUE,"Simple Letter";#N/A,#N/A,TRUE,"Inside";#N/A,#N/A,TRUE,"Contents";#N/A,#N/A,TRUE,"Basis";#N/A,#N/A,TRUE,"Inclusions";#N/A,#N/A,TRUE,"Exclusions";#N/A,#N/A,TRUE,"Areas";#N/A,#N/A,TRUE,"Summary";#N/A,#N/A,TRUE,"Detail"}</definedName>
    <definedName name="_________________hp10" localSheetId="0" hidden="1">{#N/A,#N/A,TRUE,"Front";#N/A,#N/A,TRUE,"Simple Letter";#N/A,#N/A,TRUE,"Inside";#N/A,#N/A,TRUE,"Contents";#N/A,#N/A,TRUE,"Basis";#N/A,#N/A,TRUE,"Inclusions";#N/A,#N/A,TRUE,"Exclusions";#N/A,#N/A,TRUE,"Areas";#N/A,#N/A,TRUE,"Summary";#N/A,#N/A,TRUE,"Detail"}</definedName>
    <definedName name="_________________hp10" hidden="1">{#N/A,#N/A,TRUE,"Front";#N/A,#N/A,TRUE,"Simple Letter";#N/A,#N/A,TRUE,"Inside";#N/A,#N/A,TRUE,"Contents";#N/A,#N/A,TRUE,"Basis";#N/A,#N/A,TRUE,"Inclusions";#N/A,#N/A,TRUE,"Exclusions";#N/A,#N/A,TRUE,"Areas";#N/A,#N/A,TRUE,"Summary";#N/A,#N/A,TRUE,"Detail"}</definedName>
    <definedName name="_________________PA1" localSheetId="1" hidden="1">{#N/A,#N/A,TRUE,"Front";#N/A,#N/A,TRUE,"Simple Letter";#N/A,#N/A,TRUE,"Inside";#N/A,#N/A,TRUE,"Contents";#N/A,#N/A,TRUE,"Basis";#N/A,#N/A,TRUE,"Inclusions";#N/A,#N/A,TRUE,"Exclusions";#N/A,#N/A,TRUE,"Areas";#N/A,#N/A,TRUE,"Summary";#N/A,#N/A,TRUE,"Detail"}</definedName>
    <definedName name="_________________PA1" localSheetId="0" hidden="1">{#N/A,#N/A,TRUE,"Front";#N/A,#N/A,TRUE,"Simple Letter";#N/A,#N/A,TRUE,"Inside";#N/A,#N/A,TRUE,"Contents";#N/A,#N/A,TRUE,"Basis";#N/A,#N/A,TRUE,"Inclusions";#N/A,#N/A,TRUE,"Exclusions";#N/A,#N/A,TRUE,"Areas";#N/A,#N/A,TRUE,"Summary";#N/A,#N/A,TRUE,"Detail"}</definedName>
    <definedName name="_________________PA1" hidden="1">{#N/A,#N/A,TRUE,"Front";#N/A,#N/A,TRUE,"Simple Letter";#N/A,#N/A,TRUE,"Inside";#N/A,#N/A,TRUE,"Contents";#N/A,#N/A,TRUE,"Basis";#N/A,#N/A,TRUE,"Inclusions";#N/A,#N/A,TRUE,"Exclusions";#N/A,#N/A,TRUE,"Areas";#N/A,#N/A,TRUE,"Summary";#N/A,#N/A,TRUE,"Detail"}</definedName>
    <definedName name="_________________RAB002" localSheetId="1" hidden="1">{#N/A,#N/A,TRUE,"Front";#N/A,#N/A,TRUE,"Simple Letter";#N/A,#N/A,TRUE,"Inside";#N/A,#N/A,TRUE,"Contents";#N/A,#N/A,TRUE,"Basis";#N/A,#N/A,TRUE,"Inclusions";#N/A,#N/A,TRUE,"Exclusions";#N/A,#N/A,TRUE,"Areas";#N/A,#N/A,TRUE,"Summary";#N/A,#N/A,TRUE,"Detail"}</definedName>
    <definedName name="_________________RAB002" localSheetId="0" hidden="1">{#N/A,#N/A,TRUE,"Front";#N/A,#N/A,TRUE,"Simple Letter";#N/A,#N/A,TRUE,"Inside";#N/A,#N/A,TRUE,"Contents";#N/A,#N/A,TRUE,"Basis";#N/A,#N/A,TRUE,"Inclusions";#N/A,#N/A,TRUE,"Exclusions";#N/A,#N/A,TRUE,"Areas";#N/A,#N/A,TRUE,"Summary";#N/A,#N/A,TRUE,"Detail"}</definedName>
    <definedName name="_________________RAB002" hidden="1">{#N/A,#N/A,TRUE,"Front";#N/A,#N/A,TRUE,"Simple Letter";#N/A,#N/A,TRUE,"Inside";#N/A,#N/A,TRUE,"Contents";#N/A,#N/A,TRUE,"Basis";#N/A,#N/A,TRUE,"Inclusions";#N/A,#N/A,TRUE,"Exclusions";#N/A,#N/A,TRUE,"Areas";#N/A,#N/A,TRUE,"Summary";#N/A,#N/A,TRUE,"Detail"}</definedName>
    <definedName name="_________________tem1" localSheetId="1" hidden="1">{#N/A,#N/A,TRUE,"Front";#N/A,#N/A,TRUE,"Simple Letter";#N/A,#N/A,TRUE,"Inside";#N/A,#N/A,TRUE,"Contents";#N/A,#N/A,TRUE,"Basis";#N/A,#N/A,TRUE,"Inclusions";#N/A,#N/A,TRUE,"Exclusions";#N/A,#N/A,TRUE,"Areas";#N/A,#N/A,TRUE,"Summary";#N/A,#N/A,TRUE,"Detail"}</definedName>
    <definedName name="_________________tem1" localSheetId="0" hidden="1">{#N/A,#N/A,TRUE,"Front";#N/A,#N/A,TRUE,"Simple Letter";#N/A,#N/A,TRUE,"Inside";#N/A,#N/A,TRUE,"Contents";#N/A,#N/A,TRUE,"Basis";#N/A,#N/A,TRUE,"Inclusions";#N/A,#N/A,TRUE,"Exclusions";#N/A,#N/A,TRUE,"Areas";#N/A,#N/A,TRUE,"Summary";#N/A,#N/A,TRUE,"Detail"}</definedName>
    <definedName name="_________________tem1" hidden="1">{#N/A,#N/A,TRUE,"Front";#N/A,#N/A,TRUE,"Simple Letter";#N/A,#N/A,TRUE,"Inside";#N/A,#N/A,TRUE,"Contents";#N/A,#N/A,TRUE,"Basis";#N/A,#N/A,TRUE,"Inclusions";#N/A,#N/A,TRUE,"Exclusions";#N/A,#N/A,TRUE,"Areas";#N/A,#N/A,TRUE,"Summary";#N/A,#N/A,TRUE,"Detail"}</definedName>
    <definedName name="_________________tm3" localSheetId="1" hidden="1">{#N/A,#N/A,TRUE,"Front";#N/A,#N/A,TRUE,"Simple Letter";#N/A,#N/A,TRUE,"Inside";#N/A,#N/A,TRUE,"Contents";#N/A,#N/A,TRUE,"Basis";#N/A,#N/A,TRUE,"Inclusions";#N/A,#N/A,TRUE,"Exclusions";#N/A,#N/A,TRUE,"Areas";#N/A,#N/A,TRUE,"Summary";#N/A,#N/A,TRUE,"Detail"}</definedName>
    <definedName name="_________________tm3" localSheetId="0" hidden="1">{#N/A,#N/A,TRUE,"Front";#N/A,#N/A,TRUE,"Simple Letter";#N/A,#N/A,TRUE,"Inside";#N/A,#N/A,TRUE,"Contents";#N/A,#N/A,TRUE,"Basis";#N/A,#N/A,TRUE,"Inclusions";#N/A,#N/A,TRUE,"Exclusions";#N/A,#N/A,TRUE,"Areas";#N/A,#N/A,TRUE,"Summary";#N/A,#N/A,TRUE,"Detail"}</definedName>
    <definedName name="_________________tm3" hidden="1">{#N/A,#N/A,TRUE,"Front";#N/A,#N/A,TRUE,"Simple Letter";#N/A,#N/A,TRUE,"Inside";#N/A,#N/A,TRUE,"Contents";#N/A,#N/A,TRUE,"Basis";#N/A,#N/A,TRUE,"Inclusions";#N/A,#N/A,TRUE,"Exclusions";#N/A,#N/A,TRUE,"Areas";#N/A,#N/A,TRUE,"Summary";#N/A,#N/A,TRUE,"Detail"}</definedName>
    <definedName name="________________cat12" localSheetId="1" hidden="1">{#N/A,#N/A,TRUE,"Front";#N/A,#N/A,TRUE,"Simple Letter";#N/A,#N/A,TRUE,"Inside";#N/A,#N/A,TRUE,"Contents";#N/A,#N/A,TRUE,"Basis";#N/A,#N/A,TRUE,"Inclusions";#N/A,#N/A,TRUE,"Exclusions";#N/A,#N/A,TRUE,"Areas";#N/A,#N/A,TRUE,"Summary";#N/A,#N/A,TRUE,"Detail"}</definedName>
    <definedName name="________________cat12" localSheetId="0" hidden="1">{#N/A,#N/A,TRUE,"Front";#N/A,#N/A,TRUE,"Simple Letter";#N/A,#N/A,TRUE,"Inside";#N/A,#N/A,TRUE,"Contents";#N/A,#N/A,TRUE,"Basis";#N/A,#N/A,TRUE,"Inclusions";#N/A,#N/A,TRUE,"Exclusions";#N/A,#N/A,TRUE,"Areas";#N/A,#N/A,TRUE,"Summary";#N/A,#N/A,TRUE,"Detail"}</definedName>
    <definedName name="________________cat12" hidden="1">{#N/A,#N/A,TRUE,"Front";#N/A,#N/A,TRUE,"Simple Letter";#N/A,#N/A,TRUE,"Inside";#N/A,#N/A,TRUE,"Contents";#N/A,#N/A,TRUE,"Basis";#N/A,#N/A,TRUE,"Inclusions";#N/A,#N/A,TRUE,"Exclusions";#N/A,#N/A,TRUE,"Areas";#N/A,#N/A,TRUE,"Summary";#N/A,#N/A,TRUE,"Detail"}</definedName>
    <definedName name="________________hp10" localSheetId="1" hidden="1">{#N/A,#N/A,TRUE,"Front";#N/A,#N/A,TRUE,"Simple Letter";#N/A,#N/A,TRUE,"Inside";#N/A,#N/A,TRUE,"Contents";#N/A,#N/A,TRUE,"Basis";#N/A,#N/A,TRUE,"Inclusions";#N/A,#N/A,TRUE,"Exclusions";#N/A,#N/A,TRUE,"Areas";#N/A,#N/A,TRUE,"Summary";#N/A,#N/A,TRUE,"Detail"}</definedName>
    <definedName name="________________hp10" localSheetId="0" hidden="1">{#N/A,#N/A,TRUE,"Front";#N/A,#N/A,TRUE,"Simple Letter";#N/A,#N/A,TRUE,"Inside";#N/A,#N/A,TRUE,"Contents";#N/A,#N/A,TRUE,"Basis";#N/A,#N/A,TRUE,"Inclusions";#N/A,#N/A,TRUE,"Exclusions";#N/A,#N/A,TRUE,"Areas";#N/A,#N/A,TRUE,"Summary";#N/A,#N/A,TRUE,"Detail"}</definedName>
    <definedName name="________________hp10" hidden="1">{#N/A,#N/A,TRUE,"Front";#N/A,#N/A,TRUE,"Simple Letter";#N/A,#N/A,TRUE,"Inside";#N/A,#N/A,TRUE,"Contents";#N/A,#N/A,TRUE,"Basis";#N/A,#N/A,TRUE,"Inclusions";#N/A,#N/A,TRUE,"Exclusions";#N/A,#N/A,TRUE,"Areas";#N/A,#N/A,TRUE,"Summary";#N/A,#N/A,TRUE,"Detail"}</definedName>
    <definedName name="________________RAB002" localSheetId="1" hidden="1">{#N/A,#N/A,TRUE,"Front";#N/A,#N/A,TRUE,"Simple Letter";#N/A,#N/A,TRUE,"Inside";#N/A,#N/A,TRUE,"Contents";#N/A,#N/A,TRUE,"Basis";#N/A,#N/A,TRUE,"Inclusions";#N/A,#N/A,TRUE,"Exclusions";#N/A,#N/A,TRUE,"Areas";#N/A,#N/A,TRUE,"Summary";#N/A,#N/A,TRUE,"Detail"}</definedName>
    <definedName name="________________RAB002" localSheetId="0" hidden="1">{#N/A,#N/A,TRUE,"Front";#N/A,#N/A,TRUE,"Simple Letter";#N/A,#N/A,TRUE,"Inside";#N/A,#N/A,TRUE,"Contents";#N/A,#N/A,TRUE,"Basis";#N/A,#N/A,TRUE,"Inclusions";#N/A,#N/A,TRUE,"Exclusions";#N/A,#N/A,TRUE,"Areas";#N/A,#N/A,TRUE,"Summary";#N/A,#N/A,TRUE,"Detail"}</definedName>
    <definedName name="________________RAB002" hidden="1">{#N/A,#N/A,TRUE,"Front";#N/A,#N/A,TRUE,"Simple Letter";#N/A,#N/A,TRUE,"Inside";#N/A,#N/A,TRUE,"Contents";#N/A,#N/A,TRUE,"Basis";#N/A,#N/A,TRUE,"Inclusions";#N/A,#N/A,TRUE,"Exclusions";#N/A,#N/A,TRUE,"Areas";#N/A,#N/A,TRUE,"Summary";#N/A,#N/A,TRUE,"Detail"}</definedName>
    <definedName name="________________tem1" localSheetId="1" hidden="1">{#N/A,#N/A,TRUE,"Front";#N/A,#N/A,TRUE,"Simple Letter";#N/A,#N/A,TRUE,"Inside";#N/A,#N/A,TRUE,"Contents";#N/A,#N/A,TRUE,"Basis";#N/A,#N/A,TRUE,"Inclusions";#N/A,#N/A,TRUE,"Exclusions";#N/A,#N/A,TRUE,"Areas";#N/A,#N/A,TRUE,"Summary";#N/A,#N/A,TRUE,"Detail"}</definedName>
    <definedName name="________________tem1" localSheetId="0" hidden="1">{#N/A,#N/A,TRUE,"Front";#N/A,#N/A,TRUE,"Simple Letter";#N/A,#N/A,TRUE,"Inside";#N/A,#N/A,TRUE,"Contents";#N/A,#N/A,TRUE,"Basis";#N/A,#N/A,TRUE,"Inclusions";#N/A,#N/A,TRUE,"Exclusions";#N/A,#N/A,TRUE,"Areas";#N/A,#N/A,TRUE,"Summary";#N/A,#N/A,TRUE,"Detail"}</definedName>
    <definedName name="________________tem1" hidden="1">{#N/A,#N/A,TRUE,"Front";#N/A,#N/A,TRUE,"Simple Letter";#N/A,#N/A,TRUE,"Inside";#N/A,#N/A,TRUE,"Contents";#N/A,#N/A,TRUE,"Basis";#N/A,#N/A,TRUE,"Inclusions";#N/A,#N/A,TRUE,"Exclusions";#N/A,#N/A,TRUE,"Areas";#N/A,#N/A,TRUE,"Summary";#N/A,#N/A,TRUE,"Detail"}</definedName>
    <definedName name="________________tm3" localSheetId="1" hidden="1">{#N/A,#N/A,TRUE,"Front";#N/A,#N/A,TRUE,"Simple Letter";#N/A,#N/A,TRUE,"Inside";#N/A,#N/A,TRUE,"Contents";#N/A,#N/A,TRUE,"Basis";#N/A,#N/A,TRUE,"Inclusions";#N/A,#N/A,TRUE,"Exclusions";#N/A,#N/A,TRUE,"Areas";#N/A,#N/A,TRUE,"Summary";#N/A,#N/A,TRUE,"Detail"}</definedName>
    <definedName name="________________tm3" localSheetId="0" hidden="1">{#N/A,#N/A,TRUE,"Front";#N/A,#N/A,TRUE,"Simple Letter";#N/A,#N/A,TRUE,"Inside";#N/A,#N/A,TRUE,"Contents";#N/A,#N/A,TRUE,"Basis";#N/A,#N/A,TRUE,"Inclusions";#N/A,#N/A,TRUE,"Exclusions";#N/A,#N/A,TRUE,"Areas";#N/A,#N/A,TRUE,"Summary";#N/A,#N/A,TRUE,"Detail"}</definedName>
    <definedName name="________________tm3" hidden="1">{#N/A,#N/A,TRUE,"Front";#N/A,#N/A,TRUE,"Simple Letter";#N/A,#N/A,TRUE,"Inside";#N/A,#N/A,TRUE,"Contents";#N/A,#N/A,TRUE,"Basis";#N/A,#N/A,TRUE,"Inclusions";#N/A,#N/A,TRUE,"Exclusions";#N/A,#N/A,TRUE,"Areas";#N/A,#N/A,TRUE,"Summary";#N/A,#N/A,TRUE,"Detail"}</definedName>
    <definedName name="_______________hp10" localSheetId="1" hidden="1">{#N/A,#N/A,TRUE,"Front";#N/A,#N/A,TRUE,"Simple Letter";#N/A,#N/A,TRUE,"Inside";#N/A,#N/A,TRUE,"Contents";#N/A,#N/A,TRUE,"Basis";#N/A,#N/A,TRUE,"Inclusions";#N/A,#N/A,TRUE,"Exclusions";#N/A,#N/A,TRUE,"Areas";#N/A,#N/A,TRUE,"Summary";#N/A,#N/A,TRUE,"Detail"}</definedName>
    <definedName name="_______________hp10" localSheetId="0" hidden="1">{#N/A,#N/A,TRUE,"Front";#N/A,#N/A,TRUE,"Simple Letter";#N/A,#N/A,TRUE,"Inside";#N/A,#N/A,TRUE,"Contents";#N/A,#N/A,TRUE,"Basis";#N/A,#N/A,TRUE,"Inclusions";#N/A,#N/A,TRUE,"Exclusions";#N/A,#N/A,TRUE,"Areas";#N/A,#N/A,TRUE,"Summary";#N/A,#N/A,TRUE,"Detail"}</definedName>
    <definedName name="_______________hp10" hidden="1">{#N/A,#N/A,TRUE,"Front";#N/A,#N/A,TRUE,"Simple Letter";#N/A,#N/A,TRUE,"Inside";#N/A,#N/A,TRUE,"Contents";#N/A,#N/A,TRUE,"Basis";#N/A,#N/A,TRUE,"Inclusions";#N/A,#N/A,TRUE,"Exclusions";#N/A,#N/A,TRUE,"Areas";#N/A,#N/A,TRUE,"Summary";#N/A,#N/A,TRUE,"Detail"}</definedName>
    <definedName name="_______________PA1" localSheetId="1" hidden="1">{#N/A,#N/A,TRUE,"Front";#N/A,#N/A,TRUE,"Simple Letter";#N/A,#N/A,TRUE,"Inside";#N/A,#N/A,TRUE,"Contents";#N/A,#N/A,TRUE,"Basis";#N/A,#N/A,TRUE,"Inclusions";#N/A,#N/A,TRUE,"Exclusions";#N/A,#N/A,TRUE,"Areas";#N/A,#N/A,TRUE,"Summary";#N/A,#N/A,TRUE,"Detail"}</definedName>
    <definedName name="_______________PA1" localSheetId="0" hidden="1">{#N/A,#N/A,TRUE,"Front";#N/A,#N/A,TRUE,"Simple Letter";#N/A,#N/A,TRUE,"Inside";#N/A,#N/A,TRUE,"Contents";#N/A,#N/A,TRUE,"Basis";#N/A,#N/A,TRUE,"Inclusions";#N/A,#N/A,TRUE,"Exclusions";#N/A,#N/A,TRUE,"Areas";#N/A,#N/A,TRUE,"Summary";#N/A,#N/A,TRUE,"Detail"}</definedName>
    <definedName name="_______________PA1" hidden="1">{#N/A,#N/A,TRUE,"Front";#N/A,#N/A,TRUE,"Simple Letter";#N/A,#N/A,TRUE,"Inside";#N/A,#N/A,TRUE,"Contents";#N/A,#N/A,TRUE,"Basis";#N/A,#N/A,TRUE,"Inclusions";#N/A,#N/A,TRUE,"Exclusions";#N/A,#N/A,TRUE,"Areas";#N/A,#N/A,TRUE,"Summary";#N/A,#N/A,TRUE,"Detail"}</definedName>
    <definedName name="_______________RAB002" localSheetId="1" hidden="1">{#N/A,#N/A,TRUE,"Front";#N/A,#N/A,TRUE,"Simple Letter";#N/A,#N/A,TRUE,"Inside";#N/A,#N/A,TRUE,"Contents";#N/A,#N/A,TRUE,"Basis";#N/A,#N/A,TRUE,"Inclusions";#N/A,#N/A,TRUE,"Exclusions";#N/A,#N/A,TRUE,"Areas";#N/A,#N/A,TRUE,"Summary";#N/A,#N/A,TRUE,"Detail"}</definedName>
    <definedName name="_______________RAB002" localSheetId="0" hidden="1">{#N/A,#N/A,TRUE,"Front";#N/A,#N/A,TRUE,"Simple Letter";#N/A,#N/A,TRUE,"Inside";#N/A,#N/A,TRUE,"Contents";#N/A,#N/A,TRUE,"Basis";#N/A,#N/A,TRUE,"Inclusions";#N/A,#N/A,TRUE,"Exclusions";#N/A,#N/A,TRUE,"Areas";#N/A,#N/A,TRUE,"Summary";#N/A,#N/A,TRUE,"Detail"}</definedName>
    <definedName name="_______________RAB002" hidden="1">{#N/A,#N/A,TRUE,"Front";#N/A,#N/A,TRUE,"Simple Letter";#N/A,#N/A,TRUE,"Inside";#N/A,#N/A,TRUE,"Contents";#N/A,#N/A,TRUE,"Basis";#N/A,#N/A,TRUE,"Inclusions";#N/A,#N/A,TRUE,"Exclusions";#N/A,#N/A,TRUE,"Areas";#N/A,#N/A,TRUE,"Summary";#N/A,#N/A,TRUE,"Detail"}</definedName>
    <definedName name="_______________tem1" localSheetId="1" hidden="1">{#N/A,#N/A,TRUE,"Front";#N/A,#N/A,TRUE,"Simple Letter";#N/A,#N/A,TRUE,"Inside";#N/A,#N/A,TRUE,"Contents";#N/A,#N/A,TRUE,"Basis";#N/A,#N/A,TRUE,"Inclusions";#N/A,#N/A,TRUE,"Exclusions";#N/A,#N/A,TRUE,"Areas";#N/A,#N/A,TRUE,"Summary";#N/A,#N/A,TRUE,"Detail"}</definedName>
    <definedName name="_______________tem1" localSheetId="0" hidden="1">{#N/A,#N/A,TRUE,"Front";#N/A,#N/A,TRUE,"Simple Letter";#N/A,#N/A,TRUE,"Inside";#N/A,#N/A,TRUE,"Contents";#N/A,#N/A,TRUE,"Basis";#N/A,#N/A,TRUE,"Inclusions";#N/A,#N/A,TRUE,"Exclusions";#N/A,#N/A,TRUE,"Areas";#N/A,#N/A,TRUE,"Summary";#N/A,#N/A,TRUE,"Detail"}</definedName>
    <definedName name="_______________tem1" hidden="1">{#N/A,#N/A,TRUE,"Front";#N/A,#N/A,TRUE,"Simple Letter";#N/A,#N/A,TRUE,"Inside";#N/A,#N/A,TRUE,"Contents";#N/A,#N/A,TRUE,"Basis";#N/A,#N/A,TRUE,"Inclusions";#N/A,#N/A,TRUE,"Exclusions";#N/A,#N/A,TRUE,"Areas";#N/A,#N/A,TRUE,"Summary";#N/A,#N/A,TRUE,"Detail"}</definedName>
    <definedName name="_______________tm3" localSheetId="1" hidden="1">{#N/A,#N/A,TRUE,"Front";#N/A,#N/A,TRUE,"Simple Letter";#N/A,#N/A,TRUE,"Inside";#N/A,#N/A,TRUE,"Contents";#N/A,#N/A,TRUE,"Basis";#N/A,#N/A,TRUE,"Inclusions";#N/A,#N/A,TRUE,"Exclusions";#N/A,#N/A,TRUE,"Areas";#N/A,#N/A,TRUE,"Summary";#N/A,#N/A,TRUE,"Detail"}</definedName>
    <definedName name="_______________tm3" localSheetId="0" hidden="1">{#N/A,#N/A,TRUE,"Front";#N/A,#N/A,TRUE,"Simple Letter";#N/A,#N/A,TRUE,"Inside";#N/A,#N/A,TRUE,"Contents";#N/A,#N/A,TRUE,"Basis";#N/A,#N/A,TRUE,"Inclusions";#N/A,#N/A,TRUE,"Exclusions";#N/A,#N/A,TRUE,"Areas";#N/A,#N/A,TRUE,"Summary";#N/A,#N/A,TRUE,"Detail"}</definedName>
    <definedName name="_______________tm3" hidden="1">{#N/A,#N/A,TRUE,"Front";#N/A,#N/A,TRUE,"Simple Letter";#N/A,#N/A,TRUE,"Inside";#N/A,#N/A,TRUE,"Contents";#N/A,#N/A,TRUE,"Basis";#N/A,#N/A,TRUE,"Inclusions";#N/A,#N/A,TRUE,"Exclusions";#N/A,#N/A,TRUE,"Areas";#N/A,#N/A,TRUE,"Summary";#N/A,#N/A,TRUE,"Detail"}</definedName>
    <definedName name="______________cat12" localSheetId="1" hidden="1">{#N/A,#N/A,TRUE,"Front";#N/A,#N/A,TRUE,"Simple Letter";#N/A,#N/A,TRUE,"Inside";#N/A,#N/A,TRUE,"Contents";#N/A,#N/A,TRUE,"Basis";#N/A,#N/A,TRUE,"Inclusions";#N/A,#N/A,TRUE,"Exclusions";#N/A,#N/A,TRUE,"Areas";#N/A,#N/A,TRUE,"Summary";#N/A,#N/A,TRUE,"Detail"}</definedName>
    <definedName name="______________cat12" localSheetId="0" hidden="1">{#N/A,#N/A,TRUE,"Front";#N/A,#N/A,TRUE,"Simple Letter";#N/A,#N/A,TRUE,"Inside";#N/A,#N/A,TRUE,"Contents";#N/A,#N/A,TRUE,"Basis";#N/A,#N/A,TRUE,"Inclusions";#N/A,#N/A,TRUE,"Exclusions";#N/A,#N/A,TRUE,"Areas";#N/A,#N/A,TRUE,"Summary";#N/A,#N/A,TRUE,"Detail"}</definedName>
    <definedName name="______________cat12" hidden="1">{#N/A,#N/A,TRUE,"Front";#N/A,#N/A,TRUE,"Simple Letter";#N/A,#N/A,TRUE,"Inside";#N/A,#N/A,TRUE,"Contents";#N/A,#N/A,TRUE,"Basis";#N/A,#N/A,TRUE,"Inclusions";#N/A,#N/A,TRUE,"Exclusions";#N/A,#N/A,TRUE,"Areas";#N/A,#N/A,TRUE,"Summary";#N/A,#N/A,TRUE,"Detail"}</definedName>
    <definedName name="______________hp10" localSheetId="1" hidden="1">{#N/A,#N/A,TRUE,"Front";#N/A,#N/A,TRUE,"Simple Letter";#N/A,#N/A,TRUE,"Inside";#N/A,#N/A,TRUE,"Contents";#N/A,#N/A,TRUE,"Basis";#N/A,#N/A,TRUE,"Inclusions";#N/A,#N/A,TRUE,"Exclusions";#N/A,#N/A,TRUE,"Areas";#N/A,#N/A,TRUE,"Summary";#N/A,#N/A,TRUE,"Detail"}</definedName>
    <definedName name="______________hp10" localSheetId="0" hidden="1">{#N/A,#N/A,TRUE,"Front";#N/A,#N/A,TRUE,"Simple Letter";#N/A,#N/A,TRUE,"Inside";#N/A,#N/A,TRUE,"Contents";#N/A,#N/A,TRUE,"Basis";#N/A,#N/A,TRUE,"Inclusions";#N/A,#N/A,TRUE,"Exclusions";#N/A,#N/A,TRUE,"Areas";#N/A,#N/A,TRUE,"Summary";#N/A,#N/A,TRUE,"Detail"}</definedName>
    <definedName name="______________hp10" hidden="1">{#N/A,#N/A,TRUE,"Front";#N/A,#N/A,TRUE,"Simple Letter";#N/A,#N/A,TRUE,"Inside";#N/A,#N/A,TRUE,"Contents";#N/A,#N/A,TRUE,"Basis";#N/A,#N/A,TRUE,"Inclusions";#N/A,#N/A,TRUE,"Exclusions";#N/A,#N/A,TRUE,"Areas";#N/A,#N/A,TRUE,"Summary";#N/A,#N/A,TRUE,"Detail"}</definedName>
    <definedName name="______________PA1" localSheetId="1" hidden="1">{#N/A,#N/A,TRUE,"Front";#N/A,#N/A,TRUE,"Simple Letter";#N/A,#N/A,TRUE,"Inside";#N/A,#N/A,TRUE,"Contents";#N/A,#N/A,TRUE,"Basis";#N/A,#N/A,TRUE,"Inclusions";#N/A,#N/A,TRUE,"Exclusions";#N/A,#N/A,TRUE,"Areas";#N/A,#N/A,TRUE,"Summary";#N/A,#N/A,TRUE,"Detail"}</definedName>
    <definedName name="______________PA1" localSheetId="0" hidden="1">{#N/A,#N/A,TRUE,"Front";#N/A,#N/A,TRUE,"Simple Letter";#N/A,#N/A,TRUE,"Inside";#N/A,#N/A,TRUE,"Contents";#N/A,#N/A,TRUE,"Basis";#N/A,#N/A,TRUE,"Inclusions";#N/A,#N/A,TRUE,"Exclusions";#N/A,#N/A,TRUE,"Areas";#N/A,#N/A,TRUE,"Summary";#N/A,#N/A,TRUE,"Detail"}</definedName>
    <definedName name="______________PA1" hidden="1">{#N/A,#N/A,TRUE,"Front";#N/A,#N/A,TRUE,"Simple Letter";#N/A,#N/A,TRUE,"Inside";#N/A,#N/A,TRUE,"Contents";#N/A,#N/A,TRUE,"Basis";#N/A,#N/A,TRUE,"Inclusions";#N/A,#N/A,TRUE,"Exclusions";#N/A,#N/A,TRUE,"Areas";#N/A,#N/A,TRUE,"Summary";#N/A,#N/A,TRUE,"Detail"}</definedName>
    <definedName name="______________RAB002" localSheetId="1" hidden="1">{#N/A,#N/A,TRUE,"Front";#N/A,#N/A,TRUE,"Simple Letter";#N/A,#N/A,TRUE,"Inside";#N/A,#N/A,TRUE,"Contents";#N/A,#N/A,TRUE,"Basis";#N/A,#N/A,TRUE,"Inclusions";#N/A,#N/A,TRUE,"Exclusions";#N/A,#N/A,TRUE,"Areas";#N/A,#N/A,TRUE,"Summary";#N/A,#N/A,TRUE,"Detail"}</definedName>
    <definedName name="______________RAB002" localSheetId="0" hidden="1">{#N/A,#N/A,TRUE,"Front";#N/A,#N/A,TRUE,"Simple Letter";#N/A,#N/A,TRUE,"Inside";#N/A,#N/A,TRUE,"Contents";#N/A,#N/A,TRUE,"Basis";#N/A,#N/A,TRUE,"Inclusions";#N/A,#N/A,TRUE,"Exclusions";#N/A,#N/A,TRUE,"Areas";#N/A,#N/A,TRUE,"Summary";#N/A,#N/A,TRUE,"Detail"}</definedName>
    <definedName name="______________RAB002" hidden="1">{#N/A,#N/A,TRUE,"Front";#N/A,#N/A,TRUE,"Simple Letter";#N/A,#N/A,TRUE,"Inside";#N/A,#N/A,TRUE,"Contents";#N/A,#N/A,TRUE,"Basis";#N/A,#N/A,TRUE,"Inclusions";#N/A,#N/A,TRUE,"Exclusions";#N/A,#N/A,TRUE,"Areas";#N/A,#N/A,TRUE,"Summary";#N/A,#N/A,TRUE,"Detail"}</definedName>
    <definedName name="______________tem1" localSheetId="1" hidden="1">{#N/A,#N/A,TRUE,"Front";#N/A,#N/A,TRUE,"Simple Letter";#N/A,#N/A,TRUE,"Inside";#N/A,#N/A,TRUE,"Contents";#N/A,#N/A,TRUE,"Basis";#N/A,#N/A,TRUE,"Inclusions";#N/A,#N/A,TRUE,"Exclusions";#N/A,#N/A,TRUE,"Areas";#N/A,#N/A,TRUE,"Summary";#N/A,#N/A,TRUE,"Detail"}</definedName>
    <definedName name="______________tem1" localSheetId="0" hidden="1">{#N/A,#N/A,TRUE,"Front";#N/A,#N/A,TRUE,"Simple Letter";#N/A,#N/A,TRUE,"Inside";#N/A,#N/A,TRUE,"Contents";#N/A,#N/A,TRUE,"Basis";#N/A,#N/A,TRUE,"Inclusions";#N/A,#N/A,TRUE,"Exclusions";#N/A,#N/A,TRUE,"Areas";#N/A,#N/A,TRUE,"Summary";#N/A,#N/A,TRUE,"Detail"}</definedName>
    <definedName name="______________tem1" hidden="1">{#N/A,#N/A,TRUE,"Front";#N/A,#N/A,TRUE,"Simple Letter";#N/A,#N/A,TRUE,"Inside";#N/A,#N/A,TRUE,"Contents";#N/A,#N/A,TRUE,"Basis";#N/A,#N/A,TRUE,"Inclusions";#N/A,#N/A,TRUE,"Exclusions";#N/A,#N/A,TRUE,"Areas";#N/A,#N/A,TRUE,"Summary";#N/A,#N/A,TRUE,"Detail"}</definedName>
    <definedName name="______________tm3" localSheetId="1" hidden="1">{#N/A,#N/A,TRUE,"Front";#N/A,#N/A,TRUE,"Simple Letter";#N/A,#N/A,TRUE,"Inside";#N/A,#N/A,TRUE,"Contents";#N/A,#N/A,TRUE,"Basis";#N/A,#N/A,TRUE,"Inclusions";#N/A,#N/A,TRUE,"Exclusions";#N/A,#N/A,TRUE,"Areas";#N/A,#N/A,TRUE,"Summary";#N/A,#N/A,TRUE,"Detail"}</definedName>
    <definedName name="______________tm3" localSheetId="0" hidden="1">{#N/A,#N/A,TRUE,"Front";#N/A,#N/A,TRUE,"Simple Letter";#N/A,#N/A,TRUE,"Inside";#N/A,#N/A,TRUE,"Contents";#N/A,#N/A,TRUE,"Basis";#N/A,#N/A,TRUE,"Inclusions";#N/A,#N/A,TRUE,"Exclusions";#N/A,#N/A,TRUE,"Areas";#N/A,#N/A,TRUE,"Summary";#N/A,#N/A,TRUE,"Detail"}</definedName>
    <definedName name="______________tm3" hidden="1">{#N/A,#N/A,TRUE,"Front";#N/A,#N/A,TRUE,"Simple Letter";#N/A,#N/A,TRUE,"Inside";#N/A,#N/A,TRUE,"Contents";#N/A,#N/A,TRUE,"Basis";#N/A,#N/A,TRUE,"Inclusions";#N/A,#N/A,TRUE,"Exclusions";#N/A,#N/A,TRUE,"Areas";#N/A,#N/A,TRUE,"Summary";#N/A,#N/A,TRUE,"Detail"}</definedName>
    <definedName name="_____________cat12" localSheetId="1" hidden="1">{#N/A,#N/A,TRUE,"Front";#N/A,#N/A,TRUE,"Simple Letter";#N/A,#N/A,TRUE,"Inside";#N/A,#N/A,TRUE,"Contents";#N/A,#N/A,TRUE,"Basis";#N/A,#N/A,TRUE,"Inclusions";#N/A,#N/A,TRUE,"Exclusions";#N/A,#N/A,TRUE,"Areas";#N/A,#N/A,TRUE,"Summary";#N/A,#N/A,TRUE,"Detail"}</definedName>
    <definedName name="_____________cat12" localSheetId="0" hidden="1">{#N/A,#N/A,TRUE,"Front";#N/A,#N/A,TRUE,"Simple Letter";#N/A,#N/A,TRUE,"Inside";#N/A,#N/A,TRUE,"Contents";#N/A,#N/A,TRUE,"Basis";#N/A,#N/A,TRUE,"Inclusions";#N/A,#N/A,TRUE,"Exclusions";#N/A,#N/A,TRUE,"Areas";#N/A,#N/A,TRUE,"Summary";#N/A,#N/A,TRUE,"Detail"}</definedName>
    <definedName name="_____________cat12" hidden="1">{#N/A,#N/A,TRUE,"Front";#N/A,#N/A,TRUE,"Simple Letter";#N/A,#N/A,TRUE,"Inside";#N/A,#N/A,TRUE,"Contents";#N/A,#N/A,TRUE,"Basis";#N/A,#N/A,TRUE,"Inclusions";#N/A,#N/A,TRUE,"Exclusions";#N/A,#N/A,TRUE,"Areas";#N/A,#N/A,TRUE,"Summary";#N/A,#N/A,TRUE,"Detail"}</definedName>
    <definedName name="_____________hp10" localSheetId="1" hidden="1">{#N/A,#N/A,TRUE,"Front";#N/A,#N/A,TRUE,"Simple Letter";#N/A,#N/A,TRUE,"Inside";#N/A,#N/A,TRUE,"Contents";#N/A,#N/A,TRUE,"Basis";#N/A,#N/A,TRUE,"Inclusions";#N/A,#N/A,TRUE,"Exclusions";#N/A,#N/A,TRUE,"Areas";#N/A,#N/A,TRUE,"Summary";#N/A,#N/A,TRUE,"Detail"}</definedName>
    <definedName name="_____________hp10" localSheetId="0" hidden="1">{#N/A,#N/A,TRUE,"Front";#N/A,#N/A,TRUE,"Simple Letter";#N/A,#N/A,TRUE,"Inside";#N/A,#N/A,TRUE,"Contents";#N/A,#N/A,TRUE,"Basis";#N/A,#N/A,TRUE,"Inclusions";#N/A,#N/A,TRUE,"Exclusions";#N/A,#N/A,TRUE,"Areas";#N/A,#N/A,TRUE,"Summary";#N/A,#N/A,TRUE,"Detail"}</definedName>
    <definedName name="_____________hp10" hidden="1">{#N/A,#N/A,TRUE,"Front";#N/A,#N/A,TRUE,"Simple Letter";#N/A,#N/A,TRUE,"Inside";#N/A,#N/A,TRUE,"Contents";#N/A,#N/A,TRUE,"Basis";#N/A,#N/A,TRUE,"Inclusions";#N/A,#N/A,TRUE,"Exclusions";#N/A,#N/A,TRUE,"Areas";#N/A,#N/A,TRUE,"Summary";#N/A,#N/A,TRUE,"Detail"}</definedName>
    <definedName name="_____________PA1" localSheetId="1" hidden="1">{#N/A,#N/A,TRUE,"Front";#N/A,#N/A,TRUE,"Simple Letter";#N/A,#N/A,TRUE,"Inside";#N/A,#N/A,TRUE,"Contents";#N/A,#N/A,TRUE,"Basis";#N/A,#N/A,TRUE,"Inclusions";#N/A,#N/A,TRUE,"Exclusions";#N/A,#N/A,TRUE,"Areas";#N/A,#N/A,TRUE,"Summary";#N/A,#N/A,TRUE,"Detail"}</definedName>
    <definedName name="_____________PA1" localSheetId="0" hidden="1">{#N/A,#N/A,TRUE,"Front";#N/A,#N/A,TRUE,"Simple Letter";#N/A,#N/A,TRUE,"Inside";#N/A,#N/A,TRUE,"Contents";#N/A,#N/A,TRUE,"Basis";#N/A,#N/A,TRUE,"Inclusions";#N/A,#N/A,TRUE,"Exclusions";#N/A,#N/A,TRUE,"Areas";#N/A,#N/A,TRUE,"Summary";#N/A,#N/A,TRUE,"Detail"}</definedName>
    <definedName name="_____________PA1" hidden="1">{#N/A,#N/A,TRUE,"Front";#N/A,#N/A,TRUE,"Simple Letter";#N/A,#N/A,TRUE,"Inside";#N/A,#N/A,TRUE,"Contents";#N/A,#N/A,TRUE,"Basis";#N/A,#N/A,TRUE,"Inclusions";#N/A,#N/A,TRUE,"Exclusions";#N/A,#N/A,TRUE,"Areas";#N/A,#N/A,TRUE,"Summary";#N/A,#N/A,TRUE,"Detail"}</definedName>
    <definedName name="_____________RAB002" localSheetId="1" hidden="1">{#N/A,#N/A,TRUE,"Front";#N/A,#N/A,TRUE,"Simple Letter";#N/A,#N/A,TRUE,"Inside";#N/A,#N/A,TRUE,"Contents";#N/A,#N/A,TRUE,"Basis";#N/A,#N/A,TRUE,"Inclusions";#N/A,#N/A,TRUE,"Exclusions";#N/A,#N/A,TRUE,"Areas";#N/A,#N/A,TRUE,"Summary";#N/A,#N/A,TRUE,"Detail"}</definedName>
    <definedName name="_____________RAB002" localSheetId="0" hidden="1">{#N/A,#N/A,TRUE,"Front";#N/A,#N/A,TRUE,"Simple Letter";#N/A,#N/A,TRUE,"Inside";#N/A,#N/A,TRUE,"Contents";#N/A,#N/A,TRUE,"Basis";#N/A,#N/A,TRUE,"Inclusions";#N/A,#N/A,TRUE,"Exclusions";#N/A,#N/A,TRUE,"Areas";#N/A,#N/A,TRUE,"Summary";#N/A,#N/A,TRUE,"Detail"}</definedName>
    <definedName name="_____________RAB002" hidden="1">{#N/A,#N/A,TRUE,"Front";#N/A,#N/A,TRUE,"Simple Letter";#N/A,#N/A,TRUE,"Inside";#N/A,#N/A,TRUE,"Contents";#N/A,#N/A,TRUE,"Basis";#N/A,#N/A,TRUE,"Inclusions";#N/A,#N/A,TRUE,"Exclusions";#N/A,#N/A,TRUE,"Areas";#N/A,#N/A,TRUE,"Summary";#N/A,#N/A,TRUE,"Detail"}</definedName>
    <definedName name="_____________tem1" localSheetId="1" hidden="1">{#N/A,#N/A,TRUE,"Front";#N/A,#N/A,TRUE,"Simple Letter";#N/A,#N/A,TRUE,"Inside";#N/A,#N/A,TRUE,"Contents";#N/A,#N/A,TRUE,"Basis";#N/A,#N/A,TRUE,"Inclusions";#N/A,#N/A,TRUE,"Exclusions";#N/A,#N/A,TRUE,"Areas";#N/A,#N/A,TRUE,"Summary";#N/A,#N/A,TRUE,"Detail"}</definedName>
    <definedName name="_____________tem1" localSheetId="0" hidden="1">{#N/A,#N/A,TRUE,"Front";#N/A,#N/A,TRUE,"Simple Letter";#N/A,#N/A,TRUE,"Inside";#N/A,#N/A,TRUE,"Contents";#N/A,#N/A,TRUE,"Basis";#N/A,#N/A,TRUE,"Inclusions";#N/A,#N/A,TRUE,"Exclusions";#N/A,#N/A,TRUE,"Areas";#N/A,#N/A,TRUE,"Summary";#N/A,#N/A,TRUE,"Detail"}</definedName>
    <definedName name="_____________tem1" hidden="1">{#N/A,#N/A,TRUE,"Front";#N/A,#N/A,TRUE,"Simple Letter";#N/A,#N/A,TRUE,"Inside";#N/A,#N/A,TRUE,"Contents";#N/A,#N/A,TRUE,"Basis";#N/A,#N/A,TRUE,"Inclusions";#N/A,#N/A,TRUE,"Exclusions";#N/A,#N/A,TRUE,"Areas";#N/A,#N/A,TRUE,"Summary";#N/A,#N/A,TRUE,"Detail"}</definedName>
    <definedName name="_____________tm3" localSheetId="1" hidden="1">{#N/A,#N/A,TRUE,"Front";#N/A,#N/A,TRUE,"Simple Letter";#N/A,#N/A,TRUE,"Inside";#N/A,#N/A,TRUE,"Contents";#N/A,#N/A,TRUE,"Basis";#N/A,#N/A,TRUE,"Inclusions";#N/A,#N/A,TRUE,"Exclusions";#N/A,#N/A,TRUE,"Areas";#N/A,#N/A,TRUE,"Summary";#N/A,#N/A,TRUE,"Detail"}</definedName>
    <definedName name="_____________tm3" localSheetId="0" hidden="1">{#N/A,#N/A,TRUE,"Front";#N/A,#N/A,TRUE,"Simple Letter";#N/A,#N/A,TRUE,"Inside";#N/A,#N/A,TRUE,"Contents";#N/A,#N/A,TRUE,"Basis";#N/A,#N/A,TRUE,"Inclusions";#N/A,#N/A,TRUE,"Exclusions";#N/A,#N/A,TRUE,"Areas";#N/A,#N/A,TRUE,"Summary";#N/A,#N/A,TRUE,"Detail"}</definedName>
    <definedName name="_____________tm3" hidden="1">{#N/A,#N/A,TRUE,"Front";#N/A,#N/A,TRUE,"Simple Letter";#N/A,#N/A,TRUE,"Inside";#N/A,#N/A,TRUE,"Contents";#N/A,#N/A,TRUE,"Basis";#N/A,#N/A,TRUE,"Inclusions";#N/A,#N/A,TRUE,"Exclusions";#N/A,#N/A,TRUE,"Areas";#N/A,#N/A,TRUE,"Summary";#N/A,#N/A,TRUE,"Detail"}</definedName>
    <definedName name="____________cat12" localSheetId="1" hidden="1">{#N/A,#N/A,TRUE,"Front";#N/A,#N/A,TRUE,"Simple Letter";#N/A,#N/A,TRUE,"Inside";#N/A,#N/A,TRUE,"Contents";#N/A,#N/A,TRUE,"Basis";#N/A,#N/A,TRUE,"Inclusions";#N/A,#N/A,TRUE,"Exclusions";#N/A,#N/A,TRUE,"Areas";#N/A,#N/A,TRUE,"Summary";#N/A,#N/A,TRUE,"Detail"}</definedName>
    <definedName name="____________cat12" localSheetId="0" hidden="1">{#N/A,#N/A,TRUE,"Front";#N/A,#N/A,TRUE,"Simple Letter";#N/A,#N/A,TRUE,"Inside";#N/A,#N/A,TRUE,"Contents";#N/A,#N/A,TRUE,"Basis";#N/A,#N/A,TRUE,"Inclusions";#N/A,#N/A,TRUE,"Exclusions";#N/A,#N/A,TRUE,"Areas";#N/A,#N/A,TRUE,"Summary";#N/A,#N/A,TRUE,"Detail"}</definedName>
    <definedName name="____________cat12" hidden="1">{#N/A,#N/A,TRUE,"Front";#N/A,#N/A,TRUE,"Simple Letter";#N/A,#N/A,TRUE,"Inside";#N/A,#N/A,TRUE,"Contents";#N/A,#N/A,TRUE,"Basis";#N/A,#N/A,TRUE,"Inclusions";#N/A,#N/A,TRUE,"Exclusions";#N/A,#N/A,TRUE,"Areas";#N/A,#N/A,TRUE,"Summary";#N/A,#N/A,TRUE,"Detail"}</definedName>
    <definedName name="____________hp10" localSheetId="1" hidden="1">{#N/A,#N/A,TRUE,"Front";#N/A,#N/A,TRUE,"Simple Letter";#N/A,#N/A,TRUE,"Inside";#N/A,#N/A,TRUE,"Contents";#N/A,#N/A,TRUE,"Basis";#N/A,#N/A,TRUE,"Inclusions";#N/A,#N/A,TRUE,"Exclusions";#N/A,#N/A,TRUE,"Areas";#N/A,#N/A,TRUE,"Summary";#N/A,#N/A,TRUE,"Detail"}</definedName>
    <definedName name="____________hp10" localSheetId="0" hidden="1">{#N/A,#N/A,TRUE,"Front";#N/A,#N/A,TRUE,"Simple Letter";#N/A,#N/A,TRUE,"Inside";#N/A,#N/A,TRUE,"Contents";#N/A,#N/A,TRUE,"Basis";#N/A,#N/A,TRUE,"Inclusions";#N/A,#N/A,TRUE,"Exclusions";#N/A,#N/A,TRUE,"Areas";#N/A,#N/A,TRUE,"Summary";#N/A,#N/A,TRUE,"Detail"}</definedName>
    <definedName name="____________hp10" hidden="1">{#N/A,#N/A,TRUE,"Front";#N/A,#N/A,TRUE,"Simple Letter";#N/A,#N/A,TRUE,"Inside";#N/A,#N/A,TRUE,"Contents";#N/A,#N/A,TRUE,"Basis";#N/A,#N/A,TRUE,"Inclusions";#N/A,#N/A,TRUE,"Exclusions";#N/A,#N/A,TRUE,"Areas";#N/A,#N/A,TRUE,"Summary";#N/A,#N/A,TRUE,"Detail"}</definedName>
    <definedName name="____________RAB002" localSheetId="1" hidden="1">{#N/A,#N/A,TRUE,"Front";#N/A,#N/A,TRUE,"Simple Letter";#N/A,#N/A,TRUE,"Inside";#N/A,#N/A,TRUE,"Contents";#N/A,#N/A,TRUE,"Basis";#N/A,#N/A,TRUE,"Inclusions";#N/A,#N/A,TRUE,"Exclusions";#N/A,#N/A,TRUE,"Areas";#N/A,#N/A,TRUE,"Summary";#N/A,#N/A,TRUE,"Detail"}</definedName>
    <definedName name="____________RAB002" localSheetId="0" hidden="1">{#N/A,#N/A,TRUE,"Front";#N/A,#N/A,TRUE,"Simple Letter";#N/A,#N/A,TRUE,"Inside";#N/A,#N/A,TRUE,"Contents";#N/A,#N/A,TRUE,"Basis";#N/A,#N/A,TRUE,"Inclusions";#N/A,#N/A,TRUE,"Exclusions";#N/A,#N/A,TRUE,"Areas";#N/A,#N/A,TRUE,"Summary";#N/A,#N/A,TRUE,"Detail"}</definedName>
    <definedName name="____________RAB002" hidden="1">{#N/A,#N/A,TRUE,"Front";#N/A,#N/A,TRUE,"Simple Letter";#N/A,#N/A,TRUE,"Inside";#N/A,#N/A,TRUE,"Contents";#N/A,#N/A,TRUE,"Basis";#N/A,#N/A,TRUE,"Inclusions";#N/A,#N/A,TRUE,"Exclusions";#N/A,#N/A,TRUE,"Areas";#N/A,#N/A,TRUE,"Summary";#N/A,#N/A,TRUE,"Detail"}</definedName>
    <definedName name="____________tem1" localSheetId="1" hidden="1">{#N/A,#N/A,TRUE,"Front";#N/A,#N/A,TRUE,"Simple Letter";#N/A,#N/A,TRUE,"Inside";#N/A,#N/A,TRUE,"Contents";#N/A,#N/A,TRUE,"Basis";#N/A,#N/A,TRUE,"Inclusions";#N/A,#N/A,TRUE,"Exclusions";#N/A,#N/A,TRUE,"Areas";#N/A,#N/A,TRUE,"Summary";#N/A,#N/A,TRUE,"Detail"}</definedName>
    <definedName name="____________tem1" localSheetId="0" hidden="1">{#N/A,#N/A,TRUE,"Front";#N/A,#N/A,TRUE,"Simple Letter";#N/A,#N/A,TRUE,"Inside";#N/A,#N/A,TRUE,"Contents";#N/A,#N/A,TRUE,"Basis";#N/A,#N/A,TRUE,"Inclusions";#N/A,#N/A,TRUE,"Exclusions";#N/A,#N/A,TRUE,"Areas";#N/A,#N/A,TRUE,"Summary";#N/A,#N/A,TRUE,"Detail"}</definedName>
    <definedName name="____________tem1" hidden="1">{#N/A,#N/A,TRUE,"Front";#N/A,#N/A,TRUE,"Simple Letter";#N/A,#N/A,TRUE,"Inside";#N/A,#N/A,TRUE,"Contents";#N/A,#N/A,TRUE,"Basis";#N/A,#N/A,TRUE,"Inclusions";#N/A,#N/A,TRUE,"Exclusions";#N/A,#N/A,TRUE,"Areas";#N/A,#N/A,TRUE,"Summary";#N/A,#N/A,TRUE,"Detail"}</definedName>
    <definedName name="____________tm3" localSheetId="1" hidden="1">{#N/A,#N/A,TRUE,"Front";#N/A,#N/A,TRUE,"Simple Letter";#N/A,#N/A,TRUE,"Inside";#N/A,#N/A,TRUE,"Contents";#N/A,#N/A,TRUE,"Basis";#N/A,#N/A,TRUE,"Inclusions";#N/A,#N/A,TRUE,"Exclusions";#N/A,#N/A,TRUE,"Areas";#N/A,#N/A,TRUE,"Summary";#N/A,#N/A,TRUE,"Detail"}</definedName>
    <definedName name="____________tm3" localSheetId="0" hidden="1">{#N/A,#N/A,TRUE,"Front";#N/A,#N/A,TRUE,"Simple Letter";#N/A,#N/A,TRUE,"Inside";#N/A,#N/A,TRUE,"Contents";#N/A,#N/A,TRUE,"Basis";#N/A,#N/A,TRUE,"Inclusions";#N/A,#N/A,TRUE,"Exclusions";#N/A,#N/A,TRUE,"Areas";#N/A,#N/A,TRUE,"Summary";#N/A,#N/A,TRUE,"Detail"}</definedName>
    <definedName name="____________tm3" hidden="1">{#N/A,#N/A,TRUE,"Front";#N/A,#N/A,TRUE,"Simple Letter";#N/A,#N/A,TRUE,"Inside";#N/A,#N/A,TRUE,"Contents";#N/A,#N/A,TRUE,"Basis";#N/A,#N/A,TRUE,"Inclusions";#N/A,#N/A,TRUE,"Exclusions";#N/A,#N/A,TRUE,"Areas";#N/A,#N/A,TRUE,"Summary";#N/A,#N/A,TRUE,"Detail"}</definedName>
    <definedName name="___________cat12" localSheetId="1" hidden="1">{#N/A,#N/A,TRUE,"Front";#N/A,#N/A,TRUE,"Simple Letter";#N/A,#N/A,TRUE,"Inside";#N/A,#N/A,TRUE,"Contents";#N/A,#N/A,TRUE,"Basis";#N/A,#N/A,TRUE,"Inclusions";#N/A,#N/A,TRUE,"Exclusions";#N/A,#N/A,TRUE,"Areas";#N/A,#N/A,TRUE,"Summary";#N/A,#N/A,TRUE,"Detail"}</definedName>
    <definedName name="___________cat12" localSheetId="0" hidden="1">{#N/A,#N/A,TRUE,"Front";#N/A,#N/A,TRUE,"Simple Letter";#N/A,#N/A,TRUE,"Inside";#N/A,#N/A,TRUE,"Contents";#N/A,#N/A,TRUE,"Basis";#N/A,#N/A,TRUE,"Inclusions";#N/A,#N/A,TRUE,"Exclusions";#N/A,#N/A,TRUE,"Areas";#N/A,#N/A,TRUE,"Summary";#N/A,#N/A,TRUE,"Detail"}</definedName>
    <definedName name="___________cat12" hidden="1">{#N/A,#N/A,TRUE,"Front";#N/A,#N/A,TRUE,"Simple Letter";#N/A,#N/A,TRUE,"Inside";#N/A,#N/A,TRUE,"Contents";#N/A,#N/A,TRUE,"Basis";#N/A,#N/A,TRUE,"Inclusions";#N/A,#N/A,TRUE,"Exclusions";#N/A,#N/A,TRUE,"Areas";#N/A,#N/A,TRUE,"Summary";#N/A,#N/A,TRUE,"Detail"}</definedName>
    <definedName name="___________hp10" localSheetId="1" hidden="1">{#N/A,#N/A,TRUE,"Front";#N/A,#N/A,TRUE,"Simple Letter";#N/A,#N/A,TRUE,"Inside";#N/A,#N/A,TRUE,"Contents";#N/A,#N/A,TRUE,"Basis";#N/A,#N/A,TRUE,"Inclusions";#N/A,#N/A,TRUE,"Exclusions";#N/A,#N/A,TRUE,"Areas";#N/A,#N/A,TRUE,"Summary";#N/A,#N/A,TRUE,"Detail"}</definedName>
    <definedName name="___________hp10" localSheetId="0" hidden="1">{#N/A,#N/A,TRUE,"Front";#N/A,#N/A,TRUE,"Simple Letter";#N/A,#N/A,TRUE,"Inside";#N/A,#N/A,TRUE,"Contents";#N/A,#N/A,TRUE,"Basis";#N/A,#N/A,TRUE,"Inclusions";#N/A,#N/A,TRUE,"Exclusions";#N/A,#N/A,TRUE,"Areas";#N/A,#N/A,TRUE,"Summary";#N/A,#N/A,TRUE,"Detail"}</definedName>
    <definedName name="___________hp10" hidden="1">{#N/A,#N/A,TRUE,"Front";#N/A,#N/A,TRUE,"Simple Letter";#N/A,#N/A,TRUE,"Inside";#N/A,#N/A,TRUE,"Contents";#N/A,#N/A,TRUE,"Basis";#N/A,#N/A,TRUE,"Inclusions";#N/A,#N/A,TRUE,"Exclusions";#N/A,#N/A,TRUE,"Areas";#N/A,#N/A,TRUE,"Summary";#N/A,#N/A,TRUE,"Detail"}</definedName>
    <definedName name="___________PA1" localSheetId="1" hidden="1">{#N/A,#N/A,TRUE,"Front";#N/A,#N/A,TRUE,"Simple Letter";#N/A,#N/A,TRUE,"Inside";#N/A,#N/A,TRUE,"Contents";#N/A,#N/A,TRUE,"Basis";#N/A,#N/A,TRUE,"Inclusions";#N/A,#N/A,TRUE,"Exclusions";#N/A,#N/A,TRUE,"Areas";#N/A,#N/A,TRUE,"Summary";#N/A,#N/A,TRUE,"Detail"}</definedName>
    <definedName name="___________PA1" localSheetId="0" hidden="1">{#N/A,#N/A,TRUE,"Front";#N/A,#N/A,TRUE,"Simple Letter";#N/A,#N/A,TRUE,"Inside";#N/A,#N/A,TRUE,"Contents";#N/A,#N/A,TRUE,"Basis";#N/A,#N/A,TRUE,"Inclusions";#N/A,#N/A,TRUE,"Exclusions";#N/A,#N/A,TRUE,"Areas";#N/A,#N/A,TRUE,"Summary";#N/A,#N/A,TRUE,"Detail"}</definedName>
    <definedName name="___________PA1" hidden="1">{#N/A,#N/A,TRUE,"Front";#N/A,#N/A,TRUE,"Simple Letter";#N/A,#N/A,TRUE,"Inside";#N/A,#N/A,TRUE,"Contents";#N/A,#N/A,TRUE,"Basis";#N/A,#N/A,TRUE,"Inclusions";#N/A,#N/A,TRUE,"Exclusions";#N/A,#N/A,TRUE,"Areas";#N/A,#N/A,TRUE,"Summary";#N/A,#N/A,TRUE,"Detail"}</definedName>
    <definedName name="___________RAB002" localSheetId="1" hidden="1">{#N/A,#N/A,TRUE,"Front";#N/A,#N/A,TRUE,"Simple Letter";#N/A,#N/A,TRUE,"Inside";#N/A,#N/A,TRUE,"Contents";#N/A,#N/A,TRUE,"Basis";#N/A,#N/A,TRUE,"Inclusions";#N/A,#N/A,TRUE,"Exclusions";#N/A,#N/A,TRUE,"Areas";#N/A,#N/A,TRUE,"Summary";#N/A,#N/A,TRUE,"Detail"}</definedName>
    <definedName name="___________RAB002" localSheetId="0" hidden="1">{#N/A,#N/A,TRUE,"Front";#N/A,#N/A,TRUE,"Simple Letter";#N/A,#N/A,TRUE,"Inside";#N/A,#N/A,TRUE,"Contents";#N/A,#N/A,TRUE,"Basis";#N/A,#N/A,TRUE,"Inclusions";#N/A,#N/A,TRUE,"Exclusions";#N/A,#N/A,TRUE,"Areas";#N/A,#N/A,TRUE,"Summary";#N/A,#N/A,TRUE,"Detail"}</definedName>
    <definedName name="___________RAB002" hidden="1">{#N/A,#N/A,TRUE,"Front";#N/A,#N/A,TRUE,"Simple Letter";#N/A,#N/A,TRUE,"Inside";#N/A,#N/A,TRUE,"Contents";#N/A,#N/A,TRUE,"Basis";#N/A,#N/A,TRUE,"Inclusions";#N/A,#N/A,TRUE,"Exclusions";#N/A,#N/A,TRUE,"Areas";#N/A,#N/A,TRUE,"Summary";#N/A,#N/A,TRUE,"Detail"}</definedName>
    <definedName name="___________tem1" localSheetId="1" hidden="1">{#N/A,#N/A,TRUE,"Front";#N/A,#N/A,TRUE,"Simple Letter";#N/A,#N/A,TRUE,"Inside";#N/A,#N/A,TRUE,"Contents";#N/A,#N/A,TRUE,"Basis";#N/A,#N/A,TRUE,"Inclusions";#N/A,#N/A,TRUE,"Exclusions";#N/A,#N/A,TRUE,"Areas";#N/A,#N/A,TRUE,"Summary";#N/A,#N/A,TRUE,"Detail"}</definedName>
    <definedName name="___________tem1" localSheetId="0" hidden="1">{#N/A,#N/A,TRUE,"Front";#N/A,#N/A,TRUE,"Simple Letter";#N/A,#N/A,TRUE,"Inside";#N/A,#N/A,TRUE,"Contents";#N/A,#N/A,TRUE,"Basis";#N/A,#N/A,TRUE,"Inclusions";#N/A,#N/A,TRUE,"Exclusions";#N/A,#N/A,TRUE,"Areas";#N/A,#N/A,TRUE,"Summary";#N/A,#N/A,TRUE,"Detail"}</definedName>
    <definedName name="___________tem1" hidden="1">{#N/A,#N/A,TRUE,"Front";#N/A,#N/A,TRUE,"Simple Letter";#N/A,#N/A,TRUE,"Inside";#N/A,#N/A,TRUE,"Contents";#N/A,#N/A,TRUE,"Basis";#N/A,#N/A,TRUE,"Inclusions";#N/A,#N/A,TRUE,"Exclusions";#N/A,#N/A,TRUE,"Areas";#N/A,#N/A,TRUE,"Summary";#N/A,#N/A,TRUE,"Detail"}</definedName>
    <definedName name="___________tm3" localSheetId="1" hidden="1">{#N/A,#N/A,TRUE,"Front";#N/A,#N/A,TRUE,"Simple Letter";#N/A,#N/A,TRUE,"Inside";#N/A,#N/A,TRUE,"Contents";#N/A,#N/A,TRUE,"Basis";#N/A,#N/A,TRUE,"Inclusions";#N/A,#N/A,TRUE,"Exclusions";#N/A,#N/A,TRUE,"Areas";#N/A,#N/A,TRUE,"Summary";#N/A,#N/A,TRUE,"Detail"}</definedName>
    <definedName name="___________tm3" localSheetId="0" hidden="1">{#N/A,#N/A,TRUE,"Front";#N/A,#N/A,TRUE,"Simple Letter";#N/A,#N/A,TRUE,"Inside";#N/A,#N/A,TRUE,"Contents";#N/A,#N/A,TRUE,"Basis";#N/A,#N/A,TRUE,"Inclusions";#N/A,#N/A,TRUE,"Exclusions";#N/A,#N/A,TRUE,"Areas";#N/A,#N/A,TRUE,"Summary";#N/A,#N/A,TRUE,"Detail"}</definedName>
    <definedName name="___________tm3" hidden="1">{#N/A,#N/A,TRUE,"Front";#N/A,#N/A,TRUE,"Simple Letter";#N/A,#N/A,TRUE,"Inside";#N/A,#N/A,TRUE,"Contents";#N/A,#N/A,TRUE,"Basis";#N/A,#N/A,TRUE,"Inclusions";#N/A,#N/A,TRUE,"Exclusions";#N/A,#N/A,TRUE,"Areas";#N/A,#N/A,TRUE,"Summary";#N/A,#N/A,TRUE,"Detail"}</definedName>
    <definedName name="__________cat12" localSheetId="1" hidden="1">{#N/A,#N/A,TRUE,"Front";#N/A,#N/A,TRUE,"Simple Letter";#N/A,#N/A,TRUE,"Inside";#N/A,#N/A,TRUE,"Contents";#N/A,#N/A,TRUE,"Basis";#N/A,#N/A,TRUE,"Inclusions";#N/A,#N/A,TRUE,"Exclusions";#N/A,#N/A,TRUE,"Areas";#N/A,#N/A,TRUE,"Summary";#N/A,#N/A,TRUE,"Detail"}</definedName>
    <definedName name="__________cat12" localSheetId="0" hidden="1">{#N/A,#N/A,TRUE,"Front";#N/A,#N/A,TRUE,"Simple Letter";#N/A,#N/A,TRUE,"Inside";#N/A,#N/A,TRUE,"Contents";#N/A,#N/A,TRUE,"Basis";#N/A,#N/A,TRUE,"Inclusions";#N/A,#N/A,TRUE,"Exclusions";#N/A,#N/A,TRUE,"Areas";#N/A,#N/A,TRUE,"Summary";#N/A,#N/A,TRUE,"Detail"}</definedName>
    <definedName name="__________cat12" hidden="1">{#N/A,#N/A,TRUE,"Front";#N/A,#N/A,TRUE,"Simple Letter";#N/A,#N/A,TRUE,"Inside";#N/A,#N/A,TRUE,"Contents";#N/A,#N/A,TRUE,"Basis";#N/A,#N/A,TRUE,"Inclusions";#N/A,#N/A,TRUE,"Exclusions";#N/A,#N/A,TRUE,"Areas";#N/A,#N/A,TRUE,"Summary";#N/A,#N/A,TRUE,"Detail"}</definedName>
    <definedName name="__________hp10" localSheetId="1" hidden="1">{#N/A,#N/A,TRUE,"Front";#N/A,#N/A,TRUE,"Simple Letter";#N/A,#N/A,TRUE,"Inside";#N/A,#N/A,TRUE,"Contents";#N/A,#N/A,TRUE,"Basis";#N/A,#N/A,TRUE,"Inclusions";#N/A,#N/A,TRUE,"Exclusions";#N/A,#N/A,TRUE,"Areas";#N/A,#N/A,TRUE,"Summary";#N/A,#N/A,TRUE,"Detail"}</definedName>
    <definedName name="__________hp10" localSheetId="0" hidden="1">{#N/A,#N/A,TRUE,"Front";#N/A,#N/A,TRUE,"Simple Letter";#N/A,#N/A,TRUE,"Inside";#N/A,#N/A,TRUE,"Contents";#N/A,#N/A,TRUE,"Basis";#N/A,#N/A,TRUE,"Inclusions";#N/A,#N/A,TRUE,"Exclusions";#N/A,#N/A,TRUE,"Areas";#N/A,#N/A,TRUE,"Summary";#N/A,#N/A,TRUE,"Detail"}</definedName>
    <definedName name="__________hp10" hidden="1">{#N/A,#N/A,TRUE,"Front";#N/A,#N/A,TRUE,"Simple Letter";#N/A,#N/A,TRUE,"Inside";#N/A,#N/A,TRUE,"Contents";#N/A,#N/A,TRUE,"Basis";#N/A,#N/A,TRUE,"Inclusions";#N/A,#N/A,TRUE,"Exclusions";#N/A,#N/A,TRUE,"Areas";#N/A,#N/A,TRUE,"Summary";#N/A,#N/A,TRUE,"Detail"}</definedName>
    <definedName name="__________PA1" localSheetId="1" hidden="1">{#N/A,#N/A,TRUE,"Front";#N/A,#N/A,TRUE,"Simple Letter";#N/A,#N/A,TRUE,"Inside";#N/A,#N/A,TRUE,"Contents";#N/A,#N/A,TRUE,"Basis";#N/A,#N/A,TRUE,"Inclusions";#N/A,#N/A,TRUE,"Exclusions";#N/A,#N/A,TRUE,"Areas";#N/A,#N/A,TRUE,"Summary";#N/A,#N/A,TRUE,"Detail"}</definedName>
    <definedName name="__________PA1" localSheetId="0" hidden="1">{#N/A,#N/A,TRUE,"Front";#N/A,#N/A,TRUE,"Simple Letter";#N/A,#N/A,TRUE,"Inside";#N/A,#N/A,TRUE,"Contents";#N/A,#N/A,TRUE,"Basis";#N/A,#N/A,TRUE,"Inclusions";#N/A,#N/A,TRUE,"Exclusions";#N/A,#N/A,TRUE,"Areas";#N/A,#N/A,TRUE,"Summary";#N/A,#N/A,TRUE,"Detail"}</definedName>
    <definedName name="__________PA1" hidden="1">{#N/A,#N/A,TRUE,"Front";#N/A,#N/A,TRUE,"Simple Letter";#N/A,#N/A,TRUE,"Inside";#N/A,#N/A,TRUE,"Contents";#N/A,#N/A,TRUE,"Basis";#N/A,#N/A,TRUE,"Inclusions";#N/A,#N/A,TRUE,"Exclusions";#N/A,#N/A,TRUE,"Areas";#N/A,#N/A,TRUE,"Summary";#N/A,#N/A,TRUE,"Detail"}</definedName>
    <definedName name="__________RAB002" localSheetId="1" hidden="1">{#N/A,#N/A,TRUE,"Front";#N/A,#N/A,TRUE,"Simple Letter";#N/A,#N/A,TRUE,"Inside";#N/A,#N/A,TRUE,"Contents";#N/A,#N/A,TRUE,"Basis";#N/A,#N/A,TRUE,"Inclusions";#N/A,#N/A,TRUE,"Exclusions";#N/A,#N/A,TRUE,"Areas";#N/A,#N/A,TRUE,"Summary";#N/A,#N/A,TRUE,"Detail"}</definedName>
    <definedName name="__________RAB002" localSheetId="0" hidden="1">{#N/A,#N/A,TRUE,"Front";#N/A,#N/A,TRUE,"Simple Letter";#N/A,#N/A,TRUE,"Inside";#N/A,#N/A,TRUE,"Contents";#N/A,#N/A,TRUE,"Basis";#N/A,#N/A,TRUE,"Inclusions";#N/A,#N/A,TRUE,"Exclusions";#N/A,#N/A,TRUE,"Areas";#N/A,#N/A,TRUE,"Summary";#N/A,#N/A,TRUE,"Detail"}</definedName>
    <definedName name="__________RAB002" hidden="1">{#N/A,#N/A,TRUE,"Front";#N/A,#N/A,TRUE,"Simple Letter";#N/A,#N/A,TRUE,"Inside";#N/A,#N/A,TRUE,"Contents";#N/A,#N/A,TRUE,"Basis";#N/A,#N/A,TRUE,"Inclusions";#N/A,#N/A,TRUE,"Exclusions";#N/A,#N/A,TRUE,"Areas";#N/A,#N/A,TRUE,"Summary";#N/A,#N/A,TRUE,"Detail"}</definedName>
    <definedName name="__________tem1" localSheetId="1" hidden="1">{#N/A,#N/A,TRUE,"Front";#N/A,#N/A,TRUE,"Simple Letter";#N/A,#N/A,TRUE,"Inside";#N/A,#N/A,TRUE,"Contents";#N/A,#N/A,TRUE,"Basis";#N/A,#N/A,TRUE,"Inclusions";#N/A,#N/A,TRUE,"Exclusions";#N/A,#N/A,TRUE,"Areas";#N/A,#N/A,TRUE,"Summary";#N/A,#N/A,TRUE,"Detail"}</definedName>
    <definedName name="__________tem1" localSheetId="0" hidden="1">{#N/A,#N/A,TRUE,"Front";#N/A,#N/A,TRUE,"Simple Letter";#N/A,#N/A,TRUE,"Inside";#N/A,#N/A,TRUE,"Contents";#N/A,#N/A,TRUE,"Basis";#N/A,#N/A,TRUE,"Inclusions";#N/A,#N/A,TRUE,"Exclusions";#N/A,#N/A,TRUE,"Areas";#N/A,#N/A,TRUE,"Summary";#N/A,#N/A,TRUE,"Detail"}</definedName>
    <definedName name="__________tem1" hidden="1">{#N/A,#N/A,TRUE,"Front";#N/A,#N/A,TRUE,"Simple Letter";#N/A,#N/A,TRUE,"Inside";#N/A,#N/A,TRUE,"Contents";#N/A,#N/A,TRUE,"Basis";#N/A,#N/A,TRUE,"Inclusions";#N/A,#N/A,TRUE,"Exclusions";#N/A,#N/A,TRUE,"Areas";#N/A,#N/A,TRUE,"Summary";#N/A,#N/A,TRUE,"Detail"}</definedName>
    <definedName name="__________tm3" localSheetId="1" hidden="1">{#N/A,#N/A,TRUE,"Front";#N/A,#N/A,TRUE,"Simple Letter";#N/A,#N/A,TRUE,"Inside";#N/A,#N/A,TRUE,"Contents";#N/A,#N/A,TRUE,"Basis";#N/A,#N/A,TRUE,"Inclusions";#N/A,#N/A,TRUE,"Exclusions";#N/A,#N/A,TRUE,"Areas";#N/A,#N/A,TRUE,"Summary";#N/A,#N/A,TRUE,"Detail"}</definedName>
    <definedName name="__________tm3" localSheetId="0" hidden="1">{#N/A,#N/A,TRUE,"Front";#N/A,#N/A,TRUE,"Simple Letter";#N/A,#N/A,TRUE,"Inside";#N/A,#N/A,TRUE,"Contents";#N/A,#N/A,TRUE,"Basis";#N/A,#N/A,TRUE,"Inclusions";#N/A,#N/A,TRUE,"Exclusions";#N/A,#N/A,TRUE,"Areas";#N/A,#N/A,TRUE,"Summary";#N/A,#N/A,TRUE,"Detail"}</definedName>
    <definedName name="__________tm3" hidden="1">{#N/A,#N/A,TRUE,"Front";#N/A,#N/A,TRUE,"Simple Letter";#N/A,#N/A,TRUE,"Inside";#N/A,#N/A,TRUE,"Contents";#N/A,#N/A,TRUE,"Basis";#N/A,#N/A,TRUE,"Inclusions";#N/A,#N/A,TRUE,"Exclusions";#N/A,#N/A,TRUE,"Areas";#N/A,#N/A,TRUE,"Summary";#N/A,#N/A,TRUE,"Detail"}</definedName>
    <definedName name="_________cat12" localSheetId="1" hidden="1">{#N/A,#N/A,TRUE,"Front";#N/A,#N/A,TRUE,"Simple Letter";#N/A,#N/A,TRUE,"Inside";#N/A,#N/A,TRUE,"Contents";#N/A,#N/A,TRUE,"Basis";#N/A,#N/A,TRUE,"Inclusions";#N/A,#N/A,TRUE,"Exclusions";#N/A,#N/A,TRUE,"Areas";#N/A,#N/A,TRUE,"Summary";#N/A,#N/A,TRUE,"Detail"}</definedName>
    <definedName name="_________cat12" localSheetId="0" hidden="1">{#N/A,#N/A,TRUE,"Front";#N/A,#N/A,TRUE,"Simple Letter";#N/A,#N/A,TRUE,"Inside";#N/A,#N/A,TRUE,"Contents";#N/A,#N/A,TRUE,"Basis";#N/A,#N/A,TRUE,"Inclusions";#N/A,#N/A,TRUE,"Exclusions";#N/A,#N/A,TRUE,"Areas";#N/A,#N/A,TRUE,"Summary";#N/A,#N/A,TRUE,"Detail"}</definedName>
    <definedName name="_________cat12" hidden="1">{#N/A,#N/A,TRUE,"Front";#N/A,#N/A,TRUE,"Simple Letter";#N/A,#N/A,TRUE,"Inside";#N/A,#N/A,TRUE,"Contents";#N/A,#N/A,TRUE,"Basis";#N/A,#N/A,TRUE,"Inclusions";#N/A,#N/A,TRUE,"Exclusions";#N/A,#N/A,TRUE,"Areas";#N/A,#N/A,TRUE,"Summary";#N/A,#N/A,TRUE,"Detail"}</definedName>
    <definedName name="_________hp10" localSheetId="1" hidden="1">{#N/A,#N/A,TRUE,"Front";#N/A,#N/A,TRUE,"Simple Letter";#N/A,#N/A,TRUE,"Inside";#N/A,#N/A,TRUE,"Contents";#N/A,#N/A,TRUE,"Basis";#N/A,#N/A,TRUE,"Inclusions";#N/A,#N/A,TRUE,"Exclusions";#N/A,#N/A,TRUE,"Areas";#N/A,#N/A,TRUE,"Summary";#N/A,#N/A,TRUE,"Detail"}</definedName>
    <definedName name="_________hp10" localSheetId="0" hidden="1">{#N/A,#N/A,TRUE,"Front";#N/A,#N/A,TRUE,"Simple Letter";#N/A,#N/A,TRUE,"Inside";#N/A,#N/A,TRUE,"Contents";#N/A,#N/A,TRUE,"Basis";#N/A,#N/A,TRUE,"Inclusions";#N/A,#N/A,TRUE,"Exclusions";#N/A,#N/A,TRUE,"Areas";#N/A,#N/A,TRUE,"Summary";#N/A,#N/A,TRUE,"Detail"}</definedName>
    <definedName name="_________hp10" hidden="1">{#N/A,#N/A,TRUE,"Front";#N/A,#N/A,TRUE,"Simple Letter";#N/A,#N/A,TRUE,"Inside";#N/A,#N/A,TRUE,"Contents";#N/A,#N/A,TRUE,"Basis";#N/A,#N/A,TRUE,"Inclusions";#N/A,#N/A,TRUE,"Exclusions";#N/A,#N/A,TRUE,"Areas";#N/A,#N/A,TRUE,"Summary";#N/A,#N/A,TRUE,"Detail"}</definedName>
    <definedName name="_________PA1" localSheetId="1" hidden="1">{#N/A,#N/A,TRUE,"Front";#N/A,#N/A,TRUE,"Simple Letter";#N/A,#N/A,TRUE,"Inside";#N/A,#N/A,TRUE,"Contents";#N/A,#N/A,TRUE,"Basis";#N/A,#N/A,TRUE,"Inclusions";#N/A,#N/A,TRUE,"Exclusions";#N/A,#N/A,TRUE,"Areas";#N/A,#N/A,TRUE,"Summary";#N/A,#N/A,TRUE,"Detail"}</definedName>
    <definedName name="_________PA1" localSheetId="0" hidden="1">{#N/A,#N/A,TRUE,"Front";#N/A,#N/A,TRUE,"Simple Letter";#N/A,#N/A,TRUE,"Inside";#N/A,#N/A,TRUE,"Contents";#N/A,#N/A,TRUE,"Basis";#N/A,#N/A,TRUE,"Inclusions";#N/A,#N/A,TRUE,"Exclusions";#N/A,#N/A,TRUE,"Areas";#N/A,#N/A,TRUE,"Summary";#N/A,#N/A,TRUE,"Detail"}</definedName>
    <definedName name="_________PA1" hidden="1">{#N/A,#N/A,TRUE,"Front";#N/A,#N/A,TRUE,"Simple Letter";#N/A,#N/A,TRUE,"Inside";#N/A,#N/A,TRUE,"Contents";#N/A,#N/A,TRUE,"Basis";#N/A,#N/A,TRUE,"Inclusions";#N/A,#N/A,TRUE,"Exclusions";#N/A,#N/A,TRUE,"Areas";#N/A,#N/A,TRUE,"Summary";#N/A,#N/A,TRUE,"Detail"}</definedName>
    <definedName name="_________RAB002" localSheetId="1" hidden="1">{#N/A,#N/A,TRUE,"Front";#N/A,#N/A,TRUE,"Simple Letter";#N/A,#N/A,TRUE,"Inside";#N/A,#N/A,TRUE,"Contents";#N/A,#N/A,TRUE,"Basis";#N/A,#N/A,TRUE,"Inclusions";#N/A,#N/A,TRUE,"Exclusions";#N/A,#N/A,TRUE,"Areas";#N/A,#N/A,TRUE,"Summary";#N/A,#N/A,TRUE,"Detail"}</definedName>
    <definedName name="_________RAB002" localSheetId="0" hidden="1">{#N/A,#N/A,TRUE,"Front";#N/A,#N/A,TRUE,"Simple Letter";#N/A,#N/A,TRUE,"Inside";#N/A,#N/A,TRUE,"Contents";#N/A,#N/A,TRUE,"Basis";#N/A,#N/A,TRUE,"Inclusions";#N/A,#N/A,TRUE,"Exclusions";#N/A,#N/A,TRUE,"Areas";#N/A,#N/A,TRUE,"Summary";#N/A,#N/A,TRUE,"Detail"}</definedName>
    <definedName name="_________RAB002" hidden="1">{#N/A,#N/A,TRUE,"Front";#N/A,#N/A,TRUE,"Simple Letter";#N/A,#N/A,TRUE,"Inside";#N/A,#N/A,TRUE,"Contents";#N/A,#N/A,TRUE,"Basis";#N/A,#N/A,TRUE,"Inclusions";#N/A,#N/A,TRUE,"Exclusions";#N/A,#N/A,TRUE,"Areas";#N/A,#N/A,TRUE,"Summary";#N/A,#N/A,TRUE,"Detail"}</definedName>
    <definedName name="_________tem1" localSheetId="1" hidden="1">{#N/A,#N/A,TRUE,"Front";#N/A,#N/A,TRUE,"Simple Letter";#N/A,#N/A,TRUE,"Inside";#N/A,#N/A,TRUE,"Contents";#N/A,#N/A,TRUE,"Basis";#N/A,#N/A,TRUE,"Inclusions";#N/A,#N/A,TRUE,"Exclusions";#N/A,#N/A,TRUE,"Areas";#N/A,#N/A,TRUE,"Summary";#N/A,#N/A,TRUE,"Detail"}</definedName>
    <definedName name="_________tem1" localSheetId="0" hidden="1">{#N/A,#N/A,TRUE,"Front";#N/A,#N/A,TRUE,"Simple Letter";#N/A,#N/A,TRUE,"Inside";#N/A,#N/A,TRUE,"Contents";#N/A,#N/A,TRUE,"Basis";#N/A,#N/A,TRUE,"Inclusions";#N/A,#N/A,TRUE,"Exclusions";#N/A,#N/A,TRUE,"Areas";#N/A,#N/A,TRUE,"Summary";#N/A,#N/A,TRUE,"Detail"}</definedName>
    <definedName name="_________tem1" hidden="1">{#N/A,#N/A,TRUE,"Front";#N/A,#N/A,TRUE,"Simple Letter";#N/A,#N/A,TRUE,"Inside";#N/A,#N/A,TRUE,"Contents";#N/A,#N/A,TRUE,"Basis";#N/A,#N/A,TRUE,"Inclusions";#N/A,#N/A,TRUE,"Exclusions";#N/A,#N/A,TRUE,"Areas";#N/A,#N/A,TRUE,"Summary";#N/A,#N/A,TRUE,"Detail"}</definedName>
    <definedName name="_________tm3" localSheetId="1" hidden="1">{#N/A,#N/A,TRUE,"Front";#N/A,#N/A,TRUE,"Simple Letter";#N/A,#N/A,TRUE,"Inside";#N/A,#N/A,TRUE,"Contents";#N/A,#N/A,TRUE,"Basis";#N/A,#N/A,TRUE,"Inclusions";#N/A,#N/A,TRUE,"Exclusions";#N/A,#N/A,TRUE,"Areas";#N/A,#N/A,TRUE,"Summary";#N/A,#N/A,TRUE,"Detail"}</definedName>
    <definedName name="_________tm3" localSheetId="0" hidden="1">{#N/A,#N/A,TRUE,"Front";#N/A,#N/A,TRUE,"Simple Letter";#N/A,#N/A,TRUE,"Inside";#N/A,#N/A,TRUE,"Contents";#N/A,#N/A,TRUE,"Basis";#N/A,#N/A,TRUE,"Inclusions";#N/A,#N/A,TRUE,"Exclusions";#N/A,#N/A,TRUE,"Areas";#N/A,#N/A,TRUE,"Summary";#N/A,#N/A,TRUE,"Detail"}</definedName>
    <definedName name="_________tm3" hidden="1">{#N/A,#N/A,TRUE,"Front";#N/A,#N/A,TRUE,"Simple Letter";#N/A,#N/A,TRUE,"Inside";#N/A,#N/A,TRUE,"Contents";#N/A,#N/A,TRUE,"Basis";#N/A,#N/A,TRUE,"Inclusions";#N/A,#N/A,TRUE,"Exclusions";#N/A,#N/A,TRUE,"Areas";#N/A,#N/A,TRUE,"Summary";#N/A,#N/A,TRUE,"Detail"}</definedName>
    <definedName name="________cat12" localSheetId="1" hidden="1">{#N/A,#N/A,TRUE,"Front";#N/A,#N/A,TRUE,"Simple Letter";#N/A,#N/A,TRUE,"Inside";#N/A,#N/A,TRUE,"Contents";#N/A,#N/A,TRUE,"Basis";#N/A,#N/A,TRUE,"Inclusions";#N/A,#N/A,TRUE,"Exclusions";#N/A,#N/A,TRUE,"Areas";#N/A,#N/A,TRUE,"Summary";#N/A,#N/A,TRUE,"Detail"}</definedName>
    <definedName name="________cat12" localSheetId="0" hidden="1">{#N/A,#N/A,TRUE,"Front";#N/A,#N/A,TRUE,"Simple Letter";#N/A,#N/A,TRUE,"Inside";#N/A,#N/A,TRUE,"Contents";#N/A,#N/A,TRUE,"Basis";#N/A,#N/A,TRUE,"Inclusions";#N/A,#N/A,TRUE,"Exclusions";#N/A,#N/A,TRUE,"Areas";#N/A,#N/A,TRUE,"Summary";#N/A,#N/A,TRUE,"Detail"}</definedName>
    <definedName name="________cat12" hidden="1">{#N/A,#N/A,TRUE,"Front";#N/A,#N/A,TRUE,"Simple Letter";#N/A,#N/A,TRUE,"Inside";#N/A,#N/A,TRUE,"Contents";#N/A,#N/A,TRUE,"Basis";#N/A,#N/A,TRUE,"Inclusions";#N/A,#N/A,TRUE,"Exclusions";#N/A,#N/A,TRUE,"Areas";#N/A,#N/A,TRUE,"Summary";#N/A,#N/A,TRUE,"Detail"}</definedName>
    <definedName name="________hp10" localSheetId="1" hidden="1">{#N/A,#N/A,TRUE,"Front";#N/A,#N/A,TRUE,"Simple Letter";#N/A,#N/A,TRUE,"Inside";#N/A,#N/A,TRUE,"Contents";#N/A,#N/A,TRUE,"Basis";#N/A,#N/A,TRUE,"Inclusions";#N/A,#N/A,TRUE,"Exclusions";#N/A,#N/A,TRUE,"Areas";#N/A,#N/A,TRUE,"Summary";#N/A,#N/A,TRUE,"Detail"}</definedName>
    <definedName name="________hp10" localSheetId="0" hidden="1">{#N/A,#N/A,TRUE,"Front";#N/A,#N/A,TRUE,"Simple Letter";#N/A,#N/A,TRUE,"Inside";#N/A,#N/A,TRUE,"Contents";#N/A,#N/A,TRUE,"Basis";#N/A,#N/A,TRUE,"Inclusions";#N/A,#N/A,TRUE,"Exclusions";#N/A,#N/A,TRUE,"Areas";#N/A,#N/A,TRUE,"Summary";#N/A,#N/A,TRUE,"Detail"}</definedName>
    <definedName name="________hp10" hidden="1">{#N/A,#N/A,TRUE,"Front";#N/A,#N/A,TRUE,"Simple Letter";#N/A,#N/A,TRUE,"Inside";#N/A,#N/A,TRUE,"Contents";#N/A,#N/A,TRUE,"Basis";#N/A,#N/A,TRUE,"Inclusions";#N/A,#N/A,TRUE,"Exclusions";#N/A,#N/A,TRUE,"Areas";#N/A,#N/A,TRUE,"Summary";#N/A,#N/A,TRUE,"Detail"}</definedName>
    <definedName name="________PA1" localSheetId="1" hidden="1">{#N/A,#N/A,TRUE,"Front";#N/A,#N/A,TRUE,"Simple Letter";#N/A,#N/A,TRUE,"Inside";#N/A,#N/A,TRUE,"Contents";#N/A,#N/A,TRUE,"Basis";#N/A,#N/A,TRUE,"Inclusions";#N/A,#N/A,TRUE,"Exclusions";#N/A,#N/A,TRUE,"Areas";#N/A,#N/A,TRUE,"Summary";#N/A,#N/A,TRUE,"Detail"}</definedName>
    <definedName name="________PA1" localSheetId="0" hidden="1">{#N/A,#N/A,TRUE,"Front";#N/A,#N/A,TRUE,"Simple Letter";#N/A,#N/A,TRUE,"Inside";#N/A,#N/A,TRUE,"Contents";#N/A,#N/A,TRUE,"Basis";#N/A,#N/A,TRUE,"Inclusions";#N/A,#N/A,TRUE,"Exclusions";#N/A,#N/A,TRUE,"Areas";#N/A,#N/A,TRUE,"Summary";#N/A,#N/A,TRUE,"Detail"}</definedName>
    <definedName name="________PA1" hidden="1">{#N/A,#N/A,TRUE,"Front";#N/A,#N/A,TRUE,"Simple Letter";#N/A,#N/A,TRUE,"Inside";#N/A,#N/A,TRUE,"Contents";#N/A,#N/A,TRUE,"Basis";#N/A,#N/A,TRUE,"Inclusions";#N/A,#N/A,TRUE,"Exclusions";#N/A,#N/A,TRUE,"Areas";#N/A,#N/A,TRUE,"Summary";#N/A,#N/A,TRUE,"Detail"}</definedName>
    <definedName name="________RAB002" localSheetId="1" hidden="1">{#N/A,#N/A,TRUE,"Front";#N/A,#N/A,TRUE,"Simple Letter";#N/A,#N/A,TRUE,"Inside";#N/A,#N/A,TRUE,"Contents";#N/A,#N/A,TRUE,"Basis";#N/A,#N/A,TRUE,"Inclusions";#N/A,#N/A,TRUE,"Exclusions";#N/A,#N/A,TRUE,"Areas";#N/A,#N/A,TRUE,"Summary";#N/A,#N/A,TRUE,"Detail"}</definedName>
    <definedName name="________RAB002" localSheetId="0" hidden="1">{#N/A,#N/A,TRUE,"Front";#N/A,#N/A,TRUE,"Simple Letter";#N/A,#N/A,TRUE,"Inside";#N/A,#N/A,TRUE,"Contents";#N/A,#N/A,TRUE,"Basis";#N/A,#N/A,TRUE,"Inclusions";#N/A,#N/A,TRUE,"Exclusions";#N/A,#N/A,TRUE,"Areas";#N/A,#N/A,TRUE,"Summary";#N/A,#N/A,TRUE,"Detail"}</definedName>
    <definedName name="________RAB002" hidden="1">{#N/A,#N/A,TRUE,"Front";#N/A,#N/A,TRUE,"Simple Letter";#N/A,#N/A,TRUE,"Inside";#N/A,#N/A,TRUE,"Contents";#N/A,#N/A,TRUE,"Basis";#N/A,#N/A,TRUE,"Inclusions";#N/A,#N/A,TRUE,"Exclusions";#N/A,#N/A,TRUE,"Areas";#N/A,#N/A,TRUE,"Summary";#N/A,#N/A,TRUE,"Detail"}</definedName>
    <definedName name="________tem1" localSheetId="1" hidden="1">{#N/A,#N/A,TRUE,"Front";#N/A,#N/A,TRUE,"Simple Letter";#N/A,#N/A,TRUE,"Inside";#N/A,#N/A,TRUE,"Contents";#N/A,#N/A,TRUE,"Basis";#N/A,#N/A,TRUE,"Inclusions";#N/A,#N/A,TRUE,"Exclusions";#N/A,#N/A,TRUE,"Areas";#N/A,#N/A,TRUE,"Summary";#N/A,#N/A,TRUE,"Detail"}</definedName>
    <definedName name="________tem1" localSheetId="0" hidden="1">{#N/A,#N/A,TRUE,"Front";#N/A,#N/A,TRUE,"Simple Letter";#N/A,#N/A,TRUE,"Inside";#N/A,#N/A,TRUE,"Contents";#N/A,#N/A,TRUE,"Basis";#N/A,#N/A,TRUE,"Inclusions";#N/A,#N/A,TRUE,"Exclusions";#N/A,#N/A,TRUE,"Areas";#N/A,#N/A,TRUE,"Summary";#N/A,#N/A,TRUE,"Detail"}</definedName>
    <definedName name="________tem1" hidden="1">{#N/A,#N/A,TRUE,"Front";#N/A,#N/A,TRUE,"Simple Letter";#N/A,#N/A,TRUE,"Inside";#N/A,#N/A,TRUE,"Contents";#N/A,#N/A,TRUE,"Basis";#N/A,#N/A,TRUE,"Inclusions";#N/A,#N/A,TRUE,"Exclusions";#N/A,#N/A,TRUE,"Areas";#N/A,#N/A,TRUE,"Summary";#N/A,#N/A,TRUE,"Detail"}</definedName>
    <definedName name="________tm3" localSheetId="1" hidden="1">{#N/A,#N/A,TRUE,"Front";#N/A,#N/A,TRUE,"Simple Letter";#N/A,#N/A,TRUE,"Inside";#N/A,#N/A,TRUE,"Contents";#N/A,#N/A,TRUE,"Basis";#N/A,#N/A,TRUE,"Inclusions";#N/A,#N/A,TRUE,"Exclusions";#N/A,#N/A,TRUE,"Areas";#N/A,#N/A,TRUE,"Summary";#N/A,#N/A,TRUE,"Detail"}</definedName>
    <definedName name="________tm3" localSheetId="0" hidden="1">{#N/A,#N/A,TRUE,"Front";#N/A,#N/A,TRUE,"Simple Letter";#N/A,#N/A,TRUE,"Inside";#N/A,#N/A,TRUE,"Contents";#N/A,#N/A,TRUE,"Basis";#N/A,#N/A,TRUE,"Inclusions";#N/A,#N/A,TRUE,"Exclusions";#N/A,#N/A,TRUE,"Areas";#N/A,#N/A,TRUE,"Summary";#N/A,#N/A,TRUE,"Detail"}</definedName>
    <definedName name="________tm3" hidden="1">{#N/A,#N/A,TRUE,"Front";#N/A,#N/A,TRUE,"Simple Letter";#N/A,#N/A,TRUE,"Inside";#N/A,#N/A,TRUE,"Contents";#N/A,#N/A,TRUE,"Basis";#N/A,#N/A,TRUE,"Inclusions";#N/A,#N/A,TRUE,"Exclusions";#N/A,#N/A,TRUE,"Areas";#N/A,#N/A,TRUE,"Summary";#N/A,#N/A,TRUE,"Detail"}</definedName>
    <definedName name="_______cat12" localSheetId="1" hidden="1">{#N/A,#N/A,TRUE,"Front";#N/A,#N/A,TRUE,"Simple Letter";#N/A,#N/A,TRUE,"Inside";#N/A,#N/A,TRUE,"Contents";#N/A,#N/A,TRUE,"Basis";#N/A,#N/A,TRUE,"Inclusions";#N/A,#N/A,TRUE,"Exclusions";#N/A,#N/A,TRUE,"Areas";#N/A,#N/A,TRUE,"Summary";#N/A,#N/A,TRUE,"Detail"}</definedName>
    <definedName name="_______cat12" localSheetId="0" hidden="1">{#N/A,#N/A,TRUE,"Front";#N/A,#N/A,TRUE,"Simple Letter";#N/A,#N/A,TRUE,"Inside";#N/A,#N/A,TRUE,"Contents";#N/A,#N/A,TRUE,"Basis";#N/A,#N/A,TRUE,"Inclusions";#N/A,#N/A,TRUE,"Exclusions";#N/A,#N/A,TRUE,"Areas";#N/A,#N/A,TRUE,"Summary";#N/A,#N/A,TRUE,"Detail"}</definedName>
    <definedName name="_______cat12" hidden="1">{#N/A,#N/A,TRUE,"Front";#N/A,#N/A,TRUE,"Simple Letter";#N/A,#N/A,TRUE,"Inside";#N/A,#N/A,TRUE,"Contents";#N/A,#N/A,TRUE,"Basis";#N/A,#N/A,TRUE,"Inclusions";#N/A,#N/A,TRUE,"Exclusions";#N/A,#N/A,TRUE,"Areas";#N/A,#N/A,TRUE,"Summary";#N/A,#N/A,TRUE,"Detail"}</definedName>
    <definedName name="_______Feb06" localSheetId="1" hidden="1">{#N/A,#N/A,TRUE,"Front";#N/A,#N/A,TRUE,"Simple Letter";#N/A,#N/A,TRUE,"Inside";#N/A,#N/A,TRUE,"Contents";#N/A,#N/A,TRUE,"Basis";#N/A,#N/A,TRUE,"Inclusions";#N/A,#N/A,TRUE,"Exclusions";#N/A,#N/A,TRUE,"Areas";#N/A,#N/A,TRUE,"Summary";#N/A,#N/A,TRUE,"Detail"}</definedName>
    <definedName name="_______Feb06" localSheetId="0" hidden="1">{#N/A,#N/A,TRUE,"Front";#N/A,#N/A,TRUE,"Simple Letter";#N/A,#N/A,TRUE,"Inside";#N/A,#N/A,TRUE,"Contents";#N/A,#N/A,TRUE,"Basis";#N/A,#N/A,TRUE,"Inclusions";#N/A,#N/A,TRUE,"Exclusions";#N/A,#N/A,TRUE,"Areas";#N/A,#N/A,TRUE,"Summary";#N/A,#N/A,TRUE,"Detail"}</definedName>
    <definedName name="_______Feb06" hidden="1">{#N/A,#N/A,TRUE,"Front";#N/A,#N/A,TRUE,"Simple Letter";#N/A,#N/A,TRUE,"Inside";#N/A,#N/A,TRUE,"Contents";#N/A,#N/A,TRUE,"Basis";#N/A,#N/A,TRUE,"Inclusions";#N/A,#N/A,TRUE,"Exclusions";#N/A,#N/A,TRUE,"Areas";#N/A,#N/A,TRUE,"Summary";#N/A,#N/A,TRUE,"Detail"}</definedName>
    <definedName name="_______HDD1111" localSheetId="1" hidden="1">{#N/A,#N/A,TRUE,"Front";#N/A,#N/A,TRUE,"Simple Letter";#N/A,#N/A,TRUE,"Inside";#N/A,#N/A,TRUE,"Contents";#N/A,#N/A,TRUE,"Basis";#N/A,#N/A,TRUE,"Inclusions";#N/A,#N/A,TRUE,"Exclusions";#N/A,#N/A,TRUE,"Areas";#N/A,#N/A,TRUE,"Summary";#N/A,#N/A,TRUE,"Detail"}</definedName>
    <definedName name="_______HDD1111" localSheetId="0" hidden="1">{#N/A,#N/A,TRUE,"Front";#N/A,#N/A,TRUE,"Simple Letter";#N/A,#N/A,TRUE,"Inside";#N/A,#N/A,TRUE,"Contents";#N/A,#N/A,TRUE,"Basis";#N/A,#N/A,TRUE,"Inclusions";#N/A,#N/A,TRUE,"Exclusions";#N/A,#N/A,TRUE,"Areas";#N/A,#N/A,TRUE,"Summary";#N/A,#N/A,TRUE,"Detail"}</definedName>
    <definedName name="_______HDD1111" hidden="1">{#N/A,#N/A,TRUE,"Front";#N/A,#N/A,TRUE,"Simple Letter";#N/A,#N/A,TRUE,"Inside";#N/A,#N/A,TRUE,"Contents";#N/A,#N/A,TRUE,"Basis";#N/A,#N/A,TRUE,"Inclusions";#N/A,#N/A,TRUE,"Exclusions";#N/A,#N/A,TRUE,"Areas";#N/A,#N/A,TRUE,"Summary";#N/A,#N/A,TRUE,"Detail"}</definedName>
    <definedName name="_______hp10" localSheetId="1" hidden="1">{#N/A,#N/A,TRUE,"Front";#N/A,#N/A,TRUE,"Simple Letter";#N/A,#N/A,TRUE,"Inside";#N/A,#N/A,TRUE,"Contents";#N/A,#N/A,TRUE,"Basis";#N/A,#N/A,TRUE,"Inclusions";#N/A,#N/A,TRUE,"Exclusions";#N/A,#N/A,TRUE,"Areas";#N/A,#N/A,TRUE,"Summary";#N/A,#N/A,TRUE,"Detail"}</definedName>
    <definedName name="_______hp10" localSheetId="0" hidden="1">{#N/A,#N/A,TRUE,"Front";#N/A,#N/A,TRUE,"Simple Letter";#N/A,#N/A,TRUE,"Inside";#N/A,#N/A,TRUE,"Contents";#N/A,#N/A,TRUE,"Basis";#N/A,#N/A,TRUE,"Inclusions";#N/A,#N/A,TRUE,"Exclusions";#N/A,#N/A,TRUE,"Areas";#N/A,#N/A,TRUE,"Summary";#N/A,#N/A,TRUE,"Detail"}</definedName>
    <definedName name="_______hp10" hidden="1">{#N/A,#N/A,TRUE,"Front";#N/A,#N/A,TRUE,"Simple Letter";#N/A,#N/A,TRUE,"Inside";#N/A,#N/A,TRUE,"Contents";#N/A,#N/A,TRUE,"Basis";#N/A,#N/A,TRUE,"Inclusions";#N/A,#N/A,TRUE,"Exclusions";#N/A,#N/A,TRUE,"Areas";#N/A,#N/A,TRUE,"Summary";#N/A,#N/A,TRUE,"Detail"}</definedName>
    <definedName name="_______PA1" localSheetId="1" hidden="1">{#N/A,#N/A,TRUE,"Front";#N/A,#N/A,TRUE,"Simple Letter";#N/A,#N/A,TRUE,"Inside";#N/A,#N/A,TRUE,"Contents";#N/A,#N/A,TRUE,"Basis";#N/A,#N/A,TRUE,"Inclusions";#N/A,#N/A,TRUE,"Exclusions";#N/A,#N/A,TRUE,"Areas";#N/A,#N/A,TRUE,"Summary";#N/A,#N/A,TRUE,"Detail"}</definedName>
    <definedName name="_______PA1" localSheetId="0" hidden="1">{#N/A,#N/A,TRUE,"Front";#N/A,#N/A,TRUE,"Simple Letter";#N/A,#N/A,TRUE,"Inside";#N/A,#N/A,TRUE,"Contents";#N/A,#N/A,TRUE,"Basis";#N/A,#N/A,TRUE,"Inclusions";#N/A,#N/A,TRUE,"Exclusions";#N/A,#N/A,TRUE,"Areas";#N/A,#N/A,TRUE,"Summary";#N/A,#N/A,TRUE,"Detail"}</definedName>
    <definedName name="_______PA1" hidden="1">{#N/A,#N/A,TRUE,"Front";#N/A,#N/A,TRUE,"Simple Letter";#N/A,#N/A,TRUE,"Inside";#N/A,#N/A,TRUE,"Contents";#N/A,#N/A,TRUE,"Basis";#N/A,#N/A,TRUE,"Inclusions";#N/A,#N/A,TRUE,"Exclusions";#N/A,#N/A,TRUE,"Areas";#N/A,#N/A,TRUE,"Summary";#N/A,#N/A,TRUE,"Detail"}</definedName>
    <definedName name="_______RAB002" localSheetId="1" hidden="1">{#N/A,#N/A,TRUE,"Front";#N/A,#N/A,TRUE,"Simple Letter";#N/A,#N/A,TRUE,"Inside";#N/A,#N/A,TRUE,"Contents";#N/A,#N/A,TRUE,"Basis";#N/A,#N/A,TRUE,"Inclusions";#N/A,#N/A,TRUE,"Exclusions";#N/A,#N/A,TRUE,"Areas";#N/A,#N/A,TRUE,"Summary";#N/A,#N/A,TRUE,"Detail"}</definedName>
    <definedName name="_______RAB002" localSheetId="0" hidden="1">{#N/A,#N/A,TRUE,"Front";#N/A,#N/A,TRUE,"Simple Letter";#N/A,#N/A,TRUE,"Inside";#N/A,#N/A,TRUE,"Contents";#N/A,#N/A,TRUE,"Basis";#N/A,#N/A,TRUE,"Inclusions";#N/A,#N/A,TRUE,"Exclusions";#N/A,#N/A,TRUE,"Areas";#N/A,#N/A,TRUE,"Summary";#N/A,#N/A,TRUE,"Detail"}</definedName>
    <definedName name="_______RAB002" hidden="1">{#N/A,#N/A,TRUE,"Front";#N/A,#N/A,TRUE,"Simple Letter";#N/A,#N/A,TRUE,"Inside";#N/A,#N/A,TRUE,"Contents";#N/A,#N/A,TRUE,"Basis";#N/A,#N/A,TRUE,"Inclusions";#N/A,#N/A,TRUE,"Exclusions";#N/A,#N/A,TRUE,"Areas";#N/A,#N/A,TRUE,"Summary";#N/A,#N/A,TRUE,"Detail"}</definedName>
    <definedName name="_______tem1" localSheetId="1" hidden="1">{#N/A,#N/A,TRUE,"Front";#N/A,#N/A,TRUE,"Simple Letter";#N/A,#N/A,TRUE,"Inside";#N/A,#N/A,TRUE,"Contents";#N/A,#N/A,TRUE,"Basis";#N/A,#N/A,TRUE,"Inclusions";#N/A,#N/A,TRUE,"Exclusions";#N/A,#N/A,TRUE,"Areas";#N/A,#N/A,TRUE,"Summary";#N/A,#N/A,TRUE,"Detail"}</definedName>
    <definedName name="_______tem1" localSheetId="0" hidden="1">{#N/A,#N/A,TRUE,"Front";#N/A,#N/A,TRUE,"Simple Letter";#N/A,#N/A,TRUE,"Inside";#N/A,#N/A,TRUE,"Contents";#N/A,#N/A,TRUE,"Basis";#N/A,#N/A,TRUE,"Inclusions";#N/A,#N/A,TRUE,"Exclusions";#N/A,#N/A,TRUE,"Areas";#N/A,#N/A,TRUE,"Summary";#N/A,#N/A,TRUE,"Detail"}</definedName>
    <definedName name="_______tem1" hidden="1">{#N/A,#N/A,TRUE,"Front";#N/A,#N/A,TRUE,"Simple Letter";#N/A,#N/A,TRUE,"Inside";#N/A,#N/A,TRUE,"Contents";#N/A,#N/A,TRUE,"Basis";#N/A,#N/A,TRUE,"Inclusions";#N/A,#N/A,TRUE,"Exclusions";#N/A,#N/A,TRUE,"Areas";#N/A,#N/A,TRUE,"Summary";#N/A,#N/A,TRUE,"Detail"}</definedName>
    <definedName name="_______tm3" localSheetId="1" hidden="1">{#N/A,#N/A,TRUE,"Front";#N/A,#N/A,TRUE,"Simple Letter";#N/A,#N/A,TRUE,"Inside";#N/A,#N/A,TRUE,"Contents";#N/A,#N/A,TRUE,"Basis";#N/A,#N/A,TRUE,"Inclusions";#N/A,#N/A,TRUE,"Exclusions";#N/A,#N/A,TRUE,"Areas";#N/A,#N/A,TRUE,"Summary";#N/A,#N/A,TRUE,"Detail"}</definedName>
    <definedName name="_______tm3" localSheetId="0" hidden="1">{#N/A,#N/A,TRUE,"Front";#N/A,#N/A,TRUE,"Simple Letter";#N/A,#N/A,TRUE,"Inside";#N/A,#N/A,TRUE,"Contents";#N/A,#N/A,TRUE,"Basis";#N/A,#N/A,TRUE,"Inclusions";#N/A,#N/A,TRUE,"Exclusions";#N/A,#N/A,TRUE,"Areas";#N/A,#N/A,TRUE,"Summary";#N/A,#N/A,TRUE,"Detail"}</definedName>
    <definedName name="_______tm3" hidden="1">{#N/A,#N/A,TRUE,"Front";#N/A,#N/A,TRUE,"Simple Letter";#N/A,#N/A,TRUE,"Inside";#N/A,#N/A,TRUE,"Contents";#N/A,#N/A,TRUE,"Basis";#N/A,#N/A,TRUE,"Inclusions";#N/A,#N/A,TRUE,"Exclusions";#N/A,#N/A,TRUE,"Areas";#N/A,#N/A,TRUE,"Summary";#N/A,#N/A,TRUE,"Detail"}</definedName>
    <definedName name="______cat12" localSheetId="1" hidden="1">{#N/A,#N/A,TRUE,"Front";#N/A,#N/A,TRUE,"Simple Letter";#N/A,#N/A,TRUE,"Inside";#N/A,#N/A,TRUE,"Contents";#N/A,#N/A,TRUE,"Basis";#N/A,#N/A,TRUE,"Inclusions";#N/A,#N/A,TRUE,"Exclusions";#N/A,#N/A,TRUE,"Areas";#N/A,#N/A,TRUE,"Summary";#N/A,#N/A,TRUE,"Detail"}</definedName>
    <definedName name="______cat12" localSheetId="0" hidden="1">{#N/A,#N/A,TRUE,"Front";#N/A,#N/A,TRUE,"Simple Letter";#N/A,#N/A,TRUE,"Inside";#N/A,#N/A,TRUE,"Contents";#N/A,#N/A,TRUE,"Basis";#N/A,#N/A,TRUE,"Inclusions";#N/A,#N/A,TRUE,"Exclusions";#N/A,#N/A,TRUE,"Areas";#N/A,#N/A,TRUE,"Summary";#N/A,#N/A,TRUE,"Detail"}</definedName>
    <definedName name="______cat12" hidden="1">{#N/A,#N/A,TRUE,"Front";#N/A,#N/A,TRUE,"Simple Letter";#N/A,#N/A,TRUE,"Inside";#N/A,#N/A,TRUE,"Contents";#N/A,#N/A,TRUE,"Basis";#N/A,#N/A,TRUE,"Inclusions";#N/A,#N/A,TRUE,"Exclusions";#N/A,#N/A,TRUE,"Areas";#N/A,#N/A,TRUE,"Summary";#N/A,#N/A,TRUE,"Detail"}</definedName>
    <definedName name="______Feb06" localSheetId="1" hidden="1">{#N/A,#N/A,TRUE,"Front";#N/A,#N/A,TRUE,"Simple Letter";#N/A,#N/A,TRUE,"Inside";#N/A,#N/A,TRUE,"Contents";#N/A,#N/A,TRUE,"Basis";#N/A,#N/A,TRUE,"Inclusions";#N/A,#N/A,TRUE,"Exclusions";#N/A,#N/A,TRUE,"Areas";#N/A,#N/A,TRUE,"Summary";#N/A,#N/A,TRUE,"Detail"}</definedName>
    <definedName name="______Feb06" localSheetId="0" hidden="1">{#N/A,#N/A,TRUE,"Front";#N/A,#N/A,TRUE,"Simple Letter";#N/A,#N/A,TRUE,"Inside";#N/A,#N/A,TRUE,"Contents";#N/A,#N/A,TRUE,"Basis";#N/A,#N/A,TRUE,"Inclusions";#N/A,#N/A,TRUE,"Exclusions";#N/A,#N/A,TRUE,"Areas";#N/A,#N/A,TRUE,"Summary";#N/A,#N/A,TRUE,"Detail"}</definedName>
    <definedName name="______Feb06" hidden="1">{#N/A,#N/A,TRUE,"Front";#N/A,#N/A,TRUE,"Simple Letter";#N/A,#N/A,TRUE,"Inside";#N/A,#N/A,TRUE,"Contents";#N/A,#N/A,TRUE,"Basis";#N/A,#N/A,TRUE,"Inclusions";#N/A,#N/A,TRUE,"Exclusions";#N/A,#N/A,TRUE,"Areas";#N/A,#N/A,TRUE,"Summary";#N/A,#N/A,TRUE,"Detail"}</definedName>
    <definedName name="______HDD1111" localSheetId="1" hidden="1">{#N/A,#N/A,TRUE,"Front";#N/A,#N/A,TRUE,"Simple Letter";#N/A,#N/A,TRUE,"Inside";#N/A,#N/A,TRUE,"Contents";#N/A,#N/A,TRUE,"Basis";#N/A,#N/A,TRUE,"Inclusions";#N/A,#N/A,TRUE,"Exclusions";#N/A,#N/A,TRUE,"Areas";#N/A,#N/A,TRUE,"Summary";#N/A,#N/A,TRUE,"Detail"}</definedName>
    <definedName name="______HDD1111" localSheetId="0" hidden="1">{#N/A,#N/A,TRUE,"Front";#N/A,#N/A,TRUE,"Simple Letter";#N/A,#N/A,TRUE,"Inside";#N/A,#N/A,TRUE,"Contents";#N/A,#N/A,TRUE,"Basis";#N/A,#N/A,TRUE,"Inclusions";#N/A,#N/A,TRUE,"Exclusions";#N/A,#N/A,TRUE,"Areas";#N/A,#N/A,TRUE,"Summary";#N/A,#N/A,TRUE,"Detail"}</definedName>
    <definedName name="______HDD1111" hidden="1">{#N/A,#N/A,TRUE,"Front";#N/A,#N/A,TRUE,"Simple Letter";#N/A,#N/A,TRUE,"Inside";#N/A,#N/A,TRUE,"Contents";#N/A,#N/A,TRUE,"Basis";#N/A,#N/A,TRUE,"Inclusions";#N/A,#N/A,TRUE,"Exclusions";#N/A,#N/A,TRUE,"Areas";#N/A,#N/A,TRUE,"Summary";#N/A,#N/A,TRUE,"Detail"}</definedName>
    <definedName name="______hp10" localSheetId="1" hidden="1">{#N/A,#N/A,TRUE,"Front";#N/A,#N/A,TRUE,"Simple Letter";#N/A,#N/A,TRUE,"Inside";#N/A,#N/A,TRUE,"Contents";#N/A,#N/A,TRUE,"Basis";#N/A,#N/A,TRUE,"Inclusions";#N/A,#N/A,TRUE,"Exclusions";#N/A,#N/A,TRUE,"Areas";#N/A,#N/A,TRUE,"Summary";#N/A,#N/A,TRUE,"Detail"}</definedName>
    <definedName name="______hp10" localSheetId="0" hidden="1">{#N/A,#N/A,TRUE,"Front";#N/A,#N/A,TRUE,"Simple Letter";#N/A,#N/A,TRUE,"Inside";#N/A,#N/A,TRUE,"Contents";#N/A,#N/A,TRUE,"Basis";#N/A,#N/A,TRUE,"Inclusions";#N/A,#N/A,TRUE,"Exclusions";#N/A,#N/A,TRUE,"Areas";#N/A,#N/A,TRUE,"Summary";#N/A,#N/A,TRUE,"Detail"}</definedName>
    <definedName name="______hp10" hidden="1">{#N/A,#N/A,TRUE,"Front";#N/A,#N/A,TRUE,"Simple Letter";#N/A,#N/A,TRUE,"Inside";#N/A,#N/A,TRUE,"Contents";#N/A,#N/A,TRUE,"Basis";#N/A,#N/A,TRUE,"Inclusions";#N/A,#N/A,TRUE,"Exclusions";#N/A,#N/A,TRUE,"Areas";#N/A,#N/A,TRUE,"Summary";#N/A,#N/A,TRUE,"Detail"}</definedName>
    <definedName name="______PA1" localSheetId="1" hidden="1">{#N/A,#N/A,TRUE,"Front";#N/A,#N/A,TRUE,"Simple Letter";#N/A,#N/A,TRUE,"Inside";#N/A,#N/A,TRUE,"Contents";#N/A,#N/A,TRUE,"Basis";#N/A,#N/A,TRUE,"Inclusions";#N/A,#N/A,TRUE,"Exclusions";#N/A,#N/A,TRUE,"Areas";#N/A,#N/A,TRUE,"Summary";#N/A,#N/A,TRUE,"Detail"}</definedName>
    <definedName name="______PA1" localSheetId="0" hidden="1">{#N/A,#N/A,TRUE,"Front";#N/A,#N/A,TRUE,"Simple Letter";#N/A,#N/A,TRUE,"Inside";#N/A,#N/A,TRUE,"Contents";#N/A,#N/A,TRUE,"Basis";#N/A,#N/A,TRUE,"Inclusions";#N/A,#N/A,TRUE,"Exclusions";#N/A,#N/A,TRUE,"Areas";#N/A,#N/A,TRUE,"Summary";#N/A,#N/A,TRUE,"Detail"}</definedName>
    <definedName name="______PA1" hidden="1">{#N/A,#N/A,TRUE,"Front";#N/A,#N/A,TRUE,"Simple Letter";#N/A,#N/A,TRUE,"Inside";#N/A,#N/A,TRUE,"Contents";#N/A,#N/A,TRUE,"Basis";#N/A,#N/A,TRUE,"Inclusions";#N/A,#N/A,TRUE,"Exclusions";#N/A,#N/A,TRUE,"Areas";#N/A,#N/A,TRUE,"Summary";#N/A,#N/A,TRUE,"Detail"}</definedName>
    <definedName name="______RAB002" localSheetId="1" hidden="1">{#N/A,#N/A,TRUE,"Front";#N/A,#N/A,TRUE,"Simple Letter";#N/A,#N/A,TRUE,"Inside";#N/A,#N/A,TRUE,"Contents";#N/A,#N/A,TRUE,"Basis";#N/A,#N/A,TRUE,"Inclusions";#N/A,#N/A,TRUE,"Exclusions";#N/A,#N/A,TRUE,"Areas";#N/A,#N/A,TRUE,"Summary";#N/A,#N/A,TRUE,"Detail"}</definedName>
    <definedName name="______RAB002" localSheetId="0" hidden="1">{#N/A,#N/A,TRUE,"Front";#N/A,#N/A,TRUE,"Simple Letter";#N/A,#N/A,TRUE,"Inside";#N/A,#N/A,TRUE,"Contents";#N/A,#N/A,TRUE,"Basis";#N/A,#N/A,TRUE,"Inclusions";#N/A,#N/A,TRUE,"Exclusions";#N/A,#N/A,TRUE,"Areas";#N/A,#N/A,TRUE,"Summary";#N/A,#N/A,TRUE,"Detail"}</definedName>
    <definedName name="______RAB002" hidden="1">{#N/A,#N/A,TRUE,"Front";#N/A,#N/A,TRUE,"Simple Letter";#N/A,#N/A,TRUE,"Inside";#N/A,#N/A,TRUE,"Contents";#N/A,#N/A,TRUE,"Basis";#N/A,#N/A,TRUE,"Inclusions";#N/A,#N/A,TRUE,"Exclusions";#N/A,#N/A,TRUE,"Areas";#N/A,#N/A,TRUE,"Summary";#N/A,#N/A,TRUE,"Detail"}</definedName>
    <definedName name="______tem1" localSheetId="1" hidden="1">{#N/A,#N/A,TRUE,"Front";#N/A,#N/A,TRUE,"Simple Letter";#N/A,#N/A,TRUE,"Inside";#N/A,#N/A,TRUE,"Contents";#N/A,#N/A,TRUE,"Basis";#N/A,#N/A,TRUE,"Inclusions";#N/A,#N/A,TRUE,"Exclusions";#N/A,#N/A,TRUE,"Areas";#N/A,#N/A,TRUE,"Summary";#N/A,#N/A,TRUE,"Detail"}</definedName>
    <definedName name="______tem1" localSheetId="0" hidden="1">{#N/A,#N/A,TRUE,"Front";#N/A,#N/A,TRUE,"Simple Letter";#N/A,#N/A,TRUE,"Inside";#N/A,#N/A,TRUE,"Contents";#N/A,#N/A,TRUE,"Basis";#N/A,#N/A,TRUE,"Inclusions";#N/A,#N/A,TRUE,"Exclusions";#N/A,#N/A,TRUE,"Areas";#N/A,#N/A,TRUE,"Summary";#N/A,#N/A,TRUE,"Detail"}</definedName>
    <definedName name="______tem1" hidden="1">{#N/A,#N/A,TRUE,"Front";#N/A,#N/A,TRUE,"Simple Letter";#N/A,#N/A,TRUE,"Inside";#N/A,#N/A,TRUE,"Contents";#N/A,#N/A,TRUE,"Basis";#N/A,#N/A,TRUE,"Inclusions";#N/A,#N/A,TRUE,"Exclusions";#N/A,#N/A,TRUE,"Areas";#N/A,#N/A,TRUE,"Summary";#N/A,#N/A,TRUE,"Detail"}</definedName>
    <definedName name="______tm3" localSheetId="1" hidden="1">{#N/A,#N/A,TRUE,"Front";#N/A,#N/A,TRUE,"Simple Letter";#N/A,#N/A,TRUE,"Inside";#N/A,#N/A,TRUE,"Contents";#N/A,#N/A,TRUE,"Basis";#N/A,#N/A,TRUE,"Inclusions";#N/A,#N/A,TRUE,"Exclusions";#N/A,#N/A,TRUE,"Areas";#N/A,#N/A,TRUE,"Summary";#N/A,#N/A,TRUE,"Detail"}</definedName>
    <definedName name="______tm3" localSheetId="0" hidden="1">{#N/A,#N/A,TRUE,"Front";#N/A,#N/A,TRUE,"Simple Letter";#N/A,#N/A,TRUE,"Inside";#N/A,#N/A,TRUE,"Contents";#N/A,#N/A,TRUE,"Basis";#N/A,#N/A,TRUE,"Inclusions";#N/A,#N/A,TRUE,"Exclusions";#N/A,#N/A,TRUE,"Areas";#N/A,#N/A,TRUE,"Summary";#N/A,#N/A,TRUE,"Detail"}</definedName>
    <definedName name="______tm3" hidden="1">{#N/A,#N/A,TRUE,"Front";#N/A,#N/A,TRUE,"Simple Letter";#N/A,#N/A,TRUE,"Inside";#N/A,#N/A,TRUE,"Contents";#N/A,#N/A,TRUE,"Basis";#N/A,#N/A,TRUE,"Inclusions";#N/A,#N/A,TRUE,"Exclusions";#N/A,#N/A,TRUE,"Areas";#N/A,#N/A,TRUE,"Summary";#N/A,#N/A,TRUE,"Detail"}</definedName>
    <definedName name="_____cat12" localSheetId="1" hidden="1">{#N/A,#N/A,TRUE,"Front";#N/A,#N/A,TRUE,"Simple Letter";#N/A,#N/A,TRUE,"Inside";#N/A,#N/A,TRUE,"Contents";#N/A,#N/A,TRUE,"Basis";#N/A,#N/A,TRUE,"Inclusions";#N/A,#N/A,TRUE,"Exclusions";#N/A,#N/A,TRUE,"Areas";#N/A,#N/A,TRUE,"Summary";#N/A,#N/A,TRUE,"Detail"}</definedName>
    <definedName name="_____cat12" localSheetId="0" hidden="1">{#N/A,#N/A,TRUE,"Front";#N/A,#N/A,TRUE,"Simple Letter";#N/A,#N/A,TRUE,"Inside";#N/A,#N/A,TRUE,"Contents";#N/A,#N/A,TRUE,"Basis";#N/A,#N/A,TRUE,"Inclusions";#N/A,#N/A,TRUE,"Exclusions";#N/A,#N/A,TRUE,"Areas";#N/A,#N/A,TRUE,"Summary";#N/A,#N/A,TRUE,"Detail"}</definedName>
    <definedName name="_____cat12" hidden="1">{#N/A,#N/A,TRUE,"Front";#N/A,#N/A,TRUE,"Simple Letter";#N/A,#N/A,TRUE,"Inside";#N/A,#N/A,TRUE,"Contents";#N/A,#N/A,TRUE,"Basis";#N/A,#N/A,TRUE,"Inclusions";#N/A,#N/A,TRUE,"Exclusions";#N/A,#N/A,TRUE,"Areas";#N/A,#N/A,TRUE,"Summary";#N/A,#N/A,TRUE,"Detail"}</definedName>
    <definedName name="_____Feb06" localSheetId="1" hidden="1">{#N/A,#N/A,TRUE,"Front";#N/A,#N/A,TRUE,"Simple Letter";#N/A,#N/A,TRUE,"Inside";#N/A,#N/A,TRUE,"Contents";#N/A,#N/A,TRUE,"Basis";#N/A,#N/A,TRUE,"Inclusions";#N/A,#N/A,TRUE,"Exclusions";#N/A,#N/A,TRUE,"Areas";#N/A,#N/A,TRUE,"Summary";#N/A,#N/A,TRUE,"Detail"}</definedName>
    <definedName name="_____Feb06" localSheetId="0" hidden="1">{#N/A,#N/A,TRUE,"Front";#N/A,#N/A,TRUE,"Simple Letter";#N/A,#N/A,TRUE,"Inside";#N/A,#N/A,TRUE,"Contents";#N/A,#N/A,TRUE,"Basis";#N/A,#N/A,TRUE,"Inclusions";#N/A,#N/A,TRUE,"Exclusions";#N/A,#N/A,TRUE,"Areas";#N/A,#N/A,TRUE,"Summary";#N/A,#N/A,TRUE,"Detail"}</definedName>
    <definedName name="_____Feb06" hidden="1">{#N/A,#N/A,TRUE,"Front";#N/A,#N/A,TRUE,"Simple Letter";#N/A,#N/A,TRUE,"Inside";#N/A,#N/A,TRUE,"Contents";#N/A,#N/A,TRUE,"Basis";#N/A,#N/A,TRUE,"Inclusions";#N/A,#N/A,TRUE,"Exclusions";#N/A,#N/A,TRUE,"Areas";#N/A,#N/A,TRUE,"Summary";#N/A,#N/A,TRUE,"Detail"}</definedName>
    <definedName name="_____HDD1111" localSheetId="1" hidden="1">{#N/A,#N/A,TRUE,"Front";#N/A,#N/A,TRUE,"Simple Letter";#N/A,#N/A,TRUE,"Inside";#N/A,#N/A,TRUE,"Contents";#N/A,#N/A,TRUE,"Basis";#N/A,#N/A,TRUE,"Inclusions";#N/A,#N/A,TRUE,"Exclusions";#N/A,#N/A,TRUE,"Areas";#N/A,#N/A,TRUE,"Summary";#N/A,#N/A,TRUE,"Detail"}</definedName>
    <definedName name="_____HDD1111" localSheetId="0" hidden="1">{#N/A,#N/A,TRUE,"Front";#N/A,#N/A,TRUE,"Simple Letter";#N/A,#N/A,TRUE,"Inside";#N/A,#N/A,TRUE,"Contents";#N/A,#N/A,TRUE,"Basis";#N/A,#N/A,TRUE,"Inclusions";#N/A,#N/A,TRUE,"Exclusions";#N/A,#N/A,TRUE,"Areas";#N/A,#N/A,TRUE,"Summary";#N/A,#N/A,TRUE,"Detail"}</definedName>
    <definedName name="_____HDD1111" hidden="1">{#N/A,#N/A,TRUE,"Front";#N/A,#N/A,TRUE,"Simple Letter";#N/A,#N/A,TRUE,"Inside";#N/A,#N/A,TRUE,"Contents";#N/A,#N/A,TRUE,"Basis";#N/A,#N/A,TRUE,"Inclusions";#N/A,#N/A,TRUE,"Exclusions";#N/A,#N/A,TRUE,"Areas";#N/A,#N/A,TRUE,"Summary";#N/A,#N/A,TRUE,"Detail"}</definedName>
    <definedName name="_____hp10" localSheetId="1" hidden="1">{#N/A,#N/A,TRUE,"Front";#N/A,#N/A,TRUE,"Simple Letter";#N/A,#N/A,TRUE,"Inside";#N/A,#N/A,TRUE,"Contents";#N/A,#N/A,TRUE,"Basis";#N/A,#N/A,TRUE,"Inclusions";#N/A,#N/A,TRUE,"Exclusions";#N/A,#N/A,TRUE,"Areas";#N/A,#N/A,TRUE,"Summary";#N/A,#N/A,TRUE,"Detail"}</definedName>
    <definedName name="_____hp10" localSheetId="0" hidden="1">{#N/A,#N/A,TRUE,"Front";#N/A,#N/A,TRUE,"Simple Letter";#N/A,#N/A,TRUE,"Inside";#N/A,#N/A,TRUE,"Contents";#N/A,#N/A,TRUE,"Basis";#N/A,#N/A,TRUE,"Inclusions";#N/A,#N/A,TRUE,"Exclusions";#N/A,#N/A,TRUE,"Areas";#N/A,#N/A,TRUE,"Summary";#N/A,#N/A,TRUE,"Detail"}</definedName>
    <definedName name="_____hp10" hidden="1">{#N/A,#N/A,TRUE,"Front";#N/A,#N/A,TRUE,"Simple Letter";#N/A,#N/A,TRUE,"Inside";#N/A,#N/A,TRUE,"Contents";#N/A,#N/A,TRUE,"Basis";#N/A,#N/A,TRUE,"Inclusions";#N/A,#N/A,TRUE,"Exclusions";#N/A,#N/A,TRUE,"Areas";#N/A,#N/A,TRUE,"Summary";#N/A,#N/A,TRUE,"Detail"}</definedName>
    <definedName name="_____PA1" localSheetId="1" hidden="1">{#N/A,#N/A,TRUE,"Front";#N/A,#N/A,TRUE,"Simple Letter";#N/A,#N/A,TRUE,"Inside";#N/A,#N/A,TRUE,"Contents";#N/A,#N/A,TRUE,"Basis";#N/A,#N/A,TRUE,"Inclusions";#N/A,#N/A,TRUE,"Exclusions";#N/A,#N/A,TRUE,"Areas";#N/A,#N/A,TRUE,"Summary";#N/A,#N/A,TRUE,"Detail"}</definedName>
    <definedName name="_____PA1" localSheetId="0" hidden="1">{#N/A,#N/A,TRUE,"Front";#N/A,#N/A,TRUE,"Simple Letter";#N/A,#N/A,TRUE,"Inside";#N/A,#N/A,TRUE,"Contents";#N/A,#N/A,TRUE,"Basis";#N/A,#N/A,TRUE,"Inclusions";#N/A,#N/A,TRUE,"Exclusions";#N/A,#N/A,TRUE,"Areas";#N/A,#N/A,TRUE,"Summary";#N/A,#N/A,TRUE,"Detail"}</definedName>
    <definedName name="_____PA1" hidden="1">{#N/A,#N/A,TRUE,"Front";#N/A,#N/A,TRUE,"Simple Letter";#N/A,#N/A,TRUE,"Inside";#N/A,#N/A,TRUE,"Contents";#N/A,#N/A,TRUE,"Basis";#N/A,#N/A,TRUE,"Inclusions";#N/A,#N/A,TRUE,"Exclusions";#N/A,#N/A,TRUE,"Areas";#N/A,#N/A,TRUE,"Summary";#N/A,#N/A,TRUE,"Detail"}</definedName>
    <definedName name="_____RAB002" localSheetId="1" hidden="1">{#N/A,#N/A,TRUE,"Front";#N/A,#N/A,TRUE,"Simple Letter";#N/A,#N/A,TRUE,"Inside";#N/A,#N/A,TRUE,"Contents";#N/A,#N/A,TRUE,"Basis";#N/A,#N/A,TRUE,"Inclusions";#N/A,#N/A,TRUE,"Exclusions";#N/A,#N/A,TRUE,"Areas";#N/A,#N/A,TRUE,"Summary";#N/A,#N/A,TRUE,"Detail"}</definedName>
    <definedName name="_____RAB002" localSheetId="0" hidden="1">{#N/A,#N/A,TRUE,"Front";#N/A,#N/A,TRUE,"Simple Letter";#N/A,#N/A,TRUE,"Inside";#N/A,#N/A,TRUE,"Contents";#N/A,#N/A,TRUE,"Basis";#N/A,#N/A,TRUE,"Inclusions";#N/A,#N/A,TRUE,"Exclusions";#N/A,#N/A,TRUE,"Areas";#N/A,#N/A,TRUE,"Summary";#N/A,#N/A,TRUE,"Detail"}</definedName>
    <definedName name="_____RAB002" hidden="1">{#N/A,#N/A,TRUE,"Front";#N/A,#N/A,TRUE,"Simple Letter";#N/A,#N/A,TRUE,"Inside";#N/A,#N/A,TRUE,"Contents";#N/A,#N/A,TRUE,"Basis";#N/A,#N/A,TRUE,"Inclusions";#N/A,#N/A,TRUE,"Exclusions";#N/A,#N/A,TRUE,"Areas";#N/A,#N/A,TRUE,"Summary";#N/A,#N/A,TRUE,"Detail"}</definedName>
    <definedName name="_____tem1" localSheetId="1" hidden="1">{#N/A,#N/A,TRUE,"Front";#N/A,#N/A,TRUE,"Simple Letter";#N/A,#N/A,TRUE,"Inside";#N/A,#N/A,TRUE,"Contents";#N/A,#N/A,TRUE,"Basis";#N/A,#N/A,TRUE,"Inclusions";#N/A,#N/A,TRUE,"Exclusions";#N/A,#N/A,TRUE,"Areas";#N/A,#N/A,TRUE,"Summary";#N/A,#N/A,TRUE,"Detail"}</definedName>
    <definedName name="_____tem1" localSheetId="0" hidden="1">{#N/A,#N/A,TRUE,"Front";#N/A,#N/A,TRUE,"Simple Letter";#N/A,#N/A,TRUE,"Inside";#N/A,#N/A,TRUE,"Contents";#N/A,#N/A,TRUE,"Basis";#N/A,#N/A,TRUE,"Inclusions";#N/A,#N/A,TRUE,"Exclusions";#N/A,#N/A,TRUE,"Areas";#N/A,#N/A,TRUE,"Summary";#N/A,#N/A,TRUE,"Detail"}</definedName>
    <definedName name="_____tem1" hidden="1">{#N/A,#N/A,TRUE,"Front";#N/A,#N/A,TRUE,"Simple Letter";#N/A,#N/A,TRUE,"Inside";#N/A,#N/A,TRUE,"Contents";#N/A,#N/A,TRUE,"Basis";#N/A,#N/A,TRUE,"Inclusions";#N/A,#N/A,TRUE,"Exclusions";#N/A,#N/A,TRUE,"Areas";#N/A,#N/A,TRUE,"Summary";#N/A,#N/A,TRUE,"Detail"}</definedName>
    <definedName name="_____tm3" localSheetId="1" hidden="1">{#N/A,#N/A,TRUE,"Front";#N/A,#N/A,TRUE,"Simple Letter";#N/A,#N/A,TRUE,"Inside";#N/A,#N/A,TRUE,"Contents";#N/A,#N/A,TRUE,"Basis";#N/A,#N/A,TRUE,"Inclusions";#N/A,#N/A,TRUE,"Exclusions";#N/A,#N/A,TRUE,"Areas";#N/A,#N/A,TRUE,"Summary";#N/A,#N/A,TRUE,"Detail"}</definedName>
    <definedName name="_____tm3" localSheetId="0" hidden="1">{#N/A,#N/A,TRUE,"Front";#N/A,#N/A,TRUE,"Simple Letter";#N/A,#N/A,TRUE,"Inside";#N/A,#N/A,TRUE,"Contents";#N/A,#N/A,TRUE,"Basis";#N/A,#N/A,TRUE,"Inclusions";#N/A,#N/A,TRUE,"Exclusions";#N/A,#N/A,TRUE,"Areas";#N/A,#N/A,TRUE,"Summary";#N/A,#N/A,TRUE,"Detail"}</definedName>
    <definedName name="_____tm3" hidden="1">{#N/A,#N/A,TRUE,"Front";#N/A,#N/A,TRUE,"Simple Letter";#N/A,#N/A,TRUE,"Inside";#N/A,#N/A,TRUE,"Contents";#N/A,#N/A,TRUE,"Basis";#N/A,#N/A,TRUE,"Inclusions";#N/A,#N/A,TRUE,"Exclusions";#N/A,#N/A,TRUE,"Areas";#N/A,#N/A,TRUE,"Summary";#N/A,#N/A,TRUE,"Detail"}</definedName>
    <definedName name="____cat12" localSheetId="1" hidden="1">{#N/A,#N/A,TRUE,"Front";#N/A,#N/A,TRUE,"Simple Letter";#N/A,#N/A,TRUE,"Inside";#N/A,#N/A,TRUE,"Contents";#N/A,#N/A,TRUE,"Basis";#N/A,#N/A,TRUE,"Inclusions";#N/A,#N/A,TRUE,"Exclusions";#N/A,#N/A,TRUE,"Areas";#N/A,#N/A,TRUE,"Summary";#N/A,#N/A,TRUE,"Detail"}</definedName>
    <definedName name="____cat12" localSheetId="0"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_d2" localSheetId="1" hidden="1">{#N/A,#N/A,FALSE,"mgtsum.XLS";#N/A,#N/A,FALSE,"CAPONE";#N/A,#N/A,FALSE,"CAPTWO";#N/A,#N/A,FALSE,"CAPTHREE"}</definedName>
    <definedName name="____d2" localSheetId="0" hidden="1">{#N/A,#N/A,FALSE,"mgtsum.XLS";#N/A,#N/A,FALSE,"CAPONE";#N/A,#N/A,FALSE,"CAPTWO";#N/A,#N/A,FALSE,"CAPTHREE"}</definedName>
    <definedName name="____d2" hidden="1">{#N/A,#N/A,FALSE,"mgtsum.XLS";#N/A,#N/A,FALSE,"CAPONE";#N/A,#N/A,FALSE,"CAPTWO";#N/A,#N/A,FALSE,"CAPTHREE"}</definedName>
    <definedName name="____Feb06" localSheetId="1" hidden="1">{#N/A,#N/A,TRUE,"Front";#N/A,#N/A,TRUE,"Simple Letter";#N/A,#N/A,TRUE,"Inside";#N/A,#N/A,TRUE,"Contents";#N/A,#N/A,TRUE,"Basis";#N/A,#N/A,TRUE,"Inclusions";#N/A,#N/A,TRUE,"Exclusions";#N/A,#N/A,TRUE,"Areas";#N/A,#N/A,TRUE,"Summary";#N/A,#N/A,TRUE,"Detail"}</definedName>
    <definedName name="____Feb06" localSheetId="0" hidden="1">{#N/A,#N/A,TRUE,"Front";#N/A,#N/A,TRUE,"Simple Letter";#N/A,#N/A,TRUE,"Inside";#N/A,#N/A,TRUE,"Contents";#N/A,#N/A,TRUE,"Basis";#N/A,#N/A,TRUE,"Inclusions";#N/A,#N/A,TRUE,"Exclusions";#N/A,#N/A,TRUE,"Areas";#N/A,#N/A,TRUE,"Summary";#N/A,#N/A,TRUE,"Detail"}</definedName>
    <definedName name="____Feb06" hidden="1">{#N/A,#N/A,TRUE,"Front";#N/A,#N/A,TRUE,"Simple Letter";#N/A,#N/A,TRUE,"Inside";#N/A,#N/A,TRUE,"Contents";#N/A,#N/A,TRUE,"Basis";#N/A,#N/A,TRUE,"Inclusions";#N/A,#N/A,TRUE,"Exclusions";#N/A,#N/A,TRUE,"Areas";#N/A,#N/A,TRUE,"Summary";#N/A,#N/A,TRUE,"Detail"}</definedName>
    <definedName name="____HDD1111" localSheetId="1" hidden="1">{#N/A,#N/A,TRUE,"Front";#N/A,#N/A,TRUE,"Simple Letter";#N/A,#N/A,TRUE,"Inside";#N/A,#N/A,TRUE,"Contents";#N/A,#N/A,TRUE,"Basis";#N/A,#N/A,TRUE,"Inclusions";#N/A,#N/A,TRUE,"Exclusions";#N/A,#N/A,TRUE,"Areas";#N/A,#N/A,TRUE,"Summary";#N/A,#N/A,TRUE,"Detail"}</definedName>
    <definedName name="____HDD1111" localSheetId="0" hidden="1">{#N/A,#N/A,TRUE,"Front";#N/A,#N/A,TRUE,"Simple Letter";#N/A,#N/A,TRUE,"Inside";#N/A,#N/A,TRUE,"Contents";#N/A,#N/A,TRUE,"Basis";#N/A,#N/A,TRUE,"Inclusions";#N/A,#N/A,TRUE,"Exclusions";#N/A,#N/A,TRUE,"Areas";#N/A,#N/A,TRUE,"Summary";#N/A,#N/A,TRUE,"Detail"}</definedName>
    <definedName name="____HDD1111" hidden="1">{#N/A,#N/A,TRUE,"Front";#N/A,#N/A,TRUE,"Simple Letter";#N/A,#N/A,TRUE,"Inside";#N/A,#N/A,TRUE,"Contents";#N/A,#N/A,TRUE,"Basis";#N/A,#N/A,TRUE,"Inclusions";#N/A,#N/A,TRUE,"Exclusions";#N/A,#N/A,TRUE,"Areas";#N/A,#N/A,TRUE,"Summary";#N/A,#N/A,TRUE,"Detail"}</definedName>
    <definedName name="____hp10" localSheetId="1" hidden="1">{#N/A,#N/A,TRUE,"Front";#N/A,#N/A,TRUE,"Simple Letter";#N/A,#N/A,TRUE,"Inside";#N/A,#N/A,TRUE,"Contents";#N/A,#N/A,TRUE,"Basis";#N/A,#N/A,TRUE,"Inclusions";#N/A,#N/A,TRUE,"Exclusions";#N/A,#N/A,TRUE,"Areas";#N/A,#N/A,TRUE,"Summary";#N/A,#N/A,TRUE,"Detail"}</definedName>
    <definedName name="____hp10" localSheetId="0" hidden="1">{#N/A,#N/A,TRUE,"Front";#N/A,#N/A,TRUE,"Simple Letter";#N/A,#N/A,TRUE,"Inside";#N/A,#N/A,TRUE,"Contents";#N/A,#N/A,TRUE,"Basis";#N/A,#N/A,TRUE,"Inclusions";#N/A,#N/A,TRUE,"Exclusions";#N/A,#N/A,TRUE,"Areas";#N/A,#N/A,TRUE,"Summary";#N/A,#N/A,TRUE,"Detail"}</definedName>
    <definedName name="____hp10" hidden="1">{#N/A,#N/A,TRUE,"Front";#N/A,#N/A,TRUE,"Simple Letter";#N/A,#N/A,TRUE,"Inside";#N/A,#N/A,TRUE,"Contents";#N/A,#N/A,TRUE,"Basis";#N/A,#N/A,TRUE,"Inclusions";#N/A,#N/A,TRUE,"Exclusions";#N/A,#N/A,TRUE,"Areas";#N/A,#N/A,TRUE,"Summary";#N/A,#N/A,TRUE,"Detail"}</definedName>
    <definedName name="____PA1" localSheetId="1" hidden="1">{#N/A,#N/A,TRUE,"Front";#N/A,#N/A,TRUE,"Simple Letter";#N/A,#N/A,TRUE,"Inside";#N/A,#N/A,TRUE,"Contents";#N/A,#N/A,TRUE,"Basis";#N/A,#N/A,TRUE,"Inclusions";#N/A,#N/A,TRUE,"Exclusions";#N/A,#N/A,TRUE,"Areas";#N/A,#N/A,TRUE,"Summary";#N/A,#N/A,TRUE,"Detail"}</definedName>
    <definedName name="____PA1" localSheetId="0" hidden="1">{#N/A,#N/A,TRUE,"Front";#N/A,#N/A,TRUE,"Simple Letter";#N/A,#N/A,TRUE,"Inside";#N/A,#N/A,TRUE,"Contents";#N/A,#N/A,TRUE,"Basis";#N/A,#N/A,TRUE,"Inclusions";#N/A,#N/A,TRUE,"Exclusions";#N/A,#N/A,TRUE,"Areas";#N/A,#N/A,TRUE,"Summary";#N/A,#N/A,TRUE,"Detail"}</definedName>
    <definedName name="____PA1" hidden="1">{#N/A,#N/A,TRUE,"Front";#N/A,#N/A,TRUE,"Simple Letter";#N/A,#N/A,TRUE,"Inside";#N/A,#N/A,TRUE,"Contents";#N/A,#N/A,TRUE,"Basis";#N/A,#N/A,TRUE,"Inclusions";#N/A,#N/A,TRUE,"Exclusions";#N/A,#N/A,TRUE,"Areas";#N/A,#N/A,TRUE,"Summary";#N/A,#N/A,TRUE,"Detail"}</definedName>
    <definedName name="____RAB002" localSheetId="1" hidden="1">{#N/A,#N/A,TRUE,"Front";#N/A,#N/A,TRUE,"Simple Letter";#N/A,#N/A,TRUE,"Inside";#N/A,#N/A,TRUE,"Contents";#N/A,#N/A,TRUE,"Basis";#N/A,#N/A,TRUE,"Inclusions";#N/A,#N/A,TRUE,"Exclusions";#N/A,#N/A,TRUE,"Areas";#N/A,#N/A,TRUE,"Summary";#N/A,#N/A,TRUE,"Detail"}</definedName>
    <definedName name="____RAB002" localSheetId="0" hidden="1">{#N/A,#N/A,TRUE,"Front";#N/A,#N/A,TRUE,"Simple Letter";#N/A,#N/A,TRUE,"Inside";#N/A,#N/A,TRUE,"Contents";#N/A,#N/A,TRUE,"Basis";#N/A,#N/A,TRUE,"Inclusions";#N/A,#N/A,TRUE,"Exclusions";#N/A,#N/A,TRUE,"Areas";#N/A,#N/A,TRUE,"Summary";#N/A,#N/A,TRUE,"Detail"}</definedName>
    <definedName name="____RAB002" hidden="1">{#N/A,#N/A,TRUE,"Front";#N/A,#N/A,TRUE,"Simple Letter";#N/A,#N/A,TRUE,"Inside";#N/A,#N/A,TRUE,"Contents";#N/A,#N/A,TRUE,"Basis";#N/A,#N/A,TRUE,"Inclusions";#N/A,#N/A,TRUE,"Exclusions";#N/A,#N/A,TRUE,"Areas";#N/A,#N/A,TRUE,"Summary";#N/A,#N/A,TRUE,"Detail"}</definedName>
    <definedName name="____t2" localSheetId="1" hidden="1">{#N/A,#N/A,TRUE,"Front";#N/A,#N/A,TRUE,"Simple Letter";#N/A,#N/A,TRUE,"Inside";#N/A,#N/A,TRUE,"Contents";#N/A,#N/A,TRUE,"Basis";#N/A,#N/A,TRUE,"Inclusions";#N/A,#N/A,TRUE,"Exclusions";#N/A,#N/A,TRUE,"Areas";#N/A,#N/A,TRUE,"Summary";#N/A,#N/A,TRUE,"Detail"}</definedName>
    <definedName name="____t2" localSheetId="0" hidden="1">{#N/A,#N/A,TRUE,"Front";#N/A,#N/A,TRUE,"Simple Letter";#N/A,#N/A,TRUE,"Inside";#N/A,#N/A,TRUE,"Contents";#N/A,#N/A,TRUE,"Basis";#N/A,#N/A,TRUE,"Inclusions";#N/A,#N/A,TRUE,"Exclusions";#N/A,#N/A,TRUE,"Areas";#N/A,#N/A,TRUE,"Summary";#N/A,#N/A,TRUE,"Detail"}</definedName>
    <definedName name="____t2" hidden="1">{#N/A,#N/A,TRUE,"Front";#N/A,#N/A,TRUE,"Simple Letter";#N/A,#N/A,TRUE,"Inside";#N/A,#N/A,TRUE,"Contents";#N/A,#N/A,TRUE,"Basis";#N/A,#N/A,TRUE,"Inclusions";#N/A,#N/A,TRUE,"Exclusions";#N/A,#N/A,TRUE,"Areas";#N/A,#N/A,TRUE,"Summary";#N/A,#N/A,TRUE,"Detail"}</definedName>
    <definedName name="____tem1" localSheetId="1" hidden="1">{#N/A,#N/A,TRUE,"Front";#N/A,#N/A,TRUE,"Simple Letter";#N/A,#N/A,TRUE,"Inside";#N/A,#N/A,TRUE,"Contents";#N/A,#N/A,TRUE,"Basis";#N/A,#N/A,TRUE,"Inclusions";#N/A,#N/A,TRUE,"Exclusions";#N/A,#N/A,TRUE,"Areas";#N/A,#N/A,TRUE,"Summary";#N/A,#N/A,TRUE,"Detail"}</definedName>
    <definedName name="____tem1" localSheetId="0" hidden="1">{#N/A,#N/A,TRUE,"Front";#N/A,#N/A,TRUE,"Simple Letter";#N/A,#N/A,TRUE,"Inside";#N/A,#N/A,TRUE,"Contents";#N/A,#N/A,TRUE,"Basis";#N/A,#N/A,TRUE,"Inclusions";#N/A,#N/A,TRUE,"Exclusions";#N/A,#N/A,TRUE,"Areas";#N/A,#N/A,TRUE,"Summary";#N/A,#N/A,TRUE,"Detail"}</definedName>
    <definedName name="____tem1" hidden="1">{#N/A,#N/A,TRUE,"Front";#N/A,#N/A,TRUE,"Simple Letter";#N/A,#N/A,TRUE,"Inside";#N/A,#N/A,TRUE,"Contents";#N/A,#N/A,TRUE,"Basis";#N/A,#N/A,TRUE,"Inclusions";#N/A,#N/A,TRUE,"Exclusions";#N/A,#N/A,TRUE,"Areas";#N/A,#N/A,TRUE,"Summary";#N/A,#N/A,TRUE,"Detail"}</definedName>
    <definedName name="____tm3" localSheetId="1" hidden="1">{#N/A,#N/A,TRUE,"Front";#N/A,#N/A,TRUE,"Simple Letter";#N/A,#N/A,TRUE,"Inside";#N/A,#N/A,TRUE,"Contents";#N/A,#N/A,TRUE,"Basis";#N/A,#N/A,TRUE,"Inclusions";#N/A,#N/A,TRUE,"Exclusions";#N/A,#N/A,TRUE,"Areas";#N/A,#N/A,TRUE,"Summary";#N/A,#N/A,TRUE,"Detail"}</definedName>
    <definedName name="____tm3" localSheetId="0" hidden="1">{#N/A,#N/A,TRUE,"Front";#N/A,#N/A,TRUE,"Simple Letter";#N/A,#N/A,TRUE,"Inside";#N/A,#N/A,TRUE,"Contents";#N/A,#N/A,TRUE,"Basis";#N/A,#N/A,TRUE,"Inclusions";#N/A,#N/A,TRUE,"Exclusions";#N/A,#N/A,TRUE,"Areas";#N/A,#N/A,TRUE,"Summary";#N/A,#N/A,TRUE,"Detail"}</definedName>
    <definedName name="____tm3" hidden="1">{#N/A,#N/A,TRUE,"Front";#N/A,#N/A,TRUE,"Simple Letter";#N/A,#N/A,TRUE,"Inside";#N/A,#N/A,TRUE,"Contents";#N/A,#N/A,TRUE,"Basis";#N/A,#N/A,TRUE,"Inclusions";#N/A,#N/A,TRUE,"Exclusions";#N/A,#N/A,TRUE,"Areas";#N/A,#N/A,TRUE,"Summary";#N/A,#N/A,TRUE,"Detail"}</definedName>
    <definedName name="___cat12" localSheetId="1" hidden="1">{#N/A,#N/A,TRUE,"Front";#N/A,#N/A,TRUE,"Simple Letter";#N/A,#N/A,TRUE,"Inside";#N/A,#N/A,TRUE,"Contents";#N/A,#N/A,TRUE,"Basis";#N/A,#N/A,TRUE,"Inclusions";#N/A,#N/A,TRUE,"Exclusions";#N/A,#N/A,TRUE,"Areas";#N/A,#N/A,TRUE,"Summary";#N/A,#N/A,TRUE,"Detail"}</definedName>
    <definedName name="___cat12" localSheetId="0"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d2" localSheetId="1" hidden="1">{#N/A,#N/A,FALSE,"mgtsum.XLS";#N/A,#N/A,FALSE,"CAPONE";#N/A,#N/A,FALSE,"CAPTWO";#N/A,#N/A,FALSE,"CAPTHREE"}</definedName>
    <definedName name="___d2" localSheetId="0" hidden="1">{#N/A,#N/A,FALSE,"mgtsum.XLS";#N/A,#N/A,FALSE,"CAPONE";#N/A,#N/A,FALSE,"CAPTWO";#N/A,#N/A,FALSE,"CAPTHREE"}</definedName>
    <definedName name="___d2" hidden="1">{#N/A,#N/A,FALSE,"mgtsum.XLS";#N/A,#N/A,FALSE,"CAPONE";#N/A,#N/A,FALSE,"CAPTWO";#N/A,#N/A,FALSE,"CAPTHREE"}</definedName>
    <definedName name="___fco2" localSheetId="1" hidden="1">{#N/A,#N/A,FALSE,"gc (2)"}</definedName>
    <definedName name="___fco2" localSheetId="0" hidden="1">{#N/A,#N/A,FALSE,"gc (2)"}</definedName>
    <definedName name="___fco2" hidden="1">{#N/A,#N/A,FALSE,"gc (2)"}</definedName>
    <definedName name="___Feb06" localSheetId="1" hidden="1">{#N/A,#N/A,TRUE,"Front";#N/A,#N/A,TRUE,"Simple Letter";#N/A,#N/A,TRUE,"Inside";#N/A,#N/A,TRUE,"Contents";#N/A,#N/A,TRUE,"Basis";#N/A,#N/A,TRUE,"Inclusions";#N/A,#N/A,TRUE,"Exclusions";#N/A,#N/A,TRUE,"Areas";#N/A,#N/A,TRUE,"Summary";#N/A,#N/A,TRUE,"Detail"}</definedName>
    <definedName name="___Feb06" localSheetId="0" hidden="1">{#N/A,#N/A,TRUE,"Front";#N/A,#N/A,TRUE,"Simple Letter";#N/A,#N/A,TRUE,"Inside";#N/A,#N/A,TRUE,"Contents";#N/A,#N/A,TRUE,"Basis";#N/A,#N/A,TRUE,"Inclusions";#N/A,#N/A,TRUE,"Exclusions";#N/A,#N/A,TRUE,"Areas";#N/A,#N/A,TRUE,"Summary";#N/A,#N/A,TRUE,"Detail"}</definedName>
    <definedName name="___Feb06" hidden="1">{#N/A,#N/A,TRUE,"Front";#N/A,#N/A,TRUE,"Simple Letter";#N/A,#N/A,TRUE,"Inside";#N/A,#N/A,TRUE,"Contents";#N/A,#N/A,TRUE,"Basis";#N/A,#N/A,TRUE,"Inclusions";#N/A,#N/A,TRUE,"Exclusions";#N/A,#N/A,TRUE,"Areas";#N/A,#N/A,TRUE,"Summary";#N/A,#N/A,TRUE,"Detail"}</definedName>
    <definedName name="___Feb06_1" localSheetId="1" hidden="1">{#N/A,#N/A,TRUE,"Front";#N/A,#N/A,TRUE,"Simple Letter";#N/A,#N/A,TRUE,"Inside";#N/A,#N/A,TRUE,"Contents";#N/A,#N/A,TRUE,"Basis";#N/A,#N/A,TRUE,"Inclusions";#N/A,#N/A,TRUE,"Exclusions";#N/A,#N/A,TRUE,"Areas";#N/A,#N/A,TRUE,"Summary";#N/A,#N/A,TRUE,"Detail"}</definedName>
    <definedName name="___Feb06_1" localSheetId="0" hidden="1">{#N/A,#N/A,TRUE,"Front";#N/A,#N/A,TRUE,"Simple Letter";#N/A,#N/A,TRUE,"Inside";#N/A,#N/A,TRUE,"Contents";#N/A,#N/A,TRUE,"Basis";#N/A,#N/A,TRUE,"Inclusions";#N/A,#N/A,TRUE,"Exclusions";#N/A,#N/A,TRUE,"Areas";#N/A,#N/A,TRUE,"Summary";#N/A,#N/A,TRUE,"Detail"}</definedName>
    <definedName name="___Feb06_1" hidden="1">{#N/A,#N/A,TRUE,"Front";#N/A,#N/A,TRUE,"Simple Letter";#N/A,#N/A,TRUE,"Inside";#N/A,#N/A,TRUE,"Contents";#N/A,#N/A,TRUE,"Basis";#N/A,#N/A,TRUE,"Inclusions";#N/A,#N/A,TRUE,"Exclusions";#N/A,#N/A,TRUE,"Areas";#N/A,#N/A,TRUE,"Summary";#N/A,#N/A,TRUE,"Detail"}</definedName>
    <definedName name="___HDD1111" localSheetId="1" hidden="1">{#N/A,#N/A,TRUE,"Front";#N/A,#N/A,TRUE,"Simple Letter";#N/A,#N/A,TRUE,"Inside";#N/A,#N/A,TRUE,"Contents";#N/A,#N/A,TRUE,"Basis";#N/A,#N/A,TRUE,"Inclusions";#N/A,#N/A,TRUE,"Exclusions";#N/A,#N/A,TRUE,"Areas";#N/A,#N/A,TRUE,"Summary";#N/A,#N/A,TRUE,"Detail"}</definedName>
    <definedName name="___HDD1111" localSheetId="0" hidden="1">{#N/A,#N/A,TRUE,"Front";#N/A,#N/A,TRUE,"Simple Letter";#N/A,#N/A,TRUE,"Inside";#N/A,#N/A,TRUE,"Contents";#N/A,#N/A,TRUE,"Basis";#N/A,#N/A,TRUE,"Inclusions";#N/A,#N/A,TRUE,"Exclusions";#N/A,#N/A,TRUE,"Areas";#N/A,#N/A,TRUE,"Summary";#N/A,#N/A,TRUE,"Detail"}</definedName>
    <definedName name="___HDD1111" hidden="1">{#N/A,#N/A,TRUE,"Front";#N/A,#N/A,TRUE,"Simple Letter";#N/A,#N/A,TRUE,"Inside";#N/A,#N/A,TRUE,"Contents";#N/A,#N/A,TRUE,"Basis";#N/A,#N/A,TRUE,"Inclusions";#N/A,#N/A,TRUE,"Exclusions";#N/A,#N/A,TRUE,"Areas";#N/A,#N/A,TRUE,"Summary";#N/A,#N/A,TRUE,"Detail"}</definedName>
    <definedName name="___hp10" localSheetId="1" hidden="1">{#N/A,#N/A,TRUE,"Front";#N/A,#N/A,TRUE,"Simple Letter";#N/A,#N/A,TRUE,"Inside";#N/A,#N/A,TRUE,"Contents";#N/A,#N/A,TRUE,"Basis";#N/A,#N/A,TRUE,"Inclusions";#N/A,#N/A,TRUE,"Exclusions";#N/A,#N/A,TRUE,"Areas";#N/A,#N/A,TRUE,"Summary";#N/A,#N/A,TRUE,"Detail"}</definedName>
    <definedName name="___hp10" localSheetId="0"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key2" hidden="1">#REF!</definedName>
    <definedName name="___ns1" localSheetId="1" hidden="1">{#N/A,#N/A,FALSE,"COVER1.XLS ";#N/A,#N/A,FALSE,"RACT1.XLS";#N/A,#N/A,FALSE,"RACT2.XLS";#N/A,#N/A,FALSE,"ECCMP";#N/A,#N/A,FALSE,"WELDER.XLS"}</definedName>
    <definedName name="___ns1" localSheetId="0" hidden="1">{#N/A,#N/A,FALSE,"COVER1.XLS ";#N/A,#N/A,FALSE,"RACT1.XLS";#N/A,#N/A,FALSE,"RACT2.XLS";#N/A,#N/A,FALSE,"ECCMP";#N/A,#N/A,FALSE,"WELDER.XLS"}</definedName>
    <definedName name="___ns1" hidden="1">{#N/A,#N/A,FALSE,"COVER1.XLS ";#N/A,#N/A,FALSE,"RACT1.XLS";#N/A,#N/A,FALSE,"RACT2.XLS";#N/A,#N/A,FALSE,"ECCMP";#N/A,#N/A,FALSE,"WELDER.XLS"}</definedName>
    <definedName name="___PA1" localSheetId="1" hidden="1">{#N/A,#N/A,TRUE,"Front";#N/A,#N/A,TRUE,"Simple Letter";#N/A,#N/A,TRUE,"Inside";#N/A,#N/A,TRUE,"Contents";#N/A,#N/A,TRUE,"Basis";#N/A,#N/A,TRUE,"Inclusions";#N/A,#N/A,TRUE,"Exclusions";#N/A,#N/A,TRUE,"Areas";#N/A,#N/A,TRUE,"Summary";#N/A,#N/A,TRUE,"Detail"}</definedName>
    <definedName name="___PA1" localSheetId="0" hidden="1">{#N/A,#N/A,TRUE,"Front";#N/A,#N/A,TRUE,"Simple Letter";#N/A,#N/A,TRUE,"Inside";#N/A,#N/A,TRUE,"Contents";#N/A,#N/A,TRUE,"Basis";#N/A,#N/A,TRUE,"Inclusions";#N/A,#N/A,TRUE,"Exclusions";#N/A,#N/A,TRUE,"Areas";#N/A,#N/A,TRUE,"Summary";#N/A,#N/A,TRUE,"Detail"}</definedName>
    <definedName name="___PA1" hidden="1">{#N/A,#N/A,TRUE,"Front";#N/A,#N/A,TRUE,"Simple Letter";#N/A,#N/A,TRUE,"Inside";#N/A,#N/A,TRUE,"Contents";#N/A,#N/A,TRUE,"Basis";#N/A,#N/A,TRUE,"Inclusions";#N/A,#N/A,TRUE,"Exclusions";#N/A,#N/A,TRUE,"Areas";#N/A,#N/A,TRUE,"Summary";#N/A,#N/A,TRUE,"Detail"}</definedName>
    <definedName name="___RAB002" localSheetId="1" hidden="1">{#N/A,#N/A,TRUE,"Front";#N/A,#N/A,TRUE,"Simple Letter";#N/A,#N/A,TRUE,"Inside";#N/A,#N/A,TRUE,"Contents";#N/A,#N/A,TRUE,"Basis";#N/A,#N/A,TRUE,"Inclusions";#N/A,#N/A,TRUE,"Exclusions";#N/A,#N/A,TRUE,"Areas";#N/A,#N/A,TRUE,"Summary";#N/A,#N/A,TRUE,"Detail"}</definedName>
    <definedName name="___RAB002" localSheetId="0" hidden="1">{#N/A,#N/A,TRUE,"Front";#N/A,#N/A,TRUE,"Simple Letter";#N/A,#N/A,TRUE,"Inside";#N/A,#N/A,TRUE,"Contents";#N/A,#N/A,TRUE,"Basis";#N/A,#N/A,TRUE,"Inclusions";#N/A,#N/A,TRUE,"Exclusions";#N/A,#N/A,TRUE,"Areas";#N/A,#N/A,TRUE,"Summary";#N/A,#N/A,TRUE,"Detail"}</definedName>
    <definedName name="___RAB002" hidden="1">{#N/A,#N/A,TRUE,"Front";#N/A,#N/A,TRUE,"Simple Letter";#N/A,#N/A,TRUE,"Inside";#N/A,#N/A,TRUE,"Contents";#N/A,#N/A,TRUE,"Basis";#N/A,#N/A,TRUE,"Inclusions";#N/A,#N/A,TRUE,"Exclusions";#N/A,#N/A,TRUE,"Areas";#N/A,#N/A,TRUE,"Summary";#N/A,#N/A,TRUE,"Detail"}</definedName>
    <definedName name="___ram1" localSheetId="1" hidden="1">{#N/A,#N/A,FALSE,"gc (2)"}</definedName>
    <definedName name="___ram1" localSheetId="0" hidden="1">{#N/A,#N/A,FALSE,"gc (2)"}</definedName>
    <definedName name="___ram1" hidden="1">{#N/A,#N/A,FALSE,"gc (2)"}</definedName>
    <definedName name="___sti02" localSheetId="1" hidden="1">{#N/A,#N/A,FALSE,"gc (2)"}</definedName>
    <definedName name="___sti02" localSheetId="0" hidden="1">{#N/A,#N/A,FALSE,"gc (2)"}</definedName>
    <definedName name="___sti02" hidden="1">{#N/A,#N/A,FALSE,"gc (2)"}</definedName>
    <definedName name="___t1"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1" hidden="1">{#N/A,#N/A,TRUE,"Front";#N/A,#N/A,TRUE,"Simple Letter";#N/A,#N/A,TRUE,"Inside";#N/A,#N/A,TRUE,"Contents";#N/A,#N/A,TRUE,"Basis";#N/A,#N/A,TRUE,"Inclusions";#N/A,#N/A,TRUE,"Exclusions";#N/A,#N/A,TRUE,"Areas";#N/A,#N/A,TRUE,"Summary";#N/A,#N/A,TRUE,"Detail"}</definedName>
    <definedName name="___t2" localSheetId="0" hidden="1">{#N/A,#N/A,TRUE,"Front";#N/A,#N/A,TRUE,"Simple Letter";#N/A,#N/A,TRUE,"Inside";#N/A,#N/A,TRUE,"Contents";#N/A,#N/A,TRUE,"Basis";#N/A,#N/A,TRUE,"Inclusions";#N/A,#N/A,TRUE,"Exclusions";#N/A,#N/A,TRUE,"Areas";#N/A,#N/A,TRUE,"Summary";#N/A,#N/A,TRUE,"Detail"}</definedName>
    <definedName name="___t2" hidden="1">{#N/A,#N/A,TRUE,"Front";#N/A,#N/A,TRUE,"Simple Letter";#N/A,#N/A,TRUE,"Inside";#N/A,#N/A,TRUE,"Contents";#N/A,#N/A,TRUE,"Basis";#N/A,#N/A,TRUE,"Inclusions";#N/A,#N/A,TRUE,"Exclusions";#N/A,#N/A,TRUE,"Areas";#N/A,#N/A,TRUE,"Summary";#N/A,#N/A,TRUE,"Detail"}</definedName>
    <definedName name="___ta1" localSheetId="1" hidden="1">{#N/A,#N/A,TRUE,"Financials";#N/A,#N/A,TRUE,"Operating Statistics";#N/A,#N/A,TRUE,"Capex &amp; Depreciation";#N/A,#N/A,TRUE,"Debt"}</definedName>
    <definedName name="___ta1" localSheetId="0" hidden="1">{#N/A,#N/A,TRUE,"Financials";#N/A,#N/A,TRUE,"Operating Statistics";#N/A,#N/A,TRUE,"Capex &amp; Depreciation";#N/A,#N/A,TRUE,"Debt"}</definedName>
    <definedName name="___ta1" hidden="1">{#N/A,#N/A,TRUE,"Financials";#N/A,#N/A,TRUE,"Operating Statistics";#N/A,#N/A,TRUE,"Capex &amp; Depreciation";#N/A,#N/A,TRUE,"Debt"}</definedName>
    <definedName name="___tb1" localSheetId="1" hidden="1">{#N/A,#N/A,FALSE,"One Pager";#N/A,#N/A,FALSE,"Technical"}</definedName>
    <definedName name="___tb1" localSheetId="0" hidden="1">{#N/A,#N/A,FALSE,"One Pager";#N/A,#N/A,FALSE,"Technical"}</definedName>
    <definedName name="___tb1" hidden="1">{#N/A,#N/A,FALSE,"One Pager";#N/A,#N/A,FALSE,"Technical"}</definedName>
    <definedName name="___tem1" localSheetId="1" hidden="1">{#N/A,#N/A,TRUE,"Front";#N/A,#N/A,TRUE,"Simple Letter";#N/A,#N/A,TRUE,"Inside";#N/A,#N/A,TRUE,"Contents";#N/A,#N/A,TRUE,"Basis";#N/A,#N/A,TRUE,"Inclusions";#N/A,#N/A,TRUE,"Exclusions";#N/A,#N/A,TRUE,"Areas";#N/A,#N/A,TRUE,"Summary";#N/A,#N/A,TRUE,"Detail"}</definedName>
    <definedName name="___tem1" localSheetId="0" hidden="1">{#N/A,#N/A,TRUE,"Front";#N/A,#N/A,TRUE,"Simple Letter";#N/A,#N/A,TRUE,"Inside";#N/A,#N/A,TRUE,"Contents";#N/A,#N/A,TRUE,"Basis";#N/A,#N/A,TRUE,"Inclusions";#N/A,#N/A,TRUE,"Exclusions";#N/A,#N/A,TRUE,"Areas";#N/A,#N/A,TRUE,"Summary";#N/A,#N/A,TRUE,"Detail"}</definedName>
    <definedName name="___tem1" hidden="1">{#N/A,#N/A,TRUE,"Front";#N/A,#N/A,TRUE,"Simple Letter";#N/A,#N/A,TRUE,"Inside";#N/A,#N/A,TRUE,"Contents";#N/A,#N/A,TRUE,"Basis";#N/A,#N/A,TRUE,"Inclusions";#N/A,#N/A,TRUE,"Exclusions";#N/A,#N/A,TRUE,"Areas";#N/A,#N/A,TRUE,"Summary";#N/A,#N/A,TRUE,"Detail"}</definedName>
    <definedName name="___tm3" localSheetId="1" hidden="1">{#N/A,#N/A,TRUE,"Front";#N/A,#N/A,TRUE,"Simple Letter";#N/A,#N/A,TRUE,"Inside";#N/A,#N/A,TRUE,"Contents";#N/A,#N/A,TRUE,"Basis";#N/A,#N/A,TRUE,"Inclusions";#N/A,#N/A,TRUE,"Exclusions";#N/A,#N/A,TRUE,"Areas";#N/A,#N/A,TRUE,"Summary";#N/A,#N/A,TRUE,"Detail"}</definedName>
    <definedName name="___tm3" localSheetId="0" hidden="1">{#N/A,#N/A,TRUE,"Front";#N/A,#N/A,TRUE,"Simple Letter";#N/A,#N/A,TRUE,"Inside";#N/A,#N/A,TRUE,"Contents";#N/A,#N/A,TRUE,"Basis";#N/A,#N/A,TRUE,"Inclusions";#N/A,#N/A,TRUE,"Exclusions";#N/A,#N/A,TRUE,"Areas";#N/A,#N/A,TRUE,"Summary";#N/A,#N/A,TRUE,"Detail"}</definedName>
    <definedName name="___tm3" hidden="1">{#N/A,#N/A,TRUE,"Front";#N/A,#N/A,TRUE,"Simple Letter";#N/A,#N/A,TRUE,"Inside";#N/A,#N/A,TRUE,"Contents";#N/A,#N/A,TRUE,"Basis";#N/A,#N/A,TRUE,"Inclusions";#N/A,#N/A,TRUE,"Exclusions";#N/A,#N/A,TRUE,"Areas";#N/A,#N/A,TRUE,"Summary";#N/A,#N/A,TRUE,"Detail"}</definedName>
    <definedName name="___xlfn.BAHTTEXT" hidden="1">#NAME?</definedName>
    <definedName name="__123Graph_A" hidden="1">#REF!</definedName>
    <definedName name="__123Graph_ACURVE" hidden="1">#REF!</definedName>
    <definedName name="__123Graph_AIncome" hidden="1">#REF!</definedName>
    <definedName name="__123Graph_APAY" hidden="1">#REF!</definedName>
    <definedName name="__123Graph_ASummary" hidden="1">#REF!</definedName>
    <definedName name="__123Graph_B" hidden="1">#REF!</definedName>
    <definedName name="__123Graph_BIncome" hidden="1">#REF!</definedName>
    <definedName name="__123Graph_BSummary" hidden="1">#REF!</definedName>
    <definedName name="__123Graph_C" hidden="1">#REF!</definedName>
    <definedName name="__123Graph_D" hidden="1">#REF!</definedName>
    <definedName name="__123Graph_E" hidden="1">#REF!</definedName>
    <definedName name="__123Graph_F" hidden="1">#REF!</definedName>
    <definedName name="__123Graph_LBL_A" hidden="1">#REF!</definedName>
    <definedName name="__123Graph_LBL_B" hidden="1">#REF!</definedName>
    <definedName name="__123Graph_X" hidden="1">#REF!</definedName>
    <definedName name="__123Graph_XCURVE" localSheetId="1" hidden="1">#REF!</definedName>
    <definedName name="__123Graph_XCURVE" localSheetId="0" hidden="1">#REF!</definedName>
    <definedName name="__123Graph_XCURVE" hidden="1">#REF!</definedName>
    <definedName name="__123Graph_XIncome" localSheetId="1" hidden="1">#REF!</definedName>
    <definedName name="__123Graph_XIncome" localSheetId="0" hidden="1">#REF!</definedName>
    <definedName name="__123Graph_XIncome" hidden="1">#REF!</definedName>
    <definedName name="__123Graph_XPAY" hidden="1">#REF!</definedName>
    <definedName name="__cat12" localSheetId="1" hidden="1">{#N/A,#N/A,TRUE,"Front";#N/A,#N/A,TRUE,"Simple Letter";#N/A,#N/A,TRUE,"Inside";#N/A,#N/A,TRUE,"Contents";#N/A,#N/A,TRUE,"Basis";#N/A,#N/A,TRUE,"Inclusions";#N/A,#N/A,TRUE,"Exclusions";#N/A,#N/A,TRUE,"Areas";#N/A,#N/A,TRUE,"Summary";#N/A,#N/A,TRUE,"Detail"}</definedName>
    <definedName name="__cat12" localSheetId="0" hidden="1">{#N/A,#N/A,TRUE,"Front";#N/A,#N/A,TRUE,"Simple Letter";#N/A,#N/A,TRUE,"Inside";#N/A,#N/A,TRUE,"Contents";#N/A,#N/A,TRUE,"Basis";#N/A,#N/A,TRUE,"Inclusions";#N/A,#N/A,TRUE,"Exclusions";#N/A,#N/A,TRUE,"Areas";#N/A,#N/A,TRUE,"Summary";#N/A,#N/A,TRUE,"Detail"}</definedName>
    <definedName name="__cat12" hidden="1">{#N/A,#N/A,TRUE,"Front";#N/A,#N/A,TRUE,"Simple Letter";#N/A,#N/A,TRUE,"Inside";#N/A,#N/A,TRUE,"Contents";#N/A,#N/A,TRUE,"Basis";#N/A,#N/A,TRUE,"Inclusions";#N/A,#N/A,TRUE,"Exclusions";#N/A,#N/A,TRUE,"Areas";#N/A,#N/A,TRUE,"Summary";#N/A,#N/A,TRUE,"Detail"}</definedName>
    <definedName name="__d2" localSheetId="1" hidden="1">{#N/A,#N/A,FALSE,"mgtsum.XLS";#N/A,#N/A,FALSE,"CAPONE";#N/A,#N/A,FALSE,"CAPTWO";#N/A,#N/A,FALSE,"CAPTHREE"}</definedName>
    <definedName name="__d2" localSheetId="0" hidden="1">{#N/A,#N/A,FALSE,"mgtsum.XLS";#N/A,#N/A,FALSE,"CAPONE";#N/A,#N/A,FALSE,"CAPTWO";#N/A,#N/A,FALSE,"CAPTHREE"}</definedName>
    <definedName name="__d2" hidden="1">{#N/A,#N/A,FALSE,"mgtsum.XLS";#N/A,#N/A,FALSE,"CAPONE";#N/A,#N/A,FALSE,"CAPTWO";#N/A,#N/A,FALSE,"CAPTHREE"}</definedName>
    <definedName name="__FDS_HYPERLINK_TOGGLE_STATE__" hidden="1">"ON"</definedName>
    <definedName name="__Feb06" localSheetId="1" hidden="1">{#N/A,#N/A,TRUE,"Front";#N/A,#N/A,TRUE,"Simple Letter";#N/A,#N/A,TRUE,"Inside";#N/A,#N/A,TRUE,"Contents";#N/A,#N/A,TRUE,"Basis";#N/A,#N/A,TRUE,"Inclusions";#N/A,#N/A,TRUE,"Exclusions";#N/A,#N/A,TRUE,"Areas";#N/A,#N/A,TRUE,"Summary";#N/A,#N/A,TRUE,"Detail"}</definedName>
    <definedName name="__Feb06" localSheetId="0" hidden="1">{#N/A,#N/A,TRUE,"Front";#N/A,#N/A,TRUE,"Simple Letter";#N/A,#N/A,TRUE,"Inside";#N/A,#N/A,TRUE,"Contents";#N/A,#N/A,TRUE,"Basis";#N/A,#N/A,TRUE,"Inclusions";#N/A,#N/A,TRUE,"Exclusions";#N/A,#N/A,TRUE,"Areas";#N/A,#N/A,TRUE,"Summary";#N/A,#N/A,TRUE,"Detail"}</definedName>
    <definedName name="__Feb06" hidden="1">{#N/A,#N/A,TRUE,"Front";#N/A,#N/A,TRUE,"Simple Letter";#N/A,#N/A,TRUE,"Inside";#N/A,#N/A,TRUE,"Contents";#N/A,#N/A,TRUE,"Basis";#N/A,#N/A,TRUE,"Inclusions";#N/A,#N/A,TRUE,"Exclusions";#N/A,#N/A,TRUE,"Areas";#N/A,#N/A,TRUE,"Summary";#N/A,#N/A,TRUE,"Detail"}</definedName>
    <definedName name="__Feb06_1" localSheetId="1" hidden="1">{#N/A,#N/A,TRUE,"Front";#N/A,#N/A,TRUE,"Simple Letter";#N/A,#N/A,TRUE,"Inside";#N/A,#N/A,TRUE,"Contents";#N/A,#N/A,TRUE,"Basis";#N/A,#N/A,TRUE,"Inclusions";#N/A,#N/A,TRUE,"Exclusions";#N/A,#N/A,TRUE,"Areas";#N/A,#N/A,TRUE,"Summary";#N/A,#N/A,TRUE,"Detail"}</definedName>
    <definedName name="__Feb06_1" localSheetId="0" hidden="1">{#N/A,#N/A,TRUE,"Front";#N/A,#N/A,TRUE,"Simple Letter";#N/A,#N/A,TRUE,"Inside";#N/A,#N/A,TRUE,"Contents";#N/A,#N/A,TRUE,"Basis";#N/A,#N/A,TRUE,"Inclusions";#N/A,#N/A,TRUE,"Exclusions";#N/A,#N/A,TRUE,"Areas";#N/A,#N/A,TRUE,"Summary";#N/A,#N/A,TRUE,"Detail"}</definedName>
    <definedName name="__Feb06_1" hidden="1">{#N/A,#N/A,TRUE,"Front";#N/A,#N/A,TRUE,"Simple Letter";#N/A,#N/A,TRUE,"Inside";#N/A,#N/A,TRUE,"Contents";#N/A,#N/A,TRUE,"Basis";#N/A,#N/A,TRUE,"Inclusions";#N/A,#N/A,TRUE,"Exclusions";#N/A,#N/A,TRUE,"Areas";#N/A,#N/A,TRUE,"Summary";#N/A,#N/A,TRUE,"Detail"}</definedName>
    <definedName name="__HDD1111" localSheetId="1" hidden="1">{#N/A,#N/A,TRUE,"Front";#N/A,#N/A,TRUE,"Simple Letter";#N/A,#N/A,TRUE,"Inside";#N/A,#N/A,TRUE,"Contents";#N/A,#N/A,TRUE,"Basis";#N/A,#N/A,TRUE,"Inclusions";#N/A,#N/A,TRUE,"Exclusions";#N/A,#N/A,TRUE,"Areas";#N/A,#N/A,TRUE,"Summary";#N/A,#N/A,TRUE,"Detail"}</definedName>
    <definedName name="__HDD1111" localSheetId="0" hidden="1">{#N/A,#N/A,TRUE,"Front";#N/A,#N/A,TRUE,"Simple Letter";#N/A,#N/A,TRUE,"Inside";#N/A,#N/A,TRUE,"Contents";#N/A,#N/A,TRUE,"Basis";#N/A,#N/A,TRUE,"Inclusions";#N/A,#N/A,TRUE,"Exclusions";#N/A,#N/A,TRUE,"Areas";#N/A,#N/A,TRUE,"Summary";#N/A,#N/A,TRUE,"Detail"}</definedName>
    <definedName name="__hp10" localSheetId="1" hidden="1">{#N/A,#N/A,TRUE,"Front";#N/A,#N/A,TRUE,"Simple Letter";#N/A,#N/A,TRUE,"Inside";#N/A,#N/A,TRUE,"Contents";#N/A,#N/A,TRUE,"Basis";#N/A,#N/A,TRUE,"Inclusions";#N/A,#N/A,TRUE,"Exclusions";#N/A,#N/A,TRUE,"Areas";#N/A,#N/A,TRUE,"Summary";#N/A,#N/A,TRUE,"Detail"}</definedName>
    <definedName name="__hp10" localSheetId="0"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_IntlFixup" hidden="1">TRUE</definedName>
    <definedName name="__IntlFixupTable" localSheetId="1" hidden="1">#REF!</definedName>
    <definedName name="__IntlFixupTable" localSheetId="0" hidden="1">#REF!</definedName>
    <definedName name="__IntlFixupTable" hidden="1">#REF!</definedName>
    <definedName name="__key1" hidden="1">#REF!</definedName>
    <definedName name="__key2" hidden="1">#REF!</definedName>
    <definedName name="__MR10"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PA1" localSheetId="1" hidden="1">{#N/A,#N/A,TRUE,"Front";#N/A,#N/A,TRUE,"Simple Letter";#N/A,#N/A,TRUE,"Inside";#N/A,#N/A,TRUE,"Contents";#N/A,#N/A,TRUE,"Basis";#N/A,#N/A,TRUE,"Inclusions";#N/A,#N/A,TRUE,"Exclusions";#N/A,#N/A,TRUE,"Areas";#N/A,#N/A,TRUE,"Summary";#N/A,#N/A,TRUE,"Detail"}</definedName>
    <definedName name="__PA1" localSheetId="0" hidden="1">{#N/A,#N/A,TRUE,"Front";#N/A,#N/A,TRUE,"Simple Letter";#N/A,#N/A,TRUE,"Inside";#N/A,#N/A,TRUE,"Contents";#N/A,#N/A,TRUE,"Basis";#N/A,#N/A,TRUE,"Inclusions";#N/A,#N/A,TRUE,"Exclusions";#N/A,#N/A,TRUE,"Areas";#N/A,#N/A,TRUE,"Summary";#N/A,#N/A,TRUE,"Detail"}</definedName>
    <definedName name="__PA1" hidden="1">{#N/A,#N/A,TRUE,"Front";#N/A,#N/A,TRUE,"Simple Letter";#N/A,#N/A,TRUE,"Inside";#N/A,#N/A,TRUE,"Contents";#N/A,#N/A,TRUE,"Basis";#N/A,#N/A,TRUE,"Inclusions";#N/A,#N/A,TRUE,"Exclusions";#N/A,#N/A,TRUE,"Areas";#N/A,#N/A,TRUE,"Summary";#N/A,#N/A,TRUE,"Detail"}</definedName>
    <definedName name="__RAB002" localSheetId="1" hidden="1">{#N/A,#N/A,TRUE,"Front";#N/A,#N/A,TRUE,"Simple Letter";#N/A,#N/A,TRUE,"Inside";#N/A,#N/A,TRUE,"Contents";#N/A,#N/A,TRUE,"Basis";#N/A,#N/A,TRUE,"Inclusions";#N/A,#N/A,TRUE,"Exclusions";#N/A,#N/A,TRUE,"Areas";#N/A,#N/A,TRUE,"Summary";#N/A,#N/A,TRUE,"Detail"}</definedName>
    <definedName name="__RAB002" localSheetId="0" hidden="1">{#N/A,#N/A,TRUE,"Front";#N/A,#N/A,TRUE,"Simple Letter";#N/A,#N/A,TRUE,"Inside";#N/A,#N/A,TRUE,"Contents";#N/A,#N/A,TRUE,"Basis";#N/A,#N/A,TRUE,"Inclusions";#N/A,#N/A,TRUE,"Exclusions";#N/A,#N/A,TRUE,"Areas";#N/A,#N/A,TRUE,"Summary";#N/A,#N/A,TRUE,"Detail"}</definedName>
    <definedName name="__RAB002" hidden="1">{#N/A,#N/A,TRUE,"Front";#N/A,#N/A,TRUE,"Simple Letter";#N/A,#N/A,TRUE,"Inside";#N/A,#N/A,TRUE,"Contents";#N/A,#N/A,TRUE,"Basis";#N/A,#N/A,TRUE,"Inclusions";#N/A,#N/A,TRUE,"Exclusions";#N/A,#N/A,TRUE,"Areas";#N/A,#N/A,TRUE,"Summary";#N/A,#N/A,TRUE,"Detail"}</definedName>
    <definedName name="__sah3" localSheetId="1" hidden="1">{#N/A,#N/A,TRUE,"Front";#N/A,#N/A,TRUE,"Simple Letter";#N/A,#N/A,TRUE,"Inside";#N/A,#N/A,TRUE,"Contents";#N/A,#N/A,TRUE,"Basis";#N/A,#N/A,TRUE,"Inclusions";#N/A,#N/A,TRUE,"Exclusions";#N/A,#N/A,TRUE,"Areas";#N/A,#N/A,TRUE,"Summary";#N/A,#N/A,TRUE,"Detail"}</definedName>
    <definedName name="__sah3" localSheetId="0" hidden="1">{#N/A,#N/A,TRUE,"Front";#N/A,#N/A,TRUE,"Simple Letter";#N/A,#N/A,TRUE,"Inside";#N/A,#N/A,TRUE,"Contents";#N/A,#N/A,TRUE,"Basis";#N/A,#N/A,TRUE,"Inclusions";#N/A,#N/A,TRUE,"Exclusions";#N/A,#N/A,TRUE,"Areas";#N/A,#N/A,TRUE,"Summary";#N/A,#N/A,TRUE,"Detail"}</definedName>
    <definedName name="__sah3" hidden="1">{#N/A,#N/A,TRUE,"Front";#N/A,#N/A,TRUE,"Simple Letter";#N/A,#N/A,TRUE,"Inside";#N/A,#N/A,TRUE,"Contents";#N/A,#N/A,TRUE,"Basis";#N/A,#N/A,TRUE,"Inclusions";#N/A,#N/A,TRUE,"Exclusions";#N/A,#N/A,TRUE,"Areas";#N/A,#N/A,TRUE,"Summary";#N/A,#N/A,TRUE,"Detail"}</definedName>
    <definedName name="__t1"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2" localSheetId="1" hidden="1">{#N/A,#N/A,TRUE,"Front";#N/A,#N/A,TRUE,"Simple Letter";#N/A,#N/A,TRUE,"Inside";#N/A,#N/A,TRUE,"Contents";#N/A,#N/A,TRUE,"Basis";#N/A,#N/A,TRUE,"Inclusions";#N/A,#N/A,TRUE,"Exclusions";#N/A,#N/A,TRUE,"Areas";#N/A,#N/A,TRUE,"Summary";#N/A,#N/A,TRUE,"Detail"}</definedName>
    <definedName name="__t2" localSheetId="0" hidden="1">{#N/A,#N/A,TRUE,"Front";#N/A,#N/A,TRUE,"Simple Letter";#N/A,#N/A,TRUE,"Inside";#N/A,#N/A,TRUE,"Contents";#N/A,#N/A,TRUE,"Basis";#N/A,#N/A,TRUE,"Inclusions";#N/A,#N/A,TRUE,"Exclusions";#N/A,#N/A,TRUE,"Areas";#N/A,#N/A,TRUE,"Summary";#N/A,#N/A,TRUE,"Detail"}</definedName>
    <definedName name="__t2" hidden="1">{#N/A,#N/A,TRUE,"Front";#N/A,#N/A,TRUE,"Simple Letter";#N/A,#N/A,TRUE,"Inside";#N/A,#N/A,TRUE,"Contents";#N/A,#N/A,TRUE,"Basis";#N/A,#N/A,TRUE,"Inclusions";#N/A,#N/A,TRUE,"Exclusions";#N/A,#N/A,TRUE,"Areas";#N/A,#N/A,TRUE,"Summary";#N/A,#N/A,TRUE,"Detail"}</definedName>
    <definedName name="__ta1" localSheetId="1" hidden="1">{#N/A,#N/A,TRUE,"Financials";#N/A,#N/A,TRUE,"Operating Statistics";#N/A,#N/A,TRUE,"Capex &amp; Depreciation";#N/A,#N/A,TRUE,"Debt"}</definedName>
    <definedName name="__ta1" localSheetId="0" hidden="1">{#N/A,#N/A,TRUE,"Financials";#N/A,#N/A,TRUE,"Operating Statistics";#N/A,#N/A,TRUE,"Capex &amp; Depreciation";#N/A,#N/A,TRUE,"Debt"}</definedName>
    <definedName name="__ta1" hidden="1">{#N/A,#N/A,TRUE,"Financials";#N/A,#N/A,TRUE,"Operating Statistics";#N/A,#N/A,TRUE,"Capex &amp; Depreciation";#N/A,#N/A,TRUE,"Debt"}</definedName>
    <definedName name="__tb1" localSheetId="1" hidden="1">{#N/A,#N/A,FALSE,"One Pager";#N/A,#N/A,FALSE,"Technical"}</definedName>
    <definedName name="__tb1" localSheetId="0" hidden="1">{#N/A,#N/A,FALSE,"One Pager";#N/A,#N/A,FALSE,"Technical"}</definedName>
    <definedName name="__tb1" hidden="1">{#N/A,#N/A,FALSE,"One Pager";#N/A,#N/A,FALSE,"Technical"}</definedName>
    <definedName name="__tem1" localSheetId="1" hidden="1">{#N/A,#N/A,TRUE,"Front";#N/A,#N/A,TRUE,"Simple Letter";#N/A,#N/A,TRUE,"Inside";#N/A,#N/A,TRUE,"Contents";#N/A,#N/A,TRUE,"Basis";#N/A,#N/A,TRUE,"Inclusions";#N/A,#N/A,TRUE,"Exclusions";#N/A,#N/A,TRUE,"Areas";#N/A,#N/A,TRUE,"Summary";#N/A,#N/A,TRUE,"Detail"}</definedName>
    <definedName name="__tem1" localSheetId="0" hidden="1">{#N/A,#N/A,TRUE,"Front";#N/A,#N/A,TRUE,"Simple Letter";#N/A,#N/A,TRUE,"Inside";#N/A,#N/A,TRUE,"Contents";#N/A,#N/A,TRUE,"Basis";#N/A,#N/A,TRUE,"Inclusions";#N/A,#N/A,TRUE,"Exclusions";#N/A,#N/A,TRUE,"Areas";#N/A,#N/A,TRUE,"Summary";#N/A,#N/A,TRUE,"Detail"}</definedName>
    <definedName name="__tem1" hidden="1">{#N/A,#N/A,TRUE,"Front";#N/A,#N/A,TRUE,"Simple Letter";#N/A,#N/A,TRUE,"Inside";#N/A,#N/A,TRUE,"Contents";#N/A,#N/A,TRUE,"Basis";#N/A,#N/A,TRUE,"Inclusions";#N/A,#N/A,TRUE,"Exclusions";#N/A,#N/A,TRUE,"Areas";#N/A,#N/A,TRUE,"Summary";#N/A,#N/A,TRUE,"Detail"}</definedName>
    <definedName name="__tm3" localSheetId="1" hidden="1">{#N/A,#N/A,TRUE,"Front";#N/A,#N/A,TRUE,"Simple Letter";#N/A,#N/A,TRUE,"Inside";#N/A,#N/A,TRUE,"Contents";#N/A,#N/A,TRUE,"Basis";#N/A,#N/A,TRUE,"Inclusions";#N/A,#N/A,TRUE,"Exclusions";#N/A,#N/A,TRUE,"Areas";#N/A,#N/A,TRUE,"Summary";#N/A,#N/A,TRUE,"Detail"}</definedName>
    <definedName name="__tm3" localSheetId="0" hidden="1">{#N/A,#N/A,TRUE,"Front";#N/A,#N/A,TRUE,"Simple Letter";#N/A,#N/A,TRUE,"Inside";#N/A,#N/A,TRUE,"Contents";#N/A,#N/A,TRUE,"Basis";#N/A,#N/A,TRUE,"Inclusions";#N/A,#N/A,TRUE,"Exclusions";#N/A,#N/A,TRUE,"Areas";#N/A,#N/A,TRUE,"Summary";#N/A,#N/A,TRUE,"Detail"}</definedName>
    <definedName name="__tm3" hidden="1">{#N/A,#N/A,TRUE,"Front";#N/A,#N/A,TRUE,"Simple Letter";#N/A,#N/A,TRUE,"Inside";#N/A,#N/A,TRUE,"Contents";#N/A,#N/A,TRUE,"Basis";#N/A,#N/A,TRUE,"Inclusions";#N/A,#N/A,TRUE,"Exclusions";#N/A,#N/A,TRUE,"Areas";#N/A,#N/A,TRUE,"Summary";#N/A,#N/A,TRUE,"Detail"}</definedName>
    <definedName name="__xlfn.BAHTTEXT" hidden="1">#NAME?</definedName>
    <definedName name="_1__123Graph_AAdmin_Expenses" localSheetId="1" hidden="1">#REF!</definedName>
    <definedName name="_1__123Graph_AAdmin_Expenses" localSheetId="0" hidden="1">#REF!</definedName>
    <definedName name="_1__123Graph_AAdmin_Expenses" hidden="1">#REF!</definedName>
    <definedName name="_1__123Graph_AChart_1AJ" hidden="1">#REF!</definedName>
    <definedName name="_1__123Graph_ACHART_3" hidden="1">#REF!</definedName>
    <definedName name="_11__123Graph_BCHART_4" hidden="1">#REF!</definedName>
    <definedName name="_1234" localSheetId="1" hidden="1">#REF!</definedName>
    <definedName name="_1234" localSheetId="0" hidden="1">#REF!</definedName>
    <definedName name="_1234" hidden="1">#REF!</definedName>
    <definedName name="_15__123Graph_XCHART_3" hidden="1">#REF!</definedName>
    <definedName name="_16__123Graph_XCHART_4" localSheetId="1" hidden="1">#REF!</definedName>
    <definedName name="_16__123Graph_XCHART_4" localSheetId="0" hidden="1">#REF!</definedName>
    <definedName name="_16__123Graph_XCHART_4" hidden="1">#REF!</definedName>
    <definedName name="_2__123Graph_AChart_1AJ" localSheetId="1" hidden="1">#REF!</definedName>
    <definedName name="_2__123Graph_AChart_1AJ" localSheetId="0" hidden="1">#REF!</definedName>
    <definedName name="_2__123Graph_AChart_1AJ" hidden="1">#REF!</definedName>
    <definedName name="_2__123Graph_AChart_1Q" hidden="1">#REF!</definedName>
    <definedName name="_2__123Graph_ACHART_4" hidden="1">#REF!</definedName>
    <definedName name="_2__123Graph_AService_Expense" hidden="1">#REF!</definedName>
    <definedName name="_21" hidden="1">#REF!</definedName>
    <definedName name="_3__123Graph_AChart_1Q" hidden="1">#REF!</definedName>
    <definedName name="_3__123Graph_BAdmin_Expenses" hidden="1">#REF!</definedName>
    <definedName name="_3__123Graph_BChart_1Q" hidden="1">#REF!</definedName>
    <definedName name="_3__123Graph_BCHART_3" hidden="1">#REF!</definedName>
    <definedName name="_4__123Graph_ACHART_3" hidden="1">#REF!</definedName>
    <definedName name="_4__123Graph_BChart_1Q" hidden="1">#REF!</definedName>
    <definedName name="_4__123Graph_BCHART_4" hidden="1">#REF!</definedName>
    <definedName name="_4__123Graph_BService_Expense" hidden="1">#REF!</definedName>
    <definedName name="_5__123Graph_XAdmin_Expenses" localSheetId="1" hidden="1">#REF!</definedName>
    <definedName name="_5__123Graph_XAdmin_Expenses" localSheetId="0" hidden="1">#REF!</definedName>
    <definedName name="_5__123Graph_XAdmin_Expenses" hidden="1">#REF!</definedName>
    <definedName name="_5__123Graph_XCHART_3" localSheetId="1" hidden="1">#REF!</definedName>
    <definedName name="_5__123Graph_XCHART_3" localSheetId="0" hidden="1">#REF!</definedName>
    <definedName name="_5__123Graph_XCHART_3" hidden="1">#REF!</definedName>
    <definedName name="_6__123Graph_ACHART_4" hidden="1">#REF!</definedName>
    <definedName name="_6__123Graph_XCHART_4" hidden="1">#REF!</definedName>
    <definedName name="_6__123Graph_XService_Expense" hidden="1">#REF!</definedName>
    <definedName name="_9__123Graph_BCHART_3" hidden="1">#REF!</definedName>
    <definedName name="_abs123" localSheetId="1" hidden="1">{#N/A,#N/A,FALSE,"M&amp;B_43A_fab";#N/A,#N/A,FALSE,"M&amp;B_43A_ERE.";#N/A,#N/A,FALSE,"M&amp;B-43A-ALIGN"}</definedName>
    <definedName name="_abs123" localSheetId="0" hidden="1">{#N/A,#N/A,FALSE,"M&amp;B_43A_fab";#N/A,#N/A,FALSE,"M&amp;B_43A_ERE.";#N/A,#N/A,FALSE,"M&amp;B-43A-ALIGN"}</definedName>
    <definedName name="_abs123" hidden="1">{#N/A,#N/A,FALSE,"M&amp;B_43A_fab";#N/A,#N/A,FALSE,"M&amp;B_43A_ERE.";#N/A,#N/A,FALSE,"M&amp;B-43A-ALIGN"}</definedName>
    <definedName name="_ABS2" localSheetId="1" hidden="1">{#N/A,#N/A,FALSE,"M&amp;B_43A_fab";#N/A,#N/A,FALSE,"M&amp;B_43A_ERE.";#N/A,#N/A,FALSE,"M&amp;B-43A-ALIGN"}</definedName>
    <definedName name="_ABS2" localSheetId="0" hidden="1">{#N/A,#N/A,FALSE,"M&amp;B_43A_fab";#N/A,#N/A,FALSE,"M&amp;B_43A_ERE.";#N/A,#N/A,FALSE,"M&amp;B-43A-ALIGN"}</definedName>
    <definedName name="_ABS2" hidden="1">{#N/A,#N/A,FALSE,"M&amp;B_43A_fab";#N/A,#N/A,FALSE,"M&amp;B_43A_ERE.";#N/A,#N/A,FALSE,"M&amp;B-43A-ALIGN"}</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cat12" localSheetId="1" hidden="1">{#N/A,#N/A,TRUE,"Front";#N/A,#N/A,TRUE,"Simple Letter";#N/A,#N/A,TRUE,"Inside";#N/A,#N/A,TRUE,"Contents";#N/A,#N/A,TRUE,"Basis";#N/A,#N/A,TRUE,"Inclusions";#N/A,#N/A,TRUE,"Exclusions";#N/A,#N/A,TRUE,"Areas";#N/A,#N/A,TRUE,"Summary";#N/A,#N/A,TRUE,"Detail"}</definedName>
    <definedName name="_cat12" localSheetId="0" hidden="1">{#N/A,#N/A,TRUE,"Front";#N/A,#N/A,TRUE,"Simple Letter";#N/A,#N/A,TRUE,"Inside";#N/A,#N/A,TRUE,"Contents";#N/A,#N/A,TRUE,"Basis";#N/A,#N/A,TRUE,"Inclusions";#N/A,#N/A,TRUE,"Exclusions";#N/A,#N/A,TRUE,"Areas";#N/A,#N/A,TRUE,"Summary";#N/A,#N/A,TRUE,"Detail"}</definedName>
    <definedName name="_cat12" hidden="1">{#N/A,#N/A,TRUE,"Front";#N/A,#N/A,TRUE,"Simple Letter";#N/A,#N/A,TRUE,"Inside";#N/A,#N/A,TRUE,"Contents";#N/A,#N/A,TRUE,"Basis";#N/A,#N/A,TRUE,"Inclusions";#N/A,#N/A,TRUE,"Exclusions";#N/A,#N/A,TRUE,"Areas";#N/A,#N/A,TRUE,"Summary";#N/A,#N/A,TRUE,"Detail"}</definedName>
    <definedName name="_d2" localSheetId="1" hidden="1">{#N/A,#N/A,FALSE,"mgtsum.XLS";#N/A,#N/A,FALSE,"CAPONE";#N/A,#N/A,FALSE,"CAPTWO";#N/A,#N/A,FALSE,"CAPTHREE"}</definedName>
    <definedName name="_d2" localSheetId="0" hidden="1">{#N/A,#N/A,FALSE,"mgtsum.XLS";#N/A,#N/A,FALSE,"CAPONE";#N/A,#N/A,FALSE,"CAPTWO";#N/A,#N/A,FALSE,"CAPTHREE"}</definedName>
    <definedName name="_d2" hidden="1">{#N/A,#N/A,FALSE,"mgtsum.XLS";#N/A,#N/A,FALSE,"CAPONE";#N/A,#N/A,FALSE,"CAPTWO";#N/A,#N/A,FALSE,"CAPTHREE"}</definedName>
    <definedName name="_Dist_Values" localSheetId="1" hidden="1">#REF!</definedName>
    <definedName name="_Dist_Values" localSheetId="0" hidden="1">#REF!</definedName>
    <definedName name="_Dist_Values" hidden="1">#REF!</definedName>
    <definedName name="_dk1" localSheetId="1" hidden="1">{#N/A,#N/A,FALSE,"COVER.XLS";#N/A,#N/A,FALSE,"RACT1.XLS";#N/A,#N/A,FALSE,"RACT2.XLS";#N/A,#N/A,FALSE,"ECCMP";#N/A,#N/A,FALSE,"WELDER.XLS"}</definedName>
    <definedName name="_dk1" localSheetId="0" hidden="1">{#N/A,#N/A,FALSE,"COVER.XLS";#N/A,#N/A,FALSE,"RACT1.XLS";#N/A,#N/A,FALSE,"RACT2.XLS";#N/A,#N/A,FALSE,"ECCMP";#N/A,#N/A,FALSE,"WELDER.XLS"}</definedName>
    <definedName name="_dk1" hidden="1">{#N/A,#N/A,FALSE,"COVER.XLS";#N/A,#N/A,FALSE,"RACT1.XLS";#N/A,#N/A,FALSE,"RACT2.XLS";#N/A,#N/A,FALSE,"ECCMP";#N/A,#N/A,FALSE,"WELDER.XLS"}</definedName>
    <definedName name="_f3" localSheetId="1" hidden="1">{#N/A,#N/A,FALSE,"Aging Summary";#N/A,#N/A,FALSE,"Ratio Analysis";#N/A,#N/A,FALSE,"Test 120 Day Accts";#N/A,#N/A,FALSE,"Tickmarks"}</definedName>
    <definedName name="_f3" localSheetId="0" hidden="1">{#N/A,#N/A,FALSE,"Aging Summary";#N/A,#N/A,FALSE,"Ratio Analysis";#N/A,#N/A,FALSE,"Test 120 Day Accts";#N/A,#N/A,FALSE,"Tickmarks"}</definedName>
    <definedName name="_f3" hidden="1">{#N/A,#N/A,FALSE,"Aging Summary";#N/A,#N/A,FALSE,"Ratio Analysis";#N/A,#N/A,FALSE,"Test 120 Day Accts";#N/A,#N/A,FALSE,"Tickmarks"}</definedName>
    <definedName name="_f4" localSheetId="1" hidden="1">{#N/A,#N/A,FALSE,"Aging Summary";#N/A,#N/A,FALSE,"Ratio Analysis";#N/A,#N/A,FALSE,"Test 120 Day Accts";#N/A,#N/A,FALSE,"Tickmarks"}</definedName>
    <definedName name="_f4" localSheetId="0" hidden="1">{#N/A,#N/A,FALSE,"Aging Summary";#N/A,#N/A,FALSE,"Ratio Analysis";#N/A,#N/A,FALSE,"Test 120 Day Accts";#N/A,#N/A,FALSE,"Tickmarks"}</definedName>
    <definedName name="_f4" hidden="1">{#N/A,#N/A,FALSE,"Aging Summary";#N/A,#N/A,FALSE,"Ratio Analysis";#N/A,#N/A,FALSE,"Test 120 Day Accts";#N/A,#N/A,FALSE,"Tickmarks"}</definedName>
    <definedName name="_fco2" localSheetId="1" hidden="1">{#N/A,#N/A,FALSE,"gc (2)"}</definedName>
    <definedName name="_fco2" localSheetId="0" hidden="1">{#N/A,#N/A,FALSE,"gc (2)"}</definedName>
    <definedName name="_fco2" hidden="1">{#N/A,#N/A,FALSE,"gc (2)"}</definedName>
    <definedName name="_Fill1" hidden="1">#REF!</definedName>
    <definedName name="_xlnm._FilterDatabase" localSheetId="1" hidden="1">#REF!</definedName>
    <definedName name="_xlnm._FilterDatabase" localSheetId="0" hidden="1">#REF!</definedName>
    <definedName name="_xlnm._FilterDatabase" hidden="1">#REF!</definedName>
    <definedName name="_GC" hidden="1">#REF!</definedName>
    <definedName name="_gdygugdw" hidden="1">#REF!</definedName>
    <definedName name="_HDD1111" localSheetId="1" hidden="1">{#N/A,#N/A,TRUE,"Front";#N/A,#N/A,TRUE,"Simple Letter";#N/A,#N/A,TRUE,"Inside";#N/A,#N/A,TRUE,"Contents";#N/A,#N/A,TRUE,"Basis";#N/A,#N/A,TRUE,"Inclusions";#N/A,#N/A,TRUE,"Exclusions";#N/A,#N/A,TRUE,"Areas";#N/A,#N/A,TRUE,"Summary";#N/A,#N/A,TRUE,"Detail"}</definedName>
    <definedName name="_HDD1111" localSheetId="0" hidden="1">{#N/A,#N/A,TRUE,"Front";#N/A,#N/A,TRUE,"Simple Letter";#N/A,#N/A,TRUE,"Inside";#N/A,#N/A,TRUE,"Contents";#N/A,#N/A,TRUE,"Basis";#N/A,#N/A,TRUE,"Inclusions";#N/A,#N/A,TRUE,"Exclusions";#N/A,#N/A,TRUE,"Areas";#N/A,#N/A,TRUE,"Summary";#N/A,#N/A,TRUE,"Detail"}</definedName>
    <definedName name="_hp10" localSheetId="1" hidden="1">{#N/A,#N/A,TRUE,"Front";#N/A,#N/A,TRUE,"Simple Letter";#N/A,#N/A,TRUE,"Inside";#N/A,#N/A,TRUE,"Contents";#N/A,#N/A,TRUE,"Basis";#N/A,#N/A,TRUE,"Inclusions";#N/A,#N/A,TRUE,"Exclusions";#N/A,#N/A,TRUE,"Areas";#N/A,#N/A,TRUE,"Summary";#N/A,#N/A,TRUE,"Detail"}</definedName>
    <definedName name="_hp10" localSheetId="0"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hvac" localSheetId="1" hidden="1">#REF!</definedName>
    <definedName name="_hvac" localSheetId="0" hidden="1">#REF!</definedName>
    <definedName name="_hvac" hidden="1">#REF!</definedName>
    <definedName name="_Key2" hidden="1">#REF!</definedName>
    <definedName name="_kvs1" localSheetId="1" hidden="1">{#N/A,#N/A,FALSE,"COVER1.XLS ";#N/A,#N/A,FALSE,"RACT1.XLS";#N/A,#N/A,FALSE,"RACT2.XLS";#N/A,#N/A,FALSE,"ECCMP";#N/A,#N/A,FALSE,"WELDER.XLS"}</definedName>
    <definedName name="_kvs1" localSheetId="0" hidden="1">{#N/A,#N/A,FALSE,"COVER1.XLS ";#N/A,#N/A,FALSE,"RACT1.XLS";#N/A,#N/A,FALSE,"RACT2.XLS";#N/A,#N/A,FALSE,"ECCMP";#N/A,#N/A,FALSE,"WELDER.XLS"}</definedName>
    <definedName name="_kvs1" hidden="1">{#N/A,#N/A,FALSE,"COVER1.XLS ";#N/A,#N/A,FALSE,"RACT1.XLS";#N/A,#N/A,FALSE,"RACT2.XLS";#N/A,#N/A,FALSE,"ECCMP";#N/A,#N/A,FALSE,"WELDER.XLS"}</definedName>
    <definedName name="_kvs2" localSheetId="1" hidden="1">{#N/A,#N/A,FALSE,"COVER1.XLS ";#N/A,#N/A,FALSE,"RACT1.XLS";#N/A,#N/A,FALSE,"RACT2.XLS";#N/A,#N/A,FALSE,"ECCMP";#N/A,#N/A,FALSE,"WELDER.XLS"}</definedName>
    <definedName name="_kvs2" localSheetId="0" hidden="1">{#N/A,#N/A,FALSE,"COVER1.XLS ";#N/A,#N/A,FALSE,"RACT1.XLS";#N/A,#N/A,FALSE,"RACT2.XLS";#N/A,#N/A,FALSE,"ECCMP";#N/A,#N/A,FALSE,"WELDER.XLS"}</definedName>
    <definedName name="_kvs2" hidden="1">{#N/A,#N/A,FALSE,"COVER1.XLS ";#N/A,#N/A,FALSE,"RACT1.XLS";#N/A,#N/A,FALSE,"RACT2.XLS";#N/A,#N/A,FALSE,"ECCMP";#N/A,#N/A,FALSE,"WELDER.XLS"}</definedName>
    <definedName name="_kvs5" localSheetId="1" hidden="1">{#N/A,#N/A,FALSE,"COVER.XLS";#N/A,#N/A,FALSE,"RACT1.XLS";#N/A,#N/A,FALSE,"RACT2.XLS";#N/A,#N/A,FALSE,"ECCMP";#N/A,#N/A,FALSE,"WELDER.XLS"}</definedName>
    <definedName name="_kvs5" localSheetId="0" hidden="1">{#N/A,#N/A,FALSE,"COVER.XLS";#N/A,#N/A,FALSE,"RACT1.XLS";#N/A,#N/A,FALSE,"RACT2.XLS";#N/A,#N/A,FALSE,"ECCMP";#N/A,#N/A,FALSE,"WELDER.XLS"}</definedName>
    <definedName name="_kvs5" hidden="1">{#N/A,#N/A,FALSE,"COVER.XLS";#N/A,#N/A,FALSE,"RACT1.XLS";#N/A,#N/A,FALSE,"RACT2.XLS";#N/A,#N/A,FALSE,"ECCMP";#N/A,#N/A,FALSE,"WELDER.XLS"}</definedName>
    <definedName name="_kvs8" localSheetId="1" hidden="1">{#N/A,#N/A,FALSE,"COVER1.XLS ";#N/A,#N/A,FALSE,"RACT1.XLS";#N/A,#N/A,FALSE,"RACT2.XLS";#N/A,#N/A,FALSE,"ECCMP";#N/A,#N/A,FALSE,"WELDER.XLS"}</definedName>
    <definedName name="_kvs8" localSheetId="0" hidden="1">{#N/A,#N/A,FALSE,"COVER1.XLS ";#N/A,#N/A,FALSE,"RACT1.XLS";#N/A,#N/A,FALSE,"RACT2.XLS";#N/A,#N/A,FALSE,"ECCMP";#N/A,#N/A,FALSE,"WELDER.XLS"}</definedName>
    <definedName name="_kvs8" hidden="1">{#N/A,#N/A,FALSE,"COVER1.XLS ";#N/A,#N/A,FALSE,"RACT1.XLS";#N/A,#N/A,FALSE,"RACT2.XLS";#N/A,#N/A,FALSE,"ECCMP";#N/A,#N/A,FALSE,"WELDER.XLS"}</definedName>
    <definedName name="_L1" localSheetId="1" hidden="1">{#N/A,#N/A,FALSE,"mgtsum.XLS";#N/A,#N/A,FALSE,"CAPONE";#N/A,#N/A,FALSE,"CAPTWO";#N/A,#N/A,FALSE,"CAPTHREE"}</definedName>
    <definedName name="_L1" localSheetId="0" hidden="1">{#N/A,#N/A,FALSE,"mgtsum.XLS";#N/A,#N/A,FALSE,"CAPONE";#N/A,#N/A,FALSE,"CAPTWO";#N/A,#N/A,FALSE,"CAPTHREE"}</definedName>
    <definedName name="_lk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atInverse_In" hidden="1">#REF!</definedName>
    <definedName name="_MR10"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Order2" hidden="1">0</definedName>
    <definedName name="_PA1" localSheetId="1" hidden="1">{#N/A,#N/A,TRUE,"Front";#N/A,#N/A,TRUE,"Simple Letter";#N/A,#N/A,TRUE,"Inside";#N/A,#N/A,TRUE,"Contents";#N/A,#N/A,TRUE,"Basis";#N/A,#N/A,TRUE,"Inclusions";#N/A,#N/A,TRUE,"Exclusions";#N/A,#N/A,TRUE,"Areas";#N/A,#N/A,TRUE,"Summary";#N/A,#N/A,TRUE,"Detail"}</definedName>
    <definedName name="_PA1" localSheetId="0" hidden="1">{#N/A,#N/A,TRUE,"Front";#N/A,#N/A,TRUE,"Simple Letter";#N/A,#N/A,TRUE,"Inside";#N/A,#N/A,TRUE,"Contents";#N/A,#N/A,TRUE,"Basis";#N/A,#N/A,TRUE,"Inclusions";#N/A,#N/A,TRUE,"Exclusions";#N/A,#N/A,TRUE,"Areas";#N/A,#N/A,TRUE,"Summary";#N/A,#N/A,TRUE,"Detail"}</definedName>
    <definedName name="_PA1" hidden="1">{#N/A,#N/A,TRUE,"Front";#N/A,#N/A,TRUE,"Simple Letter";#N/A,#N/A,TRUE,"Inside";#N/A,#N/A,TRUE,"Contents";#N/A,#N/A,TRUE,"Basis";#N/A,#N/A,TRUE,"Inclusions";#N/A,#N/A,TRUE,"Exclusions";#N/A,#N/A,TRUE,"Areas";#N/A,#N/A,TRUE,"Summary";#N/A,#N/A,TRUE,"Detail"}</definedName>
    <definedName name="_Parse_In" hidden="1">#REF!</definedName>
    <definedName name="_Parse_Out" hidden="1">#REF!</definedName>
    <definedName name="_ppa1" localSheetId="1" hidden="1">{#N/A,#N/A,FALSE,"Aging Summary";#N/A,#N/A,FALSE,"Ratio Analysis";#N/A,#N/A,FALSE,"Test 120 Day Accts";#N/A,#N/A,FALSE,"Tickmarks"}</definedName>
    <definedName name="_ppa1" localSheetId="0" hidden="1">{#N/A,#N/A,FALSE,"Aging Summary";#N/A,#N/A,FALSE,"Ratio Analysis";#N/A,#N/A,FALSE,"Test 120 Day Accts";#N/A,#N/A,FALSE,"Tickmarks"}</definedName>
    <definedName name="_ppa1" hidden="1">{#N/A,#N/A,FALSE,"Aging Summary";#N/A,#N/A,FALSE,"Ratio Analysis";#N/A,#N/A,FALSE,"Test 120 Day Accts";#N/A,#N/A,FALSE,"Tickmarks"}</definedName>
    <definedName name="_PRN1" localSheetId="1" hidden="1">{#N/A,#N/A,FALSE,"COVER.XLS";#N/A,#N/A,FALSE,"RACT1.XLS";#N/A,#N/A,FALSE,"RACT2.XLS";#N/A,#N/A,FALSE,"ECCMP";#N/A,#N/A,FALSE,"WELDER.XLS"}</definedName>
    <definedName name="_PRN1" localSheetId="0" hidden="1">{#N/A,#N/A,FALSE,"COVER.XLS";#N/A,#N/A,FALSE,"RACT1.XLS";#N/A,#N/A,FALSE,"RACT2.XLS";#N/A,#N/A,FALSE,"ECCMP";#N/A,#N/A,FALSE,"WELDER.XLS"}</definedName>
    <definedName name="_PRN1" hidden="1">{#N/A,#N/A,FALSE,"COVER.XLS";#N/A,#N/A,FALSE,"RACT1.XLS";#N/A,#N/A,FALSE,"RACT2.XLS";#N/A,#N/A,FALSE,"ECCMP";#N/A,#N/A,FALSE,"WELDER.XLS"}</definedName>
    <definedName name="_RAB002" localSheetId="1" hidden="1">{#N/A,#N/A,TRUE,"Front";#N/A,#N/A,TRUE,"Simple Letter";#N/A,#N/A,TRUE,"Inside";#N/A,#N/A,TRUE,"Contents";#N/A,#N/A,TRUE,"Basis";#N/A,#N/A,TRUE,"Inclusions";#N/A,#N/A,TRUE,"Exclusions";#N/A,#N/A,TRUE,"Areas";#N/A,#N/A,TRUE,"Summary";#N/A,#N/A,TRUE,"Detail"}</definedName>
    <definedName name="_RAB002" localSheetId="0" hidden="1">{#N/A,#N/A,TRUE,"Front";#N/A,#N/A,TRUE,"Simple Letter";#N/A,#N/A,TRUE,"Inside";#N/A,#N/A,TRUE,"Contents";#N/A,#N/A,TRUE,"Basis";#N/A,#N/A,TRUE,"Inclusions";#N/A,#N/A,TRUE,"Exclusions";#N/A,#N/A,TRUE,"Areas";#N/A,#N/A,TRUE,"Summary";#N/A,#N/A,TRUE,"Detail"}</definedName>
    <definedName name="_ram1" localSheetId="1" hidden="1">{#N/A,#N/A,FALSE,"gc (2)"}</definedName>
    <definedName name="_ram1" localSheetId="0" hidden="1">{#N/A,#N/A,FALSE,"gc (2)"}</definedName>
    <definedName name="_ram1" hidden="1">{#N/A,#N/A,FALSE,"gc (2)"}</definedName>
    <definedName name="_Regression_X" hidden="1">#REF!</definedName>
    <definedName name="_sah3" localSheetId="1" hidden="1">{#N/A,#N/A,TRUE,"Front";#N/A,#N/A,TRUE,"Simple Letter";#N/A,#N/A,TRUE,"Inside";#N/A,#N/A,TRUE,"Contents";#N/A,#N/A,TRUE,"Basis";#N/A,#N/A,TRUE,"Inclusions";#N/A,#N/A,TRUE,"Exclusions";#N/A,#N/A,TRUE,"Areas";#N/A,#N/A,TRUE,"Summary";#N/A,#N/A,TRUE,"Detail"}</definedName>
    <definedName name="_sah3" localSheetId="0" hidden="1">{#N/A,#N/A,TRUE,"Front";#N/A,#N/A,TRUE,"Simple Letter";#N/A,#N/A,TRUE,"Inside";#N/A,#N/A,TRUE,"Contents";#N/A,#N/A,TRUE,"Basis";#N/A,#N/A,TRUE,"Inclusions";#N/A,#N/A,TRUE,"Exclusions";#N/A,#N/A,TRUE,"Areas";#N/A,#N/A,TRUE,"Summary";#N/A,#N/A,TRUE,"Detail"}</definedName>
    <definedName name="_sah3" hidden="1">{#N/A,#N/A,TRUE,"Front";#N/A,#N/A,TRUE,"Simple Letter";#N/A,#N/A,TRUE,"Inside";#N/A,#N/A,TRUE,"Contents";#N/A,#N/A,TRUE,"Basis";#N/A,#N/A,TRUE,"Inclusions";#N/A,#N/A,TRUE,"Exclusions";#N/A,#N/A,TRUE,"Areas";#N/A,#N/A,TRUE,"Summary";#N/A,#N/A,TRUE,"Detail"}</definedName>
    <definedName name="_sti02" localSheetId="1" hidden="1">{#N/A,#N/A,FALSE,"gc (2)"}</definedName>
    <definedName name="_sti02" localSheetId="0" hidden="1">{#N/A,#N/A,FALSE,"gc (2)"}</definedName>
    <definedName name="_sti02" hidden="1">{#N/A,#N/A,FALSE,"gc (2)"}</definedName>
    <definedName name="_t1"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1" hidden="1">{#N/A,#N/A,TRUE,"Front";#N/A,#N/A,TRUE,"Simple Letter";#N/A,#N/A,TRUE,"Inside";#N/A,#N/A,TRUE,"Contents";#N/A,#N/A,TRUE,"Basis";#N/A,#N/A,TRUE,"Inclusions";#N/A,#N/A,TRUE,"Exclusions";#N/A,#N/A,TRUE,"Areas";#N/A,#N/A,TRUE,"Summary";#N/A,#N/A,TRUE,"Detail"}</definedName>
    <definedName name="_t2" localSheetId="0" hidden="1">{#N/A,#N/A,TRUE,"Front";#N/A,#N/A,TRUE,"Simple Letter";#N/A,#N/A,TRUE,"Inside";#N/A,#N/A,TRUE,"Contents";#N/A,#N/A,TRUE,"Basis";#N/A,#N/A,TRUE,"Inclusions";#N/A,#N/A,TRUE,"Exclusions";#N/A,#N/A,TRUE,"Areas";#N/A,#N/A,TRUE,"Summary";#N/A,#N/A,TRUE,"Detail"}</definedName>
    <definedName name="_t2" hidden="1">{#N/A,#N/A,TRUE,"Front";#N/A,#N/A,TRUE,"Simple Letter";#N/A,#N/A,TRUE,"Inside";#N/A,#N/A,TRUE,"Contents";#N/A,#N/A,TRUE,"Basis";#N/A,#N/A,TRUE,"Inclusions";#N/A,#N/A,TRUE,"Exclusions";#N/A,#N/A,TRUE,"Areas";#N/A,#N/A,TRUE,"Summary";#N/A,#N/A,TRUE,"Detail"}</definedName>
    <definedName name="_ta1" localSheetId="1" hidden="1">{#N/A,#N/A,TRUE,"Financials";#N/A,#N/A,TRUE,"Operating Statistics";#N/A,#N/A,TRUE,"Capex &amp; Depreciation";#N/A,#N/A,TRUE,"Debt"}</definedName>
    <definedName name="_ta1" localSheetId="0" hidden="1">{#N/A,#N/A,TRUE,"Financials";#N/A,#N/A,TRUE,"Operating Statistics";#N/A,#N/A,TRUE,"Capex &amp; Depreciation";#N/A,#N/A,TRUE,"Debt"}</definedName>
    <definedName name="_ta1" hidden="1">{#N/A,#N/A,TRUE,"Financials";#N/A,#N/A,TRUE,"Operating Statistics";#N/A,#N/A,TRUE,"Capex &amp; Depreciation";#N/A,#N/A,TRUE,"Debt"}</definedName>
    <definedName name="_Table1_In1" localSheetId="1" hidden="1">#REF!</definedName>
    <definedName name="_Table1_In1" localSheetId="0"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 localSheetId="1" hidden="1">{#N/A,#N/A,FALSE,"One Pager";#N/A,#N/A,FALSE,"Technical"}</definedName>
    <definedName name="_tb1" localSheetId="0" hidden="1">{#N/A,#N/A,FALSE,"One Pager";#N/A,#N/A,FALSE,"Technical"}</definedName>
    <definedName name="_tb1" hidden="1">{#N/A,#N/A,FALSE,"One Pager";#N/A,#N/A,FALSE,"Technical"}</definedName>
    <definedName name="_tem1" localSheetId="1" hidden="1">{#N/A,#N/A,TRUE,"Front";#N/A,#N/A,TRUE,"Simple Letter";#N/A,#N/A,TRUE,"Inside";#N/A,#N/A,TRUE,"Contents";#N/A,#N/A,TRUE,"Basis";#N/A,#N/A,TRUE,"Inclusions";#N/A,#N/A,TRUE,"Exclusions";#N/A,#N/A,TRUE,"Areas";#N/A,#N/A,TRUE,"Summary";#N/A,#N/A,TRUE,"Detail"}</definedName>
    <definedName name="_tem1" localSheetId="0" hidden="1">{#N/A,#N/A,TRUE,"Front";#N/A,#N/A,TRUE,"Simple Letter";#N/A,#N/A,TRUE,"Inside";#N/A,#N/A,TRUE,"Contents";#N/A,#N/A,TRUE,"Basis";#N/A,#N/A,TRUE,"Inclusions";#N/A,#N/A,TRUE,"Exclusions";#N/A,#N/A,TRUE,"Areas";#N/A,#N/A,TRUE,"Summary";#N/A,#N/A,TRUE,"Detail"}</definedName>
    <definedName name="_tem1" hidden="1">{#N/A,#N/A,TRUE,"Front";#N/A,#N/A,TRUE,"Simple Letter";#N/A,#N/A,TRUE,"Inside";#N/A,#N/A,TRUE,"Contents";#N/A,#N/A,TRUE,"Basis";#N/A,#N/A,TRUE,"Inclusions";#N/A,#N/A,TRUE,"Exclusions";#N/A,#N/A,TRUE,"Areas";#N/A,#N/A,TRUE,"Summary";#N/A,#N/A,TRUE,"Detail"}</definedName>
    <definedName name="_tm3" localSheetId="1" hidden="1">{#N/A,#N/A,TRUE,"Front";#N/A,#N/A,TRUE,"Simple Letter";#N/A,#N/A,TRUE,"Inside";#N/A,#N/A,TRUE,"Contents";#N/A,#N/A,TRUE,"Basis";#N/A,#N/A,TRUE,"Inclusions";#N/A,#N/A,TRUE,"Exclusions";#N/A,#N/A,TRUE,"Areas";#N/A,#N/A,TRUE,"Summary";#N/A,#N/A,TRUE,"Detail"}</definedName>
    <definedName name="_tm3" localSheetId="0" hidden="1">{#N/A,#N/A,TRUE,"Front";#N/A,#N/A,TRUE,"Simple Letter";#N/A,#N/A,TRUE,"Inside";#N/A,#N/A,TRUE,"Contents";#N/A,#N/A,TRUE,"Basis";#N/A,#N/A,TRUE,"Inclusions";#N/A,#N/A,TRUE,"Exclusions";#N/A,#N/A,TRUE,"Areas";#N/A,#N/A,TRUE,"Summary";#N/A,#N/A,TRUE,"Detail"}</definedName>
    <definedName name="_tm3" hidden="1">{#N/A,#N/A,TRUE,"Front";#N/A,#N/A,TRUE,"Simple Letter";#N/A,#N/A,TRUE,"Inside";#N/A,#N/A,TRUE,"Contents";#N/A,#N/A,TRUE,"Basis";#N/A,#N/A,TRUE,"Inclusions";#N/A,#N/A,TRUE,"Exclusions";#N/A,#N/A,TRUE,"Areas";#N/A,#N/A,TRUE,"Summary";#N/A,#N/A,TRUE,"Detail"}</definedName>
    <definedName name="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2" localSheetId="1" hidden="1">{#N/A,#N/A,FALSE,"COVER1.XLS ";#N/A,#N/A,FALSE,"RACT1.XLS";#N/A,#N/A,FALSE,"RACT2.XLS";#N/A,#N/A,FALSE,"ECCMP";#N/A,#N/A,FALSE,"WELDER.XLS"}</definedName>
    <definedName name="_WRN2" localSheetId="0" hidden="1">{#N/A,#N/A,FALSE,"COVER1.XLS ";#N/A,#N/A,FALSE,"RACT1.XLS";#N/A,#N/A,FALSE,"RACT2.XLS";#N/A,#N/A,FALSE,"ECCMP";#N/A,#N/A,FALSE,"WELDER.XLS"}</definedName>
    <definedName name="_WRN2" hidden="1">{#N/A,#N/A,FALSE,"COVER1.XLS ";#N/A,#N/A,FALSE,"RACT1.XLS";#N/A,#N/A,FALSE,"RACT2.XLS";#N/A,#N/A,FALSE,"ECCMP";#N/A,#N/A,FALSE,"WELDER.XLS"}</definedName>
    <definedName name="_WRN2.P854._.addendum." localSheetId="1" hidden="1">{#N/A,#N/A,FALSE,"mgtsum.XLS";#N/A,#N/A,FALSE,"CAPONE";#N/A,#N/A,FALSE,"CAPTWO";#N/A,#N/A,FALSE,"CAPTHREE"}</definedName>
    <definedName name="_WRN2.P854._.addendum." localSheetId="0" hidden="1">{#N/A,#N/A,FALSE,"mgtsum.XLS";#N/A,#N/A,FALSE,"CAPONE";#N/A,#N/A,FALSE,"CAPTWO";#N/A,#N/A,FALSE,"CAPTHREE"}</definedName>
    <definedName name="_WRN2.P854._.addendum." hidden="1">{#N/A,#N/A,FALSE,"mgtsum.XLS";#N/A,#N/A,FALSE,"CAPONE";#N/A,#N/A,FALSE,"CAPTWO";#N/A,#N/A,FALSE,"CAPTHREE"}</definedName>
    <definedName name="_WRN3" localSheetId="1" hidden="1">{#N/A,#N/A,FALSE,"consu_cover";#N/A,#N/A,FALSE,"consu_strategy";#N/A,#N/A,FALSE,"consu_flow";#N/A,#N/A,FALSE,"Summary_reqmt";#N/A,#N/A,FALSE,"field_ppg";#N/A,#N/A,FALSE,"ppg_shop";#N/A,#N/A,FALSE,"strl";#N/A,#N/A,FALSE,"tankages";#N/A,#N/A,FALSE,"gases"}</definedName>
    <definedName name="_WRN3" localSheetId="0" hidden="1">{#N/A,#N/A,FALSE,"consu_cover";#N/A,#N/A,FALSE,"consu_strategy";#N/A,#N/A,FALSE,"consu_flow";#N/A,#N/A,FALSE,"Summary_reqmt";#N/A,#N/A,FALSE,"field_ppg";#N/A,#N/A,FALSE,"ppg_shop";#N/A,#N/A,FALSE,"strl";#N/A,#N/A,FALSE,"tankages";#N/A,#N/A,FALSE,"gases"}</definedName>
    <definedName name="_WRN3" hidden="1">{#N/A,#N/A,FALSE,"consu_cover";#N/A,#N/A,FALSE,"consu_strategy";#N/A,#N/A,FALSE,"consu_flow";#N/A,#N/A,FALSE,"Summary_reqmt";#N/A,#N/A,FALSE,"field_ppg";#N/A,#N/A,FALSE,"ppg_shop";#N/A,#N/A,FALSE,"strl";#N/A,#N/A,FALSE,"tankages";#N/A,#N/A,FALSE,"gases"}</definedName>
    <definedName name="_wrn3.p854._.addendum." localSheetId="1" hidden="1">{#N/A,#N/A,FALSE,"mgtsum.XLS";#N/A,#N/A,FALSE,"CAPONE";#N/A,#N/A,FALSE,"CAPTWO";#N/A,#N/A,FALSE,"CAPTHREE"}</definedName>
    <definedName name="_wrn3.p854._.addendum." localSheetId="0" hidden="1">{#N/A,#N/A,FALSE,"mgtsum.XLS";#N/A,#N/A,FALSE,"CAPONE";#N/A,#N/A,FALSE,"CAPTWO";#N/A,#N/A,FALSE,"CAPTHREE"}</definedName>
    <definedName name="_wrn3.p854._.addendum." hidden="1">{#N/A,#N/A,FALSE,"mgtsum.XLS";#N/A,#N/A,FALSE,"CAPONE";#N/A,#N/A,FALSE,"CAPTWO";#N/A,#N/A,FALSE,"CAPTHREE"}</definedName>
    <definedName name="AA.Report.Files" hidden="1">#REF!</definedName>
    <definedName name="AA.Reports.Available"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ffa" localSheetId="1" hidden="1">{#N/A,#N/A,FALSE,"COVER.XLS";#N/A,#N/A,FALSE,"RACT1.XLS";#N/A,#N/A,FALSE,"RACT2.XLS";#N/A,#N/A,FALSE,"ECCMP";#N/A,#N/A,FALSE,"WELDER.XLS"}</definedName>
    <definedName name="aaffa" localSheetId="0" hidden="1">{#N/A,#N/A,FALSE,"COVER.XLS";#N/A,#N/A,FALSE,"RACT1.XLS";#N/A,#N/A,FALSE,"RACT2.XLS";#N/A,#N/A,FALSE,"ECCMP";#N/A,#N/A,FALSE,"WELDER.XLS"}</definedName>
    <definedName name="aaffa" hidden="1">{#N/A,#N/A,FALSE,"COVER.XLS";#N/A,#N/A,FALSE,"RACT1.XLS";#N/A,#N/A,FALSE,"RACT2.XLS";#N/A,#N/A,FALSE,"ECCMP";#N/A,#N/A,FALSE,"WELDER.XLS"}</definedName>
    <definedName name="aakdf" localSheetId="1" hidden="1">{#N/A,#N/A,FALSE,"mgtsum.XLS";#N/A,#N/A,FALSE,"CAPONE";#N/A,#N/A,FALSE,"CAPTWO";#N/A,#N/A,FALSE,"CAPTHREE"}</definedName>
    <definedName name="aakdf" localSheetId="0" hidden="1">{#N/A,#N/A,FALSE,"mgtsum.XLS";#N/A,#N/A,FALSE,"CAPONE";#N/A,#N/A,FALSE,"CAPTWO";#N/A,#N/A,FALSE,"CAPTHREE"}</definedName>
    <definedName name="aakdf" hidden="1">{#N/A,#N/A,FALSE,"mgtsum.XLS";#N/A,#N/A,FALSE,"CAPONE";#N/A,#N/A,FALSE,"CAPTWO";#N/A,#N/A,FALSE,"CAPTHREE"}</definedName>
    <definedName name="aba" localSheetId="1" hidden="1">{#N/A,#N/A,FALSE,"COVER1.XLS ";#N/A,#N/A,FALSE,"RACT1.XLS";#N/A,#N/A,FALSE,"RACT2.XLS";#N/A,#N/A,FALSE,"ECCMP";#N/A,#N/A,FALSE,"WELDER.XLS"}</definedName>
    <definedName name="aba" localSheetId="0" hidden="1">{#N/A,#N/A,FALSE,"COVER1.XLS ";#N/A,#N/A,FALSE,"RACT1.XLS";#N/A,#N/A,FALSE,"RACT2.XLS";#N/A,#N/A,FALSE,"ECCMP";#N/A,#N/A,FALSE,"WELDER.XLS"}</definedName>
    <definedName name="aba" hidden="1">{#N/A,#N/A,FALSE,"COVER1.XLS ";#N/A,#N/A,FALSE,"RACT1.XLS";#N/A,#N/A,FALSE,"RACT2.XLS";#N/A,#N/A,FALSE,"ECCMP";#N/A,#N/A,FALSE,"WELDER.XLS"}</definedName>
    <definedName name="abcdefg" localSheetId="1" hidden="1">{#N/A,#N/A,FALSE,"mgtsum.XLS";#N/A,#N/A,FALSE,"CAPONE";#N/A,#N/A,FALSE,"CAPTWO";#N/A,#N/A,FALSE,"CAPTHREE"}</definedName>
    <definedName name="abcdefg" localSheetId="0" hidden="1">{#N/A,#N/A,FALSE,"mgtsum.XLS";#N/A,#N/A,FALSE,"CAPONE";#N/A,#N/A,FALSE,"CAPTWO";#N/A,#N/A,FALSE,"CAPTHREE"}</definedName>
    <definedName name="abcdefg" hidden="1">{#N/A,#N/A,FALSE,"mgtsum.XLS";#N/A,#N/A,FALSE,"CAPONE";#N/A,#N/A,FALSE,"CAPTWO";#N/A,#N/A,FALSE,"CAPTHREE"}</definedName>
    <definedName name="abcxyz" localSheetId="1" hidden="1">{#N/A,#N/A,FALSE,"mgtsum.XLS";#N/A,#N/A,FALSE,"CAPONE";#N/A,#N/A,FALSE,"CAPTWO";#N/A,#N/A,FALSE,"CAPTHREE"}</definedName>
    <definedName name="abcxyz" localSheetId="0" hidden="1">{#N/A,#N/A,FALSE,"mgtsum.XLS";#N/A,#N/A,FALSE,"CAPONE";#N/A,#N/A,FALSE,"CAPTWO";#N/A,#N/A,FALSE,"CAPTHREE"}</definedName>
    <definedName name="abcxyz" hidden="1">{#N/A,#N/A,FALSE,"mgtsum.XLS";#N/A,#N/A,FALSE,"CAPONE";#N/A,#N/A,FALSE,"CAPTWO";#N/A,#N/A,FALSE,"CAPTHREE"}</definedName>
    <definedName name="Abs" localSheetId="1" hidden="1">#REF!</definedName>
    <definedName name="Abs" localSheetId="0" hidden="1">#REF!</definedName>
    <definedName name="Abs" hidden="1">#REF!</definedName>
    <definedName name="abst" localSheetId="1" hidden="1">{#N/A,#N/A,TRUE,"Front";#N/A,#N/A,TRUE,"Simple Letter";#N/A,#N/A,TRUE,"Inside";#N/A,#N/A,TRUE,"Contents";#N/A,#N/A,TRUE,"Basis";#N/A,#N/A,TRUE,"Inclusions";#N/A,#N/A,TRUE,"Exclusions";#N/A,#N/A,TRUE,"Areas";#N/A,#N/A,TRUE,"Summary";#N/A,#N/A,TRUE,"Detail"}</definedName>
    <definedName name="abst" localSheetId="0" hidden="1">{#N/A,#N/A,TRUE,"Front";#N/A,#N/A,TRUE,"Simple Letter";#N/A,#N/A,TRUE,"Inside";#N/A,#N/A,TRUE,"Contents";#N/A,#N/A,TRUE,"Basis";#N/A,#N/A,TRUE,"Inclusions";#N/A,#N/A,TRUE,"Exclusions";#N/A,#N/A,TRUE,"Areas";#N/A,#N/A,TRUE,"Summary";#N/A,#N/A,TRUE,"Detail"}</definedName>
    <definedName name="absth" localSheetId="1" hidden="1">{#N/A,#N/A,TRUE,"Front";#N/A,#N/A,TRUE,"Simple Letter";#N/A,#N/A,TRUE,"Inside";#N/A,#N/A,TRUE,"Contents";#N/A,#N/A,TRUE,"Basis";#N/A,#N/A,TRUE,"Inclusions";#N/A,#N/A,TRUE,"Exclusions";#N/A,#N/A,TRUE,"Areas";#N/A,#N/A,TRUE,"Summary";#N/A,#N/A,TRUE,"Detail"}</definedName>
    <definedName name="absth" localSheetId="0" hidden="1">{#N/A,#N/A,TRUE,"Front";#N/A,#N/A,TRUE,"Simple Letter";#N/A,#N/A,TRUE,"Inside";#N/A,#N/A,TRUE,"Contents";#N/A,#N/A,TRUE,"Basis";#N/A,#N/A,TRUE,"Inclusions";#N/A,#N/A,TRUE,"Exclusions";#N/A,#N/A,TRUE,"Areas";#N/A,#N/A,TRUE,"Summary";#N/A,#N/A,TRUE,"Detail"}</definedName>
    <definedName name="absth" hidden="1">{#N/A,#N/A,TRUE,"Front";#N/A,#N/A,TRUE,"Simple Letter";#N/A,#N/A,TRUE,"Inside";#N/A,#N/A,TRUE,"Contents";#N/A,#N/A,TRUE,"Basis";#N/A,#N/A,TRUE,"Inclusions";#N/A,#N/A,TRUE,"Exclusions";#N/A,#N/A,TRUE,"Areas";#N/A,#N/A,TRUE,"Summary";#N/A,#N/A,TRUE,"Detail"}</definedName>
    <definedName name="abstract" localSheetId="1" hidden="1">{#N/A,#N/A,TRUE,"Front";#N/A,#N/A,TRUE,"Simple Letter";#N/A,#N/A,TRUE,"Inside";#N/A,#N/A,TRUE,"Contents";#N/A,#N/A,TRUE,"Basis";#N/A,#N/A,TRUE,"Inclusions";#N/A,#N/A,TRUE,"Exclusions";#N/A,#N/A,TRUE,"Areas";#N/A,#N/A,TRUE,"Summary";#N/A,#N/A,TRUE,"Detail"}</definedName>
    <definedName name="abstract" localSheetId="0" hidden="1">{#N/A,#N/A,TRUE,"Front";#N/A,#N/A,TRUE,"Simple Letter";#N/A,#N/A,TRUE,"Inside";#N/A,#N/A,TRUE,"Contents";#N/A,#N/A,TRUE,"Basis";#N/A,#N/A,TRUE,"Inclusions";#N/A,#N/A,TRUE,"Exclusions";#N/A,#N/A,TRUE,"Areas";#N/A,#N/A,TRUE,"Summary";#N/A,#N/A,TRUE,"Detail"}</definedName>
    <definedName name="abstract" hidden="1">{#N/A,#N/A,TRUE,"Front";#N/A,#N/A,TRUE,"Simple Letter";#N/A,#N/A,TRUE,"Inside";#N/A,#N/A,TRUE,"Contents";#N/A,#N/A,TRUE,"Basis";#N/A,#N/A,TRUE,"Inclusions";#N/A,#N/A,TRUE,"Exclusions";#N/A,#N/A,TRUE,"Areas";#N/A,#N/A,TRUE,"Summary";#N/A,#N/A,TRUE,"Detail"}</definedName>
    <definedName name="abstractEB" localSheetId="1" hidden="1">{#N/A,#N/A,TRUE,"Front";#N/A,#N/A,TRUE,"Simple Letter";#N/A,#N/A,TRUE,"Inside";#N/A,#N/A,TRUE,"Contents";#N/A,#N/A,TRUE,"Basis";#N/A,#N/A,TRUE,"Inclusions";#N/A,#N/A,TRUE,"Exclusions";#N/A,#N/A,TRUE,"Areas";#N/A,#N/A,TRUE,"Summary";#N/A,#N/A,TRUE,"Detail"}</definedName>
    <definedName name="abstractEB" localSheetId="0" hidden="1">{#N/A,#N/A,TRUE,"Front";#N/A,#N/A,TRUE,"Simple Letter";#N/A,#N/A,TRUE,"Inside";#N/A,#N/A,TRUE,"Contents";#N/A,#N/A,TRUE,"Basis";#N/A,#N/A,TRUE,"Inclusions";#N/A,#N/A,TRUE,"Exclusions";#N/A,#N/A,TRUE,"Areas";#N/A,#N/A,TRUE,"Summary";#N/A,#N/A,TRUE,"Detail"}</definedName>
    <definedName name="AccessDatabase" localSheetId="1" hidden="1">"C:\My Documents\VARUN\VARUN1\CHILLERS-RCP.mdb"</definedName>
    <definedName name="AccessDatabase" localSheetId="0" hidden="1">"C:\My Documents\VARUN\VARUN1\CHILLERS-RCP.mdb"</definedName>
    <definedName name="acckt" localSheetId="1" hidden="1">{#N/A,#N/A,TRUE,"Front";#N/A,#N/A,TRUE,"Simple Letter";#N/A,#N/A,TRUE,"Inside";#N/A,#N/A,TRUE,"Contents";#N/A,#N/A,TRUE,"Basis";#N/A,#N/A,TRUE,"Inclusions";#N/A,#N/A,TRUE,"Exclusions";#N/A,#N/A,TRUE,"Areas";#N/A,#N/A,TRUE,"Summary";#N/A,#N/A,TRUE,"Detail"}</definedName>
    <definedName name="acckt" localSheetId="0" hidden="1">{#N/A,#N/A,TRUE,"Front";#N/A,#N/A,TRUE,"Simple Letter";#N/A,#N/A,TRUE,"Inside";#N/A,#N/A,TRUE,"Contents";#N/A,#N/A,TRUE,"Basis";#N/A,#N/A,TRUE,"Inclusions";#N/A,#N/A,TRUE,"Exclusions";#N/A,#N/A,TRUE,"Areas";#N/A,#N/A,TRUE,"Summary";#N/A,#N/A,TRUE,"Detail"}</definedName>
    <definedName name="acckt" hidden="1">{#N/A,#N/A,TRUE,"Front";#N/A,#N/A,TRUE,"Simple Letter";#N/A,#N/A,TRUE,"Inside";#N/A,#N/A,TRUE,"Contents";#N/A,#N/A,TRUE,"Basis";#N/A,#N/A,TRUE,"Inclusions";#N/A,#N/A,TRUE,"Exclusions";#N/A,#N/A,TRUE,"Areas";#N/A,#N/A,TRUE,"Summary";#N/A,#N/A,TRUE,"Detail"}</definedName>
    <definedName name="accomation" hidden="1">#REF!</definedName>
    <definedName name="ada" localSheetId="1" hidden="1">{#N/A,#N/A,FALSE,"str_title";#N/A,#N/A,FALSE,"SUM";#N/A,#N/A,FALSE,"Scope";#N/A,#N/A,FALSE,"PIE-Jn";#N/A,#N/A,FALSE,"PIE-Jn_Hz";#N/A,#N/A,FALSE,"Liq_Plan";#N/A,#N/A,FALSE,"S_Curve";#N/A,#N/A,FALSE,"Liq_Prof";#N/A,#N/A,FALSE,"Man_Pwr";#N/A,#N/A,FALSE,"Man_Prof"}</definedName>
    <definedName name="ada" localSheetId="0"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 localSheetId="1" hidden="1">{#N/A,#N/A,TRUE,"Front";#N/A,#N/A,TRUE,"Simple Letter";#N/A,#N/A,TRUE,"Inside";#N/A,#N/A,TRUE,"Contents";#N/A,#N/A,TRUE,"Basis";#N/A,#N/A,TRUE,"Inclusions";#N/A,#N/A,TRUE,"Exclusions";#N/A,#N/A,TRUE,"Areas";#N/A,#N/A,TRUE,"Summary";#N/A,#N/A,TRUE,"Detail"}</definedName>
    <definedName name="adada" localSheetId="0" hidden="1">{#N/A,#N/A,TRUE,"Front";#N/A,#N/A,TRUE,"Simple Letter";#N/A,#N/A,TRUE,"Inside";#N/A,#N/A,TRUE,"Contents";#N/A,#N/A,TRUE,"Basis";#N/A,#N/A,TRUE,"Inclusions";#N/A,#N/A,TRUE,"Exclusions";#N/A,#N/A,TRUE,"Areas";#N/A,#N/A,TRUE,"Summary";#N/A,#N/A,TRUE,"Detail"}</definedName>
    <definedName name="adada" hidden="1">{#N/A,#N/A,TRUE,"Front";#N/A,#N/A,TRUE,"Simple Letter";#N/A,#N/A,TRUE,"Inside";#N/A,#N/A,TRUE,"Contents";#N/A,#N/A,TRUE,"Basis";#N/A,#N/A,TRUE,"Inclusions";#N/A,#N/A,TRUE,"Exclusions";#N/A,#N/A,TRUE,"Areas";#N/A,#N/A,TRUE,"Summary";#N/A,#N/A,TRUE,"Detail"}</definedName>
    <definedName name="adadd" localSheetId="1" hidden="1">{#N/A,#N/A,FALSE,"COVER1.XLS ";#N/A,#N/A,FALSE,"RACT1.XLS";#N/A,#N/A,FALSE,"RACT2.XLS";#N/A,#N/A,FALSE,"ECCMP";#N/A,#N/A,FALSE,"WELDER.XLS"}</definedName>
    <definedName name="adadd" localSheetId="0" hidden="1">{#N/A,#N/A,FALSE,"COVER1.XLS ";#N/A,#N/A,FALSE,"RACT1.XLS";#N/A,#N/A,FALSE,"RACT2.XLS";#N/A,#N/A,FALSE,"ECCMP";#N/A,#N/A,FALSE,"WELDER.XLS"}</definedName>
    <definedName name="adadd" hidden="1">{#N/A,#N/A,FALSE,"COVER1.XLS ";#N/A,#N/A,FALSE,"RACT1.XLS";#N/A,#N/A,FALSE,"RACT2.XLS";#N/A,#N/A,FALSE,"ECCMP";#N/A,#N/A,FALSE,"WELDER.XLS"}</definedName>
    <definedName name="adagshdhj" localSheetId="1" hidden="1">{#N/A,#N/A,TRUE,"Front";#N/A,#N/A,TRUE,"Simple Letter";#N/A,#N/A,TRUE,"Inside";#N/A,#N/A,TRUE,"Contents";#N/A,#N/A,TRUE,"Basis";#N/A,#N/A,TRUE,"Inclusions";#N/A,#N/A,TRUE,"Exclusions";#N/A,#N/A,TRUE,"Areas";#N/A,#N/A,TRUE,"Summary";#N/A,#N/A,TRUE,"Detail"}</definedName>
    <definedName name="adagshdhj" localSheetId="0" hidden="1">{#N/A,#N/A,TRUE,"Front";#N/A,#N/A,TRUE,"Simple Letter";#N/A,#N/A,TRUE,"Inside";#N/A,#N/A,TRUE,"Contents";#N/A,#N/A,TRUE,"Basis";#N/A,#N/A,TRUE,"Inclusions";#N/A,#N/A,TRUE,"Exclusions";#N/A,#N/A,TRUE,"Areas";#N/A,#N/A,TRUE,"Summary";#N/A,#N/A,TRUE,"Detail"}</definedName>
    <definedName name="adagshdhj" hidden="1">{#N/A,#N/A,TRUE,"Front";#N/A,#N/A,TRUE,"Simple Letter";#N/A,#N/A,TRUE,"Inside";#N/A,#N/A,TRUE,"Contents";#N/A,#N/A,TRUE,"Basis";#N/A,#N/A,TRUE,"Inclusions";#N/A,#N/A,TRUE,"Exclusions";#N/A,#N/A,TRUE,"Areas";#N/A,#N/A,TRUE,"Summary";#N/A,#N/A,TRUE,"Detail"}</definedName>
    <definedName name="add_BOQ" localSheetId="1" hidden="1">{#N/A,#N/A,TRUE,"Front";#N/A,#N/A,TRUE,"Simple Letter";#N/A,#N/A,TRUE,"Inside";#N/A,#N/A,TRUE,"Contents";#N/A,#N/A,TRUE,"Basis";#N/A,#N/A,TRUE,"Inclusions";#N/A,#N/A,TRUE,"Exclusions";#N/A,#N/A,TRUE,"Areas";#N/A,#N/A,TRUE,"Summary";#N/A,#N/A,TRUE,"Detail"}</definedName>
    <definedName name="add_BOQ" localSheetId="0" hidden="1">{#N/A,#N/A,TRUE,"Front";#N/A,#N/A,TRUE,"Simple Letter";#N/A,#N/A,TRUE,"Inside";#N/A,#N/A,TRUE,"Contents";#N/A,#N/A,TRUE,"Basis";#N/A,#N/A,TRUE,"Inclusions";#N/A,#N/A,TRUE,"Exclusions";#N/A,#N/A,TRUE,"Areas";#N/A,#N/A,TRUE,"Summary";#N/A,#N/A,TRUE,"Detail"}</definedName>
    <definedName name="add_BOQ" hidden="1">{#N/A,#N/A,TRUE,"Front";#N/A,#N/A,TRUE,"Simple Letter";#N/A,#N/A,TRUE,"Inside";#N/A,#N/A,TRUE,"Contents";#N/A,#N/A,TRUE,"Basis";#N/A,#N/A,TRUE,"Inclusions";#N/A,#N/A,TRUE,"Exclusions";#N/A,#N/A,TRUE,"Areas";#N/A,#N/A,TRUE,"Summary";#N/A,#N/A,TRUE,"Detail"}</definedName>
    <definedName name="adf" localSheetId="1" hidden="1">{#N/A,#N/A,FALSE,"COVER1.XLS ";#N/A,#N/A,FALSE,"RACT1.XLS";#N/A,#N/A,FALSE,"RACT2.XLS";#N/A,#N/A,FALSE,"ECCMP";#N/A,#N/A,FALSE,"WELDER.XLS"}</definedName>
    <definedName name="adf" localSheetId="0" hidden="1">{#N/A,#N/A,FALSE,"COVER1.XLS ";#N/A,#N/A,FALSE,"RACT1.XLS";#N/A,#N/A,FALSE,"RACT2.XLS";#N/A,#N/A,FALSE,"ECCMP";#N/A,#N/A,FALSE,"WELDER.XLS"}</definedName>
    <definedName name="adf" hidden="1">{#N/A,#N/A,FALSE,"COVER1.XLS ";#N/A,#N/A,FALSE,"RACT1.XLS";#N/A,#N/A,FALSE,"RACT2.XLS";#N/A,#N/A,FALSE,"ECCMP";#N/A,#N/A,FALSE,"WELDER.XLS"}</definedName>
    <definedName name="aditya" localSheetId="1" hidden="1">{#N/A,#N/A,TRUE,"Front";#N/A,#N/A,TRUE,"Simple Letter";#N/A,#N/A,TRUE,"Inside";#N/A,#N/A,TRUE,"Contents";#N/A,#N/A,TRUE,"Basis";#N/A,#N/A,TRUE,"Inclusions";#N/A,#N/A,TRUE,"Exclusions";#N/A,#N/A,TRUE,"Areas";#N/A,#N/A,TRUE,"Summary";#N/A,#N/A,TRUE,"Detail"}</definedName>
    <definedName name="aditya" localSheetId="0" hidden="1">{#N/A,#N/A,TRUE,"Front";#N/A,#N/A,TRUE,"Simple Letter";#N/A,#N/A,TRUE,"Inside";#N/A,#N/A,TRUE,"Contents";#N/A,#N/A,TRUE,"Basis";#N/A,#N/A,TRUE,"Inclusions";#N/A,#N/A,TRUE,"Exclusions";#N/A,#N/A,TRUE,"Areas";#N/A,#N/A,TRUE,"Summary";#N/A,#N/A,TRUE,"Detail"}</definedName>
    <definedName name="aditya" hidden="1">{#N/A,#N/A,TRUE,"Front";#N/A,#N/A,TRUE,"Simple Letter";#N/A,#N/A,TRUE,"Inside";#N/A,#N/A,TRUE,"Contents";#N/A,#N/A,TRUE,"Basis";#N/A,#N/A,TRUE,"Inclusions";#N/A,#N/A,TRUE,"Exclusions";#N/A,#N/A,TRUE,"Areas";#N/A,#N/A,TRUE,"Summary";#N/A,#N/A,TRUE,"Detail"}</definedName>
    <definedName name="afewyeryer" localSheetId="1" hidden="1">{#N/A,#N/A,TRUE,"Front";#N/A,#N/A,TRUE,"Simple Letter";#N/A,#N/A,TRUE,"Inside";#N/A,#N/A,TRUE,"Contents";#N/A,#N/A,TRUE,"Basis";#N/A,#N/A,TRUE,"Inclusions";#N/A,#N/A,TRUE,"Exclusions";#N/A,#N/A,TRUE,"Areas";#N/A,#N/A,TRUE,"Summary";#N/A,#N/A,TRUE,"Detail"}</definedName>
    <definedName name="afewyeryer" localSheetId="0" hidden="1">{#N/A,#N/A,TRUE,"Front";#N/A,#N/A,TRUE,"Simple Letter";#N/A,#N/A,TRUE,"Inside";#N/A,#N/A,TRUE,"Contents";#N/A,#N/A,TRUE,"Basis";#N/A,#N/A,TRUE,"Inclusions";#N/A,#N/A,TRUE,"Exclusions";#N/A,#N/A,TRUE,"Areas";#N/A,#N/A,TRUE,"Summary";#N/A,#N/A,TRUE,"Detail"}</definedName>
    <definedName name="afewyeryer" hidden="1">{#N/A,#N/A,TRUE,"Front";#N/A,#N/A,TRUE,"Simple Letter";#N/A,#N/A,TRUE,"Inside";#N/A,#N/A,TRUE,"Contents";#N/A,#N/A,TRUE,"Basis";#N/A,#N/A,TRUE,"Inclusions";#N/A,#N/A,TRUE,"Exclusions";#N/A,#N/A,TRUE,"Areas";#N/A,#N/A,TRUE,"Summary";#N/A,#N/A,TRUE,"Detail"}</definedName>
    <definedName name="AFGHANISTAN" localSheetId="1" hidden="1">{#N/A,#N/A,TRUE,"Front";#N/A,#N/A,TRUE,"Simple Letter";#N/A,#N/A,TRUE,"Inside";#N/A,#N/A,TRUE,"Contents";#N/A,#N/A,TRUE,"Basis";#N/A,#N/A,TRUE,"Inclusions";#N/A,#N/A,TRUE,"Exclusions";#N/A,#N/A,TRUE,"Areas";#N/A,#N/A,TRUE,"Summary";#N/A,#N/A,TRUE,"Detail"}</definedName>
    <definedName name="AFGHANISTAN" localSheetId="0" hidden="1">{#N/A,#N/A,TRUE,"Front";#N/A,#N/A,TRUE,"Simple Letter";#N/A,#N/A,TRUE,"Inside";#N/A,#N/A,TRUE,"Contents";#N/A,#N/A,TRUE,"Basis";#N/A,#N/A,TRUE,"Inclusions";#N/A,#N/A,TRUE,"Exclusions";#N/A,#N/A,TRUE,"Areas";#N/A,#N/A,TRUE,"Summary";#N/A,#N/A,TRUE,"Detail"}</definedName>
    <definedName name="AFGHANISTAN" hidden="1">{#N/A,#N/A,TRUE,"Front";#N/A,#N/A,TRUE,"Simple Letter";#N/A,#N/A,TRUE,"Inside";#N/A,#N/A,TRUE,"Contents";#N/A,#N/A,TRUE,"Basis";#N/A,#N/A,TRUE,"Inclusions";#N/A,#N/A,TRUE,"Exclusions";#N/A,#N/A,TRUE,"Areas";#N/A,#N/A,TRUE,"Summary";#N/A,#N/A,TRUE,"Detail"}</definedName>
    <definedName name="ALLLLLLLLL" localSheetId="1" hidden="1">{#N/A,#N/A,TRUE,"Front";#N/A,#N/A,TRUE,"Simple Letter";#N/A,#N/A,TRUE,"Inside";#N/A,#N/A,TRUE,"Contents";#N/A,#N/A,TRUE,"Basis";#N/A,#N/A,TRUE,"Inclusions";#N/A,#N/A,TRUE,"Exclusions";#N/A,#N/A,TRUE,"Areas";#N/A,#N/A,TRUE,"Summary";#N/A,#N/A,TRUE,"Detail"}</definedName>
    <definedName name="ALLLLLLLLL" localSheetId="0" hidden="1">{#N/A,#N/A,TRUE,"Front";#N/A,#N/A,TRUE,"Simple Letter";#N/A,#N/A,TRUE,"Inside";#N/A,#N/A,TRUE,"Contents";#N/A,#N/A,TRUE,"Basis";#N/A,#N/A,TRUE,"Inclusions";#N/A,#N/A,TRUE,"Exclusions";#N/A,#N/A,TRUE,"Areas";#N/A,#N/A,TRUE,"Summary";#N/A,#N/A,TRUE,"Detail"}</definedName>
    <definedName name="ALLLLLLLLL" hidden="1">{#N/A,#N/A,TRUE,"Front";#N/A,#N/A,TRUE,"Simple Letter";#N/A,#N/A,TRUE,"Inside";#N/A,#N/A,TRUE,"Contents";#N/A,#N/A,TRUE,"Basis";#N/A,#N/A,TRUE,"Inclusions";#N/A,#N/A,TRUE,"Exclusions";#N/A,#N/A,TRUE,"Areas";#N/A,#N/A,TRUE,"Summary";#N/A,#N/A,TRUE,"Detail"}</definedName>
    <definedName name="am" localSheetId="1" hidden="1">{#N/A,#N/A,FALSE,"mgtsum.XLS";#N/A,#N/A,FALSE,"CAPONE";#N/A,#N/A,FALSE,"CAPTWO";#N/A,#N/A,FALSE,"CAPTHREE"}</definedName>
    <definedName name="am" localSheetId="0" hidden="1">{#N/A,#N/A,FALSE,"mgtsum.XLS";#N/A,#N/A,FALSE,"CAPONE";#N/A,#N/A,FALSE,"CAPTWO";#N/A,#N/A,FALSE,"CAPTHREE"}</definedName>
    <definedName name="am" hidden="1">{#N/A,#N/A,FALSE,"mgtsum.XLS";#N/A,#N/A,FALSE,"CAPONE";#N/A,#N/A,FALSE,"CAPTWO";#N/A,#N/A,FALSE,"CAPTHREE"}</definedName>
    <definedName name="amit" localSheetId="1" hidden="1">{#N/A,#N/A,TRUE,"Front";#N/A,#N/A,TRUE,"Simple Letter";#N/A,#N/A,TRUE,"Inside";#N/A,#N/A,TRUE,"Contents";#N/A,#N/A,TRUE,"Basis";#N/A,#N/A,TRUE,"Inclusions";#N/A,#N/A,TRUE,"Exclusions";#N/A,#N/A,TRUE,"Areas";#N/A,#N/A,TRUE,"Summary";#N/A,#N/A,TRUE,"Detail"}</definedName>
    <definedName name="amit" localSheetId="0" hidden="1">{#N/A,#N/A,TRUE,"Front";#N/A,#N/A,TRUE,"Simple Letter";#N/A,#N/A,TRUE,"Inside";#N/A,#N/A,TRUE,"Contents";#N/A,#N/A,TRUE,"Basis";#N/A,#N/A,TRUE,"Inclusions";#N/A,#N/A,TRUE,"Exclusions";#N/A,#N/A,TRUE,"Areas";#N/A,#N/A,TRUE,"Summary";#N/A,#N/A,TRUE,"Detail"}</definedName>
    <definedName name="amit" hidden="1">{#N/A,#N/A,TRUE,"Front";#N/A,#N/A,TRUE,"Simple Letter";#N/A,#N/A,TRUE,"Inside";#N/A,#N/A,TRUE,"Contents";#N/A,#N/A,TRUE,"Basis";#N/A,#N/A,TRUE,"Inclusions";#N/A,#N/A,TRUE,"Exclusions";#N/A,#N/A,TRUE,"Areas";#N/A,#N/A,TRUE,"Summary";#N/A,#N/A,TRUE,"Detail"}</definedName>
    <definedName name="AQWE" localSheetId="1" hidden="1">{#N/A,#N/A,FALSE,"mpph1";#N/A,#N/A,FALSE,"mpmseb";#N/A,#N/A,FALSE,"mpph2"}</definedName>
    <definedName name="AQWE" localSheetId="0" hidden="1">{#N/A,#N/A,FALSE,"mpph1";#N/A,#N/A,FALSE,"mpmseb";#N/A,#N/A,FALSE,"mpph2"}</definedName>
    <definedName name="AQWE" hidden="1">{#N/A,#N/A,FALSE,"mpph1";#N/A,#N/A,FALSE,"mpmseb";#N/A,#N/A,FALSE,"mpph2"}</definedName>
    <definedName name="art" localSheetId="1" hidden="1">{"COM",#N/A,FALSE,"800 10th"}</definedName>
    <definedName name="art" localSheetId="0" hidden="1">{"COM",#N/A,FALSE,"800 10th"}</definedName>
    <definedName name="art" hidden="1">{"COM",#N/A,FALSE,"800 10th"}</definedName>
    <definedName name="ARUN" localSheetId="1" hidden="1">#REF!</definedName>
    <definedName name="ARUN" localSheetId="0" hidden="1">#REF!</definedName>
    <definedName name="AS2DocOpenMode" hidden="1">"AS2DocumentEdit"</definedName>
    <definedName name="asa" localSheetId="1" hidden="1">{#N/A,#N/A,FALSE,"COVER1.XLS ";#N/A,#N/A,FALSE,"RACT1.XLS";#N/A,#N/A,FALSE,"RACT2.XLS";#N/A,#N/A,FALSE,"ECCMP";#N/A,#N/A,FALSE,"WELDER.XLS"}</definedName>
    <definedName name="asa" localSheetId="0" hidden="1">{#N/A,#N/A,FALSE,"COVER1.XLS ";#N/A,#N/A,FALSE,"RACT1.XLS";#N/A,#N/A,FALSE,"RACT2.XLS";#N/A,#N/A,FALSE,"ECCMP";#N/A,#N/A,FALSE,"WELDER.XLS"}</definedName>
    <definedName name="asa" hidden="1">{#N/A,#N/A,FALSE,"COVER1.XLS ";#N/A,#N/A,FALSE,"RACT1.XLS";#N/A,#N/A,FALSE,"RACT2.XLS";#N/A,#N/A,FALSE,"ECCMP";#N/A,#N/A,FALSE,"WELDER.XLS"}</definedName>
    <definedName name="asad" localSheetId="1" hidden="1">{#N/A,#N/A,FALSE,"str_title";#N/A,#N/A,FALSE,"SUM";#N/A,#N/A,FALSE,"Scope";#N/A,#N/A,FALSE,"PIE-Jn";#N/A,#N/A,FALSE,"PIE-Jn_Hz";#N/A,#N/A,FALSE,"Liq_Plan";#N/A,#N/A,FALSE,"S_Curve";#N/A,#N/A,FALSE,"Liq_Prof";#N/A,#N/A,FALSE,"Man_Pwr";#N/A,#N/A,FALSE,"Man_Prof"}</definedName>
    <definedName name="asad" localSheetId="0" hidden="1">{#N/A,#N/A,FALSE,"str_title";#N/A,#N/A,FALSE,"SUM";#N/A,#N/A,FALSE,"Scope";#N/A,#N/A,FALSE,"PIE-Jn";#N/A,#N/A,FALSE,"PIE-Jn_Hz";#N/A,#N/A,FALSE,"Liq_Plan";#N/A,#N/A,FALSE,"S_Curve";#N/A,#N/A,FALSE,"Liq_Prof";#N/A,#N/A,FALSE,"Man_Pwr";#N/A,#N/A,FALSE,"Man_Prof"}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DASD" localSheetId="1" hidden="1">{#N/A,#N/A,TRUE,"Front";#N/A,#N/A,TRUE,"Simple Letter";#N/A,#N/A,TRUE,"Inside";#N/A,#N/A,TRUE,"Contents";#N/A,#N/A,TRUE,"Basis";#N/A,#N/A,TRUE,"Inclusions";#N/A,#N/A,TRUE,"Exclusions";#N/A,#N/A,TRUE,"Areas";#N/A,#N/A,TRUE,"Summary";#N/A,#N/A,TRUE,"Detail"}</definedName>
    <definedName name="ASDASD" localSheetId="0" hidden="1">{#N/A,#N/A,TRUE,"Front";#N/A,#N/A,TRUE,"Simple Letter";#N/A,#N/A,TRUE,"Inside";#N/A,#N/A,TRUE,"Contents";#N/A,#N/A,TRUE,"Basis";#N/A,#N/A,TRUE,"Inclusions";#N/A,#N/A,TRUE,"Exclusions";#N/A,#N/A,TRUE,"Areas";#N/A,#N/A,TRUE,"Summary";#N/A,#N/A,TRUE,"Detail"}</definedName>
    <definedName name="asdasddfguer" hidden="1">#N/A</definedName>
    <definedName name="asdfsa" hidden="1">#REF!</definedName>
    <definedName name="asdfsadf" localSheetId="1" hidden="1">#REF!</definedName>
    <definedName name="asdfsadf" localSheetId="0" hidden="1">#REF!</definedName>
    <definedName name="ASDFSDFF" localSheetId="1" hidden="1">{#N/A,#N/A,FALSE,"mgtsum.XLS";#N/A,#N/A,FALSE,"CAPONE";#N/A,#N/A,FALSE,"CAPTWO";#N/A,#N/A,FALSE,"CAPTHREE"}</definedName>
    <definedName name="ASDFSDFF" localSheetId="0" hidden="1">{#N/A,#N/A,FALSE,"mgtsum.XLS";#N/A,#N/A,FALSE,"CAPONE";#N/A,#N/A,FALSE,"CAPTWO";#N/A,#N/A,FALSE,"CAPTHREE"}</definedName>
    <definedName name="ASDFSDFF" hidden="1">{#N/A,#N/A,FALSE,"mgtsum.XLS";#N/A,#N/A,FALSE,"CAPONE";#N/A,#N/A,FALSE,"CAPTWO";#N/A,#N/A,FALSE,"CAPTHREE"}</definedName>
    <definedName name="ASFS" localSheetId="1" hidden="1">{#N/A,#N/A,FALSE,"mgtsum.XLS";#N/A,#N/A,FALSE,"CAPONE";#N/A,#N/A,FALSE,"CAPTWO";#N/A,#N/A,FALSE,"CAPTHREE"}</definedName>
    <definedName name="ASFS" localSheetId="0" hidden="1">{#N/A,#N/A,FALSE,"mgtsum.XLS";#N/A,#N/A,FALSE,"CAPONE";#N/A,#N/A,FALSE,"CAPTWO";#N/A,#N/A,FALSE,"CAPTHREE"}</definedName>
    <definedName name="ASFS" hidden="1">{#N/A,#N/A,FALSE,"mgtsum.XLS";#N/A,#N/A,FALSE,"CAPONE";#N/A,#N/A,FALSE,"CAPTWO";#N/A,#N/A,FALSE,"CAPTHREE"}</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dg" localSheetId="1" hidden="1">#REF!</definedName>
    <definedName name="assadg" localSheetId="0" hidden="1">#REF!</definedName>
    <definedName name="assadg" hidden="1">#REF!</definedName>
    <definedName name="assal"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ANAND" localSheetId="1" hidden="1">{#N/A,#N/A,TRUE,"Front";#N/A,#N/A,TRUE,"Simple Letter";#N/A,#N/A,TRUE,"Inside";#N/A,#N/A,TRUE,"Contents";#N/A,#N/A,TRUE,"Basis";#N/A,#N/A,TRUE,"Inclusions";#N/A,#N/A,TRUE,"Exclusions";#N/A,#N/A,TRUE,"Areas";#N/A,#N/A,TRUE,"Summary";#N/A,#N/A,TRUE,"Detail"}</definedName>
    <definedName name="b.ANAND" localSheetId="0" hidden="1">{#N/A,#N/A,TRUE,"Front";#N/A,#N/A,TRUE,"Simple Letter";#N/A,#N/A,TRUE,"Inside";#N/A,#N/A,TRUE,"Contents";#N/A,#N/A,TRUE,"Basis";#N/A,#N/A,TRUE,"Inclusions";#N/A,#N/A,TRUE,"Exclusions";#N/A,#N/A,TRUE,"Areas";#N/A,#N/A,TRUE,"Summary";#N/A,#N/A,TRUE,"Detail"}</definedName>
    <definedName name="b.ANAND" hidden="1">{#N/A,#N/A,TRUE,"Front";#N/A,#N/A,TRUE,"Simple Letter";#N/A,#N/A,TRUE,"Inside";#N/A,#N/A,TRUE,"Contents";#N/A,#N/A,TRUE,"Basis";#N/A,#N/A,TRUE,"Inclusions";#N/A,#N/A,TRUE,"Exclusions";#N/A,#N/A,TRUE,"Areas";#N/A,#N/A,TRUE,"Summary";#N/A,#N/A,TRUE,"Detail"}</definedName>
    <definedName name="BADWE" localSheetId="1" hidden="1">{#N/A,#N/A,FALSE,"mpph1";#N/A,#N/A,FALSE,"mpmseb";#N/A,#N/A,FALSE,"mpph2"}</definedName>
    <definedName name="BADWE" localSheetId="0" hidden="1">{#N/A,#N/A,FALSE,"mpph1";#N/A,#N/A,FALSE,"mpmseb";#N/A,#N/A,FALSE,"mpph2"}</definedName>
    <definedName name="BADWE" hidden="1">{#N/A,#N/A,FALSE,"mpph1";#N/A,#N/A,FALSE,"mpmseb";#N/A,#N/A,FALSE,"mpph2"}</definedName>
    <definedName name="BALOCHISTAN" localSheetId="1" hidden="1">{#N/A,#N/A,TRUE,"Front";#N/A,#N/A,TRUE,"Simple Letter";#N/A,#N/A,TRUE,"Inside";#N/A,#N/A,TRUE,"Contents";#N/A,#N/A,TRUE,"Basis";#N/A,#N/A,TRUE,"Inclusions";#N/A,#N/A,TRUE,"Exclusions";#N/A,#N/A,TRUE,"Areas";#N/A,#N/A,TRUE,"Summary";#N/A,#N/A,TRUE,"Detail"}</definedName>
    <definedName name="BALOCHISTAN" localSheetId="0" hidden="1">{#N/A,#N/A,TRUE,"Front";#N/A,#N/A,TRUE,"Simple Letter";#N/A,#N/A,TRUE,"Inside";#N/A,#N/A,TRUE,"Contents";#N/A,#N/A,TRUE,"Basis";#N/A,#N/A,TRUE,"Inclusions";#N/A,#N/A,TRUE,"Exclusions";#N/A,#N/A,TRUE,"Areas";#N/A,#N/A,TRUE,"Summary";#N/A,#N/A,TRUE,"Detail"}</definedName>
    <definedName name="BALOCHISTAN" hidden="1">{#N/A,#N/A,TRUE,"Front";#N/A,#N/A,TRUE,"Simple Letter";#N/A,#N/A,TRUE,"Inside";#N/A,#N/A,TRUE,"Contents";#N/A,#N/A,TRUE,"Basis";#N/A,#N/A,TRUE,"Inclusions";#N/A,#N/A,TRUE,"Exclusions";#N/A,#N/A,TRUE,"Areas";#N/A,#N/A,TRUE,"Summary";#N/A,#N/A,TRUE,"Detail"}</definedName>
    <definedName name="ban" localSheetId="1" hidden="1">{#N/A,#N/A,FALSE,"5YRASSPl - consol'd";#N/A,#N/A,FALSE,"5YRASSPl - hotel";#N/A,#N/A,FALSE,"5YRASSPl - excl htl";#N/A,#N/A,FALSE,"VarReport";#N/A,#N/A,FALSE,"Sensitivity";#N/A,#N/A,FALSE,"House View ";#N/A,#N/A,FALSE,"KPI"}</definedName>
    <definedName name="ban" localSheetId="0" hidden="1">{#N/A,#N/A,FALSE,"5YRASSPl - consol'd";#N/A,#N/A,FALSE,"5YRASSPl - hotel";#N/A,#N/A,FALSE,"5YRASSPl - excl htl";#N/A,#N/A,FALSE,"VarReport";#N/A,#N/A,FALSE,"Sensitivity";#N/A,#N/A,FALSE,"House View ";#N/A,#N/A,FALSE,"KPI"}</definedName>
    <definedName name="ban" hidden="1">{#N/A,#N/A,FALSE,"5YRASSPl - consol'd";#N/A,#N/A,FALSE,"5YRASSPl - hotel";#N/A,#N/A,FALSE,"5YRASSPl - excl htl";#N/A,#N/A,FALSE,"VarReport";#N/A,#N/A,FALSE,"Sensitivity";#N/A,#N/A,FALSE,"House View ";#N/A,#N/A,FALSE,"KPI"}</definedName>
    <definedName name="BC" hidden="1">#REF!</definedName>
    <definedName name="BE" hidden="1">#REF!</definedName>
    <definedName name="Beijing" localSheetId="1" hidden="1">{"All Except Totals",#N/A,TRUE,"Recap";"Totals Page",#N/A,TRUE,"Recap"}</definedName>
    <definedName name="Beijing" localSheetId="0" hidden="1">{"All Except Totals",#N/A,TRUE,"Recap";"Totals Page",#N/A,TRUE,"Recap"}</definedName>
    <definedName name="Beijing" hidden="1">{"All Except Totals",#N/A,TRUE,"Recap";"Totals Page",#N/A,TRUE,"Recap"}</definedName>
    <definedName name="Beijing_1" localSheetId="1" hidden="1">{"All Except Totals",#N/A,TRUE,"Recap";"Totals Page",#N/A,TRUE,"Recap"}</definedName>
    <definedName name="Beijing_1" localSheetId="0" hidden="1">{"All Except Totals",#N/A,TRUE,"Recap";"Totals Page",#N/A,TRUE,"Recap"}</definedName>
    <definedName name="Beijing_1" hidden="1">{"All Except Totals",#N/A,TRUE,"Recap";"Totals Page",#N/A,TRUE,"Recap"}</definedName>
    <definedName name="BF" hidden="1">#REF!</definedName>
    <definedName name="BG" hidden="1">#REF!</definedName>
    <definedName name="BH" hidden="1">#REF!</definedName>
    <definedName name="biiiiiiiiii" localSheetId="1" hidden="1">{#N/A,#N/A,TRUE,"Front";#N/A,#N/A,TRUE,"Simple Letter";#N/A,#N/A,TRUE,"Inside";#N/A,#N/A,TRUE,"Contents";#N/A,#N/A,TRUE,"Basis";#N/A,#N/A,TRUE,"Inclusions";#N/A,#N/A,TRUE,"Exclusions";#N/A,#N/A,TRUE,"Areas";#N/A,#N/A,TRUE,"Summary";#N/A,#N/A,TRUE,"Detail"}</definedName>
    <definedName name="biiiiiiiiii" localSheetId="0" hidden="1">{#N/A,#N/A,TRUE,"Front";#N/A,#N/A,TRUE,"Simple Letter";#N/A,#N/A,TRUE,"Inside";#N/A,#N/A,TRUE,"Contents";#N/A,#N/A,TRUE,"Basis";#N/A,#N/A,TRUE,"Inclusions";#N/A,#N/A,TRUE,"Exclusions";#N/A,#N/A,TRUE,"Areas";#N/A,#N/A,TRUE,"Summary";#N/A,#N/A,TRUE,"Detail"}</definedName>
    <definedName name="bijalpur2"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J" localSheetId="1" hidden="1">#REF!</definedName>
    <definedName name="BJ" localSheetId="0" hidden="1">#REF!</definedName>
    <definedName name="BJ" hidden="1">#REF!</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ny" localSheetId="1" hidden="1">{#N/A,#N/A,TRUE,"Front";#N/A,#N/A,TRUE,"Simple Letter";#N/A,#N/A,TRUE,"Inside";#N/A,#N/A,TRUE,"Contents";#N/A,#N/A,TRUE,"Basis";#N/A,#N/A,TRUE,"Inclusions";#N/A,#N/A,TRUE,"Exclusions";#N/A,#N/A,TRUE,"Areas";#N/A,#N/A,TRUE,"Summary";#N/A,#N/A,TRUE,"Detail"}</definedName>
    <definedName name="bny" localSheetId="0" hidden="1">{#N/A,#N/A,TRUE,"Front";#N/A,#N/A,TRUE,"Simple Letter";#N/A,#N/A,TRUE,"Inside";#N/A,#N/A,TRUE,"Contents";#N/A,#N/A,TRUE,"Basis";#N/A,#N/A,TRUE,"Inclusions";#N/A,#N/A,TRUE,"Exclusions";#N/A,#N/A,TRUE,"Areas";#N/A,#N/A,TRUE,"Summary";#N/A,#N/A,TRUE,"Detail"}</definedName>
    <definedName name="bny" hidden="1">{#N/A,#N/A,TRUE,"Front";#N/A,#N/A,TRUE,"Simple Letter";#N/A,#N/A,TRUE,"Inside";#N/A,#N/A,TRUE,"Contents";#N/A,#N/A,TRUE,"Basis";#N/A,#N/A,TRUE,"Inclusions";#N/A,#N/A,TRUE,"Exclusions";#N/A,#N/A,TRUE,"Areas";#N/A,#N/A,TRUE,"Summary";#N/A,#N/A,TRUE,"Detail"}</definedName>
    <definedName name="boq" localSheetId="1" hidden="1">{#N/A,#N/A,TRUE,"Front";#N/A,#N/A,TRUE,"Simple Letter";#N/A,#N/A,TRUE,"Inside";#N/A,#N/A,TRUE,"Contents";#N/A,#N/A,TRUE,"Basis";#N/A,#N/A,TRUE,"Inclusions";#N/A,#N/A,TRUE,"Exclusions";#N/A,#N/A,TRUE,"Areas";#N/A,#N/A,TRUE,"Summary";#N/A,#N/A,TRUE,"Detail"}</definedName>
    <definedName name="boq" localSheetId="0" hidden="1">{#N/A,#N/A,TRUE,"Front";#N/A,#N/A,TRUE,"Simple Letter";#N/A,#N/A,TRUE,"Inside";#N/A,#N/A,TRUE,"Contents";#N/A,#N/A,TRUE,"Basis";#N/A,#N/A,TRUE,"Inclusions";#N/A,#N/A,TRUE,"Exclusions";#N/A,#N/A,TRUE,"Areas";#N/A,#N/A,TRUE,"Summary";#N/A,#N/A,TRUE,"Detail"}</definedName>
    <definedName name="BOQ_New" localSheetId="1" hidden="1">{#N/A,#N/A,TRUE,"Front";#N/A,#N/A,TRUE,"Simple Letter";#N/A,#N/A,TRUE,"Inside";#N/A,#N/A,TRUE,"Contents";#N/A,#N/A,TRUE,"Basis";#N/A,#N/A,TRUE,"Inclusions";#N/A,#N/A,TRUE,"Exclusions";#N/A,#N/A,TRUE,"Areas";#N/A,#N/A,TRUE,"Summary";#N/A,#N/A,TRUE,"Detail"}</definedName>
    <definedName name="BOQ_New" localSheetId="0" hidden="1">{#N/A,#N/A,TRUE,"Front";#N/A,#N/A,TRUE,"Simple Letter";#N/A,#N/A,TRUE,"Inside";#N/A,#N/A,TRUE,"Contents";#N/A,#N/A,TRUE,"Basis";#N/A,#N/A,TRUE,"Inclusions";#N/A,#N/A,TRUE,"Exclusions";#N/A,#N/A,TRUE,"Areas";#N/A,#N/A,TRUE,"Summary";#N/A,#N/A,TRUE,"Detail"}</definedName>
    <definedName name="BOQ_New" hidden="1">{#N/A,#N/A,TRUE,"Front";#N/A,#N/A,TRUE,"Simple Letter";#N/A,#N/A,TRUE,"Inside";#N/A,#N/A,TRUE,"Contents";#N/A,#N/A,TRUE,"Basis";#N/A,#N/A,TRUE,"Inclusions";#N/A,#N/A,TRUE,"Exclusions";#N/A,#N/A,TRUE,"Areas";#N/A,#N/A,TRUE,"Summary";#N/A,#N/A,TRUE,"Detail"}</definedName>
    <definedName name="BSIWhichPageSetup" hidden="1">1</definedName>
    <definedName name="BSIWhichPageSetup_0" hidden="1">"0þ"</definedName>
    <definedName name="c.b" localSheetId="1" hidden="1">{#N/A,#N/A,TRUE,"Front";#N/A,#N/A,TRUE,"Simple Letter";#N/A,#N/A,TRUE,"Inside";#N/A,#N/A,TRUE,"Contents";#N/A,#N/A,TRUE,"Basis";#N/A,#N/A,TRUE,"Inclusions";#N/A,#N/A,TRUE,"Exclusions";#N/A,#N/A,TRUE,"Areas";#N/A,#N/A,TRUE,"Summary";#N/A,#N/A,TRUE,"Detail"}</definedName>
    <definedName name="c.b" localSheetId="0" hidden="1">{#N/A,#N/A,TRUE,"Front";#N/A,#N/A,TRUE,"Simple Letter";#N/A,#N/A,TRUE,"Inside";#N/A,#N/A,TRUE,"Contents";#N/A,#N/A,TRUE,"Basis";#N/A,#N/A,TRUE,"Inclusions";#N/A,#N/A,TRUE,"Exclusions";#N/A,#N/A,TRUE,"Areas";#N/A,#N/A,TRUE,"Summary";#N/A,#N/A,TRUE,"Detail"}</definedName>
    <definedName name="c.b" hidden="1">{#N/A,#N/A,TRUE,"Front";#N/A,#N/A,TRUE,"Simple Letter";#N/A,#N/A,TRUE,"Inside";#N/A,#N/A,TRUE,"Contents";#N/A,#N/A,TRUE,"Basis";#N/A,#N/A,TRUE,"Inclusions";#N/A,#N/A,TRUE,"Exclusions";#N/A,#N/A,TRUE,"Areas";#N/A,#N/A,TRUE,"Summary";#N/A,#N/A,TRUE,"Detail"}</definedName>
    <definedName name="cadcd" localSheetId="1" hidden="1">{#N/A,#N/A,TRUE,"Front";#N/A,#N/A,TRUE,"Simple Letter";#N/A,#N/A,TRUE,"Inside";#N/A,#N/A,TRUE,"Contents";#N/A,#N/A,TRUE,"Basis";#N/A,#N/A,TRUE,"Inclusions";#N/A,#N/A,TRUE,"Exclusions";#N/A,#N/A,TRUE,"Areas";#N/A,#N/A,TRUE,"Summary";#N/A,#N/A,TRUE,"Detail"}</definedName>
    <definedName name="cadcd" localSheetId="0" hidden="1">{#N/A,#N/A,TRUE,"Front";#N/A,#N/A,TRUE,"Simple Letter";#N/A,#N/A,TRUE,"Inside";#N/A,#N/A,TRUE,"Contents";#N/A,#N/A,TRUE,"Basis";#N/A,#N/A,TRUE,"Inclusions";#N/A,#N/A,TRUE,"Exclusions";#N/A,#N/A,TRUE,"Areas";#N/A,#N/A,TRUE,"Summary";#N/A,#N/A,TRUE,"Detail"}</definedName>
    <definedName name="cadcd" hidden="1">{#N/A,#N/A,TRUE,"Front";#N/A,#N/A,TRUE,"Simple Letter";#N/A,#N/A,TRUE,"Inside";#N/A,#N/A,TRUE,"Contents";#N/A,#N/A,TRUE,"Basis";#N/A,#N/A,TRUE,"Inclusions";#N/A,#N/A,TRUE,"Exclusions";#N/A,#N/A,TRUE,"Areas";#N/A,#N/A,TRUE,"Summary";#N/A,#N/A,TRUE,"Detail"}</definedName>
    <definedName name="caln" localSheetId="1" hidden="1">{#N/A,#N/A,TRUE,"Front";#N/A,#N/A,TRUE,"Simple Letter";#N/A,#N/A,TRUE,"Inside";#N/A,#N/A,TRUE,"Contents";#N/A,#N/A,TRUE,"Basis";#N/A,#N/A,TRUE,"Inclusions";#N/A,#N/A,TRUE,"Exclusions";#N/A,#N/A,TRUE,"Areas";#N/A,#N/A,TRUE,"Summary";#N/A,#N/A,TRUE,"Detail"}</definedName>
    <definedName name="caln" localSheetId="0" hidden="1">{#N/A,#N/A,TRUE,"Front";#N/A,#N/A,TRUE,"Simple Letter";#N/A,#N/A,TRUE,"Inside";#N/A,#N/A,TRUE,"Contents";#N/A,#N/A,TRUE,"Basis";#N/A,#N/A,TRUE,"Inclusions";#N/A,#N/A,TRUE,"Exclusions";#N/A,#N/A,TRUE,"Areas";#N/A,#N/A,TRUE,"Summary";#N/A,#N/A,TRUE,"Detail"}</definedName>
    <definedName name="caln" hidden="1">{#N/A,#N/A,TRUE,"Front";#N/A,#N/A,TRUE,"Simple Letter";#N/A,#N/A,TRUE,"Inside";#N/A,#N/A,TRUE,"Contents";#N/A,#N/A,TRUE,"Basis";#N/A,#N/A,TRUE,"Inclusions";#N/A,#N/A,TRUE,"Exclusions";#N/A,#N/A,TRUE,"Areas";#N/A,#N/A,TRUE,"Summary";#N/A,#N/A,TRUE,"Detail"}</definedName>
    <definedName name="cam" localSheetId="1" hidden="1">{"process graphs",#N/A,FALSE,"graphs&amp;data"}</definedName>
    <definedName name="cam" localSheetId="0" hidden="1">{"process graphs",#N/A,FALSE,"graphs&amp;data"}</definedName>
    <definedName name="cam" hidden="1">{"process graphs",#N/A,FALSE,"graphs&amp;data"}</definedName>
    <definedName name="carp" localSheetId="1" hidden="1">{#N/A,#N/A,TRUE,"Front";#N/A,#N/A,TRUE,"Simple Letter";#N/A,#N/A,TRUE,"Inside";#N/A,#N/A,TRUE,"Contents";#N/A,#N/A,TRUE,"Basis";#N/A,#N/A,TRUE,"Inclusions";#N/A,#N/A,TRUE,"Exclusions";#N/A,#N/A,TRUE,"Areas";#N/A,#N/A,TRUE,"Summary";#N/A,#N/A,TRUE,"Detail"}</definedName>
    <definedName name="carp" localSheetId="0" hidden="1">{#N/A,#N/A,TRUE,"Front";#N/A,#N/A,TRUE,"Simple Letter";#N/A,#N/A,TRUE,"Inside";#N/A,#N/A,TRUE,"Contents";#N/A,#N/A,TRUE,"Basis";#N/A,#N/A,TRUE,"Inclusions";#N/A,#N/A,TRUE,"Exclusions";#N/A,#N/A,TRUE,"Areas";#N/A,#N/A,TRUE,"Summary";#N/A,#N/A,TRUE,"Detail"}</definedName>
    <definedName name="carpg" localSheetId="1" hidden="1">{#N/A,#N/A,TRUE,"Front";#N/A,#N/A,TRUE,"Simple Letter";#N/A,#N/A,TRUE,"Inside";#N/A,#N/A,TRUE,"Contents";#N/A,#N/A,TRUE,"Basis";#N/A,#N/A,TRUE,"Inclusions";#N/A,#N/A,TRUE,"Exclusions";#N/A,#N/A,TRUE,"Areas";#N/A,#N/A,TRUE,"Summary";#N/A,#N/A,TRUE,"Detail"}</definedName>
    <definedName name="carpg" localSheetId="0" hidden="1">{#N/A,#N/A,TRUE,"Front";#N/A,#N/A,TRUE,"Simple Letter";#N/A,#N/A,TRUE,"Inside";#N/A,#N/A,TRUE,"Contents";#N/A,#N/A,TRUE,"Basis";#N/A,#N/A,TRUE,"Inclusions";#N/A,#N/A,TRUE,"Exclusions";#N/A,#N/A,TRUE,"Areas";#N/A,#N/A,TRUE,"Summary";#N/A,#N/A,TRUE,"Detail"}</definedName>
    <definedName name="carpg" hidden="1">{#N/A,#N/A,TRUE,"Front";#N/A,#N/A,TRUE,"Simple Letter";#N/A,#N/A,TRUE,"Inside";#N/A,#N/A,TRUE,"Contents";#N/A,#N/A,TRUE,"Basis";#N/A,#N/A,TRUE,"Inclusions";#N/A,#N/A,TRUE,"Exclusions";#N/A,#N/A,TRUE,"Areas";#N/A,#N/A,TRUE,"Summary";#N/A,#N/A,TRUE,"Detail"}</definedName>
    <definedName name="carpnm" localSheetId="1" hidden="1">{#N/A,#N/A,TRUE,"Front";#N/A,#N/A,TRUE,"Simple Letter";#N/A,#N/A,TRUE,"Inside";#N/A,#N/A,TRUE,"Contents";#N/A,#N/A,TRUE,"Basis";#N/A,#N/A,TRUE,"Inclusions";#N/A,#N/A,TRUE,"Exclusions";#N/A,#N/A,TRUE,"Areas";#N/A,#N/A,TRUE,"Summary";#N/A,#N/A,TRUE,"Detail"}</definedName>
    <definedName name="carpnm" localSheetId="0" hidden="1">{#N/A,#N/A,TRUE,"Front";#N/A,#N/A,TRUE,"Simple Letter";#N/A,#N/A,TRUE,"Inside";#N/A,#N/A,TRUE,"Contents";#N/A,#N/A,TRUE,"Basis";#N/A,#N/A,TRUE,"Inclusions";#N/A,#N/A,TRUE,"Exclusions";#N/A,#N/A,TRUE,"Areas";#N/A,#N/A,TRUE,"Summary";#N/A,#N/A,TRUE,"Detail"}</definedName>
    <definedName name="carpnm" hidden="1">{#N/A,#N/A,TRUE,"Front";#N/A,#N/A,TRUE,"Simple Letter";#N/A,#N/A,TRUE,"Inside";#N/A,#N/A,TRUE,"Contents";#N/A,#N/A,TRUE,"Basis";#N/A,#N/A,TRUE,"Inclusions";#N/A,#N/A,TRUE,"Exclusions";#N/A,#N/A,TRUE,"Areas";#N/A,#N/A,TRUE,"Summary";#N/A,#N/A,TRUE,"Detail"}</definedName>
    <definedName name="Casual" hidden="1">#REF!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cccc" localSheetId="1" hidden="1">{#N/A,#N/A,FALSE,"mpph1";#N/A,#N/A,FALSE,"mpmseb";#N/A,#N/A,FALSE,"mpph2"}</definedName>
    <definedName name="ccccc" localSheetId="0" hidden="1">{#N/A,#N/A,FALSE,"mpph1";#N/A,#N/A,FALSE,"mpmseb";#N/A,#N/A,FALSE,"mpph2"}</definedName>
    <definedName name="ccccc" hidden="1">{#N/A,#N/A,FALSE,"mpph1";#N/A,#N/A,FALSE,"mpmseb";#N/A,#N/A,FALSE,"mpph2"}</definedName>
    <definedName name="cdu" localSheetId="1" hidden="1">{#N/A,#N/A,FALSE,"COVER.XLS";#N/A,#N/A,FALSE,"RACT1.XLS";#N/A,#N/A,FALSE,"RACT2.XLS";#N/A,#N/A,FALSE,"ECCMP";#N/A,#N/A,FALSE,"WELDER.XLS"}</definedName>
    <definedName name="cdu" localSheetId="0" hidden="1">{#N/A,#N/A,FALSE,"COVER.XLS";#N/A,#N/A,FALSE,"RACT1.XLS";#N/A,#N/A,FALSE,"RACT2.XLS";#N/A,#N/A,FALSE,"ECCMP";#N/A,#N/A,FALSE,"WELDER.XLS"}</definedName>
    <definedName name="cdu" hidden="1">{#N/A,#N/A,FALSE,"COVER.XLS";#N/A,#N/A,FALSE,"RACT1.XLS";#N/A,#N/A,FALSE,"RACT2.XLS";#N/A,#N/A,FALSE,"ECCMP";#N/A,#N/A,FALSE,"WELDER.XLS"}</definedName>
    <definedName name="cement1" localSheetId="1" hidden="1">{#N/A,#N/A,TRUE,"Front";#N/A,#N/A,TRUE,"Simple Letter";#N/A,#N/A,TRUE,"Inside";#N/A,#N/A,TRUE,"Contents";#N/A,#N/A,TRUE,"Basis";#N/A,#N/A,TRUE,"Inclusions";#N/A,#N/A,TRUE,"Exclusions";#N/A,#N/A,TRUE,"Areas";#N/A,#N/A,TRUE,"Summary";#N/A,#N/A,TRUE,"Detail"}</definedName>
    <definedName name="cement1" localSheetId="0" hidden="1">{#N/A,#N/A,TRUE,"Front";#N/A,#N/A,TRUE,"Simple Letter";#N/A,#N/A,TRUE,"Inside";#N/A,#N/A,TRUE,"Contents";#N/A,#N/A,TRUE,"Basis";#N/A,#N/A,TRUE,"Inclusions";#N/A,#N/A,TRUE,"Exclusions";#N/A,#N/A,TRUE,"Areas";#N/A,#N/A,TRUE,"Summary";#N/A,#N/A,TRUE,"Detail"}</definedName>
    <definedName name="cement1" hidden="1">{#N/A,#N/A,TRUE,"Front";#N/A,#N/A,TRUE,"Simple Letter";#N/A,#N/A,TRUE,"Inside";#N/A,#N/A,TRUE,"Contents";#N/A,#N/A,TRUE,"Basis";#N/A,#N/A,TRUE,"Inclusions";#N/A,#N/A,TRUE,"Exclusions";#N/A,#N/A,TRUE,"Areas";#N/A,#N/A,TRUE,"Summary";#N/A,#N/A,TRUE,"Detail"}</definedName>
    <definedName name="CENTER" localSheetId="1" hidden="1">#REF!</definedName>
    <definedName name="CENTER" localSheetId="0" hidden="1">#REF!</definedName>
    <definedName name="CENTER" hidden="1">#REF!</definedName>
    <definedName name="cer" localSheetId="1" hidden="1">{#N/A,#N/A,TRUE,"Front";#N/A,#N/A,TRUE,"Simple Letter";#N/A,#N/A,TRUE,"Inside";#N/A,#N/A,TRUE,"Contents";#N/A,#N/A,TRUE,"Basis";#N/A,#N/A,TRUE,"Inclusions";#N/A,#N/A,TRUE,"Exclusions";#N/A,#N/A,TRUE,"Areas";#N/A,#N/A,TRUE,"Summary";#N/A,#N/A,TRUE,"Detail"}</definedName>
    <definedName name="cer" localSheetId="0" hidden="1">{#N/A,#N/A,TRUE,"Front";#N/A,#N/A,TRUE,"Simple Letter";#N/A,#N/A,TRUE,"Inside";#N/A,#N/A,TRUE,"Contents";#N/A,#N/A,TRUE,"Basis";#N/A,#N/A,TRUE,"Inclusions";#N/A,#N/A,TRUE,"Exclusions";#N/A,#N/A,TRUE,"Areas";#N/A,#N/A,TRUE,"Summary";#N/A,#N/A,TRUE,"Detail"}</definedName>
    <definedName name="cer" hidden="1">{#N/A,#N/A,TRUE,"Front";#N/A,#N/A,TRUE,"Simple Letter";#N/A,#N/A,TRUE,"Inside";#N/A,#N/A,TRUE,"Contents";#N/A,#N/A,TRUE,"Basis";#N/A,#N/A,TRUE,"Inclusions";#N/A,#N/A,TRUE,"Exclusions";#N/A,#N/A,TRUE,"Areas";#N/A,#N/A,TRUE,"Summary";#N/A,#N/A,TRUE,"Detail"}</definedName>
    <definedName name="Cert2" localSheetId="1" hidden="1">{#N/A,#N/A,TRUE,"Front";#N/A,#N/A,TRUE,"Simple Letter";#N/A,#N/A,TRUE,"Inside";#N/A,#N/A,TRUE,"Contents";#N/A,#N/A,TRUE,"Basis";#N/A,#N/A,TRUE,"Inclusions";#N/A,#N/A,TRUE,"Exclusions";#N/A,#N/A,TRUE,"Areas";#N/A,#N/A,TRUE,"Summary";#N/A,#N/A,TRUE,"Detail"}</definedName>
    <definedName name="Cert2" localSheetId="0" hidden="1">{#N/A,#N/A,TRUE,"Front";#N/A,#N/A,TRUE,"Simple Letter";#N/A,#N/A,TRUE,"Inside";#N/A,#N/A,TRUE,"Contents";#N/A,#N/A,TRUE,"Basis";#N/A,#N/A,TRUE,"Inclusions";#N/A,#N/A,TRUE,"Exclusions";#N/A,#N/A,TRUE,"Areas";#N/A,#N/A,TRUE,"Summary";#N/A,#N/A,TRUE,"Detail"}</definedName>
    <definedName name="Cert2" hidden="1">{#N/A,#N/A,TRUE,"Front";#N/A,#N/A,TRUE,"Simple Letter";#N/A,#N/A,TRUE,"Inside";#N/A,#N/A,TRUE,"Contents";#N/A,#N/A,TRUE,"Basis";#N/A,#N/A,TRUE,"Inclusions";#N/A,#N/A,TRUE,"Exclusions";#N/A,#N/A,TRUE,"Areas";#N/A,#N/A,TRUE,"Summary";#N/A,#N/A,TRUE,"Detail"}</definedName>
    <definedName name="Cha" localSheetId="1" hidden="1">{#N/A,#N/A,FALSE,"gc (2)"}</definedName>
    <definedName name="Cha" localSheetId="0" hidden="1">{#N/A,#N/A,FALSE,"gc (2)"}</definedName>
    <definedName name="Cha" hidden="1">{#N/A,#N/A,FALSE,"gc (2)"}</definedName>
    <definedName name="charh" localSheetId="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localSheetId="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IRCUITMAINS" hidden="1">#REF!</definedName>
    <definedName name="civ" localSheetId="1" hidden="1">{#N/A,#N/A,TRUE,"Front";#N/A,#N/A,TRUE,"Simple Letter";#N/A,#N/A,TRUE,"Inside";#N/A,#N/A,TRUE,"Contents";#N/A,#N/A,TRUE,"Basis";#N/A,#N/A,TRUE,"Inclusions";#N/A,#N/A,TRUE,"Exclusions";#N/A,#N/A,TRUE,"Areas";#N/A,#N/A,TRUE,"Summary";#N/A,#N/A,TRUE,"Detail"}</definedName>
    <definedName name="civ" localSheetId="0" hidden="1">{#N/A,#N/A,TRUE,"Front";#N/A,#N/A,TRUE,"Simple Letter";#N/A,#N/A,TRUE,"Inside";#N/A,#N/A,TRUE,"Contents";#N/A,#N/A,TRUE,"Basis";#N/A,#N/A,TRUE,"Inclusions";#N/A,#N/A,TRUE,"Exclusions";#N/A,#N/A,TRUE,"Areas";#N/A,#N/A,TRUE,"Summary";#N/A,#N/A,TRUE,"Detail"}</definedName>
    <definedName name="civ" hidden="1">{#N/A,#N/A,TRUE,"Front";#N/A,#N/A,TRUE,"Simple Letter";#N/A,#N/A,TRUE,"Inside";#N/A,#N/A,TRUE,"Contents";#N/A,#N/A,TRUE,"Basis";#N/A,#N/A,TRUE,"Inclusions";#N/A,#N/A,TRUE,"Exclusions";#N/A,#N/A,TRUE,"Areas";#N/A,#N/A,TRUE,"Summary";#N/A,#N/A,TRUE,"Detail"}</definedName>
    <definedName name="civil" localSheetId="1" hidden="1">{#N/A,#N/A,TRUE,"Front";#N/A,#N/A,TRUE,"Simple Letter";#N/A,#N/A,TRUE,"Inside";#N/A,#N/A,TRUE,"Contents";#N/A,#N/A,TRUE,"Basis";#N/A,#N/A,TRUE,"Inclusions";#N/A,#N/A,TRUE,"Exclusions";#N/A,#N/A,TRUE,"Areas";#N/A,#N/A,TRUE,"Summary";#N/A,#N/A,TRUE,"Detail"}</definedName>
    <definedName name="civil" localSheetId="0" hidden="1">{#N/A,#N/A,TRUE,"Front";#N/A,#N/A,TRUE,"Simple Letter";#N/A,#N/A,TRUE,"Inside";#N/A,#N/A,TRUE,"Contents";#N/A,#N/A,TRUE,"Basis";#N/A,#N/A,TRUE,"Inclusions";#N/A,#N/A,TRUE,"Exclusions";#N/A,#N/A,TRUE,"Areas";#N/A,#N/A,TRUE,"Summary";#N/A,#N/A,TRUE,"Detail"}</definedName>
    <definedName name="com" localSheetId="1" hidden="1">{#N/A,#N/A,TRUE,"Front";#N/A,#N/A,TRUE,"Simple Letter";#N/A,#N/A,TRUE,"Inside";#N/A,#N/A,TRUE,"Contents";#N/A,#N/A,TRUE,"Basis";#N/A,#N/A,TRUE,"Inclusions";#N/A,#N/A,TRUE,"Exclusions";#N/A,#N/A,TRUE,"Areas";#N/A,#N/A,TRUE,"Summary";#N/A,#N/A,TRUE,"Detail"}</definedName>
    <definedName name="com" localSheetId="0" hidden="1">{#N/A,#N/A,TRUE,"Front";#N/A,#N/A,TRUE,"Simple Letter";#N/A,#N/A,TRUE,"Inside";#N/A,#N/A,TRUE,"Contents";#N/A,#N/A,TRUE,"Basis";#N/A,#N/A,TRUE,"Inclusions";#N/A,#N/A,TRUE,"Exclusions";#N/A,#N/A,TRUE,"Areas";#N/A,#N/A,TRUE,"Summary";#N/A,#N/A,TRUE,"Detail"}</definedName>
    <definedName name="COMP" hidden="1">#REF!</definedName>
    <definedName name="CompanyName2" hidden="1">#REF!</definedName>
    <definedName name="COMPARISON" localSheetId="1" hidden="1">{#N/A,#N/A,FALSE,"mpph1";#N/A,#N/A,FALSE,"mpmseb";#N/A,#N/A,FALSE,"mpph2"}</definedName>
    <definedName name="COMPARISON" localSheetId="0" hidden="1">{#N/A,#N/A,FALSE,"mpph1";#N/A,#N/A,FALSE,"mpmseb";#N/A,#N/A,FALSE,"mpph2"}</definedName>
    <definedName name="COMPARISON" hidden="1">{#N/A,#N/A,FALSE,"mpph1";#N/A,#N/A,FALSE,"mpmseb";#N/A,#N/A,FALSE,"mpph2"}</definedName>
    <definedName name="CompRange1Main" hidden="1">#REF!</definedName>
    <definedName name="CompRange2Main" hidden="1">#REF!</definedName>
    <definedName name="conanalysis" localSheetId="1" hidden="1">{#N/A,#N/A,TRUE,"Front";#N/A,#N/A,TRUE,"Simple Letter";#N/A,#N/A,TRUE,"Inside";#N/A,#N/A,TRUE,"Contents";#N/A,#N/A,TRUE,"Basis";#N/A,#N/A,TRUE,"Inclusions";#N/A,#N/A,TRUE,"Exclusions";#N/A,#N/A,TRUE,"Areas";#N/A,#N/A,TRUE,"Summary";#N/A,#N/A,TRUE,"Detail"}</definedName>
    <definedName name="conanalysis" localSheetId="0" hidden="1">{#N/A,#N/A,TRUE,"Front";#N/A,#N/A,TRUE,"Simple Letter";#N/A,#N/A,TRUE,"Inside";#N/A,#N/A,TRUE,"Contents";#N/A,#N/A,TRUE,"Basis";#N/A,#N/A,TRUE,"Inclusions";#N/A,#N/A,TRUE,"Exclusions";#N/A,#N/A,TRUE,"Areas";#N/A,#N/A,TRUE,"Summary";#N/A,#N/A,TRUE,"Detail"}</definedName>
    <definedName name="conanalysis" hidden="1">{#N/A,#N/A,TRUE,"Front";#N/A,#N/A,TRUE,"Simple Letter";#N/A,#N/A,TRUE,"Inside";#N/A,#N/A,TRUE,"Contents";#N/A,#N/A,TRUE,"Basis";#N/A,#N/A,TRUE,"Inclusions";#N/A,#N/A,TRUE,"Exclusions";#N/A,#N/A,TRUE,"Areas";#N/A,#N/A,TRUE,"Summary";#N/A,#N/A,TRUE,"Detail"}</definedName>
    <definedName name="copy" localSheetId="1" hidden="1">#REF!</definedName>
    <definedName name="copy" localSheetId="0" hidden="1">#REF!</definedName>
    <definedName name="copy2" hidden="1">#REF!</definedName>
    <definedName name="crce" localSheetId="1" hidden="1">{#N/A,#N/A,TRUE,"Front";#N/A,#N/A,TRUE,"Simple Letter";#N/A,#N/A,TRUE,"Inside";#N/A,#N/A,TRUE,"Contents";#N/A,#N/A,TRUE,"Basis";#N/A,#N/A,TRUE,"Inclusions";#N/A,#N/A,TRUE,"Exclusions";#N/A,#N/A,TRUE,"Areas";#N/A,#N/A,TRUE,"Summary";#N/A,#N/A,TRUE,"Detail"}</definedName>
    <definedName name="crce" localSheetId="0" hidden="1">{#N/A,#N/A,TRUE,"Front";#N/A,#N/A,TRUE,"Simple Letter";#N/A,#N/A,TRUE,"Inside";#N/A,#N/A,TRUE,"Contents";#N/A,#N/A,TRUE,"Basis";#N/A,#N/A,TRUE,"Inclusions";#N/A,#N/A,TRUE,"Exclusions";#N/A,#N/A,TRUE,"Areas";#N/A,#N/A,TRUE,"Summary";#N/A,#N/A,TRUE,"Detail"}</definedName>
    <definedName name="crce" hidden="1">{#N/A,#N/A,TRUE,"Front";#N/A,#N/A,TRUE,"Simple Letter";#N/A,#N/A,TRUE,"Inside";#N/A,#N/A,TRUE,"Contents";#N/A,#N/A,TRUE,"Basis";#N/A,#N/A,TRUE,"Inclusions";#N/A,#N/A,TRUE,"Exclusions";#N/A,#N/A,TRUE,"Areas";#N/A,#N/A,TRUE,"Summary";#N/A,#N/A,TRUE,"Detail"}</definedName>
    <definedName name="CRIT" localSheetId="1" hidden="1">{#N/A,#N/A,FALSE,"consu_cover";#N/A,#N/A,FALSE,"consu_strategy";#N/A,#N/A,FALSE,"consu_flow";#N/A,#N/A,FALSE,"Summary_reqmt";#N/A,#N/A,FALSE,"field_ppg";#N/A,#N/A,FALSE,"ppg_shop";#N/A,#N/A,FALSE,"strl";#N/A,#N/A,FALSE,"tankages";#N/A,#N/A,FALSE,"gases"}</definedName>
    <definedName name="CRIT" localSheetId="0"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CRITICAL" localSheetId="1" hidden="1">{#N/A,#N/A,FALSE,"consu_cover";#N/A,#N/A,FALSE,"consu_strategy";#N/A,#N/A,FALSE,"consu_flow";#N/A,#N/A,FALSE,"Summary_reqmt";#N/A,#N/A,FALSE,"field_ppg";#N/A,#N/A,FALSE,"ppg_shop";#N/A,#N/A,FALSE,"strl";#N/A,#N/A,FALSE,"tankages";#N/A,#N/A,FALSE,"gases"}</definedName>
    <definedName name="CRITICAL" localSheetId="0"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sr" localSheetId="1" hidden="1">#REF!</definedName>
    <definedName name="crsr" localSheetId="0" hidden="1">#REF!</definedName>
    <definedName name="crsr" hidden="1">#REF!</definedName>
    <definedName name="crsr1" localSheetId="1" hidden="1">#REF!</definedName>
    <definedName name="crsr1" localSheetId="0" hidden="1">#REF!</definedName>
    <definedName name="crsr1" hidden="1">#REF!</definedName>
    <definedName name="crsr2" localSheetId="1" hidden="1">#REF!</definedName>
    <definedName name="crsr2" localSheetId="0" hidden="1">#REF!</definedName>
    <definedName name="crsr2" hidden="1">#REF!</definedName>
    <definedName name="crsr3" hidden="1">#REF!</definedName>
    <definedName name="CSDCSDSAS" hidden="1">#REF!</definedName>
    <definedName name="CURVE" localSheetId="1" hidden="1">{#N/A,#N/A,FALSE,"COVER1.XLS ";#N/A,#N/A,FALSE,"RACT1.XLS";#N/A,#N/A,FALSE,"RACT2.XLS";#N/A,#N/A,FALSE,"ECCMP";#N/A,#N/A,FALSE,"WELDER.XLS"}</definedName>
    <definedName name="CURVE" localSheetId="0" hidden="1">{#N/A,#N/A,FALSE,"COVER1.XLS ";#N/A,#N/A,FALSE,"RACT1.XLS";#N/A,#N/A,FALSE,"RACT2.XLS";#N/A,#N/A,FALSE,"ECCMP";#N/A,#N/A,FALSE,"WELDER.XLS"}</definedName>
    <definedName name="CURVE" hidden="1">{#N/A,#N/A,FALSE,"COVER1.XLS ";#N/A,#N/A,FALSE,"RACT1.XLS";#N/A,#N/A,FALSE,"RACT2.XLS";#N/A,#N/A,FALSE,"ECCMP";#N/A,#N/A,FALSE,"WELDER.XLS"}</definedName>
    <definedName name="CV" localSheetId="1" hidden="1">#NAME?</definedName>
    <definedName name="CV" localSheetId="0" hidden="1">#NAME?</definedName>
    <definedName name="d31z" localSheetId="1" hidden="1">{#N/A,#N/A,FALSE,"mgtsum.XLS";#N/A,#N/A,FALSE,"CAPONE";#N/A,#N/A,FALSE,"CAPTWO";#N/A,#N/A,FALSE,"CAPTHREE"}</definedName>
    <definedName name="d31z" localSheetId="0" hidden="1">{#N/A,#N/A,FALSE,"mgtsum.XLS";#N/A,#N/A,FALSE,"CAPONE";#N/A,#N/A,FALSE,"CAPTWO";#N/A,#N/A,FALSE,"CAPTHREE"}</definedName>
    <definedName name="d31z" hidden="1">{#N/A,#N/A,FALSE,"mgtsum.XLS";#N/A,#N/A,FALSE,"CAPONE";#N/A,#N/A,FALSE,"CAPTWO";#N/A,#N/A,FALSE,"CAPTHREE"}</definedName>
    <definedName name="data3" hidden="1">#REF!</definedName>
    <definedName name="Database.File" hidden="1">#REF!</definedName>
    <definedName name="DateRangeCompMain" hidden="1">#REF!</definedName>
    <definedName name="DCI" localSheetId="1" hidden="1">{#N/A,#N/A,TRUE,"Front";#N/A,#N/A,TRUE,"Simple Letter";#N/A,#N/A,TRUE,"Inside";#N/A,#N/A,TRUE,"Contents";#N/A,#N/A,TRUE,"Basis";#N/A,#N/A,TRUE,"Inclusions";#N/A,#N/A,TRUE,"Exclusions";#N/A,#N/A,TRUE,"Areas";#N/A,#N/A,TRUE,"Summary";#N/A,#N/A,TRUE,"Detail"}</definedName>
    <definedName name="DCI" localSheetId="0" hidden="1">{#N/A,#N/A,TRUE,"Front";#N/A,#N/A,TRUE,"Simple Letter";#N/A,#N/A,TRUE,"Inside";#N/A,#N/A,TRUE,"Contents";#N/A,#N/A,TRUE,"Basis";#N/A,#N/A,TRUE,"Inclusions";#N/A,#N/A,TRUE,"Exclusions";#N/A,#N/A,TRUE,"Areas";#N/A,#N/A,TRUE,"Summary";#N/A,#N/A,TRUE,"Detail"}</definedName>
    <definedName name="DCI" hidden="1">{#N/A,#N/A,TRUE,"Front";#N/A,#N/A,TRUE,"Simple Letter";#N/A,#N/A,TRUE,"Inside";#N/A,#N/A,TRUE,"Contents";#N/A,#N/A,TRUE,"Basis";#N/A,#N/A,TRUE,"Inclusions";#N/A,#N/A,TRUE,"Exclusions";#N/A,#N/A,TRUE,"Areas";#N/A,#N/A,TRUE,"Summary";#N/A,#N/A,TRUE,"Detail"}</definedName>
    <definedName name="DCI_1" localSheetId="1" hidden="1">{#N/A,#N/A,TRUE,"Front";#N/A,#N/A,TRUE,"Simple Letter";#N/A,#N/A,TRUE,"Inside";#N/A,#N/A,TRUE,"Contents";#N/A,#N/A,TRUE,"Basis";#N/A,#N/A,TRUE,"Inclusions";#N/A,#N/A,TRUE,"Exclusions";#N/A,#N/A,TRUE,"Areas";#N/A,#N/A,TRUE,"Summary";#N/A,#N/A,TRUE,"Detail"}</definedName>
    <definedName name="DCI_1" localSheetId="0" hidden="1">{#N/A,#N/A,TRUE,"Front";#N/A,#N/A,TRUE,"Simple Letter";#N/A,#N/A,TRUE,"Inside";#N/A,#N/A,TRUE,"Contents";#N/A,#N/A,TRUE,"Basis";#N/A,#N/A,TRUE,"Inclusions";#N/A,#N/A,TRUE,"Exclusions";#N/A,#N/A,TRUE,"Areas";#N/A,#N/A,TRUE,"Summary";#N/A,#N/A,TRUE,"Detail"}</definedName>
    <definedName name="DCI_1" hidden="1">{#N/A,#N/A,TRUE,"Front";#N/A,#N/A,TRUE,"Simple Letter";#N/A,#N/A,TRUE,"Inside";#N/A,#N/A,TRUE,"Contents";#N/A,#N/A,TRUE,"Basis";#N/A,#N/A,TRUE,"Inclusions";#N/A,#N/A,TRUE,"Exclusions";#N/A,#N/A,TRUE,"Areas";#N/A,#N/A,TRUE,"Summary";#N/A,#N/A,TRUE,"Detail"}</definedName>
    <definedName name="dcit" localSheetId="1" hidden="1">{#N/A,#N/A,TRUE,"Front";#N/A,#N/A,TRUE,"Simple Letter";#N/A,#N/A,TRUE,"Inside";#N/A,#N/A,TRUE,"Contents";#N/A,#N/A,TRUE,"Basis";#N/A,#N/A,TRUE,"Inclusions";#N/A,#N/A,TRUE,"Exclusions";#N/A,#N/A,TRUE,"Areas";#N/A,#N/A,TRUE,"Summary";#N/A,#N/A,TRUE,"Detail"}</definedName>
    <definedName name="dcit" localSheetId="0" hidden="1">{#N/A,#N/A,TRUE,"Front";#N/A,#N/A,TRUE,"Simple Letter";#N/A,#N/A,TRUE,"Inside";#N/A,#N/A,TRUE,"Contents";#N/A,#N/A,TRUE,"Basis";#N/A,#N/A,TRUE,"Inclusions";#N/A,#N/A,TRUE,"Exclusions";#N/A,#N/A,TRUE,"Areas";#N/A,#N/A,TRUE,"Summary";#N/A,#N/A,TRUE,"Detail"}</definedName>
    <definedName name="dcit" hidden="1">{#N/A,#N/A,TRUE,"Front";#N/A,#N/A,TRUE,"Simple Letter";#N/A,#N/A,TRUE,"Inside";#N/A,#N/A,TRUE,"Contents";#N/A,#N/A,TRUE,"Basis";#N/A,#N/A,TRUE,"Inclusions";#N/A,#N/A,TRUE,"Exclusions";#N/A,#N/A,TRUE,"Areas";#N/A,#N/A,TRUE,"Summary";#N/A,#N/A,TRUE,"Detail"}</definedName>
    <definedName name="DCLAB" localSheetId="1" hidden="1">{#N/A,#N/A,TRUE,"Front";#N/A,#N/A,TRUE,"Simple Letter";#N/A,#N/A,TRUE,"Inside";#N/A,#N/A,TRUE,"Contents";#N/A,#N/A,TRUE,"Basis";#N/A,#N/A,TRUE,"Inclusions";#N/A,#N/A,TRUE,"Exclusions";#N/A,#N/A,TRUE,"Areas";#N/A,#N/A,TRUE,"Summary";#N/A,#N/A,TRUE,"Detail"}</definedName>
    <definedName name="DCLAB" localSheetId="0" hidden="1">{#N/A,#N/A,TRUE,"Front";#N/A,#N/A,TRUE,"Simple Letter";#N/A,#N/A,TRUE,"Inside";#N/A,#N/A,TRUE,"Contents";#N/A,#N/A,TRUE,"Basis";#N/A,#N/A,TRUE,"Inclusions";#N/A,#N/A,TRUE,"Exclusions";#N/A,#N/A,TRUE,"Areas";#N/A,#N/A,TRUE,"Summary";#N/A,#N/A,TRUE,"Detail"}</definedName>
    <definedName name="DCLAB" hidden="1">{#N/A,#N/A,TRUE,"Front";#N/A,#N/A,TRUE,"Simple Letter";#N/A,#N/A,TRUE,"Inside";#N/A,#N/A,TRUE,"Contents";#N/A,#N/A,TRUE,"Basis";#N/A,#N/A,TRUE,"Inclusions";#N/A,#N/A,TRUE,"Exclusions";#N/A,#N/A,TRUE,"Areas";#N/A,#N/A,TRUE,"Summary";#N/A,#N/A,TRUE,"Detail"}</definedName>
    <definedName name="dclabc" localSheetId="1" hidden="1">{#N/A,#N/A,TRUE,"Front";#N/A,#N/A,TRUE,"Simple Letter";#N/A,#N/A,TRUE,"Inside";#N/A,#N/A,TRUE,"Contents";#N/A,#N/A,TRUE,"Basis";#N/A,#N/A,TRUE,"Inclusions";#N/A,#N/A,TRUE,"Exclusions";#N/A,#N/A,TRUE,"Areas";#N/A,#N/A,TRUE,"Summary";#N/A,#N/A,TRUE,"Detail"}</definedName>
    <definedName name="dclabc" localSheetId="0" hidden="1">{#N/A,#N/A,TRUE,"Front";#N/A,#N/A,TRUE,"Simple Letter";#N/A,#N/A,TRUE,"Inside";#N/A,#N/A,TRUE,"Contents";#N/A,#N/A,TRUE,"Basis";#N/A,#N/A,TRUE,"Inclusions";#N/A,#N/A,TRUE,"Exclusions";#N/A,#N/A,TRUE,"Areas";#N/A,#N/A,TRUE,"Summary";#N/A,#N/A,TRUE,"Detail"}</definedName>
    <definedName name="dclabc" hidden="1">{#N/A,#N/A,TRUE,"Front";#N/A,#N/A,TRUE,"Simple Letter";#N/A,#N/A,TRUE,"Inside";#N/A,#N/A,TRUE,"Contents";#N/A,#N/A,TRUE,"Basis";#N/A,#N/A,TRUE,"Inclusions";#N/A,#N/A,TRUE,"Exclusions";#N/A,#N/A,TRUE,"Areas";#N/A,#N/A,TRUE,"Summary";#N/A,#N/A,TRUE,"Detail"}</definedName>
    <definedName name="de" localSheetId="1" hidden="1">{#N/A,#N/A,TRUE,"Front";#N/A,#N/A,TRUE,"Simple Letter";#N/A,#N/A,TRUE,"Inside";#N/A,#N/A,TRUE,"Contents";#N/A,#N/A,TRUE,"Basis";#N/A,#N/A,TRUE,"Inclusions";#N/A,#N/A,TRUE,"Exclusions";#N/A,#N/A,TRUE,"Areas";#N/A,#N/A,TRUE,"Summary";#N/A,#N/A,TRUE,"Detail"}</definedName>
    <definedName name="de" localSheetId="0" hidden="1">{#N/A,#N/A,TRUE,"Front";#N/A,#N/A,TRUE,"Simple Letter";#N/A,#N/A,TRUE,"Inside";#N/A,#N/A,TRUE,"Contents";#N/A,#N/A,TRUE,"Basis";#N/A,#N/A,TRUE,"Inclusions";#N/A,#N/A,TRUE,"Exclusions";#N/A,#N/A,TRUE,"Areas";#N/A,#N/A,TRUE,"Summary";#N/A,#N/A,TRUE,"Detail"}</definedName>
    <definedName name="dear" localSheetId="1" hidden="1">{#N/A,#N/A,TRUE,"Front";#N/A,#N/A,TRUE,"Simple Letter";#N/A,#N/A,TRUE,"Inside";#N/A,#N/A,TRUE,"Contents";#N/A,#N/A,TRUE,"Basis";#N/A,#N/A,TRUE,"Inclusions";#N/A,#N/A,TRUE,"Exclusions";#N/A,#N/A,TRUE,"Areas";#N/A,#N/A,TRUE,"Summary";#N/A,#N/A,TRUE,"Detail"}</definedName>
    <definedName name="dear" localSheetId="0" hidden="1">{#N/A,#N/A,TRUE,"Front";#N/A,#N/A,TRUE,"Simple Letter";#N/A,#N/A,TRUE,"Inside";#N/A,#N/A,TRUE,"Contents";#N/A,#N/A,TRUE,"Basis";#N/A,#N/A,TRUE,"Inclusions";#N/A,#N/A,TRUE,"Exclusions";#N/A,#N/A,TRUE,"Areas";#N/A,#N/A,TRUE,"Summary";#N/A,#N/A,TRUE,"Detail"}</definedName>
    <definedName name="dear" hidden="1">{#N/A,#N/A,TRUE,"Front";#N/A,#N/A,TRUE,"Simple Letter";#N/A,#N/A,TRUE,"Inside";#N/A,#N/A,TRUE,"Contents";#N/A,#N/A,TRUE,"Basis";#N/A,#N/A,TRUE,"Inclusions";#N/A,#N/A,TRUE,"Exclusions";#N/A,#N/A,TRUE,"Areas";#N/A,#N/A,TRUE,"Summary";#N/A,#N/A,TRUE,"Detail"}</definedName>
    <definedName name="deer" localSheetId="1" hidden="1">{#N/A,#N/A,TRUE,"Front";#N/A,#N/A,TRUE,"Simple Letter";#N/A,#N/A,TRUE,"Inside";#N/A,#N/A,TRUE,"Contents";#N/A,#N/A,TRUE,"Basis";#N/A,#N/A,TRUE,"Inclusions";#N/A,#N/A,TRUE,"Exclusions";#N/A,#N/A,TRUE,"Areas";#N/A,#N/A,TRUE,"Summary";#N/A,#N/A,TRUE,"Detail"}</definedName>
    <definedName name="deer" localSheetId="0" hidden="1">{#N/A,#N/A,TRUE,"Front";#N/A,#N/A,TRUE,"Simple Letter";#N/A,#N/A,TRUE,"Inside";#N/A,#N/A,TRUE,"Contents";#N/A,#N/A,TRUE,"Basis";#N/A,#N/A,TRUE,"Inclusions";#N/A,#N/A,TRUE,"Exclusions";#N/A,#N/A,TRUE,"Areas";#N/A,#N/A,TRUE,"Summary";#N/A,#N/A,TRUE,"Detail"}</definedName>
    <definedName name="deer" hidden="1">{#N/A,#N/A,TRUE,"Front";#N/A,#N/A,TRUE,"Simple Letter";#N/A,#N/A,TRUE,"Inside";#N/A,#N/A,TRUE,"Contents";#N/A,#N/A,TRUE,"Basis";#N/A,#N/A,TRUE,"Inclusions";#N/A,#N/A,TRUE,"Exclusions";#N/A,#N/A,TRUE,"Areas";#N/A,#N/A,TRUE,"Summary";#N/A,#N/A,TRUE,"Detail"}</definedName>
    <definedName name="def" localSheetId="1" hidden="1">{#N/A,#N/A,TRUE,"Front";#N/A,#N/A,TRUE,"Simple Letter";#N/A,#N/A,TRUE,"Inside";#N/A,#N/A,TRUE,"Contents";#N/A,#N/A,TRUE,"Basis";#N/A,#N/A,TRUE,"Inclusions";#N/A,#N/A,TRUE,"Exclusions";#N/A,#N/A,TRUE,"Areas";#N/A,#N/A,TRUE,"Summary";#N/A,#N/A,TRUE,"Detail"}</definedName>
    <definedName name="def" localSheetId="0" hidden="1">{#N/A,#N/A,TRUE,"Front";#N/A,#N/A,TRUE,"Simple Letter";#N/A,#N/A,TRUE,"Inside";#N/A,#N/A,TRUE,"Contents";#N/A,#N/A,TRUE,"Basis";#N/A,#N/A,TRUE,"Inclusions";#N/A,#N/A,TRUE,"Exclusions";#N/A,#N/A,TRUE,"Areas";#N/A,#N/A,TRUE,"Summary";#N/A,#N/A,TRUE,"Detail"}</definedName>
    <definedName name="def" hidden="1">{#N/A,#N/A,TRUE,"Front";#N/A,#N/A,TRUE,"Simple Letter";#N/A,#N/A,TRUE,"Inside";#N/A,#N/A,TRUE,"Contents";#N/A,#N/A,TRUE,"Basis";#N/A,#N/A,TRUE,"Inclusions";#N/A,#N/A,TRUE,"Exclusions";#N/A,#N/A,TRUE,"Areas";#N/A,#N/A,TRUE,"Summary";#N/A,#N/A,TRUE,"Detail"}</definedName>
    <definedName name="Dell" hidden="1">{#N/A,#N/A,TRUE,"Front";#N/A,#N/A,TRUE,"Simple Letter";#N/A,#N/A,TRUE,"Inside";#N/A,#N/A,TRUE,"Contents";#N/A,#N/A,TRUE,"Basis";#N/A,#N/A,TRUE,"Inclusions";#N/A,#N/A,TRUE,"Exclusions";#N/A,#N/A,TRUE,"Areas";#N/A,#N/A,TRUE,"Summary";#N/A,#N/A,TRUE,"Detail"}</definedName>
    <definedName name="Denomination" hidden="1">1</definedName>
    <definedName name="dfd" hidden="1">{#N/A,#N/A,TRUE,"Front";#N/A,#N/A,TRUE,"Simple Letter";#N/A,#N/A,TRUE,"Inside";#N/A,#N/A,TRUE,"Contents";#N/A,#N/A,TRUE,"Basis";#N/A,#N/A,TRUE,"Inclusions";#N/A,#N/A,TRUE,"Exclusions";#N/A,#N/A,TRUE,"Areas";#N/A,#N/A,TRUE,"Summary";#N/A,#N/A,TRUE,"Detail"}</definedName>
    <definedName name="DFF" hidden="1">#REF!</definedName>
    <definedName name="DFG" hidden="1">#REF!</definedName>
    <definedName name="dfgg" localSheetId="1" hidden="1">{#N/A,#N/A,FALSE,"gc (2)"}</definedName>
    <definedName name="dfgg" localSheetId="0" hidden="1">{#N/A,#N/A,FALSE,"gc (2)"}</definedName>
    <definedName name="dfgg" hidden="1">{#N/A,#N/A,FALSE,"gc (2)"}</definedName>
    <definedName name="dfhfh" localSheetId="1" hidden="1">{#N/A,#N/A,TRUE,"Front";#N/A,#N/A,TRUE,"Simple Letter";#N/A,#N/A,TRUE,"Inside";#N/A,#N/A,TRUE,"Contents";#N/A,#N/A,TRUE,"Basis";#N/A,#N/A,TRUE,"Inclusions";#N/A,#N/A,TRUE,"Exclusions";#N/A,#N/A,TRUE,"Areas";#N/A,#N/A,TRUE,"Summary";#N/A,#N/A,TRUE,"Detail"}</definedName>
    <definedName name="dfhfh" localSheetId="0" hidden="1">{#N/A,#N/A,TRUE,"Front";#N/A,#N/A,TRUE,"Simple Letter";#N/A,#N/A,TRUE,"Inside";#N/A,#N/A,TRUE,"Contents";#N/A,#N/A,TRUE,"Basis";#N/A,#N/A,TRUE,"Inclusions";#N/A,#N/A,TRUE,"Exclusions";#N/A,#N/A,TRUE,"Areas";#N/A,#N/A,TRUE,"Summary";#N/A,#N/A,TRUE,"Detail"}</definedName>
    <definedName name="dfhfh" hidden="1">{#N/A,#N/A,TRUE,"Front";#N/A,#N/A,TRUE,"Simple Letter";#N/A,#N/A,TRUE,"Inside";#N/A,#N/A,TRUE,"Contents";#N/A,#N/A,TRUE,"Basis";#N/A,#N/A,TRUE,"Inclusions";#N/A,#N/A,TRUE,"Exclusions";#N/A,#N/A,TRUE,"Areas";#N/A,#N/A,TRUE,"Summary";#N/A,#N/A,TRUE,"Detail"}</definedName>
    <definedName name="DFL" localSheetId="1" hidden="1">{#N/A,#N/A,TRUE,"Capex Summ";#N/A,#N/A,TRUE,"Essential Works.tw";#N/A,#N/A,TRUE,"Desirable Works.tw";#N/A,#N/A,TRUE,"Essential Works.rt";#N/A,#N/A,TRUE,"Desirable Works.rt";#N/A,#N/A,TRUE,"Mthly";#N/A,#N/A,TRUE,"Essential Works.ht";#N/A,#N/A,TRUE,"Desirable Works.ht";#N/A,#N/A,TRUE,"Incentives"}</definedName>
    <definedName name="DFL" localSheetId="0" hidden="1">{#N/A,#N/A,TRUE,"Capex Summ";#N/A,#N/A,TRUE,"Essential Works.tw";#N/A,#N/A,TRUE,"Desirable Works.tw";#N/A,#N/A,TRUE,"Essential Works.rt";#N/A,#N/A,TRUE,"Desirable Works.rt";#N/A,#N/A,TRUE,"Mthly";#N/A,#N/A,TRUE,"Essential Works.ht";#N/A,#N/A,TRUE,"Desirable Works.ht";#N/A,#N/A,TRUE,"Incentives"}</definedName>
    <definedName name="DFL" hidden="1">{#N/A,#N/A,TRUE,"Capex Summ";#N/A,#N/A,TRUE,"Essential Works.tw";#N/A,#N/A,TRUE,"Desirable Works.tw";#N/A,#N/A,TRUE,"Essential Works.rt";#N/A,#N/A,TRUE,"Desirable Works.rt";#N/A,#N/A,TRUE,"Mthly";#N/A,#N/A,TRUE,"Essential Works.ht";#N/A,#N/A,TRUE,"Desirable Works.ht";#N/A,#N/A,TRUE,"Incentives"}</definedName>
    <definedName name="dfsf" localSheetId="1" hidden="1">{#N/A,#N/A,TRUE,"Front";#N/A,#N/A,TRUE,"Simple Letter";#N/A,#N/A,TRUE,"Inside";#N/A,#N/A,TRUE,"Contents";#N/A,#N/A,TRUE,"Basis";#N/A,#N/A,TRUE,"Inclusions";#N/A,#N/A,TRUE,"Exclusions";#N/A,#N/A,TRUE,"Areas";#N/A,#N/A,TRUE,"Summary";#N/A,#N/A,TRUE,"Detail"}</definedName>
    <definedName name="dfsf" localSheetId="0" hidden="1">{#N/A,#N/A,TRUE,"Front";#N/A,#N/A,TRUE,"Simple Letter";#N/A,#N/A,TRUE,"Inside";#N/A,#N/A,TRUE,"Contents";#N/A,#N/A,TRUE,"Basis";#N/A,#N/A,TRUE,"Inclusions";#N/A,#N/A,TRUE,"Exclusions";#N/A,#N/A,TRUE,"Areas";#N/A,#N/A,TRUE,"Summary";#N/A,#N/A,TRUE,"Detail"}</definedName>
    <definedName name="dgfgfd" localSheetId="1" hidden="1">{#N/A,#N/A,FALSE,"COVER.XLS";#N/A,#N/A,FALSE,"RACT1.XLS";#N/A,#N/A,FALSE,"RACT2.XLS";#N/A,#N/A,FALSE,"ECCMP";#N/A,#N/A,FALSE,"WELDER.XLS"}</definedName>
    <definedName name="dgfgfd" localSheetId="0" hidden="1">{#N/A,#N/A,FALSE,"COVER.XLS";#N/A,#N/A,FALSE,"RACT1.XLS";#N/A,#N/A,FALSE,"RACT2.XLS";#N/A,#N/A,FALSE,"ECCMP";#N/A,#N/A,FALSE,"WELDER.XLS"}</definedName>
    <definedName name="dgfgfd" hidden="1">{#N/A,#N/A,FALSE,"COVER.XLS";#N/A,#N/A,FALSE,"RACT1.XLS";#N/A,#N/A,FALSE,"RACT2.XLS";#N/A,#N/A,FALSE,"ECCMP";#N/A,#N/A,FALSE,"WELDER.XLS"}</definedName>
    <definedName name="dgk" localSheetId="1" hidden="1">{#N/A,#N/A,TRUE,"Front";#N/A,#N/A,TRUE,"Simple Letter";#N/A,#N/A,TRUE,"Inside";#N/A,#N/A,TRUE,"Contents";#N/A,#N/A,TRUE,"Basis";#N/A,#N/A,TRUE,"Inclusions";#N/A,#N/A,TRUE,"Exclusions";#N/A,#N/A,TRUE,"Areas";#N/A,#N/A,TRUE,"Summary";#N/A,#N/A,TRUE,"Detail"}</definedName>
    <definedName name="dgk" localSheetId="0" hidden="1">{#N/A,#N/A,TRUE,"Front";#N/A,#N/A,TRUE,"Simple Letter";#N/A,#N/A,TRUE,"Inside";#N/A,#N/A,TRUE,"Contents";#N/A,#N/A,TRUE,"Basis";#N/A,#N/A,TRUE,"Inclusions";#N/A,#N/A,TRUE,"Exclusions";#N/A,#N/A,TRUE,"Areas";#N/A,#N/A,TRUE,"Summary";#N/A,#N/A,TRUE,"Detail"}</definedName>
    <definedName name="dgk" hidden="1">{#N/A,#N/A,TRUE,"Front";#N/A,#N/A,TRUE,"Simple Letter";#N/A,#N/A,TRUE,"Inside";#N/A,#N/A,TRUE,"Contents";#N/A,#N/A,TRUE,"Basis";#N/A,#N/A,TRUE,"Inclusions";#N/A,#N/A,TRUE,"Exclusions";#N/A,#N/A,TRUE,"Areas";#N/A,#N/A,TRUE,"Summary";#N/A,#N/A,TRUE,"Detail"}</definedName>
    <definedName name="DHTML" localSheetId="1" hidden="1">{"'Sheet1'!$A$4386:$N$4591"}</definedName>
    <definedName name="DHTML" localSheetId="0" hidden="1">{"'Sheet1'!$A$4386:$N$4591"}</definedName>
    <definedName name="DHTML" hidden="1">{"'Sheet1'!$A$4386:$N$4591"}</definedName>
    <definedName name="Discount" localSheetId="1" hidden="1">#REF!</definedName>
    <definedName name="Discount" localSheetId="0" hidden="1">#REF!</definedName>
    <definedName name="Discount" hidden="1">#REF!</definedName>
    <definedName name="display_area_2" hidden="1">#REF!</definedName>
    <definedName name="djfghf" hidden="1">{#N/A,#N/A,TRUE,"Front";#N/A,#N/A,TRUE,"Simple Letter";#N/A,#N/A,TRUE,"Inside";#N/A,#N/A,TRUE,"Contents";#N/A,#N/A,TRUE,"Basis";#N/A,#N/A,TRUE,"Inclusions";#N/A,#N/A,TRUE,"Exclusions";#N/A,#N/A,TRUE,"Areas";#N/A,#N/A,TRUE,"Summary";#N/A,#N/A,TRUE,"Detail"}</definedName>
    <definedName name="dn" localSheetId="1" hidden="1">{#N/A,#N/A,FALSE,"COVER1.XLS ";#N/A,#N/A,FALSE,"RACT1.XLS";#N/A,#N/A,FALSE,"RACT2.XLS";#N/A,#N/A,FALSE,"ECCMP";#N/A,#N/A,FALSE,"WELDER.XLS"}</definedName>
    <definedName name="dn" localSheetId="0" hidden="1">{#N/A,#N/A,FALSE,"COVER1.XLS ";#N/A,#N/A,FALSE,"RACT1.XLS";#N/A,#N/A,FALSE,"RACT2.XLS";#N/A,#N/A,FALSE,"ECCMP";#N/A,#N/A,FALSE,"WELDER.XLS"}</definedName>
    <definedName name="dn" hidden="1">{#N/A,#N/A,FALSE,"COVER1.XLS ";#N/A,#N/A,FALSE,"RACT1.XLS";#N/A,#N/A,FALSE,"RACT2.XLS";#N/A,#N/A,FALSE,"ECCMP";#N/A,#N/A,FALSE,"WELDER.XLS"}</definedName>
    <definedName name="doitg" localSheetId="1" hidden="1">{#N/A,#N/A,TRUE,"Front";#N/A,#N/A,TRUE,"Simple Letter";#N/A,#N/A,TRUE,"Inside";#N/A,#N/A,TRUE,"Contents";#N/A,#N/A,TRUE,"Basis";#N/A,#N/A,TRUE,"Inclusions";#N/A,#N/A,TRUE,"Exclusions";#N/A,#N/A,TRUE,"Areas";#N/A,#N/A,TRUE,"Summary";#N/A,#N/A,TRUE,"Detail"}</definedName>
    <definedName name="doitg" localSheetId="0" hidden="1">{#N/A,#N/A,TRUE,"Front";#N/A,#N/A,TRUE,"Simple Letter";#N/A,#N/A,TRUE,"Inside";#N/A,#N/A,TRUE,"Contents";#N/A,#N/A,TRUE,"Basis";#N/A,#N/A,TRUE,"Inclusions";#N/A,#N/A,TRUE,"Exclusions";#N/A,#N/A,TRUE,"Areas";#N/A,#N/A,TRUE,"Summary";#N/A,#N/A,TRUE,"Detail"}</definedName>
    <definedName name="doitg" hidden="1">{#N/A,#N/A,TRUE,"Front";#N/A,#N/A,TRUE,"Simple Letter";#N/A,#N/A,TRUE,"Inside";#N/A,#N/A,TRUE,"Contents";#N/A,#N/A,TRUE,"Basis";#N/A,#N/A,TRUE,"Inclusions";#N/A,#N/A,TRUE,"Exclusions";#N/A,#N/A,TRUE,"Areas";#N/A,#N/A,TRUE,"Summary";#N/A,#N/A,TRUE,"Detail"}</definedName>
    <definedName name="dover" localSheetId="1" hidden="1">{#N/A,#N/A,FALSE,"mpph1";#N/A,#N/A,FALSE,"mpmseb";#N/A,#N/A,FALSE,"mpph2"}</definedName>
    <definedName name="dover" localSheetId="0" hidden="1">{#N/A,#N/A,FALSE,"mpph1";#N/A,#N/A,FALSE,"mpmseb";#N/A,#N/A,FALSE,"mpph2"}</definedName>
    <definedName name="dover" hidden="1">{#N/A,#N/A,FALSE,"mpph1";#N/A,#N/A,FALSE,"mpmseb";#N/A,#N/A,FALSE,"mpph2"}</definedName>
    <definedName name="DPFLSDPFL" localSheetId="1"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localSheetId="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qw" hidden="1">#REF!</definedName>
    <definedName name="drhhjgjgjgrj" localSheetId="1" hidden="1">{#N/A,#N/A,TRUE,"Front";#N/A,#N/A,TRUE,"Simple Letter";#N/A,#N/A,TRUE,"Inside";#N/A,#N/A,TRUE,"Contents";#N/A,#N/A,TRUE,"Basis";#N/A,#N/A,TRUE,"Inclusions";#N/A,#N/A,TRUE,"Exclusions";#N/A,#N/A,TRUE,"Areas";#N/A,#N/A,TRUE,"Summary";#N/A,#N/A,TRUE,"Detail"}</definedName>
    <definedName name="drhhjgjgjgrj" localSheetId="0" hidden="1">{#N/A,#N/A,TRUE,"Front";#N/A,#N/A,TRUE,"Simple Letter";#N/A,#N/A,TRUE,"Inside";#N/A,#N/A,TRUE,"Contents";#N/A,#N/A,TRUE,"Basis";#N/A,#N/A,TRUE,"Inclusions";#N/A,#N/A,TRUE,"Exclusions";#N/A,#N/A,TRUE,"Areas";#N/A,#N/A,TRUE,"Summary";#N/A,#N/A,TRUE,"Detail"}</definedName>
    <definedName name="drhhjgjgjgrj" hidden="1">{#N/A,#N/A,TRUE,"Front";#N/A,#N/A,TRUE,"Simple Letter";#N/A,#N/A,TRUE,"Inside";#N/A,#N/A,TRUE,"Contents";#N/A,#N/A,TRUE,"Basis";#N/A,#N/A,TRUE,"Inclusions";#N/A,#N/A,TRUE,"Exclusions";#N/A,#N/A,TRUE,"Areas";#N/A,#N/A,TRUE,"Summary";#N/A,#N/A,TRUE,"Detail"}</definedName>
    <definedName name="dsadaD" localSheetId="1" hidden="1">{#N/A,#N/A,FALSE,"COVER1.XLS ";#N/A,#N/A,FALSE,"RACT1.XLS";#N/A,#N/A,FALSE,"RACT2.XLS";#N/A,#N/A,FALSE,"ECCMP";#N/A,#N/A,FALSE,"WELDER.XLS"}</definedName>
    <definedName name="dsadaD" localSheetId="0" hidden="1">{#N/A,#N/A,FALSE,"COVER1.XLS ";#N/A,#N/A,FALSE,"RACT1.XLS";#N/A,#N/A,FALSE,"RACT2.XLS";#N/A,#N/A,FALSE,"ECCMP";#N/A,#N/A,FALSE,"WELDER.XLS"}</definedName>
    <definedName name="dsadaD" hidden="1">{#N/A,#N/A,FALSE,"COVER1.XLS ";#N/A,#N/A,FALSE,"RACT1.XLS";#N/A,#N/A,FALSE,"RACT2.XLS";#N/A,#N/A,FALSE,"ECCMP";#N/A,#N/A,FALSE,"WELDER.XLS"}</definedName>
    <definedName name="dsfdff" hidden="1">#REF!</definedName>
    <definedName name="dsfj" hidden="1">#REF!</definedName>
    <definedName name="dsfkljsd" localSheetId="1" hidden="1">{#N/A,#N/A,TRUE,"Capex Summ";#N/A,#N/A,TRUE,"Essential Works.tw";#N/A,#N/A,TRUE,"Desirable Works.tw";#N/A,#N/A,TRUE,"Essential Works.rt";#N/A,#N/A,TRUE,"Desirable Works.rt";#N/A,#N/A,TRUE,"Mthly";#N/A,#N/A,TRUE,"Essential Works.ht";#N/A,#N/A,TRUE,"Desirable Works.ht";#N/A,#N/A,TRUE,"Incentives"}</definedName>
    <definedName name="dsfkljsd" localSheetId="0" hidden="1">{#N/A,#N/A,TRUE,"Capex Summ";#N/A,#N/A,TRUE,"Essential Works.tw";#N/A,#N/A,TRUE,"Desirable Works.tw";#N/A,#N/A,TRUE,"Essential Works.rt";#N/A,#N/A,TRUE,"Desirable Works.rt";#N/A,#N/A,TRUE,"Mthly";#N/A,#N/A,TRUE,"Essential Works.ht";#N/A,#N/A,TRUE,"Desirable Works.ht";#N/A,#N/A,TRUE,"Incentives"}</definedName>
    <definedName name="dsfkljsd" hidden="1">{#N/A,#N/A,TRUE,"Capex Summ";#N/A,#N/A,TRUE,"Essential Works.tw";#N/A,#N/A,TRUE,"Desirable Works.tw";#N/A,#N/A,TRUE,"Essential Works.rt";#N/A,#N/A,TRUE,"Desirable Works.rt";#N/A,#N/A,TRUE,"Mthly";#N/A,#N/A,TRUE,"Essential Works.ht";#N/A,#N/A,TRUE,"Desirable Works.ht";#N/A,#N/A,TRUE,"Incentives"}</definedName>
    <definedName name="dsgsdgsd" localSheetId="1" hidden="1">{#N/A,#N/A,FALSE,"5YRASSPl - consol'd";#N/A,#N/A,FALSE,"5YRASSPl - hotel";#N/A,#N/A,FALSE,"5YRASSPl - excl htl";#N/A,#N/A,FALSE,"VarReport";#N/A,#N/A,FALSE,"Sensitivity";#N/A,#N/A,FALSE,"House View ";#N/A,#N/A,FALSE,"KPI"}</definedName>
    <definedName name="dsgsdgsd" localSheetId="0" hidden="1">{#N/A,#N/A,FALSE,"5YRASSPl - consol'd";#N/A,#N/A,FALSE,"5YRASSPl - hotel";#N/A,#N/A,FALSE,"5YRASSPl - excl htl";#N/A,#N/A,FALSE,"VarReport";#N/A,#N/A,FALSE,"Sensitivity";#N/A,#N/A,FALSE,"House View ";#N/A,#N/A,FALSE,"KPI"}</definedName>
    <definedName name="dsgsdgsd" hidden="1">{#N/A,#N/A,FALSE,"5YRASSPl - consol'd";#N/A,#N/A,FALSE,"5YRASSPl - hotel";#N/A,#N/A,FALSE,"5YRASSPl - excl htl";#N/A,#N/A,FALSE,"VarReport";#N/A,#N/A,FALSE,"Sensitivity";#N/A,#N/A,FALSE,"House View ";#N/A,#N/A,FALSE,"KPI"}</definedName>
    <definedName name="dty" localSheetId="1" hidden="1">{#N/A,#N/A,TRUE,"Front";#N/A,#N/A,TRUE,"Simple Letter";#N/A,#N/A,TRUE,"Inside";#N/A,#N/A,TRUE,"Contents";#N/A,#N/A,TRUE,"Basis";#N/A,#N/A,TRUE,"Inclusions";#N/A,#N/A,TRUE,"Exclusions";#N/A,#N/A,TRUE,"Areas";#N/A,#N/A,TRUE,"Summary";#N/A,#N/A,TRUE,"Detail"}</definedName>
    <definedName name="dty" localSheetId="0" hidden="1">{#N/A,#N/A,TRUE,"Front";#N/A,#N/A,TRUE,"Simple Letter";#N/A,#N/A,TRUE,"Inside";#N/A,#N/A,TRUE,"Contents";#N/A,#N/A,TRUE,"Basis";#N/A,#N/A,TRUE,"Inclusions";#N/A,#N/A,TRUE,"Exclusions";#N/A,#N/A,TRUE,"Areas";#N/A,#N/A,TRUE,"Summary";#N/A,#N/A,TRUE,"Detail"}</definedName>
    <definedName name="dty" hidden="1">{#N/A,#N/A,TRUE,"Front";#N/A,#N/A,TRUE,"Simple Letter";#N/A,#N/A,TRUE,"Inside";#N/A,#N/A,TRUE,"Contents";#N/A,#N/A,TRUE,"Basis";#N/A,#N/A,TRUE,"Inclusions";#N/A,#N/A,TRUE,"Exclusions";#N/A,#N/A,TRUE,"Areas";#N/A,#N/A,TRUE,"Summary";#N/A,#N/A,TRUE,"Detail"}</definedName>
    <definedName name="DUBAI" localSheetId="1" hidden="1">{#N/A,#N/A,TRUE,"Front";#N/A,#N/A,TRUE,"Simple Letter";#N/A,#N/A,TRUE,"Inside";#N/A,#N/A,TRUE,"Contents";#N/A,#N/A,TRUE,"Basis";#N/A,#N/A,TRUE,"Inclusions";#N/A,#N/A,TRUE,"Exclusions";#N/A,#N/A,TRUE,"Areas";#N/A,#N/A,TRUE,"Summary";#N/A,#N/A,TRUE,"Detail"}</definedName>
    <definedName name="DUBAI" localSheetId="0" hidden="1">{#N/A,#N/A,TRUE,"Front";#N/A,#N/A,TRUE,"Simple Letter";#N/A,#N/A,TRUE,"Inside";#N/A,#N/A,TRUE,"Contents";#N/A,#N/A,TRUE,"Basis";#N/A,#N/A,TRUE,"Inclusions";#N/A,#N/A,TRUE,"Exclusions";#N/A,#N/A,TRUE,"Areas";#N/A,#N/A,TRUE,"Summary";#N/A,#N/A,TRUE,"Detail"}</definedName>
    <definedName name="DUBAI" hidden="1">{#N/A,#N/A,TRUE,"Front";#N/A,#N/A,TRUE,"Simple Letter";#N/A,#N/A,TRUE,"Inside";#N/A,#N/A,TRUE,"Contents";#N/A,#N/A,TRUE,"Basis";#N/A,#N/A,TRUE,"Inclusions";#N/A,#N/A,TRUE,"Exclusions";#N/A,#N/A,TRUE,"Areas";#N/A,#N/A,TRUE,"Summary";#N/A,#N/A,TRUE,"Detail"}</definedName>
    <definedName name="dvc" hidden="1">{#N/A,#N/A,TRUE,"Front";#N/A,#N/A,TRUE,"Simple Letter";#N/A,#N/A,TRUE,"Inside";#N/A,#N/A,TRUE,"Contents";#N/A,#N/A,TRUE,"Basis";#N/A,#N/A,TRUE,"Inclusions";#N/A,#N/A,TRUE,"Exclusions";#N/A,#N/A,TRUE,"Areas";#N/A,#N/A,TRUE,"Summary";#N/A,#N/A,TRUE,"Detail"}</definedName>
    <definedName name="DWE" hidden="1">#REF!</definedName>
    <definedName name="dwgyg" localSheetId="1" hidden="1">{#N/A,#N/A,TRUE,"Front";#N/A,#N/A,TRUE,"Simple Letter";#N/A,#N/A,TRUE,"Inside";#N/A,#N/A,TRUE,"Contents";#N/A,#N/A,TRUE,"Basis";#N/A,#N/A,TRUE,"Inclusions";#N/A,#N/A,TRUE,"Exclusions";#N/A,#N/A,TRUE,"Areas";#N/A,#N/A,TRUE,"Summary";#N/A,#N/A,TRUE,"Detail"}</definedName>
    <definedName name="dwgyg" localSheetId="0" hidden="1">{#N/A,#N/A,TRUE,"Front";#N/A,#N/A,TRUE,"Simple Letter";#N/A,#N/A,TRUE,"Inside";#N/A,#N/A,TRUE,"Contents";#N/A,#N/A,TRUE,"Basis";#N/A,#N/A,TRUE,"Inclusions";#N/A,#N/A,TRUE,"Exclusions";#N/A,#N/A,TRUE,"Areas";#N/A,#N/A,TRUE,"Summary";#N/A,#N/A,TRUE,"Detail"}</definedName>
    <definedName name="DWPRICE" hidden="1">#REF!</definedName>
    <definedName name="edd" localSheetId="1" hidden="1">{#N/A,#N/A,FALSE,"견적대비-2"}</definedName>
    <definedName name="edd" localSheetId="0" hidden="1">{#N/A,#N/A,FALSE,"견적대비-2"}</definedName>
    <definedName name="edd" hidden="1">{#N/A,#N/A,FALSE,"견적대비-2"}</definedName>
    <definedName name="eletrical" hidden="1">#REF!</definedName>
    <definedName name="erer" localSheetId="1" hidden="1">{#N/A,#N/A,TRUE,"Front";#N/A,#N/A,TRUE,"Simple Letter";#N/A,#N/A,TRUE,"Inside";#N/A,#N/A,TRUE,"Contents";#N/A,#N/A,TRUE,"Basis";#N/A,#N/A,TRUE,"Inclusions";#N/A,#N/A,TRUE,"Exclusions";#N/A,#N/A,TRUE,"Areas";#N/A,#N/A,TRUE,"Summary";#N/A,#N/A,TRUE,"Detail"}</definedName>
    <definedName name="erer" localSheetId="0" hidden="1">{#N/A,#N/A,TRUE,"Front";#N/A,#N/A,TRUE,"Simple Letter";#N/A,#N/A,TRUE,"Inside";#N/A,#N/A,TRUE,"Contents";#N/A,#N/A,TRUE,"Basis";#N/A,#N/A,TRUE,"Inclusions";#N/A,#N/A,TRUE,"Exclusions";#N/A,#N/A,TRUE,"Areas";#N/A,#N/A,TRUE,"Summary";#N/A,#N/A,TRUE,"Detail"}</definedName>
    <definedName name="erer" hidden="1">{#N/A,#N/A,TRUE,"Front";#N/A,#N/A,TRUE,"Simple Letter";#N/A,#N/A,TRUE,"Inside";#N/A,#N/A,TRUE,"Contents";#N/A,#N/A,TRUE,"Basis";#N/A,#N/A,TRUE,"Inclusions";#N/A,#N/A,TRUE,"Exclusions";#N/A,#N/A,TRUE,"Areas";#N/A,#N/A,TRUE,"Summary";#N/A,#N/A,TRUE,"Detail"}</definedName>
    <definedName name="ererer" localSheetId="1" hidden="1">{#N/A,#N/A,TRUE,"Front";#N/A,#N/A,TRUE,"Simple Letter";#N/A,#N/A,TRUE,"Inside";#N/A,#N/A,TRUE,"Contents";#N/A,#N/A,TRUE,"Basis";#N/A,#N/A,TRUE,"Inclusions";#N/A,#N/A,TRUE,"Exclusions";#N/A,#N/A,TRUE,"Areas";#N/A,#N/A,TRUE,"Summary";#N/A,#N/A,TRUE,"Detail"}</definedName>
    <definedName name="ererer" localSheetId="0" hidden="1">{#N/A,#N/A,TRUE,"Front";#N/A,#N/A,TRUE,"Simple Letter";#N/A,#N/A,TRUE,"Inside";#N/A,#N/A,TRUE,"Contents";#N/A,#N/A,TRUE,"Basis";#N/A,#N/A,TRUE,"Inclusions";#N/A,#N/A,TRUE,"Exclusions";#N/A,#N/A,TRUE,"Areas";#N/A,#N/A,TRUE,"Summary";#N/A,#N/A,TRUE,"Detail"}</definedName>
    <definedName name="ererer" hidden="1">{#N/A,#N/A,TRUE,"Front";#N/A,#N/A,TRUE,"Simple Letter";#N/A,#N/A,TRUE,"Inside";#N/A,#N/A,TRUE,"Contents";#N/A,#N/A,TRUE,"Basis";#N/A,#N/A,TRUE,"Inclusions";#N/A,#N/A,TRUE,"Exclusions";#N/A,#N/A,TRUE,"Areas";#N/A,#N/A,TRUE,"Summary";#N/A,#N/A,TRUE,"Detail"}</definedName>
    <definedName name="err" localSheetId="1" hidden="1">{#N/A,#N/A,TRUE,"Front";#N/A,#N/A,TRUE,"Simple Letter";#N/A,#N/A,TRUE,"Inside";#N/A,#N/A,TRUE,"Contents";#N/A,#N/A,TRUE,"Basis";#N/A,#N/A,TRUE,"Inclusions";#N/A,#N/A,TRUE,"Exclusions";#N/A,#N/A,TRUE,"Areas";#N/A,#N/A,TRUE,"Summary";#N/A,#N/A,TRUE,"Detail"}</definedName>
    <definedName name="err" localSheetId="0" hidden="1">{#N/A,#N/A,TRUE,"Front";#N/A,#N/A,TRUE,"Simple Letter";#N/A,#N/A,TRUE,"Inside";#N/A,#N/A,TRUE,"Contents";#N/A,#N/A,TRUE,"Basis";#N/A,#N/A,TRUE,"Inclusions";#N/A,#N/A,TRUE,"Exclusions";#N/A,#N/A,TRUE,"Areas";#N/A,#N/A,TRUE,"Summary";#N/A,#N/A,TRUE,"Detail"}</definedName>
    <definedName name="err" hidden="1">{#N/A,#N/A,TRUE,"Front";#N/A,#N/A,TRUE,"Simple Letter";#N/A,#N/A,TRUE,"Inside";#N/A,#N/A,TRUE,"Contents";#N/A,#N/A,TRUE,"Basis";#N/A,#N/A,TRUE,"Inclusions";#N/A,#N/A,TRUE,"Exclusions";#N/A,#N/A,TRUE,"Areas";#N/A,#N/A,TRUE,"Summary";#N/A,#N/A,TRUE,"Detail"}</definedName>
    <definedName name="esf" hidden="1">#REF!</definedName>
    <definedName name="euro" localSheetId="1" hidden="1">{#N/A,#N/A,TRUE,"Front";#N/A,#N/A,TRUE,"Simple Letter";#N/A,#N/A,TRUE,"Inside";#N/A,#N/A,TRUE,"Contents";#N/A,#N/A,TRUE,"Basis";#N/A,#N/A,TRUE,"Inclusions";#N/A,#N/A,TRUE,"Exclusions";#N/A,#N/A,TRUE,"Areas";#N/A,#N/A,TRUE,"Summary";#N/A,#N/A,TRUE,"Detail"}</definedName>
    <definedName name="euro" localSheetId="0" hidden="1">{#N/A,#N/A,TRUE,"Front";#N/A,#N/A,TRUE,"Simple Letter";#N/A,#N/A,TRUE,"Inside";#N/A,#N/A,TRUE,"Contents";#N/A,#N/A,TRUE,"Basis";#N/A,#N/A,TRUE,"Inclusions";#N/A,#N/A,TRUE,"Exclusions";#N/A,#N/A,TRUE,"Areas";#N/A,#N/A,TRUE,"Summary";#N/A,#N/A,TRUE,"Detail"}</definedName>
    <definedName name="euronet" localSheetId="1" hidden="1">{#N/A,#N/A,TRUE,"Front";#N/A,#N/A,TRUE,"Simple Letter";#N/A,#N/A,TRUE,"Inside";#N/A,#N/A,TRUE,"Contents";#N/A,#N/A,TRUE,"Basis";#N/A,#N/A,TRUE,"Inclusions";#N/A,#N/A,TRUE,"Exclusions";#N/A,#N/A,TRUE,"Areas";#N/A,#N/A,TRUE,"Summary";#N/A,#N/A,TRUE,"Detail"}</definedName>
    <definedName name="euronet" localSheetId="0" hidden="1">{#N/A,#N/A,TRUE,"Front";#N/A,#N/A,TRUE,"Simple Letter";#N/A,#N/A,TRUE,"Inside";#N/A,#N/A,TRUE,"Contents";#N/A,#N/A,TRUE,"Basis";#N/A,#N/A,TRUE,"Inclusions";#N/A,#N/A,TRUE,"Exclusions";#N/A,#N/A,TRUE,"Areas";#N/A,#N/A,TRUE,"Summary";#N/A,#N/A,TRUE,"Detail"}</definedName>
    <definedName name="EWTEYRYRYER" localSheetId="1" hidden="1">{#N/A,#N/A,TRUE,"Front";#N/A,#N/A,TRUE,"Simple Letter";#N/A,#N/A,TRUE,"Inside";#N/A,#N/A,TRUE,"Contents";#N/A,#N/A,TRUE,"Basis";#N/A,#N/A,TRUE,"Inclusions";#N/A,#N/A,TRUE,"Exclusions";#N/A,#N/A,TRUE,"Areas";#N/A,#N/A,TRUE,"Summary";#N/A,#N/A,TRUE,"Detail"}</definedName>
    <definedName name="EWTEYRYRYER" localSheetId="0" hidden="1">{#N/A,#N/A,TRUE,"Front";#N/A,#N/A,TRUE,"Simple Letter";#N/A,#N/A,TRUE,"Inside";#N/A,#N/A,TRUE,"Contents";#N/A,#N/A,TRUE,"Basis";#N/A,#N/A,TRUE,"Inclusions";#N/A,#N/A,TRUE,"Exclusions";#N/A,#N/A,TRUE,"Areas";#N/A,#N/A,TRUE,"Summary";#N/A,#N/A,TRUE,"Detail"}</definedName>
    <definedName name="EWTEYRYRYER" hidden="1">{#N/A,#N/A,TRUE,"Front";#N/A,#N/A,TRUE,"Simple Letter";#N/A,#N/A,TRUE,"Inside";#N/A,#N/A,TRUE,"Contents";#N/A,#N/A,TRUE,"Basis";#N/A,#N/A,TRUE,"Inclusions";#N/A,#N/A,TRUE,"Exclusions";#N/A,#N/A,TRUE,"Areas";#N/A,#N/A,TRUE,"Summary";#N/A,#N/A,TRUE,"Detail"}</definedName>
    <definedName name="Familywelfare" hidden="1">{"'Sheet1'!$A$4386:$N$4591"}</definedName>
    <definedName name="fchk" localSheetId="1" hidden="1">{#N/A,#N/A,TRUE,"Front";#N/A,#N/A,TRUE,"Simple Letter";#N/A,#N/A,TRUE,"Inside";#N/A,#N/A,TRUE,"Contents";#N/A,#N/A,TRUE,"Basis";#N/A,#N/A,TRUE,"Inclusions";#N/A,#N/A,TRUE,"Exclusions";#N/A,#N/A,TRUE,"Areas";#N/A,#N/A,TRUE,"Summary";#N/A,#N/A,TRUE,"Detail"}</definedName>
    <definedName name="fchk" localSheetId="0" hidden="1">{#N/A,#N/A,TRUE,"Front";#N/A,#N/A,TRUE,"Simple Letter";#N/A,#N/A,TRUE,"Inside";#N/A,#N/A,TRUE,"Contents";#N/A,#N/A,TRUE,"Basis";#N/A,#N/A,TRUE,"Inclusions";#N/A,#N/A,TRUE,"Exclusions";#N/A,#N/A,TRUE,"Areas";#N/A,#N/A,TRUE,"Summary";#N/A,#N/A,TRUE,"Detail"}</definedName>
    <definedName name="fchk" hidden="1">{#N/A,#N/A,TRUE,"Front";#N/A,#N/A,TRUE,"Simple Letter";#N/A,#N/A,TRUE,"Inside";#N/A,#N/A,TRUE,"Contents";#N/A,#N/A,TRUE,"Basis";#N/A,#N/A,TRUE,"Inclusions";#N/A,#N/A,TRUE,"Exclusions";#N/A,#N/A,TRUE,"Areas";#N/A,#N/A,TRUE,"Summary";#N/A,#N/A,TRUE,"Detail"}</definedName>
    <definedName name="FCode" hidden="1">#REF!</definedName>
    <definedName name="fd" localSheetId="1" hidden="1">{"'Sheet1'!$A$4386:$N$4591"}</definedName>
    <definedName name="fd" localSheetId="0" hidden="1">{"'Sheet1'!$A$4386:$N$4591"}</definedName>
    <definedName name="fdasdfa" localSheetId="1" hidden="1">{#N/A,#N/A,TRUE,"Front";#N/A,#N/A,TRUE,"Simple Letter";#N/A,#N/A,TRUE,"Inside";#N/A,#N/A,TRUE,"Contents";#N/A,#N/A,TRUE,"Basis";#N/A,#N/A,TRUE,"Inclusions";#N/A,#N/A,TRUE,"Exclusions";#N/A,#N/A,TRUE,"Areas";#N/A,#N/A,TRUE,"Summary";#N/A,#N/A,TRUE,"Detail"}</definedName>
    <definedName name="fdasdfa" localSheetId="0" hidden="1">{#N/A,#N/A,TRUE,"Front";#N/A,#N/A,TRUE,"Simple Letter";#N/A,#N/A,TRUE,"Inside";#N/A,#N/A,TRUE,"Contents";#N/A,#N/A,TRUE,"Basis";#N/A,#N/A,TRUE,"Inclusions";#N/A,#N/A,TRUE,"Exclusions";#N/A,#N/A,TRUE,"Areas";#N/A,#N/A,TRUE,"Summary";#N/A,#N/A,TRUE,"Detail"}</definedName>
    <definedName name="fdgd" localSheetId="1" hidden="1">{#N/A,#N/A,TRUE,"Front";#N/A,#N/A,TRUE,"Simple Letter";#N/A,#N/A,TRUE,"Inside";#N/A,#N/A,TRUE,"Contents";#N/A,#N/A,TRUE,"Basis";#N/A,#N/A,TRUE,"Inclusions";#N/A,#N/A,TRUE,"Exclusions";#N/A,#N/A,TRUE,"Areas";#N/A,#N/A,TRUE,"Summary";#N/A,#N/A,TRUE,"Detail"}</definedName>
    <definedName name="fdgd" localSheetId="0" hidden="1">{#N/A,#N/A,TRUE,"Front";#N/A,#N/A,TRUE,"Simple Letter";#N/A,#N/A,TRUE,"Inside";#N/A,#N/A,TRUE,"Contents";#N/A,#N/A,TRUE,"Basis";#N/A,#N/A,TRUE,"Inclusions";#N/A,#N/A,TRUE,"Exclusions";#N/A,#N/A,TRUE,"Areas";#N/A,#N/A,TRUE,"Summary";#N/A,#N/A,TRUE,"Detail"}</definedName>
    <definedName name="fdgd" hidden="1">{#N/A,#N/A,TRUE,"Front";#N/A,#N/A,TRUE,"Simple Letter";#N/A,#N/A,TRUE,"Inside";#N/A,#N/A,TRUE,"Contents";#N/A,#N/A,TRUE,"Basis";#N/A,#N/A,TRUE,"Inclusions";#N/A,#N/A,TRUE,"Exclusions";#N/A,#N/A,TRUE,"Areas";#N/A,#N/A,TRUE,"Summary";#N/A,#N/A,TRUE,"Detail"}</definedName>
    <definedName name="fdgdr" localSheetId="1" hidden="1">{#N/A,#N/A,TRUE,"Front";#N/A,#N/A,TRUE,"Simple Letter";#N/A,#N/A,TRUE,"Inside";#N/A,#N/A,TRUE,"Contents";#N/A,#N/A,TRUE,"Basis";#N/A,#N/A,TRUE,"Inclusions";#N/A,#N/A,TRUE,"Exclusions";#N/A,#N/A,TRUE,"Areas";#N/A,#N/A,TRUE,"Summary";#N/A,#N/A,TRUE,"Detail"}</definedName>
    <definedName name="fdgdr" localSheetId="0" hidden="1">{#N/A,#N/A,TRUE,"Front";#N/A,#N/A,TRUE,"Simple Letter";#N/A,#N/A,TRUE,"Inside";#N/A,#N/A,TRUE,"Contents";#N/A,#N/A,TRUE,"Basis";#N/A,#N/A,TRUE,"Inclusions";#N/A,#N/A,TRUE,"Exclusions";#N/A,#N/A,TRUE,"Areas";#N/A,#N/A,TRUE,"Summary";#N/A,#N/A,TRUE,"Detail"}</definedName>
    <definedName name="fdgdr" hidden="1">{#N/A,#N/A,TRUE,"Front";#N/A,#N/A,TRUE,"Simple Letter";#N/A,#N/A,TRUE,"Inside";#N/A,#N/A,TRUE,"Contents";#N/A,#N/A,TRUE,"Basis";#N/A,#N/A,TRUE,"Inclusions";#N/A,#N/A,TRUE,"Exclusions";#N/A,#N/A,TRUE,"Areas";#N/A,#N/A,TRUE,"Summary";#N/A,#N/A,TRUE,"Detail"}</definedName>
    <definedName name="fdherjtjjtrrtjtrj" localSheetId="1" hidden="1">{#N/A,#N/A,TRUE,"Front";#N/A,#N/A,TRUE,"Simple Letter";#N/A,#N/A,TRUE,"Inside";#N/A,#N/A,TRUE,"Contents";#N/A,#N/A,TRUE,"Basis";#N/A,#N/A,TRUE,"Inclusions";#N/A,#N/A,TRUE,"Exclusions";#N/A,#N/A,TRUE,"Areas";#N/A,#N/A,TRUE,"Summary";#N/A,#N/A,TRUE,"Detail"}</definedName>
    <definedName name="fdherjtjjtrrtjtrj" localSheetId="0" hidden="1">{#N/A,#N/A,TRUE,"Front";#N/A,#N/A,TRUE,"Simple Letter";#N/A,#N/A,TRUE,"Inside";#N/A,#N/A,TRUE,"Contents";#N/A,#N/A,TRUE,"Basis";#N/A,#N/A,TRUE,"Inclusions";#N/A,#N/A,TRUE,"Exclusions";#N/A,#N/A,TRUE,"Areas";#N/A,#N/A,TRUE,"Summary";#N/A,#N/A,TRUE,"Detail"}</definedName>
    <definedName name="fdherjtjjtrrtjtrj" hidden="1">{#N/A,#N/A,TRUE,"Front";#N/A,#N/A,TRUE,"Simple Letter";#N/A,#N/A,TRUE,"Inside";#N/A,#N/A,TRUE,"Contents";#N/A,#N/A,TRUE,"Basis";#N/A,#N/A,TRUE,"Inclusions";#N/A,#N/A,TRUE,"Exclusions";#N/A,#N/A,TRUE,"Areas";#N/A,#N/A,TRUE,"Summary";#N/A,#N/A,TRUE,"Detail"}</definedName>
    <definedName name="fdhfdjjgjgrjtrj" localSheetId="1" hidden="1">{#N/A,#N/A,TRUE,"Front";#N/A,#N/A,TRUE,"Simple Letter";#N/A,#N/A,TRUE,"Inside";#N/A,#N/A,TRUE,"Contents";#N/A,#N/A,TRUE,"Basis";#N/A,#N/A,TRUE,"Inclusions";#N/A,#N/A,TRUE,"Exclusions";#N/A,#N/A,TRUE,"Areas";#N/A,#N/A,TRUE,"Summary";#N/A,#N/A,TRUE,"Detail"}</definedName>
    <definedName name="fdhfdjjgjgrjtrj" localSheetId="0" hidden="1">{#N/A,#N/A,TRUE,"Front";#N/A,#N/A,TRUE,"Simple Letter";#N/A,#N/A,TRUE,"Inside";#N/A,#N/A,TRUE,"Contents";#N/A,#N/A,TRUE,"Basis";#N/A,#N/A,TRUE,"Inclusions";#N/A,#N/A,TRUE,"Exclusions";#N/A,#N/A,TRUE,"Areas";#N/A,#N/A,TRUE,"Summary";#N/A,#N/A,TRUE,"Detail"}</definedName>
    <definedName name="fdhfdjjgjgrjtrj" hidden="1">{#N/A,#N/A,TRUE,"Front";#N/A,#N/A,TRUE,"Simple Letter";#N/A,#N/A,TRUE,"Inside";#N/A,#N/A,TRUE,"Contents";#N/A,#N/A,TRUE,"Basis";#N/A,#N/A,TRUE,"Inclusions";#N/A,#N/A,TRUE,"Exclusions";#N/A,#N/A,TRUE,"Areas";#N/A,#N/A,TRUE,"Summary";#N/A,#N/A,TRUE,"Detail"}</definedName>
    <definedName name="fdsf" hidden="1">#REF!</definedName>
    <definedName name="fere" localSheetId="1" hidden="1">{#N/A,#N/A,TRUE,"Front";#N/A,#N/A,TRUE,"Simple Letter";#N/A,#N/A,TRUE,"Inside";#N/A,#N/A,TRUE,"Contents";#N/A,#N/A,TRUE,"Basis";#N/A,#N/A,TRUE,"Inclusions";#N/A,#N/A,TRUE,"Exclusions";#N/A,#N/A,TRUE,"Areas";#N/A,#N/A,TRUE,"Summary";#N/A,#N/A,TRUE,"Detail"}</definedName>
    <definedName name="fere" localSheetId="0" hidden="1">{#N/A,#N/A,TRUE,"Front";#N/A,#N/A,TRUE,"Simple Letter";#N/A,#N/A,TRUE,"Inside";#N/A,#N/A,TRUE,"Contents";#N/A,#N/A,TRUE,"Basis";#N/A,#N/A,TRUE,"Inclusions";#N/A,#N/A,TRUE,"Exclusions";#N/A,#N/A,TRUE,"Areas";#N/A,#N/A,TRUE,"Summary";#N/A,#N/A,TRUE,"Detail"}</definedName>
    <definedName name="fere" hidden="1">{#N/A,#N/A,TRUE,"Front";#N/A,#N/A,TRUE,"Simple Letter";#N/A,#N/A,TRUE,"Inside";#N/A,#N/A,TRUE,"Contents";#N/A,#N/A,TRUE,"Basis";#N/A,#N/A,TRUE,"Inclusions";#N/A,#N/A,TRUE,"Exclusions";#N/A,#N/A,TRUE,"Areas";#N/A,#N/A,TRUE,"Summary";#N/A,#N/A,TRUE,"Detail"}</definedName>
    <definedName name="ffff" hidden="1">{#N/A,#N/A,TRUE,"Front";#N/A,#N/A,TRUE,"Simple Letter";#N/A,#N/A,TRUE,"Inside";#N/A,#N/A,TRUE,"Contents";#N/A,#N/A,TRUE,"Basis";#N/A,#N/A,TRUE,"Inclusions";#N/A,#N/A,TRUE,"Exclusions";#N/A,#N/A,TRUE,"Areas";#N/A,#N/A,TRUE,"Summary";#N/A,#N/A,TRUE,"Detail"}</definedName>
    <definedName name="ffjfjfjfj" hidden="1">#REF!</definedName>
    <definedName name="FFWW" localSheetId="1" hidden="1">{#N/A,#N/A,TRUE,"Front";#N/A,#N/A,TRUE,"Simple Letter";#N/A,#N/A,TRUE,"Inside";#N/A,#N/A,TRUE,"Contents";#N/A,#N/A,TRUE,"Basis";#N/A,#N/A,TRUE,"Inclusions";#N/A,#N/A,TRUE,"Exclusions";#N/A,#N/A,TRUE,"Areas";#N/A,#N/A,TRUE,"Summary";#N/A,#N/A,TRUE,"Detail"}</definedName>
    <definedName name="FFWW" localSheetId="0" hidden="1">{#N/A,#N/A,TRUE,"Front";#N/A,#N/A,TRUE,"Simple Letter";#N/A,#N/A,TRUE,"Inside";#N/A,#N/A,TRUE,"Contents";#N/A,#N/A,TRUE,"Basis";#N/A,#N/A,TRUE,"Inclusions";#N/A,#N/A,TRUE,"Exclusions";#N/A,#N/A,TRUE,"Areas";#N/A,#N/A,TRUE,"Summary";#N/A,#N/A,TRUE,"Detail"}</definedName>
    <definedName name="FFWW" hidden="1">{#N/A,#N/A,TRUE,"Front";#N/A,#N/A,TRUE,"Simple Letter";#N/A,#N/A,TRUE,"Inside";#N/A,#N/A,TRUE,"Contents";#N/A,#N/A,TRUE,"Basis";#N/A,#N/A,TRUE,"Inclusions";#N/A,#N/A,TRUE,"Exclusions";#N/A,#N/A,TRUE,"Areas";#N/A,#N/A,TRUE,"Summary";#N/A,#N/A,TRUE,"Detail"}</definedName>
    <definedName name="fgfdg" hidden="1">#REF!</definedName>
    <definedName name="fgfg" localSheetId="1" hidden="1">{#N/A,#N/A,TRUE,"Front";#N/A,#N/A,TRUE,"Simple Letter";#N/A,#N/A,TRUE,"Inside";#N/A,#N/A,TRUE,"Contents";#N/A,#N/A,TRUE,"Basis";#N/A,#N/A,TRUE,"Inclusions";#N/A,#N/A,TRUE,"Exclusions";#N/A,#N/A,TRUE,"Areas";#N/A,#N/A,TRUE,"Summary";#N/A,#N/A,TRUE,"Detail"}</definedName>
    <definedName name="fgfg" localSheetId="0" hidden="1">{#N/A,#N/A,TRUE,"Front";#N/A,#N/A,TRUE,"Simple Letter";#N/A,#N/A,TRUE,"Inside";#N/A,#N/A,TRUE,"Contents";#N/A,#N/A,TRUE,"Basis";#N/A,#N/A,TRUE,"Inclusions";#N/A,#N/A,TRUE,"Exclusions";#N/A,#N/A,TRUE,"Areas";#N/A,#N/A,TRUE,"Summary";#N/A,#N/A,TRUE,"Detail"}</definedName>
    <definedName name="fgfg" hidden="1">{#N/A,#N/A,TRUE,"Front";#N/A,#N/A,TRUE,"Simple Letter";#N/A,#N/A,TRUE,"Inside";#N/A,#N/A,TRUE,"Contents";#N/A,#N/A,TRUE,"Basis";#N/A,#N/A,TRUE,"Inclusions";#N/A,#N/A,TRUE,"Exclusions";#N/A,#N/A,TRUE,"Areas";#N/A,#N/A,TRUE,"Summary";#N/A,#N/A,TRUE,"Detail"}</definedName>
    <definedName name="fgfghh" localSheetId="1" hidden="1">{#N/A,#N/A,TRUE,"Front";#N/A,#N/A,TRUE,"Simple Letter";#N/A,#N/A,TRUE,"Inside";#N/A,#N/A,TRUE,"Contents";#N/A,#N/A,TRUE,"Basis";#N/A,#N/A,TRUE,"Inclusions";#N/A,#N/A,TRUE,"Exclusions";#N/A,#N/A,TRUE,"Areas";#N/A,#N/A,TRUE,"Summary";#N/A,#N/A,TRUE,"Detail"}</definedName>
    <definedName name="fgfghh" localSheetId="0" hidden="1">{#N/A,#N/A,TRUE,"Front";#N/A,#N/A,TRUE,"Simple Letter";#N/A,#N/A,TRUE,"Inside";#N/A,#N/A,TRUE,"Contents";#N/A,#N/A,TRUE,"Basis";#N/A,#N/A,TRUE,"Inclusions";#N/A,#N/A,TRUE,"Exclusions";#N/A,#N/A,TRUE,"Areas";#N/A,#N/A,TRUE,"Summary";#N/A,#N/A,TRUE,"Detail"}</definedName>
    <definedName name="fgfghh" hidden="1">{#N/A,#N/A,TRUE,"Front";#N/A,#N/A,TRUE,"Simple Letter";#N/A,#N/A,TRUE,"Inside";#N/A,#N/A,TRUE,"Contents";#N/A,#N/A,TRUE,"Basis";#N/A,#N/A,TRUE,"Inclusions";#N/A,#N/A,TRUE,"Exclusions";#N/A,#N/A,TRUE,"Areas";#N/A,#N/A,TRUE,"Summary";#N/A,#N/A,TRUE,"Detail"}</definedName>
    <definedName name="fhhhh" localSheetId="1" hidden="1">{#N/A,#N/A,FALSE,"str_title";#N/A,#N/A,FALSE,"SUM";#N/A,#N/A,FALSE,"Scope";#N/A,#N/A,FALSE,"PIE-Jn";#N/A,#N/A,FALSE,"PIE-Jn_Hz";#N/A,#N/A,FALSE,"Liq_Plan";#N/A,#N/A,FALSE,"S_Curve";#N/A,#N/A,FALSE,"Liq_Prof";#N/A,#N/A,FALSE,"Man_Pwr";#N/A,#N/A,FALSE,"Man_Prof"}</definedName>
    <definedName name="fhhhh" localSheetId="0"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il" hidden="1">#REF!</definedName>
    <definedName name="File.Type" hidden="1">#REF!</definedName>
    <definedName name="fill" hidden="1">#REF!</definedName>
    <definedName name="formworkl" localSheetId="1" hidden="1">{#N/A,#N/A,TRUE,"Front";#N/A,#N/A,TRUE,"Simple Letter";#N/A,#N/A,TRUE,"Inside";#N/A,#N/A,TRUE,"Contents";#N/A,#N/A,TRUE,"Basis";#N/A,#N/A,TRUE,"Inclusions";#N/A,#N/A,TRUE,"Exclusions";#N/A,#N/A,TRUE,"Areas";#N/A,#N/A,TRUE,"Summary";#N/A,#N/A,TRUE,"Detail"}</definedName>
    <definedName name="formworkl" localSheetId="0" hidden="1">{#N/A,#N/A,TRUE,"Front";#N/A,#N/A,TRUE,"Simple Letter";#N/A,#N/A,TRUE,"Inside";#N/A,#N/A,TRUE,"Contents";#N/A,#N/A,TRUE,"Basis";#N/A,#N/A,TRUE,"Inclusions";#N/A,#N/A,TRUE,"Exclusions";#N/A,#N/A,TRUE,"Areas";#N/A,#N/A,TRUE,"Summary";#N/A,#N/A,TRUE,"Detail"}</definedName>
    <definedName name="formworkl" hidden="1">{#N/A,#N/A,TRUE,"Front";#N/A,#N/A,TRUE,"Simple Letter";#N/A,#N/A,TRUE,"Inside";#N/A,#N/A,TRUE,"Contents";#N/A,#N/A,TRUE,"Basis";#N/A,#N/A,TRUE,"Inclusions";#N/A,#N/A,TRUE,"Exclusions";#N/A,#N/A,TRUE,"Areas";#N/A,#N/A,TRUE,"Summary";#N/A,#N/A,TRUE,"Detail"}</definedName>
    <definedName name="FOXC" localSheetId="1" hidden="1">{#N/A,#N/A,TRUE,"Front";#N/A,#N/A,TRUE,"Simple Letter";#N/A,#N/A,TRUE,"Inside";#N/A,#N/A,TRUE,"Contents";#N/A,#N/A,TRUE,"Basis";#N/A,#N/A,TRUE,"Inclusions";#N/A,#N/A,TRUE,"Exclusions";#N/A,#N/A,TRUE,"Areas";#N/A,#N/A,TRUE,"Summary";#N/A,#N/A,TRUE,"Detail"}</definedName>
    <definedName name="FOXC" localSheetId="0" hidden="1">{#N/A,#N/A,TRUE,"Front";#N/A,#N/A,TRUE,"Simple Letter";#N/A,#N/A,TRUE,"Inside";#N/A,#N/A,TRUE,"Contents";#N/A,#N/A,TRUE,"Basis";#N/A,#N/A,TRUE,"Inclusions";#N/A,#N/A,TRUE,"Exclusions";#N/A,#N/A,TRUE,"Areas";#N/A,#N/A,TRUE,"Summary";#N/A,#N/A,TRUE,"Detail"}</definedName>
    <definedName name="FOXC" hidden="1">{#N/A,#N/A,TRUE,"Front";#N/A,#N/A,TRUE,"Simple Letter";#N/A,#N/A,TRUE,"Inside";#N/A,#N/A,TRUE,"Contents";#N/A,#N/A,TRUE,"Basis";#N/A,#N/A,TRUE,"Inclusions";#N/A,#N/A,TRUE,"Exclusions";#N/A,#N/A,TRUE,"Areas";#N/A,#N/A,TRUE,"Summary";#N/A,#N/A,TRUE,"Detail"}</definedName>
    <definedName name="frgrr" localSheetId="1" hidden="1">{#N/A,#N/A,TRUE,"Front";#N/A,#N/A,TRUE,"Simple Letter";#N/A,#N/A,TRUE,"Inside";#N/A,#N/A,TRUE,"Contents";#N/A,#N/A,TRUE,"Basis";#N/A,#N/A,TRUE,"Inclusions";#N/A,#N/A,TRUE,"Exclusions";#N/A,#N/A,TRUE,"Areas";#N/A,#N/A,TRUE,"Summary";#N/A,#N/A,TRUE,"Detail"}</definedName>
    <definedName name="frgrr" localSheetId="0" hidden="1">{#N/A,#N/A,TRUE,"Front";#N/A,#N/A,TRUE,"Simple Letter";#N/A,#N/A,TRUE,"Inside";#N/A,#N/A,TRUE,"Contents";#N/A,#N/A,TRUE,"Basis";#N/A,#N/A,TRUE,"Inclusions";#N/A,#N/A,TRUE,"Exclusions";#N/A,#N/A,TRUE,"Areas";#N/A,#N/A,TRUE,"Summary";#N/A,#N/A,TRUE,"Detail"}</definedName>
    <definedName name="frgrr" hidden="1">{#N/A,#N/A,TRUE,"Front";#N/A,#N/A,TRUE,"Simple Letter";#N/A,#N/A,TRUE,"Inside";#N/A,#N/A,TRUE,"Contents";#N/A,#N/A,TRUE,"Basis";#N/A,#N/A,TRUE,"Inclusions";#N/A,#N/A,TRUE,"Exclusions";#N/A,#N/A,TRUE,"Areas";#N/A,#N/A,TRUE,"Summary";#N/A,#N/A,TRUE,"Detail"}</definedName>
    <definedName name="FS" localSheetId="1" hidden="1">{#N/A,#N/A,TRUE,"Front";#N/A,#N/A,TRUE,"Simple Letter";#N/A,#N/A,TRUE,"Inside";#N/A,#N/A,TRUE,"Contents";#N/A,#N/A,TRUE,"Basis";#N/A,#N/A,TRUE,"Inclusions";#N/A,#N/A,TRUE,"Exclusions";#N/A,#N/A,TRUE,"Areas";#N/A,#N/A,TRUE,"Summary";#N/A,#N/A,TRUE,"Detail"}</definedName>
    <definedName name="FS" localSheetId="0" hidden="1">{#N/A,#N/A,TRUE,"Front";#N/A,#N/A,TRUE,"Simple Letter";#N/A,#N/A,TRUE,"Inside";#N/A,#N/A,TRUE,"Contents";#N/A,#N/A,TRUE,"Basis";#N/A,#N/A,TRUE,"Inclusions";#N/A,#N/A,TRUE,"Exclusions";#N/A,#N/A,TRUE,"Areas";#N/A,#N/A,TRUE,"Summary";#N/A,#N/A,TRUE,"Detail"}</definedName>
    <definedName name="fsa" localSheetId="1" hidden="1">{#N/A,#N/A,TRUE,"Front";#N/A,#N/A,TRUE,"Simple Letter";#N/A,#N/A,TRUE,"Inside";#N/A,#N/A,TRUE,"Contents";#N/A,#N/A,TRUE,"Basis";#N/A,#N/A,TRUE,"Inclusions";#N/A,#N/A,TRUE,"Exclusions";#N/A,#N/A,TRUE,"Areas";#N/A,#N/A,TRUE,"Summary";#N/A,#N/A,TRUE,"Detail"}</definedName>
    <definedName name="fsa" localSheetId="0" hidden="1">{#N/A,#N/A,TRUE,"Front";#N/A,#N/A,TRUE,"Simple Letter";#N/A,#N/A,TRUE,"Inside";#N/A,#N/A,TRUE,"Contents";#N/A,#N/A,TRUE,"Basis";#N/A,#N/A,TRUE,"Inclusions";#N/A,#N/A,TRUE,"Exclusions";#N/A,#N/A,TRUE,"Areas";#N/A,#N/A,TRUE,"Summary";#N/A,#N/A,TRUE,"Detail"}</definedName>
    <definedName name="fsadfsdaf" localSheetId="1" hidden="1">{#N/A,#N/A,TRUE,"Vergabe-Regeln";#N/A,#N/A,TRUE,"Baugruppen";#N/A,#N/A,TRUE,"Geräte";#N/A,#N/A,TRUE,"PC-Software";#N/A,#N/A,TRUE,"Software";#N/A,#N/A,TRUE,"SW-Reg";#N/A,#N/A,TRUE,"Dokumentation"}</definedName>
    <definedName name="fsadfsdaf" localSheetId="0" hidden="1">{#N/A,#N/A,TRUE,"Vergabe-Regeln";#N/A,#N/A,TRUE,"Baugruppen";#N/A,#N/A,TRUE,"Geräte";#N/A,#N/A,TRUE,"PC-Software";#N/A,#N/A,TRUE,"Software";#N/A,#N/A,TRUE,"SW-Reg";#N/A,#N/A,TRUE,"Dokumentation"}</definedName>
    <definedName name="fsadfsdaf" hidden="1">{#N/A,#N/A,TRUE,"Vergabe-Regeln";#N/A,#N/A,TRUE,"Baugruppen";#N/A,#N/A,TRUE,"Geräte";#N/A,#N/A,TRUE,"PC-Software";#N/A,#N/A,TRUE,"Software";#N/A,#N/A,TRUE,"SW-Reg";#N/A,#N/A,TRUE,"Dokumentation"}</definedName>
    <definedName name="fsd" localSheetId="1" hidden="1">{#N/A,#N/A,FALSE,"mgtsum.XLS";#N/A,#N/A,FALSE,"CAPONE";#N/A,#N/A,FALSE,"CAPTWO";#N/A,#N/A,FALSE,"CAPTHREE"}</definedName>
    <definedName name="fsd" localSheetId="0" hidden="1">{#N/A,#N/A,FALSE,"mgtsum.XLS";#N/A,#N/A,FALSE,"CAPONE";#N/A,#N/A,FALSE,"CAPTWO";#N/A,#N/A,FALSE,"CAPTHREE"}</definedName>
    <definedName name="fsd" hidden="1">{#N/A,#N/A,FALSE,"mgtsum.XLS";#N/A,#N/A,FALSE,"CAPONE";#N/A,#N/A,FALSE,"CAPTWO";#N/A,#N/A,FALSE,"CAPTHREE"}</definedName>
    <definedName name="fsdfd" hidden="1">#REF!</definedName>
    <definedName name="fsdff" hidden="1">#REF!</definedName>
    <definedName name="fsds" localSheetId="1" hidden="1">{#N/A,#N/A,FALSE,"mgtsum.XLS";#N/A,#N/A,FALSE,"CAPONE";#N/A,#N/A,FALSE,"CAPTWO";#N/A,#N/A,FALSE,"CAPTHREE"}</definedName>
    <definedName name="fsds" localSheetId="0" hidden="1">{#N/A,#N/A,FALSE,"mgtsum.XLS";#N/A,#N/A,FALSE,"CAPONE";#N/A,#N/A,FALSE,"CAPTWO";#N/A,#N/A,FALSE,"CAPTHREE"}</definedName>
    <definedName name="fsds" hidden="1">{#N/A,#N/A,FALSE,"mgtsum.XLS";#N/A,#N/A,FALSE,"CAPONE";#N/A,#N/A,FALSE,"CAPTWO";#N/A,#N/A,FALSE,"CAPTHREE"}</definedName>
    <definedName name="full" localSheetId="1" hidden="1">{#N/A,#N/A,TRUE,"Front";#N/A,#N/A,TRUE,"Simple Letter";#N/A,#N/A,TRUE,"Inside";#N/A,#N/A,TRUE,"Contents";#N/A,#N/A,TRUE,"Basis";#N/A,#N/A,TRUE,"Inclusions";#N/A,#N/A,TRUE,"Exclusions";#N/A,#N/A,TRUE,"Areas";#N/A,#N/A,TRUE,"Summary";#N/A,#N/A,TRUE,"Detail"}</definedName>
    <definedName name="full" localSheetId="0" hidden="1">{#N/A,#N/A,TRUE,"Front";#N/A,#N/A,TRUE,"Simple Letter";#N/A,#N/A,TRUE,"Inside";#N/A,#N/A,TRUE,"Contents";#N/A,#N/A,TRUE,"Basis";#N/A,#N/A,TRUE,"Inclusions";#N/A,#N/A,TRUE,"Exclusions";#N/A,#N/A,TRUE,"Areas";#N/A,#N/A,TRUE,"Summary";#N/A,#N/A,TRUE,"Detail"}</definedName>
    <definedName name="full" hidden="1">{#N/A,#N/A,TRUE,"Front";#N/A,#N/A,TRUE,"Simple Letter";#N/A,#N/A,TRUE,"Inside";#N/A,#N/A,TRUE,"Contents";#N/A,#N/A,TRUE,"Basis";#N/A,#N/A,TRUE,"Inclusions";#N/A,#N/A,TRUE,"Exclusions";#N/A,#N/A,TRUE,"Areas";#N/A,#N/A,TRUE,"Summary";#N/A,#N/A,TRUE,"Detail"}</definedName>
    <definedName name="GHFGHHF" localSheetId="1" hidden="1">{#N/A,#N/A,TRUE,"Front";#N/A,#N/A,TRUE,"Simple Letter";#N/A,#N/A,TRUE,"Inside";#N/A,#N/A,TRUE,"Contents";#N/A,#N/A,TRUE,"Basis";#N/A,#N/A,TRUE,"Inclusions";#N/A,#N/A,TRUE,"Exclusions";#N/A,#N/A,TRUE,"Areas";#N/A,#N/A,TRUE,"Summary";#N/A,#N/A,TRUE,"Detail"}</definedName>
    <definedName name="GHFGHHF" localSheetId="0" hidden="1">{#N/A,#N/A,TRUE,"Front";#N/A,#N/A,TRUE,"Simple Letter";#N/A,#N/A,TRUE,"Inside";#N/A,#N/A,TRUE,"Contents";#N/A,#N/A,TRUE,"Basis";#N/A,#N/A,TRUE,"Inclusions";#N/A,#N/A,TRUE,"Exclusions";#N/A,#N/A,TRUE,"Areas";#N/A,#N/A,TRUE,"Summary";#N/A,#N/A,TRUE,"Detail"}</definedName>
    <definedName name="GHFGHHF" hidden="1">{#N/A,#N/A,TRUE,"Front";#N/A,#N/A,TRUE,"Simple Letter";#N/A,#N/A,TRUE,"Inside";#N/A,#N/A,TRUE,"Contents";#N/A,#N/A,TRUE,"Basis";#N/A,#N/A,TRUE,"Inclusions";#N/A,#N/A,TRUE,"Exclusions";#N/A,#N/A,TRUE,"Areas";#N/A,#N/A,TRUE,"Summary";#N/A,#N/A,TRUE,"Detail"}</definedName>
    <definedName name="ghj" localSheetId="1" hidden="1">{#N/A,#N/A,FALSE,"gc (2)"}</definedName>
    <definedName name="ghj" localSheetId="0" hidden="1">{#N/A,#N/A,FALSE,"gc (2)"}</definedName>
    <definedName name="ghj" hidden="1">{#N/A,#N/A,FALSE,"gc (2)"}</definedName>
    <definedName name="ghnjgf" localSheetId="1" hidden="1">{#N/A,#N/A,TRUE,"Front";#N/A,#N/A,TRUE,"Simple Letter";#N/A,#N/A,TRUE,"Inside";#N/A,#N/A,TRUE,"Contents";#N/A,#N/A,TRUE,"Basis";#N/A,#N/A,TRUE,"Inclusions";#N/A,#N/A,TRUE,"Exclusions";#N/A,#N/A,TRUE,"Areas";#N/A,#N/A,TRUE,"Summary";#N/A,#N/A,TRUE,"Detail"}</definedName>
    <definedName name="ghnjgf" localSheetId="0" hidden="1">{#N/A,#N/A,TRUE,"Front";#N/A,#N/A,TRUE,"Simple Letter";#N/A,#N/A,TRUE,"Inside";#N/A,#N/A,TRUE,"Contents";#N/A,#N/A,TRUE,"Basis";#N/A,#N/A,TRUE,"Inclusions";#N/A,#N/A,TRUE,"Exclusions";#N/A,#N/A,TRUE,"Areas";#N/A,#N/A,TRUE,"Summary";#N/A,#N/A,TRUE,"Detail"}</definedName>
    <definedName name="ghnjgf" hidden="1">{#N/A,#N/A,TRUE,"Front";#N/A,#N/A,TRUE,"Simple Letter";#N/A,#N/A,TRUE,"Inside";#N/A,#N/A,TRUE,"Contents";#N/A,#N/A,TRUE,"Basis";#N/A,#N/A,TRUE,"Inclusions";#N/A,#N/A,TRUE,"Exclusions";#N/A,#N/A,TRUE,"Areas";#N/A,#N/A,TRUE,"Summary";#N/A,#N/A,TRUE,"Detail"}</definedName>
    <definedName name="GJMHM" localSheetId="1" hidden="1">{#N/A,#N/A,TRUE,"Front";#N/A,#N/A,TRUE,"Simple Letter";#N/A,#N/A,TRUE,"Inside";#N/A,#N/A,TRUE,"Contents";#N/A,#N/A,TRUE,"Basis";#N/A,#N/A,TRUE,"Inclusions";#N/A,#N/A,TRUE,"Exclusions";#N/A,#N/A,TRUE,"Areas";#N/A,#N/A,TRUE,"Summary";#N/A,#N/A,TRUE,"Detail"}</definedName>
    <definedName name="GJMHM" localSheetId="0" hidden="1">{#N/A,#N/A,TRUE,"Front";#N/A,#N/A,TRUE,"Simple Letter";#N/A,#N/A,TRUE,"Inside";#N/A,#N/A,TRUE,"Contents";#N/A,#N/A,TRUE,"Basis";#N/A,#N/A,TRUE,"Inclusions";#N/A,#N/A,TRUE,"Exclusions";#N/A,#N/A,TRUE,"Areas";#N/A,#N/A,TRUE,"Summary";#N/A,#N/A,TRUE,"Detail"}</definedName>
    <definedName name="GJMHM" hidden="1">{#N/A,#N/A,TRUE,"Front";#N/A,#N/A,TRUE,"Simple Letter";#N/A,#N/A,TRUE,"Inside";#N/A,#N/A,TRUE,"Contents";#N/A,#N/A,TRUE,"Basis";#N/A,#N/A,TRUE,"Inclusions";#N/A,#N/A,TRUE,"Exclusions";#N/A,#N/A,TRUE,"Areas";#N/A,#N/A,TRUE,"Summary";#N/A,#N/A,TRUE,"Detail"}</definedName>
    <definedName name="glbalances_1" localSheetId="1" hidden="1">{#N/A,#N/A,FALSE,"Aging Summary";#N/A,#N/A,FALSE,"Ratio Analysis";#N/A,#N/A,FALSE,"Test 120 Day Accts";#N/A,#N/A,FALSE,"Tickmarks"}</definedName>
    <definedName name="glbalances_1" localSheetId="0" hidden="1">{#N/A,#N/A,FALSE,"Aging Summary";#N/A,#N/A,FALSE,"Ratio Analysis";#N/A,#N/A,FALSE,"Test 120 Day Accts";#N/A,#N/A,FALSE,"Tickmarks"}</definedName>
    <definedName name="glbalances_1" hidden="1">{#N/A,#N/A,FALSE,"Aging Summary";#N/A,#N/A,FALSE,"Ratio Analysis";#N/A,#N/A,FALSE,"Test 120 Day Accts";#N/A,#N/A,FALSE,"Tickmarks"}</definedName>
    <definedName name="GMN" localSheetId="1" hidden="1">{"'Sheet1'!$A$4386:$N$4591"}</definedName>
    <definedName name="GMN" localSheetId="0" hidden="1">{"'Sheet1'!$A$4386:$N$4591"}</definedName>
    <definedName name="GMN" hidden="1">{"'Sheet1'!$A$4386:$N$4591"}</definedName>
    <definedName name="grtr" localSheetId="1" hidden="1">{#N/A,#N/A,TRUE,"Front";#N/A,#N/A,TRUE,"Simple Letter";#N/A,#N/A,TRUE,"Inside";#N/A,#N/A,TRUE,"Contents";#N/A,#N/A,TRUE,"Basis";#N/A,#N/A,TRUE,"Inclusions";#N/A,#N/A,TRUE,"Exclusions";#N/A,#N/A,TRUE,"Areas";#N/A,#N/A,TRUE,"Summary";#N/A,#N/A,TRUE,"Detail"}</definedName>
    <definedName name="grtr" localSheetId="0" hidden="1">{#N/A,#N/A,TRUE,"Front";#N/A,#N/A,TRUE,"Simple Letter";#N/A,#N/A,TRUE,"Inside";#N/A,#N/A,TRUE,"Contents";#N/A,#N/A,TRUE,"Basis";#N/A,#N/A,TRUE,"Inclusions";#N/A,#N/A,TRUE,"Exclusions";#N/A,#N/A,TRUE,"Areas";#N/A,#N/A,TRUE,"Summary";#N/A,#N/A,TRUE,"Detail"}</definedName>
    <definedName name="grtr" hidden="1">{#N/A,#N/A,TRUE,"Front";#N/A,#N/A,TRUE,"Simple Letter";#N/A,#N/A,TRUE,"Inside";#N/A,#N/A,TRUE,"Contents";#N/A,#N/A,TRUE,"Basis";#N/A,#N/A,TRUE,"Inclusions";#N/A,#N/A,TRUE,"Exclusions";#N/A,#N/A,TRUE,"Areas";#N/A,#N/A,TRUE,"Summary";#N/A,#N/A,TRUE,"Detail"}</definedName>
    <definedName name="gthh" localSheetId="1" hidden="1">{#N/A,#N/A,TRUE,"Front";#N/A,#N/A,TRUE,"Simple Letter";#N/A,#N/A,TRUE,"Inside";#N/A,#N/A,TRUE,"Contents";#N/A,#N/A,TRUE,"Basis";#N/A,#N/A,TRUE,"Inclusions";#N/A,#N/A,TRUE,"Exclusions";#N/A,#N/A,TRUE,"Areas";#N/A,#N/A,TRUE,"Summary";#N/A,#N/A,TRUE,"Detail"}</definedName>
    <definedName name="gthh" localSheetId="0" hidden="1">{#N/A,#N/A,TRUE,"Front";#N/A,#N/A,TRUE,"Simple Letter";#N/A,#N/A,TRUE,"Inside";#N/A,#N/A,TRUE,"Contents";#N/A,#N/A,TRUE,"Basis";#N/A,#N/A,TRUE,"Inclusions";#N/A,#N/A,TRUE,"Exclusions";#N/A,#N/A,TRUE,"Areas";#N/A,#N/A,TRUE,"Summary";#N/A,#N/A,TRUE,"Detail"}</definedName>
    <definedName name="gthh" hidden="1">{#N/A,#N/A,TRUE,"Front";#N/A,#N/A,TRUE,"Simple Letter";#N/A,#N/A,TRUE,"Inside";#N/A,#N/A,TRUE,"Contents";#N/A,#N/A,TRUE,"Basis";#N/A,#N/A,TRUE,"Inclusions";#N/A,#N/A,TRUE,"Exclusions";#N/A,#N/A,TRUE,"Areas";#N/A,#N/A,TRUE,"Summary";#N/A,#N/A,TRUE,"Detail"}</definedName>
    <definedName name="gupta"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yt" localSheetId="1" hidden="1">{#N/A,#N/A,TRUE,"Front";#N/A,#N/A,TRUE,"Simple Letter";#N/A,#N/A,TRUE,"Inside";#N/A,#N/A,TRUE,"Contents";#N/A,#N/A,TRUE,"Basis";#N/A,#N/A,TRUE,"Inclusions";#N/A,#N/A,TRUE,"Exclusions";#N/A,#N/A,TRUE,"Areas";#N/A,#N/A,TRUE,"Summary";#N/A,#N/A,TRUE,"Detail"}</definedName>
    <definedName name="gyt" localSheetId="0" hidden="1">{#N/A,#N/A,TRUE,"Front";#N/A,#N/A,TRUE,"Simple Letter";#N/A,#N/A,TRUE,"Inside";#N/A,#N/A,TRUE,"Contents";#N/A,#N/A,TRUE,"Basis";#N/A,#N/A,TRUE,"Inclusions";#N/A,#N/A,TRUE,"Exclusions";#N/A,#N/A,TRUE,"Areas";#N/A,#N/A,TRUE,"Summary";#N/A,#N/A,TRUE,"Detail"}</definedName>
    <definedName name="gyt" hidden="1">{#N/A,#N/A,TRUE,"Front";#N/A,#N/A,TRUE,"Simple Letter";#N/A,#N/A,TRUE,"Inside";#N/A,#N/A,TRUE,"Contents";#N/A,#N/A,TRUE,"Basis";#N/A,#N/A,TRUE,"Inclusions";#N/A,#N/A,TRUE,"Exclusions";#N/A,#N/A,TRUE,"Areas";#N/A,#N/A,TRUE,"Summary";#N/A,#N/A,TRUE,"Detail"}</definedName>
    <definedName name="haha" localSheetId="1" hidden="1">{#N/A,#N/A,FALSE,"asset plan";#N/A,#N/A,FALSE,"Mgmt Report";#N/A,#N/A,FALSE,"sensitivities (2)";#N/A,#N/A,FALSE,"sensitivities";#N/A,#N/A,FALSE,"let up 10  Mort";#N/A,#N/A,FALSE,"let up 12 Mort";#N/A,#N/A,FALSE,"Capex";#N/A,#N/A,FALSE,"Capex Cashflow (2)";#N/A,#N/A,FALSE,"Capex Cashflow (3)";#N/A,#N/A,FALSE,"House View";#N/A,#N/A,FALSE,"kpi"}</definedName>
    <definedName name="haha" localSheetId="0" hidden="1">{#N/A,#N/A,FALSE,"asset plan";#N/A,#N/A,FALSE,"Mgmt Report";#N/A,#N/A,FALSE,"sensitivities (2)";#N/A,#N/A,FALSE,"sensitivities";#N/A,#N/A,FALSE,"let up 10  Mort";#N/A,#N/A,FALSE,"let up 12 Mort";#N/A,#N/A,FALSE,"Capex";#N/A,#N/A,FALSE,"Capex Cashflow (2)";#N/A,#N/A,FALSE,"Capex Cashflow (3)";#N/A,#N/A,FALSE,"House View";#N/A,#N/A,FALSE,"kpi"}</definedName>
    <definedName name="haha" hidden="1">{#N/A,#N/A,FALSE,"asset plan";#N/A,#N/A,FALSE,"Mgmt Report";#N/A,#N/A,FALSE,"sensitivities (2)";#N/A,#N/A,FALSE,"sensitivities";#N/A,#N/A,FALSE,"let up 10  Mort";#N/A,#N/A,FALSE,"let up 12 Mort";#N/A,#N/A,FALSE,"Capex";#N/A,#N/A,FALSE,"Capex Cashflow (2)";#N/A,#N/A,FALSE,"Capex Cashflow (3)";#N/A,#N/A,FALSE,"House View";#N/A,#N/A,FALSE,"kpi"}</definedName>
    <definedName name="hap" localSheetId="1" hidden="1">{#N/A,#N/A,FALSE,"COVER1.XLS ";#N/A,#N/A,FALSE,"RACT1.XLS";#N/A,#N/A,FALSE,"RACT2.XLS";#N/A,#N/A,FALSE,"ECCMP";#N/A,#N/A,FALSE,"WELDER.XLS"}</definedName>
    <definedName name="hap" localSheetId="0" hidden="1">{#N/A,#N/A,FALSE,"COVER1.XLS ";#N/A,#N/A,FALSE,"RACT1.XLS";#N/A,#N/A,FALSE,"RACT2.XLS";#N/A,#N/A,FALSE,"ECCMP";#N/A,#N/A,FALSE,"WELDER.XLS"}</definedName>
    <definedName name="hap" hidden="1">{#N/A,#N/A,FALSE,"COVER1.XLS ";#N/A,#N/A,FALSE,"RACT1.XLS";#N/A,#N/A,FALSE,"RACT2.XLS";#N/A,#N/A,FALSE,"ECCMP";#N/A,#N/A,FALSE,"WELDER.XLS"}</definedName>
    <definedName name="HBVIFAOI" localSheetId="1" hidden="1">{#N/A,#N/A,FALSE,"견적대비-2"}</definedName>
    <definedName name="HBVIFAOI" localSheetId="0" hidden="1">{#N/A,#N/A,FALSE,"견적대비-2"}</definedName>
    <definedName name="HBVIFAOI" hidden="1">{#N/A,#N/A,FALSE,"견적대비-2"}</definedName>
    <definedName name="hdgfjdhkh" localSheetId="1" hidden="1">{#N/A,#N/A,TRUE,"Front";#N/A,#N/A,TRUE,"Simple Letter";#N/A,#N/A,TRUE,"Inside";#N/A,#N/A,TRUE,"Contents";#N/A,#N/A,TRUE,"Basis";#N/A,#N/A,TRUE,"Inclusions";#N/A,#N/A,TRUE,"Exclusions";#N/A,#N/A,TRUE,"Areas";#N/A,#N/A,TRUE,"Summary";#N/A,#N/A,TRUE,"Detail"}</definedName>
    <definedName name="hdgfjdhkh" localSheetId="0" hidden="1">{#N/A,#N/A,TRUE,"Front";#N/A,#N/A,TRUE,"Simple Letter";#N/A,#N/A,TRUE,"Inside";#N/A,#N/A,TRUE,"Contents";#N/A,#N/A,TRUE,"Basis";#N/A,#N/A,TRUE,"Inclusions";#N/A,#N/A,TRUE,"Exclusions";#N/A,#N/A,TRUE,"Areas";#N/A,#N/A,TRUE,"Summary";#N/A,#N/A,TRUE,"Detail"}</definedName>
    <definedName name="hdgfjdhkh" hidden="1">{#N/A,#N/A,TRUE,"Front";#N/A,#N/A,TRUE,"Simple Letter";#N/A,#N/A,TRUE,"Inside";#N/A,#N/A,TRUE,"Contents";#N/A,#N/A,TRUE,"Basis";#N/A,#N/A,TRUE,"Inclusions";#N/A,#N/A,TRUE,"Exclusions";#N/A,#N/A,TRUE,"Areas";#N/A,#N/A,TRUE,"Summary";#N/A,#N/A,TRUE,"Detail"}</definedName>
    <definedName name="hhhh" localSheetId="1" hidden="1">{#N/A,#N/A,TRUE,"Front";#N/A,#N/A,TRUE,"Simple Letter";#N/A,#N/A,TRUE,"Inside";#N/A,#N/A,TRUE,"Contents";#N/A,#N/A,TRUE,"Basis";#N/A,#N/A,TRUE,"Inclusions";#N/A,#N/A,TRUE,"Exclusions";#N/A,#N/A,TRUE,"Areas";#N/A,#N/A,TRUE,"Summary";#N/A,#N/A,TRUE,"Detail"}</definedName>
    <definedName name="hhhh" localSheetId="0" hidden="1">{#N/A,#N/A,TRUE,"Front";#N/A,#N/A,TRUE,"Simple Letter";#N/A,#N/A,TRUE,"Inside";#N/A,#N/A,TRUE,"Contents";#N/A,#N/A,TRUE,"Basis";#N/A,#N/A,TRUE,"Inclusions";#N/A,#N/A,TRUE,"Exclusions";#N/A,#N/A,TRUE,"Areas";#N/A,#N/A,TRUE,"Summary";#N/A,#N/A,TRUE,"Detail"}</definedName>
    <definedName name="hhhh" hidden="1">{#N/A,#N/A,TRUE,"Front";#N/A,#N/A,TRUE,"Simple Letter";#N/A,#N/A,TRUE,"Inside";#N/A,#N/A,TRUE,"Contents";#N/A,#N/A,TRUE,"Basis";#N/A,#N/A,TRUE,"Inclusions";#N/A,#N/A,TRUE,"Exclusions";#N/A,#N/A,TRUE,"Areas";#N/A,#N/A,TRUE,"Summary";#N/A,#N/A,TRUE,"Detail"}</definedName>
    <definedName name="HiddenRows" hidden="1">#REF!</definedName>
    <definedName name="hjuj" hidden="1">#REF!</definedName>
    <definedName name="HLKHLHFSD" localSheetId="1" hidden="1">{#N/A,#N/A,TRUE,"Front";#N/A,#N/A,TRUE,"Simple Letter";#N/A,#N/A,TRUE,"Inside";#N/A,#N/A,TRUE,"Contents";#N/A,#N/A,TRUE,"Basis";#N/A,#N/A,TRUE,"Inclusions";#N/A,#N/A,TRUE,"Exclusions";#N/A,#N/A,TRUE,"Areas";#N/A,#N/A,TRUE,"Summary";#N/A,#N/A,TRUE,"Detail"}</definedName>
    <definedName name="HLKHLHFSD" localSheetId="0" hidden="1">{#N/A,#N/A,TRUE,"Front";#N/A,#N/A,TRUE,"Simple Letter";#N/A,#N/A,TRUE,"Inside";#N/A,#N/A,TRUE,"Contents";#N/A,#N/A,TRUE,"Basis";#N/A,#N/A,TRUE,"Inclusions";#N/A,#N/A,TRUE,"Exclusions";#N/A,#N/A,TRUE,"Areas";#N/A,#N/A,TRUE,"Summary";#N/A,#N/A,TRUE,"Detail"}</definedName>
    <definedName name="HLKHLHFSD" hidden="1">{#N/A,#N/A,TRUE,"Front";#N/A,#N/A,TRUE,"Simple Letter";#N/A,#N/A,TRUE,"Inside";#N/A,#N/A,TRUE,"Contents";#N/A,#N/A,TRUE,"Basis";#N/A,#N/A,TRUE,"Inclusions";#N/A,#N/A,TRUE,"Exclusions";#N/A,#N/A,TRUE,"Areas";#N/A,#N/A,TRUE,"Summary";#N/A,#N/A,TRUE,"Detail"}</definedName>
    <definedName name="HR" hidden="1">#REF!</definedName>
    <definedName name="HTML_CodePage" hidden="1">1252</definedName>
    <definedName name="HTML_Control" localSheetId="1" hidden="1">{"'Sheet1'!$A$4386:$N$4591"}</definedName>
    <definedName name="HTML_Control" localSheetId="0" hidden="1">{"'Sheet1'!$A$4386:$N$4591"}</definedName>
    <definedName name="HTML_Control"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HTML1_1" hidden="1">"[CPATIME.xls]Schedule!$B$3:$E$39"</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10_1" hidden="1">"'[SETTLE.XLS]Settlement Summary'!$A$3:$Q$80"</definedName>
    <definedName name="HTML10_10" hidden="1">""</definedName>
    <definedName name="HTML10_11" hidden="1">1</definedName>
    <definedName name="HTML10_12" hidden="1">"G:\INTRANET\settle.htm"</definedName>
    <definedName name="HTML10_2" hidden="1">1</definedName>
    <definedName name="HTML10_3" hidden="1">""</definedName>
    <definedName name="HTML10_4" hidden="1">"Settlement Summary"</definedName>
    <definedName name="HTML10_5" hidden="1">""</definedName>
    <definedName name="HTML10_6" hidden="1">-4146</definedName>
    <definedName name="HTML10_7" hidden="1">-4146</definedName>
    <definedName name="HTML10_8" hidden="1">"6/24/97"</definedName>
    <definedName name="HTML10_9" hidden="1">"Delta Air Lines, Inc."</definedName>
    <definedName name="HTML2_1" hidden="1">"[LOG.XLS]Log!$A$2:$L$38"</definedName>
    <definedName name="HTML2_10" hidden="1">""</definedName>
    <definedName name="HTML2_11" hidden="1">1</definedName>
    <definedName name="HTML2_12" hidden="1">"G:\MIKEH\Risklog.htm"</definedName>
    <definedName name="HTML2_2" hidden="1">1</definedName>
    <definedName name="HTML2_3" hidden="1">""</definedName>
    <definedName name="HTML2_4" hidden="1">"Risk Management Transaction Log"</definedName>
    <definedName name="HTML2_5" hidden="1">""</definedName>
    <definedName name="HTML2_6" hidden="1">1</definedName>
    <definedName name="HTML2_7" hidden="1">1</definedName>
    <definedName name="HTML2_8" hidden="1">"3/6/97"</definedName>
    <definedName name="HTML2_9" hidden="1">"Delta Air Lines, Inc."</definedName>
    <definedName name="HTML3_1" hidden="1">"[LOG.XLS]Log!$A$2:$L$37"</definedName>
    <definedName name="HTML3_10" hidden="1">""</definedName>
    <definedName name="HTML3_11" hidden="1">1</definedName>
    <definedName name="HTML3_12" hidden="1">"G:\MIKEH\risklog.htm"</definedName>
    <definedName name="HTML3_2" hidden="1">1</definedName>
    <definedName name="HTML3_3" hidden="1">""</definedName>
    <definedName name="HTML3_4" hidden="1">"Risk Management Transaction Log"</definedName>
    <definedName name="HTML3_5" hidden="1">""</definedName>
    <definedName name="HTML3_6" hidden="1">1</definedName>
    <definedName name="HTML3_7" hidden="1">1</definedName>
    <definedName name="HTML3_8" hidden="1">"3/6/97"</definedName>
    <definedName name="HTML3_9" hidden="1">"Delta Air Lines, Inc."</definedName>
    <definedName name="HTML4_1" hidden="1">"[LOG.XLS]Log!$A$1:$L$37"</definedName>
    <definedName name="HTML4_10" hidden="1">""</definedName>
    <definedName name="HTML4_11" hidden="1">1</definedName>
    <definedName name="HTML4_12" hidden="1">"G:\MIKEH\Risklog.htm"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"3/11/97"</definedName>
    <definedName name="HTML4_9" hidden="1">"Delta Air Lines, Inc."</definedName>
    <definedName name="HTML5_1" hidden="1">"[LOG.XLS]Log!$A$1:$M$34"</definedName>
    <definedName name="HTML5_10" hidden="1">""</definedName>
    <definedName name="HTML5_11" hidden="1">1</definedName>
    <definedName name="HTML5_12" hidden="1">"G:\MIKEH\Risklog.htm"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"3/11/97"</definedName>
    <definedName name="HTML5_9" hidden="1">"Delta Air Lines, Inc."</definedName>
    <definedName name="HTML6_1" hidden="1">"[LOG.XLS]Log!$A$1:$L$34"</definedName>
    <definedName name="HTML6_10" hidden="1">""</definedName>
    <definedName name="HTML6_11" hidden="1">1</definedName>
    <definedName name="HTML6_12" hidden="1">"G:\MIKEH\risklog.htm"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"3/11/97"</definedName>
    <definedName name="HTML6_9" hidden="1">"Delta Air Lines, Inc."</definedName>
    <definedName name="HTML7_1" hidden="1">"[LOG.XLS]Log!$A$1:$M$37"</definedName>
    <definedName name="HTML7_10" hidden="1">""</definedName>
    <definedName name="HTML7_11" hidden="1">1</definedName>
    <definedName name="HTML7_12" hidden="1">"G:\MIKEH\risklog.htm"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"3/11/97"</definedName>
    <definedName name="HTML7_9" hidden="1">"Delta Air Lines, Inc."</definedName>
    <definedName name="HTML8_1" hidden="1">"[LOG.XLS]Log!$A$1:$M$35"</definedName>
    <definedName name="HTML8_10" hidden="1">""</definedName>
    <definedName name="HTML8_11" hidden="1">1</definedName>
    <definedName name="HTML8_12" hidden="1">"G:\MIKEH\risklog.htm"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"3/11/97"</definedName>
    <definedName name="HTML8_9" hidden="1">"Delta Air Lines, Inc."</definedName>
    <definedName name="HTML9_1" hidden="1">"[LOG.XLS]sr120798!$A$1:$K$21"</definedName>
    <definedName name="HTML9_10" hidden="1">""</definedName>
    <definedName name="HTML9_11" hidden="1">1</definedName>
    <definedName name="HTML9_12" hidden="1">"G:\INTRANET\Risklog.htm"</definedName>
    <definedName name="HTML9_2" hidden="1">1</definedName>
    <definedName name="HTML9_3" hidden="1">"LOG"</definedName>
    <definedName name="HTML9_4" hidden="1">"sr120798"</definedName>
    <definedName name="HTML9_5" hidden="1">""</definedName>
    <definedName name="HTML9_6" hidden="1">1</definedName>
    <definedName name="HTML9_7" hidden="1">1</definedName>
    <definedName name="HTML9_8" hidden="1">"12/9/98"</definedName>
    <definedName name="HTML9_9" hidden="1">"Delta Air Lines, Inc."</definedName>
    <definedName name="HTMLCount" hidden="1">1</definedName>
    <definedName name="huy" localSheetId="1" hidden="1">{"'Sheet1'!$L$16"}</definedName>
    <definedName name="huy" localSheetId="0" hidden="1">{"'Sheet1'!$L$16"}</definedName>
    <definedName name="huy" hidden="1">{"'Sheet1'!$L$16"}</definedName>
    <definedName name="HVAC_BOQ" hidden="1">{#N/A,#N/A,TRUE,"Front";#N/A,#N/A,TRUE,"Simple Letter";#N/A,#N/A,TRUE,"Inside";#N/A,#N/A,TRUE,"Contents";#N/A,#N/A,TRUE,"Basis";#N/A,#N/A,TRUE,"Inclusions";#N/A,#N/A,TRUE,"Exclusions";#N/A,#N/A,TRUE,"Areas";#N/A,#N/A,TRUE,"Summary";#N/A,#N/A,TRUE,"Detail"}</definedName>
    <definedName name="hy" localSheetId="1" hidden="1">{#N/A,#N/A,TRUE,"Front";#N/A,#N/A,TRUE,"Simple Letter";#N/A,#N/A,TRUE,"Inside";#N/A,#N/A,TRUE,"Contents";#N/A,#N/A,TRUE,"Basis";#N/A,#N/A,TRUE,"Inclusions";#N/A,#N/A,TRUE,"Exclusions";#N/A,#N/A,TRUE,"Areas";#N/A,#N/A,TRUE,"Summary";#N/A,#N/A,TRUE,"Detail"}</definedName>
    <definedName name="hy" localSheetId="0" hidden="1">{#N/A,#N/A,TRUE,"Front";#N/A,#N/A,TRUE,"Simple Letter";#N/A,#N/A,TRUE,"Inside";#N/A,#N/A,TRUE,"Contents";#N/A,#N/A,TRUE,"Basis";#N/A,#N/A,TRUE,"Inclusions";#N/A,#N/A,TRUE,"Exclusions";#N/A,#N/A,TRUE,"Areas";#N/A,#N/A,TRUE,"Summary";#N/A,#N/A,TRUE,"Detail"}</definedName>
    <definedName name="hytuj" localSheetId="1" hidden="1">{#N/A,#N/A,TRUE,"Front";#N/A,#N/A,TRUE,"Simple Letter";#N/A,#N/A,TRUE,"Inside";#N/A,#N/A,TRUE,"Contents";#N/A,#N/A,TRUE,"Basis";#N/A,#N/A,TRUE,"Inclusions";#N/A,#N/A,TRUE,"Exclusions";#N/A,#N/A,TRUE,"Areas";#N/A,#N/A,TRUE,"Summary";#N/A,#N/A,TRUE,"Detail"}</definedName>
    <definedName name="hytuj" localSheetId="0" hidden="1">{#N/A,#N/A,TRUE,"Front";#N/A,#N/A,TRUE,"Simple Letter";#N/A,#N/A,TRUE,"Inside";#N/A,#N/A,TRUE,"Contents";#N/A,#N/A,TRUE,"Basis";#N/A,#N/A,TRUE,"Inclusions";#N/A,#N/A,TRUE,"Exclusions";#N/A,#N/A,TRUE,"Areas";#N/A,#N/A,TRUE,"Summary";#N/A,#N/A,TRUE,"Detail"}</definedName>
    <definedName name="hytuj" hidden="1">{#N/A,#N/A,TRUE,"Front";#N/A,#N/A,TRUE,"Simple Letter";#N/A,#N/A,TRUE,"Inside";#N/A,#N/A,TRUE,"Contents";#N/A,#N/A,TRUE,"Basis";#N/A,#N/A,TRUE,"Inclusions";#N/A,#N/A,TRUE,"Exclusions";#N/A,#N/A,TRUE,"Areas";#N/A,#N/A,TRUE,"Summary";#N/A,#N/A,TRUE,"Detail"}</definedName>
    <definedName name="idc" localSheetId="1" hidden="1">{#N/A,#N/A,TRUE,"Front";#N/A,#N/A,TRUE,"Simple Letter";#N/A,#N/A,TRUE,"Inside";#N/A,#N/A,TRUE,"Contents";#N/A,#N/A,TRUE,"Basis";#N/A,#N/A,TRUE,"Inclusions";#N/A,#N/A,TRUE,"Exclusions";#N/A,#N/A,TRUE,"Areas";#N/A,#N/A,TRUE,"Summary";#N/A,#N/A,TRUE,"Detail"}</definedName>
    <definedName name="idc" localSheetId="0" hidden="1">{#N/A,#N/A,TRUE,"Front";#N/A,#N/A,TRUE,"Simple Letter";#N/A,#N/A,TRUE,"Inside";#N/A,#N/A,TRUE,"Contents";#N/A,#N/A,TRUE,"Basis";#N/A,#N/A,TRUE,"Inclusions";#N/A,#N/A,TRUE,"Exclusions";#N/A,#N/A,TRUE,"Areas";#N/A,#N/A,TRUE,"Summary";#N/A,#N/A,TRUE,"Detail"}</definedName>
    <definedName name="idc" hidden="1">{#N/A,#N/A,TRUE,"Front";#N/A,#N/A,TRUE,"Simple Letter";#N/A,#N/A,TRUE,"Inside";#N/A,#N/A,TRUE,"Contents";#N/A,#N/A,TRUE,"Basis";#N/A,#N/A,TRUE,"Inclusions";#N/A,#N/A,TRUE,"Exclusions";#N/A,#N/A,TRUE,"Areas";#N/A,#N/A,TRUE,"Summary";#N/A,#N/A,TRUE,"Detail"}</definedName>
    <definedName name="idiot" localSheetId="1" hidden="1">{"dep. full detail",#N/A,FALSE,"annex";"3cd annex",#N/A,FALSE,"annex";"co. dep.",#N/A,FALSE,"annex"}</definedName>
    <definedName name="idiot" localSheetId="0" hidden="1">{"dep. full detail",#N/A,FALSE,"annex";"3cd annex",#N/A,FALSE,"annex";"co. dep.",#N/A,FALSE,"annex"}</definedName>
    <definedName name="idiot" hidden="1">{"dep. full detail",#N/A,FALSE,"annex";"3cd annex",#N/A,FALSE,"annex";"co. dep.",#N/A,FALSE,"annex"}</definedName>
    <definedName name="In" localSheetId="1" hidden="1">{#N/A,#N/A,FALSE,"gc (2)"}</definedName>
    <definedName name="In" localSheetId="0" hidden="1">{#N/A,#N/A,FALSE,"gc (2)"}</definedName>
    <definedName name="Incurr" localSheetId="1" hidden="1">{#N/A,#N/A,FALSE,"gc (2)"}</definedName>
    <definedName name="Incurr" localSheetId="0" hidden="1">{#N/A,#N/A,FALSE,"gc (2)"}</definedName>
    <definedName name="Incurr" hidden="1">{#N/A,#N/A,FALSE,"gc (2)"}</definedName>
    <definedName name="ING" localSheetId="1" hidden="1">{#N/A,#N/A,TRUE,"Front";#N/A,#N/A,TRUE,"Simple Letter";#N/A,#N/A,TRUE,"Inside";#N/A,#N/A,TRUE,"Contents";#N/A,#N/A,TRUE,"Basis";#N/A,#N/A,TRUE,"Inclusions";#N/A,#N/A,TRUE,"Exclusions";#N/A,#N/A,TRUE,"Areas";#N/A,#N/A,TRUE,"Summary";#N/A,#N/A,TRUE,"Detail"}</definedName>
    <definedName name="ING" localSheetId="0" hidden="1">{#N/A,#N/A,TRUE,"Front";#N/A,#N/A,TRUE,"Simple Letter";#N/A,#N/A,TRUE,"Inside";#N/A,#N/A,TRUE,"Contents";#N/A,#N/A,TRUE,"Basis";#N/A,#N/A,TRUE,"Inclusions";#N/A,#N/A,TRUE,"Exclusions";#N/A,#N/A,TRUE,"Areas";#N/A,#N/A,TRUE,"Summary";#N/A,#N/A,TRUE,"Detail"}</definedName>
    <definedName name="ING" hidden="1">{#N/A,#N/A,TRUE,"Front";#N/A,#N/A,TRUE,"Simple Letter";#N/A,#N/A,TRUE,"Inside";#N/A,#N/A,TRUE,"Contents";#N/A,#N/A,TRUE,"Basis";#N/A,#N/A,TRUE,"Inclusions";#N/A,#N/A,TRUE,"Exclusions";#N/A,#N/A,TRUE,"Areas";#N/A,#N/A,TRUE,"Summary";#N/A,#N/A,TRUE,"Detail"}</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39125.8198842593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MA" localSheetId="1" hidden="1">{"process graphs",#N/A,FALSE,"graphs&amp;data"}</definedName>
    <definedName name="IRMA" localSheetId="0" hidden="1">{"process graphs",#N/A,FALSE,"graphs&amp;data"}</definedName>
    <definedName name="IRMA" hidden="1">{"process graphs",#N/A,FALSE,"graphs&amp;data"}</definedName>
    <definedName name="Jay" localSheetId="1" hidden="1">{#N/A,#N/A,FALSE,"gc (2)"}</definedName>
    <definedName name="Jay" localSheetId="0" hidden="1">{#N/A,#N/A,FALSE,"gc (2)"}</definedName>
    <definedName name="Jay" hidden="1">{#N/A,#N/A,FALSE,"gc (2)"}</definedName>
    <definedName name="jjyjy" localSheetId="1" hidden="1">{#N/A,#N/A,FALSE,"PSU"}</definedName>
    <definedName name="jjyjy" localSheetId="0" hidden="1">{#N/A,#N/A,FALSE,"PSU"}</definedName>
    <definedName name="jjyjy" hidden="1">{#N/A,#N/A,FALSE,"PSU"}</definedName>
    <definedName name="jpg" localSheetId="1" hidden="1">{#N/A,#N/A,TRUE,"Front";#N/A,#N/A,TRUE,"Simple Letter";#N/A,#N/A,TRUE,"Inside";#N/A,#N/A,TRUE,"Contents";#N/A,#N/A,TRUE,"Basis";#N/A,#N/A,TRUE,"Inclusions";#N/A,#N/A,TRUE,"Exclusions";#N/A,#N/A,TRUE,"Areas";#N/A,#N/A,TRUE,"Summary";#N/A,#N/A,TRUE,"Detail"}</definedName>
    <definedName name="jpg" localSheetId="0" hidden="1">{#N/A,#N/A,TRUE,"Front";#N/A,#N/A,TRUE,"Simple Letter";#N/A,#N/A,TRUE,"Inside";#N/A,#N/A,TRUE,"Contents";#N/A,#N/A,TRUE,"Basis";#N/A,#N/A,TRUE,"Inclusions";#N/A,#N/A,TRUE,"Exclusions";#N/A,#N/A,TRUE,"Areas";#N/A,#N/A,TRUE,"Summary";#N/A,#N/A,TRUE,"Detail"}</definedName>
    <definedName name="jpg" hidden="1">{#N/A,#N/A,TRUE,"Front";#N/A,#N/A,TRUE,"Simple Letter";#N/A,#N/A,TRUE,"Inside";#N/A,#N/A,TRUE,"Contents";#N/A,#N/A,TRUE,"Basis";#N/A,#N/A,TRUE,"Inclusions";#N/A,#N/A,TRUE,"Exclusions";#N/A,#N/A,TRUE,"Areas";#N/A,#N/A,TRUE,"Summary";#N/A,#N/A,TRUE,"Detail"}</definedName>
    <definedName name="JT" localSheetId="1" hidden="1">{#N/A,#N/A,TRUE,"Flooring "}</definedName>
    <definedName name="JT" localSheetId="0" hidden="1">{#N/A,#N/A,TRUE,"Flooring "}</definedName>
    <definedName name="JT" hidden="1">{#N/A,#N/A,TRUE,"Flooring "}</definedName>
    <definedName name="ju" localSheetId="1" hidden="1">{#N/A,#N/A,TRUE,"Front";#N/A,#N/A,TRUE,"Simple Letter";#N/A,#N/A,TRUE,"Inside";#N/A,#N/A,TRUE,"Contents";#N/A,#N/A,TRUE,"Basis";#N/A,#N/A,TRUE,"Inclusions";#N/A,#N/A,TRUE,"Exclusions";#N/A,#N/A,TRUE,"Areas";#N/A,#N/A,TRUE,"Summary";#N/A,#N/A,TRUE,"Detail"}</definedName>
    <definedName name="ju" localSheetId="0" hidden="1">{#N/A,#N/A,TRUE,"Front";#N/A,#N/A,TRUE,"Simple Letter";#N/A,#N/A,TRUE,"Inside";#N/A,#N/A,TRUE,"Contents";#N/A,#N/A,TRUE,"Basis";#N/A,#N/A,TRUE,"Inclusions";#N/A,#N/A,TRUE,"Exclusions";#N/A,#N/A,TRUE,"Areas";#N/A,#N/A,TRUE,"Summary";#N/A,#N/A,TRUE,"Detail"}</definedName>
    <definedName name="ju" hidden="1">{#N/A,#N/A,TRUE,"Front";#N/A,#N/A,TRUE,"Simple Letter";#N/A,#N/A,TRUE,"Inside";#N/A,#N/A,TRUE,"Contents";#N/A,#N/A,TRUE,"Basis";#N/A,#N/A,TRUE,"Inclusions";#N/A,#N/A,TRUE,"Exclusions";#N/A,#N/A,TRUE,"Areas";#N/A,#N/A,TRUE,"Summary";#N/A,#N/A,TRUE,"Detail"}</definedName>
    <definedName name="JWM" localSheetId="1" hidden="1">{#N/A,#N/A,TRUE,"Front";#N/A,#N/A,TRUE,"Simple Letter";#N/A,#N/A,TRUE,"Inside";#N/A,#N/A,TRUE,"Contents";#N/A,#N/A,TRUE,"Basis";#N/A,#N/A,TRUE,"Inclusions";#N/A,#N/A,TRUE,"Exclusions";#N/A,#N/A,TRUE,"Areas";#N/A,#N/A,TRUE,"Summary";#N/A,#N/A,TRUE,"Detail"}</definedName>
    <definedName name="JWM" localSheetId="0" hidden="1">{#N/A,#N/A,TRUE,"Front";#N/A,#N/A,TRUE,"Simple Letter";#N/A,#N/A,TRUE,"Inside";#N/A,#N/A,TRUE,"Contents";#N/A,#N/A,TRUE,"Basis";#N/A,#N/A,TRUE,"Inclusions";#N/A,#N/A,TRUE,"Exclusions";#N/A,#N/A,TRUE,"Areas";#N/A,#N/A,TRUE,"Summary";#N/A,#N/A,TRUE,"Detail"}</definedName>
    <definedName name="JWM" hidden="1">{#N/A,#N/A,TRUE,"Front";#N/A,#N/A,TRUE,"Simple Letter";#N/A,#N/A,TRUE,"Inside";#N/A,#N/A,TRUE,"Contents";#N/A,#N/A,TRUE,"Basis";#N/A,#N/A,TRUE,"Inclusions";#N/A,#N/A,TRUE,"Exclusions";#N/A,#N/A,TRUE,"Areas";#N/A,#N/A,TRUE,"Summary";#N/A,#N/A,TRUE,"Detail"}</definedName>
    <definedName name="JWM_1" localSheetId="1" hidden="1">{#N/A,#N/A,TRUE,"Front";#N/A,#N/A,TRUE,"Simple Letter";#N/A,#N/A,TRUE,"Inside";#N/A,#N/A,TRUE,"Contents";#N/A,#N/A,TRUE,"Basis";#N/A,#N/A,TRUE,"Inclusions";#N/A,#N/A,TRUE,"Exclusions";#N/A,#N/A,TRUE,"Areas";#N/A,#N/A,TRUE,"Summary";#N/A,#N/A,TRUE,"Detail"}</definedName>
    <definedName name="JWM_1" localSheetId="0" hidden="1">{#N/A,#N/A,TRUE,"Front";#N/A,#N/A,TRUE,"Simple Letter";#N/A,#N/A,TRUE,"Inside";#N/A,#N/A,TRUE,"Contents";#N/A,#N/A,TRUE,"Basis";#N/A,#N/A,TRUE,"Inclusions";#N/A,#N/A,TRUE,"Exclusions";#N/A,#N/A,TRUE,"Areas";#N/A,#N/A,TRUE,"Summary";#N/A,#N/A,TRUE,"Detail"}</definedName>
    <definedName name="JWM_1" hidden="1">{#N/A,#N/A,TRUE,"Front";#N/A,#N/A,TRUE,"Simple Letter";#N/A,#N/A,TRUE,"Inside";#N/A,#N/A,TRUE,"Contents";#N/A,#N/A,TRUE,"Basis";#N/A,#N/A,TRUE,"Inclusions";#N/A,#N/A,TRUE,"Exclusions";#N/A,#N/A,TRUE,"Areas";#N/A,#N/A,TRUE,"Summary";#N/A,#N/A,TRUE,"Detail"}</definedName>
    <definedName name="jyoti" localSheetId="1" hidden="1">{#N/A,#N/A,FALSE,"mpph1";#N/A,#N/A,FALSE,"mpmseb";#N/A,#N/A,FALSE,"mpph2"}</definedName>
    <definedName name="jyoti" localSheetId="0" hidden="1">{#N/A,#N/A,FALSE,"mpph1";#N/A,#N/A,FALSE,"mpmseb";#N/A,#N/A,FALSE,"mpph2"}</definedName>
    <definedName name="jyoti" hidden="1">{#N/A,#N/A,FALSE,"mpph1";#N/A,#N/A,FALSE,"mpmseb";#N/A,#N/A,FALSE,"mpph2"}</definedName>
    <definedName name="kadam" localSheetId="1" hidden="1">{#N/A,#N/A,TRUE,"Front";#N/A,#N/A,TRUE,"Simple Letter";#N/A,#N/A,TRUE,"Inside";#N/A,#N/A,TRUE,"Contents";#N/A,#N/A,TRUE,"Basis";#N/A,#N/A,TRUE,"Inclusions";#N/A,#N/A,TRUE,"Exclusions";#N/A,#N/A,TRUE,"Areas";#N/A,#N/A,TRUE,"Summary";#N/A,#N/A,TRUE,"Detail"}</definedName>
    <definedName name="kadam" localSheetId="0" hidden="1">{#N/A,#N/A,TRUE,"Front";#N/A,#N/A,TRUE,"Simple Letter";#N/A,#N/A,TRUE,"Inside";#N/A,#N/A,TRUE,"Contents";#N/A,#N/A,TRUE,"Basis";#N/A,#N/A,TRUE,"Inclusions";#N/A,#N/A,TRUE,"Exclusions";#N/A,#N/A,TRUE,"Areas";#N/A,#N/A,TRUE,"Summary";#N/A,#N/A,TRUE,"Detail"}</definedName>
    <definedName name="kadam" hidden="1">{#N/A,#N/A,TRUE,"Front";#N/A,#N/A,TRUE,"Simple Letter";#N/A,#N/A,TRUE,"Inside";#N/A,#N/A,TRUE,"Contents";#N/A,#N/A,TRUE,"Basis";#N/A,#N/A,TRUE,"Inclusions";#N/A,#N/A,TRUE,"Exclusions";#N/A,#N/A,TRUE,"Areas";#N/A,#N/A,TRUE,"Summary";#N/A,#N/A,TRUE,"Detail"}</definedName>
    <definedName name="karthick" hidden="1">{#N/A,#N/A,TRUE,"Front";#N/A,#N/A,TRUE,"Simple Letter";#N/A,#N/A,TRUE,"Inside";#N/A,#N/A,TRUE,"Contents";#N/A,#N/A,TRUE,"Basis";#N/A,#N/A,TRUE,"Inclusions";#N/A,#N/A,TRUE,"Exclusions";#N/A,#N/A,TRUE,"Areas";#N/A,#N/A,TRUE,"Summary";#N/A,#N/A,TRUE,"Detail"}</definedName>
    <definedName name="kil" localSheetId="1" hidden="1">{#N/A,#N/A,TRUE,"Front";#N/A,#N/A,TRUE,"Simple Letter";#N/A,#N/A,TRUE,"Inside";#N/A,#N/A,TRUE,"Contents";#N/A,#N/A,TRUE,"Basis";#N/A,#N/A,TRUE,"Inclusions";#N/A,#N/A,TRUE,"Exclusions";#N/A,#N/A,TRUE,"Areas";#N/A,#N/A,TRUE,"Summary";#N/A,#N/A,TRUE,"Detail"}</definedName>
    <definedName name="kil" localSheetId="0" hidden="1">{#N/A,#N/A,TRUE,"Front";#N/A,#N/A,TRUE,"Simple Letter";#N/A,#N/A,TRUE,"Inside";#N/A,#N/A,TRUE,"Contents";#N/A,#N/A,TRUE,"Basis";#N/A,#N/A,TRUE,"Inclusions";#N/A,#N/A,TRUE,"Exclusions";#N/A,#N/A,TRUE,"Areas";#N/A,#N/A,TRUE,"Summary";#N/A,#N/A,TRUE,"Detail"}</definedName>
    <definedName name="kil" hidden="1">{#N/A,#N/A,TRUE,"Front";#N/A,#N/A,TRUE,"Simple Letter";#N/A,#N/A,TRUE,"Inside";#N/A,#N/A,TRUE,"Contents";#N/A,#N/A,TRUE,"Basis";#N/A,#N/A,TRUE,"Inclusions";#N/A,#N/A,TRUE,"Exclusions";#N/A,#N/A,TRUE,"Areas";#N/A,#N/A,TRUE,"Summary";#N/A,#N/A,TRUE,"Detail"}</definedName>
    <definedName name="kju" localSheetId="1" hidden="1">{#N/A,#N/A,TRUE,"Front";#N/A,#N/A,TRUE,"Simple Letter";#N/A,#N/A,TRUE,"Inside";#N/A,#N/A,TRUE,"Contents";#N/A,#N/A,TRUE,"Basis";#N/A,#N/A,TRUE,"Inclusions";#N/A,#N/A,TRUE,"Exclusions";#N/A,#N/A,TRUE,"Areas";#N/A,#N/A,TRUE,"Summary";#N/A,#N/A,TRUE,"Detail"}</definedName>
    <definedName name="kju" localSheetId="0" hidden="1">{#N/A,#N/A,TRUE,"Front";#N/A,#N/A,TRUE,"Simple Letter";#N/A,#N/A,TRUE,"Inside";#N/A,#N/A,TRUE,"Contents";#N/A,#N/A,TRUE,"Basis";#N/A,#N/A,TRUE,"Inclusions";#N/A,#N/A,TRUE,"Exclusions";#N/A,#N/A,TRUE,"Areas";#N/A,#N/A,TRUE,"Summary";#N/A,#N/A,TRUE,"Detail"}</definedName>
    <definedName name="kju" hidden="1">{#N/A,#N/A,TRUE,"Front";#N/A,#N/A,TRUE,"Simple Letter";#N/A,#N/A,TRUE,"Inside";#N/A,#N/A,TRUE,"Contents";#N/A,#N/A,TRUE,"Basis";#N/A,#N/A,TRUE,"Inclusions";#N/A,#N/A,TRUE,"Exclusions";#N/A,#N/A,TRUE,"Areas";#N/A,#N/A,TRUE,"Summary";#N/A,#N/A,TRUE,"Detail"}</definedName>
    <definedName name="kk" localSheetId="1" hidden="1">{#N/A,#N/A,FALSE,"견적대비-2"}</definedName>
    <definedName name="kk" localSheetId="0" hidden="1">{#N/A,#N/A,FALSE,"견적대비-2"}</definedName>
    <definedName name="kkk" localSheetId="1" hidden="1">{#N/A,#N/A,FALSE,"COVER1.XLS ";#N/A,#N/A,FALSE,"RACT1.XLS";#N/A,#N/A,FALSE,"RACT2.XLS";#N/A,#N/A,FALSE,"ECCMP";#N/A,#N/A,FALSE,"WELDER.XLS"}</definedName>
    <definedName name="kkk" localSheetId="0" hidden="1">{#N/A,#N/A,FALSE,"COVER1.XLS ";#N/A,#N/A,FALSE,"RACT1.XLS";#N/A,#N/A,FALSE,"RACT2.XLS";#N/A,#N/A,FALSE,"ECCMP";#N/A,#N/A,FALSE,"WELDER.XLS"}</definedName>
    <definedName name="kkk" hidden="1">{#N/A,#N/A,FALSE,"COVER1.XLS ";#N/A,#N/A,FALSE,"RACT1.XLS";#N/A,#N/A,FALSE,"RACT2.XLS";#N/A,#N/A,FALSE,"ECCMP";#N/A,#N/A,FALSE,"WELDER.XLS"}</definedName>
    <definedName name="kl" localSheetId="1" hidden="1">{#N/A,#N/A,TRUE,"Front";#N/A,#N/A,TRUE,"Simple Letter";#N/A,#N/A,TRUE,"Inside";#N/A,#N/A,TRUE,"Contents";#N/A,#N/A,TRUE,"Basis";#N/A,#N/A,TRUE,"Inclusions";#N/A,#N/A,TRUE,"Exclusions";#N/A,#N/A,TRUE,"Areas";#N/A,#N/A,TRUE,"Summary";#N/A,#N/A,TRUE,"Detail"}</definedName>
    <definedName name="kl" localSheetId="0" hidden="1">{#N/A,#N/A,TRUE,"Front";#N/A,#N/A,TRUE,"Simple Letter";#N/A,#N/A,TRUE,"Inside";#N/A,#N/A,TRUE,"Contents";#N/A,#N/A,TRUE,"Basis";#N/A,#N/A,TRUE,"Inclusions";#N/A,#N/A,TRUE,"Exclusions";#N/A,#N/A,TRUE,"Areas";#N/A,#N/A,TRUE,"Summary";#N/A,#N/A,TRUE,"Detail"}</definedName>
    <definedName name="kl" hidden="1">{#N/A,#N/A,TRUE,"Front";#N/A,#N/A,TRUE,"Simple Letter";#N/A,#N/A,TRUE,"Inside";#N/A,#N/A,TRUE,"Contents";#N/A,#N/A,TRUE,"Basis";#N/A,#N/A,TRUE,"Inclusions";#N/A,#N/A,TRUE,"Exclusions";#N/A,#N/A,TRUE,"Areas";#N/A,#N/A,TRUE,"Summary";#N/A,#N/A,TRUE,"Detail"}</definedName>
    <definedName name="KLDNG" localSheetId="1" hidden="1">{#N/A,#N/A,TRUE,"Front";#N/A,#N/A,TRUE,"Simple Letter";#N/A,#N/A,TRUE,"Inside";#N/A,#N/A,TRUE,"Contents";#N/A,#N/A,TRUE,"Basis";#N/A,#N/A,TRUE,"Inclusions";#N/A,#N/A,TRUE,"Exclusions";#N/A,#N/A,TRUE,"Areas";#N/A,#N/A,TRUE,"Summary";#N/A,#N/A,TRUE,"Detail"}</definedName>
    <definedName name="KLDNG" localSheetId="0" hidden="1">{#N/A,#N/A,TRUE,"Front";#N/A,#N/A,TRUE,"Simple Letter";#N/A,#N/A,TRUE,"Inside";#N/A,#N/A,TRUE,"Contents";#N/A,#N/A,TRUE,"Basis";#N/A,#N/A,TRUE,"Inclusions";#N/A,#N/A,TRUE,"Exclusions";#N/A,#N/A,TRUE,"Areas";#N/A,#N/A,TRUE,"Summary";#N/A,#N/A,TRUE,"Detail"}</definedName>
    <definedName name="KLDNG" hidden="1">{#N/A,#N/A,TRUE,"Front";#N/A,#N/A,TRUE,"Simple Letter";#N/A,#N/A,TRUE,"Inside";#N/A,#N/A,TRUE,"Contents";#N/A,#N/A,TRUE,"Basis";#N/A,#N/A,TRUE,"Inclusions";#N/A,#N/A,TRUE,"Exclusions";#N/A,#N/A,TRUE,"Areas";#N/A,#N/A,TRUE,"Summary";#N/A,#N/A,TRUE,"Detail"}</definedName>
    <definedName name="Kondhwa.wrn.clientcopy."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wrn.clientcopy."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_Div" localSheetId="1" hidden="1">{#N/A,#N/A,FALSE,"Occ and Rate";#N/A,#N/A,FALSE,"PF Input";#N/A,#N/A,FALSE,"Capital Input";#N/A,#N/A,FALSE,"Proforma Five Yr";#N/A,#N/A,FALSE,"Calculations";#N/A,#N/A,FALSE,"Transaction Summary-DTW"}</definedName>
    <definedName name="Kondhwa_Div" localSheetId="0" hidden="1">{#N/A,#N/A,FALSE,"Occ and Rate";#N/A,#N/A,FALSE,"PF Input";#N/A,#N/A,FALSE,"Capital Input";#N/A,#N/A,FALSE,"Proforma Five Yr";#N/A,#N/A,FALSE,"Calculations";#N/A,#N/A,FALSE,"Transaction Summary-DTW"}</definedName>
    <definedName name="Kondhwa_Div" hidden="1">{#N/A,#N/A,FALSE,"Occ and Rate";#N/A,#N/A,FALSE,"PF Input";#N/A,#N/A,FALSE,"Capital Input";#N/A,#N/A,FALSE,"Proforma Five Yr";#N/A,#N/A,FALSE,"Calculations";#N/A,#N/A,FALSE,"Transaction Summary-DTW"}</definedName>
    <definedName name="Kondhwa_O" localSheetId="1" hidden="1">{#N/A,#N/A,FALSE,"New Depr Sch-150% DB";#N/A,#N/A,FALSE,"Cash Flows RLP";#N/A,#N/A,FALSE,"IRR";#N/A,#N/A,FALSE,"Proforma IS";#N/A,#N/A,FALSE,"Assumptions"}</definedName>
    <definedName name="Kondhwa_O" localSheetId="0" hidden="1">{#N/A,#N/A,FALSE,"New Depr Sch-150% DB";#N/A,#N/A,FALSE,"Cash Flows RLP";#N/A,#N/A,FALSE,"IRR";#N/A,#N/A,FALSE,"Proforma IS";#N/A,#N/A,FALSE,"Assumptions"}</definedName>
    <definedName name="Kondhwa_O" hidden="1">{#N/A,#N/A,FALSE,"New Depr Sch-150% DB";#N/A,#N/A,FALSE,"Cash Flows RLP";#N/A,#N/A,FALSE,"IRR";#N/A,#N/A,FALSE,"Proforma IS";#N/A,#N/A,FALSE,"Assumptions"}</definedName>
    <definedName name="Kondhwa_wrn.Aging._.and._.Trend._.Analysis." localSheetId="1" hidden="1">{#N/A,#N/A,FALSE,"Aging Summary";#N/A,#N/A,FALSE,"Ratio Analysis";#N/A,#N/A,FALSE,"Test 120 Day Accts";#N/A,#N/A,FALSE,"Tickmarks"}</definedName>
    <definedName name="Kondhwa_wrn.Aging._.and._.Trend._.Analysis." localSheetId="0" hidden="1">{#N/A,#N/A,FALSE,"Aging Summary";#N/A,#N/A,FALSE,"Ratio Analysis";#N/A,#N/A,FALSE,"Test 120 Day Accts";#N/A,#N/A,FALSE,"Tickmarks"}</definedName>
    <definedName name="Kondhwa_wrn.Aging._.and._.Trend._.Analysis." hidden="1">{#N/A,#N/A,FALSE,"Aging Summary";#N/A,#N/A,FALSE,"Ratio Analysis";#N/A,#N/A,FALSE,"Test 120 Day Accts";#N/A,#N/A,FALSE,"Tickmarks"}</definedName>
    <definedName name="Kondhwa_wrn.ALL." localSheetId="1" hidden="1">{#N/A,#N/A,FALSE,"מאזן";#N/A,#N/A,FALSE,"רווהפ";#N/A,#N/A,FALSE,"שינויים בהון";#N/A,#N/A,FALSE,"תזרים";#N/A,#N/A,FALSE,"נספח - התאמות";#N/A,#N/A,FALSE,"ני""ע לתזרים";#N/A,#N/A,FALSE,"פירוטים לדוחות"}</definedName>
    <definedName name="Kondhwa_wrn.ALL." localSheetId="0" hidden="1">{#N/A,#N/A,FALSE,"מאזן";#N/A,#N/A,FALSE,"רווהפ";#N/A,#N/A,FALSE,"שינויים בהון";#N/A,#N/A,FALSE,"תזרים";#N/A,#N/A,FALSE,"נספח - התאמות";#N/A,#N/A,FALSE,"ני""ע לתזרים";#N/A,#N/A,FALSE,"פירוטים לדוחות"}</definedName>
    <definedName name="Kondhwa_wrn.ALL." hidden="1">{#N/A,#N/A,FALSE,"מאזן";#N/A,#N/A,FALSE,"רווהפ";#N/A,#N/A,FALSE,"שינויים בהון";#N/A,#N/A,FALSE,"תזרים";#N/A,#N/A,FALSE,"נספח - התאמות";#N/A,#N/A,FALSE,"ני""ע לתזרים";#N/A,#N/A,FALSE,"פירוטים לדוחות"}</definedName>
    <definedName name="Kondhwa_wrn.Basic._.Report." localSheetId="1" hidden="1">{#N/A,#N/A,FALSE,"New Depr Sch-150% DB";#N/A,#N/A,FALSE,"Cash Flows RLP";#N/A,#N/A,FALSE,"IRR";#N/A,#N/A,FALSE,"Proforma IS";#N/A,#N/A,FALSE,"Assumptions"}</definedName>
    <definedName name="Kondhwa_wrn.Basic._.Report." localSheetId="0" hidden="1">{#N/A,#N/A,FALSE,"New Depr Sch-150% DB";#N/A,#N/A,FALSE,"Cash Flows RLP";#N/A,#N/A,FALSE,"IRR";#N/A,#N/A,FALSE,"Proforma IS";#N/A,#N/A,FALSE,"Assumptions"}</definedName>
    <definedName name="Kondhwa_wrn.Basic._.Report." hidden="1">{#N/A,#N/A,FALSE,"New Depr Sch-150% DB";#N/A,#N/A,FALSE,"Cash Flows RLP";#N/A,#N/A,FALSE,"IRR";#N/A,#N/A,FALSE,"Proforma IS";#N/A,#N/A,FALSE,"Assumptions"}</definedName>
    <definedName name="Kondhwa_wrn.Complete._.Report." localSheetId="1" hidden="1">{#N/A,#N/A,FALSE,"Assumptions";#N/A,#N/A,FALSE,"Proforma IS";#N/A,#N/A,FALSE,"Cash Flows RLP";#N/A,#N/A,FALSE,"IRR";#N/A,#N/A,FALSE,"New Depr Sch-150% DB";#N/A,#N/A,FALSE,"Comments"}</definedName>
    <definedName name="Kondhwa_wrn.Complete._.Report." localSheetId="0" hidden="1">{#N/A,#N/A,FALSE,"Assumptions";#N/A,#N/A,FALSE,"Proforma IS";#N/A,#N/A,FALSE,"Cash Flows RLP";#N/A,#N/A,FALSE,"IRR";#N/A,#N/A,FALSE,"New Depr Sch-150% DB";#N/A,#N/A,FALSE,"Comments"}</definedName>
    <definedName name="Kondhwa_wrn.Complete._.Report." hidden="1">{#N/A,#N/A,FALSE,"Assumptions";#N/A,#N/A,FALSE,"Proforma IS";#N/A,#N/A,FALSE,"Cash Flows RLP";#N/A,#N/A,FALSE,"IRR";#N/A,#N/A,FALSE,"New Depr Sch-150% DB";#N/A,#N/A,FALSE,"Comments"}</definedName>
    <definedName name="Kondhwa_wrn.Complete._.Review." localSheetId="1" hidden="1">{#N/A,#N/A,FALSE,"Occ and Rate";#N/A,#N/A,FALSE,"PF Input";#N/A,#N/A,FALSE,"Capital Input";#N/A,#N/A,FALSE,"Proforma Five Yr";#N/A,#N/A,FALSE,"Calculations";#N/A,#N/A,FALSE,"Transaction Summary-DTW"}</definedName>
    <definedName name="Kondhwa_wrn.Complete._.Review." localSheetId="0" hidden="1">{#N/A,#N/A,FALSE,"Occ and Rate";#N/A,#N/A,FALSE,"PF Input";#N/A,#N/A,FALSE,"Capital Input";#N/A,#N/A,FALSE,"Proforma Five Yr";#N/A,#N/A,FALSE,"Calculations";#N/A,#N/A,FALSE,"Transaction Summary-DTW"}</definedName>
    <definedName name="Kondhwa_wrn.Complete._.Review." hidden="1">{#N/A,#N/A,FALSE,"Occ and Rate";#N/A,#N/A,FALSE,"PF Input";#N/A,#N/A,FALSE,"Capital Input";#N/A,#N/A,FALSE,"Proforma Five Yr";#N/A,#N/A,FALSE,"Calculations";#N/A,#N/A,FALSE,"Transaction Summary-DTW"}</definedName>
    <definedName name="Kondhwa_wrn.filecopy."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filecopy."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Investment._.Review." localSheetId="1" hidden="1">{#N/A,#N/A,FALSE,"Proforma Five Yr";#N/A,#N/A,FALSE,"Capital Input";#N/A,#N/A,FALSE,"Calculations";#N/A,#N/A,FALSE,"Transaction Summary-DTW"}</definedName>
    <definedName name="Kondhwa_wrn.Investment._.Review." localSheetId="0" hidden="1">{#N/A,#N/A,FALSE,"Proforma Five Yr";#N/A,#N/A,FALSE,"Capital Input";#N/A,#N/A,FALSE,"Calculations";#N/A,#N/A,FALSE,"Transaction Summary-DTW"}</definedName>
    <definedName name="Kondhwa_wrn.Investment._.Review." hidden="1">{#N/A,#N/A,FALSE,"Proforma Five Yr";#N/A,#N/A,FALSE,"Capital Input";#N/A,#N/A,FALSE,"Calculations";#N/A,#N/A,FALSE,"Transaction Summary-DTW"}</definedName>
    <definedName name="Kondhwa_wrn.Operation._.Review." localSheetId="1" hidden="1">{#N/A,#N/A,FALSE,"Proforma Five Yr";#N/A,#N/A,FALSE,"Occ and Rate";#N/A,#N/A,FALSE,"PF Input";#N/A,#N/A,FALSE,"Hotcomps"}</definedName>
    <definedName name="Kondhwa_wrn.Operation._.Review." localSheetId="0" hidden="1">{#N/A,#N/A,FALSE,"Proforma Five Yr";#N/A,#N/A,FALSE,"Occ and Rate";#N/A,#N/A,FALSE,"PF Input";#N/A,#N/A,FALSE,"Hotcomps"}</definedName>
    <definedName name="Kondhwa_wrn.Operation._.Review." hidden="1">{#N/A,#N/A,FALSE,"Proforma Five Yr";#N/A,#N/A,FALSE,"Occ and Rate";#N/A,#N/A,FALSE,"PF Input";#N/A,#N/A,FALSE,"Hotcomps"}</definedName>
    <definedName name="Kondhwa_wrn.Phase._.I." localSheetId="1" hidden="1">{#N/A,#N/A,FALSE,"Transaction Summary-DTW";#N/A,#N/A,FALSE,"Proforma Five Yr";#N/A,#N/A,FALSE,"Occ and Rate"}</definedName>
    <definedName name="Kondhwa_wrn.Phase._.I." localSheetId="0" hidden="1">{#N/A,#N/A,FALSE,"Transaction Summary-DTW";#N/A,#N/A,FALSE,"Proforma Five Yr";#N/A,#N/A,FALSE,"Occ and Rate"}</definedName>
    <definedName name="Kondhwa_wrn.Phase._.I." hidden="1">{#N/A,#N/A,FALSE,"Transaction Summary-DTW";#N/A,#N/A,FALSE,"Proforma Five Yr";#N/A,#N/A,FALSE,"Occ and Rate"}</definedName>
    <definedName name="Kondhwa_wrn.print" localSheetId="1" hidden="1">{#N/A,#N/A,FALSE,"Japan 2003";#N/A,#N/A,FALSE,"Sheet2"}</definedName>
    <definedName name="Kondhwa_wrn.print" localSheetId="0" hidden="1">{#N/A,#N/A,FALSE,"Japan 2003";#N/A,#N/A,FALSE,"Sheet2"}</definedName>
    <definedName name="Kondhwa_wrn.print" hidden="1">{#N/A,#N/A,FALSE,"Japan 2003";#N/A,#N/A,FALSE,"Sheet2"}</definedName>
    <definedName name="Kondhwa_wrn.Proforma._.Review" localSheetId="1" hidden="1">{#N/A,#N/A,FALSE,"Occ and Rate";#N/A,#N/A,FALSE,"PF Input";#N/A,#N/A,FALSE,"Proforma Five Yr";#N/A,#N/A,FALSE,"Hotcomps"}</definedName>
    <definedName name="Kondhwa_wrn.Proforma._.Review" localSheetId="0" hidden="1">{#N/A,#N/A,FALSE,"Occ and Rate";#N/A,#N/A,FALSE,"PF Input";#N/A,#N/A,FALSE,"Proforma Five Yr";#N/A,#N/A,FALSE,"Hotcomps"}</definedName>
    <definedName name="Kondhwa_wrn.Proforma._.Review" hidden="1">{#N/A,#N/A,FALSE,"Occ and Rate";#N/A,#N/A,FALSE,"PF Input";#N/A,#N/A,FALSE,"Proforma Five Yr";#N/A,#N/A,FALSE,"Hotcomps"}</definedName>
    <definedName name="kp" localSheetId="1" hidden="1">{#N/A,#N/A,TRUE,"Front";#N/A,#N/A,TRUE,"Simple Letter";#N/A,#N/A,TRUE,"Inside";#N/A,#N/A,TRUE,"Contents";#N/A,#N/A,TRUE,"Basis";#N/A,#N/A,TRUE,"Inclusions";#N/A,#N/A,TRUE,"Exclusions";#N/A,#N/A,TRUE,"Areas";#N/A,#N/A,TRUE,"Summary";#N/A,#N/A,TRUE,"Detail"}</definedName>
    <definedName name="kp" localSheetId="0" hidden="1">{#N/A,#N/A,TRUE,"Front";#N/A,#N/A,TRUE,"Simple Letter";#N/A,#N/A,TRUE,"Inside";#N/A,#N/A,TRUE,"Contents";#N/A,#N/A,TRUE,"Basis";#N/A,#N/A,TRUE,"Inclusions";#N/A,#N/A,TRUE,"Exclusions";#N/A,#N/A,TRUE,"Areas";#N/A,#N/A,TRUE,"Summary";#N/A,#N/A,TRUE,"Detail"}</definedName>
    <definedName name="kskk" localSheetId="1" hidden="1">{#N/A,#N/A,FALSE,"COVER.XLS";#N/A,#N/A,FALSE,"RACT1.XLS";#N/A,#N/A,FALSE,"RACT2.XLS";#N/A,#N/A,FALSE,"ECCMP";#N/A,#N/A,FALSE,"WELDER.XLS"}</definedName>
    <definedName name="kskk" localSheetId="0" hidden="1">{#N/A,#N/A,FALSE,"COVER.XLS";#N/A,#N/A,FALSE,"RACT1.XLS";#N/A,#N/A,FALSE,"RACT2.XLS";#N/A,#N/A,FALSE,"ECCMP";#N/A,#N/A,FALSE,"WELDER.XLS"}</definedName>
    <definedName name="kskk" hidden="1">{#N/A,#N/A,FALSE,"COVER.XLS";#N/A,#N/A,FALSE,"RACT1.XLS";#N/A,#N/A,FALSE,"RACT2.XLS";#N/A,#N/A,FALSE,"ECCMP";#N/A,#N/A,FALSE,"WELDER.XLS"}</definedName>
    <definedName name="KUWAIT" localSheetId="1" hidden="1">{#N/A,#N/A,TRUE,"Front";#N/A,#N/A,TRUE,"Simple Letter";#N/A,#N/A,TRUE,"Inside";#N/A,#N/A,TRUE,"Contents";#N/A,#N/A,TRUE,"Basis";#N/A,#N/A,TRUE,"Inclusions";#N/A,#N/A,TRUE,"Exclusions";#N/A,#N/A,TRUE,"Areas";#N/A,#N/A,TRUE,"Summary";#N/A,#N/A,TRUE,"Detail"}</definedName>
    <definedName name="KUWAIT" localSheetId="0" hidden="1">{#N/A,#N/A,TRUE,"Front";#N/A,#N/A,TRUE,"Simple Letter";#N/A,#N/A,TRUE,"Inside";#N/A,#N/A,TRUE,"Contents";#N/A,#N/A,TRUE,"Basis";#N/A,#N/A,TRUE,"Inclusions";#N/A,#N/A,TRUE,"Exclusions";#N/A,#N/A,TRUE,"Areas";#N/A,#N/A,TRUE,"Summary";#N/A,#N/A,TRUE,"Detail"}</definedName>
    <definedName name="KUWAIT" hidden="1">{#N/A,#N/A,TRUE,"Front";#N/A,#N/A,TRUE,"Simple Letter";#N/A,#N/A,TRUE,"Inside";#N/A,#N/A,TRUE,"Contents";#N/A,#N/A,TRUE,"Basis";#N/A,#N/A,TRUE,"Inclusions";#N/A,#N/A,TRUE,"Exclusions";#N/A,#N/A,TRUE,"Areas";#N/A,#N/A,TRUE,"Summary";#N/A,#N/A,TRUE,"Detail"}</definedName>
    <definedName name="kuyk" localSheetId="1" hidden="1">{#N/A,#N/A,FALSE,"PSU"}</definedName>
    <definedName name="kuyk" localSheetId="0" hidden="1">{#N/A,#N/A,FALSE,"PSU"}</definedName>
    <definedName name="kuyk" hidden="1">{#N/A,#N/A,FALSE,"PSU"}</definedName>
    <definedName name="kvs" localSheetId="1" hidden="1">{#N/A,#N/A,FALSE,"COVER1.XLS ";#N/A,#N/A,FALSE,"RACT1.XLS";#N/A,#N/A,FALSE,"RACT2.XLS";#N/A,#N/A,FALSE,"ECCMP";#N/A,#N/A,FALSE,"WELDER.XLS"}</definedName>
    <definedName name="kvs" localSheetId="0" hidden="1">{#N/A,#N/A,FALSE,"COVER1.XLS ";#N/A,#N/A,FALSE,"RACT1.XLS";#N/A,#N/A,FALSE,"RACT2.XLS";#N/A,#N/A,FALSE,"ECCMP";#N/A,#N/A,FALSE,"WELDER.XLS"}</definedName>
    <definedName name="kvs" hidden="1">{#N/A,#N/A,FALSE,"COVER1.XLS ";#N/A,#N/A,FALSE,"RACT1.XLS";#N/A,#N/A,FALSE,"RACT2.XLS";#N/A,#N/A,FALSE,"ECCMP";#N/A,#N/A,FALSE,"WELDER.XLS"}</definedName>
    <definedName name="kyd.ChngCell.01." hidden="1">#REF!</definedName>
    <definedName name="kyd.ChngCell.01.BKC" hidden="1">#REF!</definedName>
    <definedName name="kyd.CounterLimitCell.01." hidden="1">"x"</definedName>
    <definedName name="kyd.Dim.01." hidden="1">"tm1serv:company"</definedName>
    <definedName name="kyd.ElementList.01." localSheetId="1" hidden="1">#REF!</definedName>
    <definedName name="kyd.ElementList.01." localSheetId="0" hidden="1">#REF!</definedName>
    <definedName name="kyd.ElementList.01." hidden="1">#REF!</definedName>
    <definedName name="kyd.ElementList01.BKC" hidden="1">#REF!</definedName>
    <definedName name="kyd.ElementType.01." hidden="1">1</definedName>
    <definedName name="kyd.ItemType.01." hidden="1">2</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MemoCtrlNum." hidden="1">0</definedName>
    <definedName name="kyd.MemoSortHide." hidden="1">FALSE</definedName>
    <definedName name="kyd.NumLevels.01." hidden="1">999</definedName>
    <definedName name="kyd.PanicStop." hidden="1">FALSE</definedName>
    <definedName name="kyd.ParentName.01." hidden="1">""</definedName>
    <definedName name="kyd.PreScreenData." hidden="1">FALSE</definedName>
    <definedName name="kyd.PrintMemo." hidden="1">FALSE</definedName>
    <definedName name="kyd.PrintParent.01." hidden="1">TRUE</definedName>
    <definedName name="kyd.PrintStdWhen." hidden="1">1</definedName>
    <definedName name="kyd.PrintToWbk." hidden="1">FALSE</definedName>
    <definedName name="kyd.ProcessInCycle." hidden="1">FALSE</definedName>
    <definedName name="kyd.SaveAsFile." hidden="1">FALSE</definedName>
    <definedName name="kyd.SaveMemo." hidden="1">FALSE</definedName>
    <definedName name="kyd.SelectString.01." hidden="1">"*"</definedName>
    <definedName name="kyd.Shortcut." hidden="1">FALSE</definedName>
    <definedName name="kyd.StdSortHide." hidden="1">FALSE</definedName>
    <definedName name="kyd.StopRow." hidden="1">65536</definedName>
    <definedName name="kyd.WriteMemWhenOptn." hidden="1">3</definedName>
    <definedName name="la" localSheetId="1" hidden="1">{#N/A,#N/A,TRUE,"Front";#N/A,#N/A,TRUE,"Simple Letter";#N/A,#N/A,TRUE,"Inside";#N/A,#N/A,TRUE,"Contents";#N/A,#N/A,TRUE,"Basis";#N/A,#N/A,TRUE,"Inclusions";#N/A,#N/A,TRUE,"Exclusions";#N/A,#N/A,TRUE,"Areas";#N/A,#N/A,TRUE,"Summary";#N/A,#N/A,TRUE,"Detail"}</definedName>
    <definedName name="la" localSheetId="0" hidden="1">{#N/A,#N/A,TRUE,"Front";#N/A,#N/A,TRUE,"Simple Letter";#N/A,#N/A,TRUE,"Inside";#N/A,#N/A,TRUE,"Contents";#N/A,#N/A,TRUE,"Basis";#N/A,#N/A,TRUE,"Inclusions";#N/A,#N/A,TRUE,"Exclusions";#N/A,#N/A,TRUE,"Areas";#N/A,#N/A,TRUE,"Summary";#N/A,#N/A,TRUE,"Detail"}</definedName>
    <definedName name="Labs" localSheetId="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localSheetId="0"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LA" localSheetId="1" hidden="1">{#N/A,#N/A,TRUE,"Front";#N/A,#N/A,TRUE,"Simple Letter";#N/A,#N/A,TRUE,"Inside";#N/A,#N/A,TRUE,"Contents";#N/A,#N/A,TRUE,"Basis";#N/A,#N/A,TRUE,"Inclusions";#N/A,#N/A,TRUE,"Exclusions";#N/A,#N/A,TRUE,"Areas";#N/A,#N/A,TRUE,"Summary";#N/A,#N/A,TRUE,"Detail"}</definedName>
    <definedName name="LALA" localSheetId="0" hidden="1">{#N/A,#N/A,TRUE,"Front";#N/A,#N/A,TRUE,"Simple Letter";#N/A,#N/A,TRUE,"Inside";#N/A,#N/A,TRUE,"Contents";#N/A,#N/A,TRUE,"Basis";#N/A,#N/A,TRUE,"Inclusions";#N/A,#N/A,TRUE,"Exclusions";#N/A,#N/A,TRUE,"Areas";#N/A,#N/A,TRUE,"Summary";#N/A,#N/A,TRUE,"Detail"}</definedName>
    <definedName name="LALA" hidden="1">{#N/A,#N/A,TRUE,"Front";#N/A,#N/A,TRUE,"Simple Letter";#N/A,#N/A,TRUE,"Inside";#N/A,#N/A,TRUE,"Contents";#N/A,#N/A,TRUE,"Basis";#N/A,#N/A,TRUE,"Inclusions";#N/A,#N/A,TRUE,"Exclusions";#N/A,#N/A,TRUE,"Areas";#N/A,#N/A,TRUE,"Summary";#N/A,#N/A,TRUE,"Detail"}</definedName>
    <definedName name="LIGHTING" hidden="1">#REF!</definedName>
    <definedName name="ListOffset" hidden="1">1</definedName>
    <definedName name="LITHIN" localSheetId="1" hidden="1">{#N/A,#N/A,TRUE,"Front";#N/A,#N/A,TRUE,"Simple Letter";#N/A,#N/A,TRUE,"Inside";#N/A,#N/A,TRUE,"Contents";#N/A,#N/A,TRUE,"Basis";#N/A,#N/A,TRUE,"Inclusions";#N/A,#N/A,TRUE,"Exclusions";#N/A,#N/A,TRUE,"Areas";#N/A,#N/A,TRUE,"Summary";#N/A,#N/A,TRUE,"Detail"}</definedName>
    <definedName name="LITHIN" localSheetId="0" hidden="1">{#N/A,#N/A,TRUE,"Front";#N/A,#N/A,TRUE,"Simple Letter";#N/A,#N/A,TRUE,"Inside";#N/A,#N/A,TRUE,"Contents";#N/A,#N/A,TRUE,"Basis";#N/A,#N/A,TRUE,"Inclusions";#N/A,#N/A,TRUE,"Exclusions";#N/A,#N/A,TRUE,"Areas";#N/A,#N/A,TRUE,"Summary";#N/A,#N/A,TRUE,"Detail"}</definedName>
    <definedName name="LITHIN" hidden="1">{#N/A,#N/A,TRUE,"Front";#N/A,#N/A,TRUE,"Simple Letter";#N/A,#N/A,TRUE,"Inside";#N/A,#N/A,TRUE,"Contents";#N/A,#N/A,TRUE,"Basis";#N/A,#N/A,TRUE,"Inclusions";#N/A,#N/A,TRUE,"Exclusions";#N/A,#N/A,TRUE,"Areas";#N/A,#N/A,TRUE,"Summary";#N/A,#N/A,TRUE,"Detail"}</definedName>
    <definedName name="lkl" localSheetId="1" hidden="1">{#N/A,#N/A,TRUE,"Front";#N/A,#N/A,TRUE,"Simple Letter";#N/A,#N/A,TRUE,"Inside";#N/A,#N/A,TRUE,"Contents";#N/A,#N/A,TRUE,"Basis";#N/A,#N/A,TRUE,"Inclusions";#N/A,#N/A,TRUE,"Exclusions";#N/A,#N/A,TRUE,"Areas";#N/A,#N/A,TRUE,"Summary";#N/A,#N/A,TRUE,"Detail"}</definedName>
    <definedName name="lkl" localSheetId="0" hidden="1">{#N/A,#N/A,TRUE,"Front";#N/A,#N/A,TRUE,"Simple Letter";#N/A,#N/A,TRUE,"Inside";#N/A,#N/A,TRUE,"Contents";#N/A,#N/A,TRUE,"Basis";#N/A,#N/A,TRUE,"Inclusions";#N/A,#N/A,TRUE,"Exclusions";#N/A,#N/A,TRUE,"Areas";#N/A,#N/A,TRUE,"Summary";#N/A,#N/A,TRUE,"Detail"}</definedName>
    <definedName name="lkl" hidden="1">{#N/A,#N/A,TRUE,"Front";#N/A,#N/A,TRUE,"Simple Letter";#N/A,#N/A,TRUE,"Inside";#N/A,#N/A,TRUE,"Contents";#N/A,#N/A,TRUE,"Basis";#N/A,#N/A,TRUE,"Inclusions";#N/A,#N/A,TRUE,"Exclusions";#N/A,#N/A,TRUE,"Areas";#N/A,#N/A,TRUE,"Summary";#N/A,#N/A,TRUE,"Detail"}</definedName>
    <definedName name="LKNNH" localSheetId="1" hidden="1">#REF!</definedName>
    <definedName name="LKNNH" localSheetId="0" hidden="1">#REF!</definedName>
    <definedName name="LKNNH" hidden="1">#REF!</definedName>
    <definedName name="LLALALLA" localSheetId="1" hidden="1">{#N/A,#N/A,TRUE,"Front";#N/A,#N/A,TRUE,"Simple Letter";#N/A,#N/A,TRUE,"Inside";#N/A,#N/A,TRUE,"Contents";#N/A,#N/A,TRUE,"Basis";#N/A,#N/A,TRUE,"Inclusions";#N/A,#N/A,TRUE,"Exclusions";#N/A,#N/A,TRUE,"Areas";#N/A,#N/A,TRUE,"Summary";#N/A,#N/A,TRUE,"Detail"}</definedName>
    <definedName name="LLALALLA" localSheetId="0" hidden="1">{#N/A,#N/A,TRUE,"Front";#N/A,#N/A,TRUE,"Simple Letter";#N/A,#N/A,TRUE,"Inside";#N/A,#N/A,TRUE,"Contents";#N/A,#N/A,TRUE,"Basis";#N/A,#N/A,TRUE,"Inclusions";#N/A,#N/A,TRUE,"Exclusions";#N/A,#N/A,TRUE,"Areas";#N/A,#N/A,TRUE,"Summary";#N/A,#N/A,TRUE,"Detail"}</definedName>
    <definedName name="LLALALLA" hidden="1">{#N/A,#N/A,TRUE,"Front";#N/A,#N/A,TRUE,"Simple Letter";#N/A,#N/A,TRUE,"Inside";#N/A,#N/A,TRUE,"Contents";#N/A,#N/A,TRUE,"Basis";#N/A,#N/A,TRUE,"Inclusions";#N/A,#N/A,TRUE,"Exclusions";#N/A,#N/A,TRUE,"Areas";#N/A,#N/A,TRUE,"Summary";#N/A,#N/A,TRUE,"Detail"}</definedName>
    <definedName name="lll"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l" localSheetId="1" hidden="1">{#N/A,#N/A,FALSE,"ActPrior";#N/A,#N/A,FALSE,"ActPlan";#N/A,#N/A,FALSE,"ActFore"}</definedName>
    <definedName name="llll" localSheetId="0" hidden="1">{#N/A,#N/A,FALSE,"ActPrior";#N/A,#N/A,FALSE,"ActPlan";#N/A,#N/A,FALSE,"ActFore"}</definedName>
    <definedName name="llll" hidden="1">{#N/A,#N/A,FALSE,"ActPrior";#N/A,#N/A,FALSE,"ActPlan";#N/A,#N/A,FALSE,"ActFore"}</definedName>
    <definedName name="lob.all" localSheetId="1" hidden="1">{#N/A,#N/A,FALSE,"PHASED";#N/A,#N/A,FALSE,"DETAIL OF SITE";#N/A,#N/A,FALSE,"MSTR SUMMARY";#N/A,#N/A,FALSE,"CAT1-16 SUMM";#N/A,#N/A,FALSE,"ELEVATOR";#N/A,#N/A,FALSE,"PHASE 2 COSTS"}</definedName>
    <definedName name="lob.all" localSheetId="0" hidden="1">{#N/A,#N/A,FALSE,"PHASED";#N/A,#N/A,FALSE,"DETAIL OF SITE";#N/A,#N/A,FALSE,"MSTR SUMMARY";#N/A,#N/A,FALSE,"CAT1-16 SUMM";#N/A,#N/A,FALSE,"ELEVATOR";#N/A,#N/A,FALSE,"PHASE 2 COSTS"}</definedName>
    <definedName name="lob.all" hidden="1">{#N/A,#N/A,FALSE,"PHASED";#N/A,#N/A,FALSE,"DETAIL OF SITE";#N/A,#N/A,FALSE,"MSTR SUMMARY";#N/A,#N/A,FALSE,"CAT1-16 SUMM";#N/A,#N/A,FALSE,"ELEVATOR";#N/A,#N/A,FALSE,"PHASE 2 COSTS"}</definedName>
    <definedName name="loi" localSheetId="1" hidden="1">{#N/A,#N/A,TRUE,"Front";#N/A,#N/A,TRUE,"Simple Letter";#N/A,#N/A,TRUE,"Inside";#N/A,#N/A,TRUE,"Contents";#N/A,#N/A,TRUE,"Basis";#N/A,#N/A,TRUE,"Inclusions";#N/A,#N/A,TRUE,"Exclusions";#N/A,#N/A,TRUE,"Areas";#N/A,#N/A,TRUE,"Summary";#N/A,#N/A,TRUE,"Detail"}</definedName>
    <definedName name="loi" localSheetId="0" hidden="1">{#N/A,#N/A,TRUE,"Front";#N/A,#N/A,TRUE,"Simple Letter";#N/A,#N/A,TRUE,"Inside";#N/A,#N/A,TRUE,"Contents";#N/A,#N/A,TRUE,"Basis";#N/A,#N/A,TRUE,"Inclusions";#N/A,#N/A,TRUE,"Exclusions";#N/A,#N/A,TRUE,"Areas";#N/A,#N/A,TRUE,"Summary";#N/A,#N/A,TRUE,"Detail"}</definedName>
    <definedName name="loi" hidden="1">{#N/A,#N/A,TRUE,"Front";#N/A,#N/A,TRUE,"Simple Letter";#N/A,#N/A,TRUE,"Inside";#N/A,#N/A,TRUE,"Contents";#N/A,#N/A,TRUE,"Basis";#N/A,#N/A,TRUE,"Inclusions";#N/A,#N/A,TRUE,"Exclusions";#N/A,#N/A,TRUE,"Areas";#N/A,#N/A,TRUE,"Summary";#N/A,#N/A,TRUE,"Detail"}</definedName>
    <definedName name="lol" localSheetId="1" hidden="1">{#N/A,#N/A,TRUE,"Front";#N/A,#N/A,TRUE,"Simple Letter";#N/A,#N/A,TRUE,"Inside";#N/A,#N/A,TRUE,"Contents";#N/A,#N/A,TRUE,"Basis";#N/A,#N/A,TRUE,"Inclusions";#N/A,#N/A,TRUE,"Exclusions";#N/A,#N/A,TRUE,"Areas";#N/A,#N/A,TRUE,"Summary";#N/A,#N/A,TRUE,"Detail"}</definedName>
    <definedName name="lol" localSheetId="0" hidden="1">{#N/A,#N/A,TRUE,"Front";#N/A,#N/A,TRUE,"Simple Letter";#N/A,#N/A,TRUE,"Inside";#N/A,#N/A,TRUE,"Contents";#N/A,#N/A,TRUE,"Basis";#N/A,#N/A,TRUE,"Inclusions";#N/A,#N/A,TRUE,"Exclusions";#N/A,#N/A,TRUE,"Areas";#N/A,#N/A,TRUE,"Summary";#N/A,#N/A,TRUE,"Detail"}</definedName>
    <definedName name="lol" hidden="1">{#N/A,#N/A,TRUE,"Front";#N/A,#N/A,TRUE,"Simple Letter";#N/A,#N/A,TRUE,"Inside";#N/A,#N/A,TRUE,"Contents";#N/A,#N/A,TRUE,"Basis";#N/A,#N/A,TRUE,"Inclusions";#N/A,#N/A,TRUE,"Exclusions";#N/A,#N/A,TRUE,"Areas";#N/A,#N/A,TRUE,"Summary";#N/A,#N/A,TRUE,"Detail"}</definedName>
    <definedName name="lumnm" localSheetId="1" hidden="1">{#N/A,#N/A,TRUE,"Front";#N/A,#N/A,TRUE,"Simple Letter";#N/A,#N/A,TRUE,"Inside";#N/A,#N/A,TRUE,"Contents";#N/A,#N/A,TRUE,"Basis";#N/A,#N/A,TRUE,"Inclusions";#N/A,#N/A,TRUE,"Exclusions";#N/A,#N/A,TRUE,"Areas";#N/A,#N/A,TRUE,"Summary";#N/A,#N/A,TRUE,"Detail"}</definedName>
    <definedName name="lumnm" localSheetId="0" hidden="1">{#N/A,#N/A,TRUE,"Front";#N/A,#N/A,TRUE,"Simple Letter";#N/A,#N/A,TRUE,"Inside";#N/A,#N/A,TRUE,"Contents";#N/A,#N/A,TRUE,"Basis";#N/A,#N/A,TRUE,"Inclusions";#N/A,#N/A,TRUE,"Exclusions";#N/A,#N/A,TRUE,"Areas";#N/A,#N/A,TRUE,"Summary";#N/A,#N/A,TRUE,"Detail"}</definedName>
    <definedName name="lumnm" hidden="1">{#N/A,#N/A,TRUE,"Front";#N/A,#N/A,TRUE,"Simple Letter";#N/A,#N/A,TRUE,"Inside";#N/A,#N/A,TRUE,"Contents";#N/A,#N/A,TRUE,"Basis";#N/A,#N/A,TRUE,"Inclusions";#N/A,#N/A,TRUE,"Exclusions";#N/A,#N/A,TRUE,"Areas";#N/A,#N/A,TRUE,"Summary";#N/A,#N/A,TRUE,"Detail"}</definedName>
    <definedName name="mak" localSheetId="1" hidden="1">#REF!</definedName>
    <definedName name="mak" localSheetId="0" hidden="1">#REF!</definedName>
    <definedName name="mak" hidden="1">#REF!</definedName>
    <definedName name="manju" localSheetId="1" hidden="1">{#N/A,#N/A,TRUE,"Front";#N/A,#N/A,TRUE,"Simple Letter";#N/A,#N/A,TRUE,"Inside";#N/A,#N/A,TRUE,"Contents";#N/A,#N/A,TRUE,"Basis";#N/A,#N/A,TRUE,"Inclusions";#N/A,#N/A,TRUE,"Exclusions";#N/A,#N/A,TRUE,"Areas";#N/A,#N/A,TRUE,"Summary";#N/A,#N/A,TRUE,"Detail"}</definedName>
    <definedName name="manju" localSheetId="0" hidden="1">{#N/A,#N/A,TRUE,"Front";#N/A,#N/A,TRUE,"Simple Letter";#N/A,#N/A,TRUE,"Inside";#N/A,#N/A,TRUE,"Contents";#N/A,#N/A,TRUE,"Basis";#N/A,#N/A,TRUE,"Inclusions";#N/A,#N/A,TRUE,"Exclusions";#N/A,#N/A,TRUE,"Areas";#N/A,#N/A,TRUE,"Summary";#N/A,#N/A,TRUE,"Detail"}</definedName>
    <definedName name="Marathe" localSheetId="1" hidden="1">{#N/A,#N/A,FALSE,"mpph1";#N/A,#N/A,FALSE,"mpmseb";#N/A,#N/A,FALSE,"mpph2"}</definedName>
    <definedName name="Marathe" localSheetId="0" hidden="1">{#N/A,#N/A,FALSE,"mpph1";#N/A,#N/A,FALSE,"mpmseb";#N/A,#N/A,FALSE,"mpph2"}</definedName>
    <definedName name="Marathe" hidden="1">{#N/A,#N/A,FALSE,"mpph1";#N/A,#N/A,FALSE,"mpmseb";#N/A,#N/A,FALSE,"mpph2"}</definedName>
    <definedName name="MATER" hidden="1">#REF!</definedName>
    <definedName name="MCBDB" localSheetId="1" hidden="1">{#N/A,#N/A,FALSE,"mpph1";#N/A,#N/A,FALSE,"mpmseb";#N/A,#N/A,FALSE,"mpph2"}</definedName>
    <definedName name="MCBDB" localSheetId="0" hidden="1">{#N/A,#N/A,FALSE,"mpph1";#N/A,#N/A,FALSE,"mpmseb";#N/A,#N/A,FALSE,"mpph2"}</definedName>
    <definedName name="MCBDB" hidden="1">{#N/A,#N/A,FALSE,"mpph1";#N/A,#N/A,FALSE,"mpmseb";#N/A,#N/A,FALSE,"mpph2"}</definedName>
    <definedName name="measu" localSheetId="1" hidden="1">{#N/A,#N/A,TRUE,"Front";#N/A,#N/A,TRUE,"Simple Letter";#N/A,#N/A,TRUE,"Inside";#N/A,#N/A,TRUE,"Contents";#N/A,#N/A,TRUE,"Basis";#N/A,#N/A,TRUE,"Inclusions";#N/A,#N/A,TRUE,"Exclusions";#N/A,#N/A,TRUE,"Areas";#N/A,#N/A,TRUE,"Summary";#N/A,#N/A,TRUE,"Detail"}</definedName>
    <definedName name="measu" localSheetId="0" hidden="1">{#N/A,#N/A,TRUE,"Front";#N/A,#N/A,TRUE,"Simple Letter";#N/A,#N/A,TRUE,"Inside";#N/A,#N/A,TRUE,"Contents";#N/A,#N/A,TRUE,"Basis";#N/A,#N/A,TRUE,"Inclusions";#N/A,#N/A,TRUE,"Exclusions";#N/A,#N/A,TRUE,"Areas";#N/A,#N/A,TRUE,"Summary";#N/A,#N/A,TRUE,"Detail"}</definedName>
    <definedName name="measu" hidden="1">{#N/A,#N/A,TRUE,"Front";#N/A,#N/A,TRUE,"Simple Letter";#N/A,#N/A,TRUE,"Inside";#N/A,#N/A,TRUE,"Contents";#N/A,#N/A,TRUE,"Basis";#N/A,#N/A,TRUE,"Inclusions";#N/A,#N/A,TRUE,"Exclusions";#N/A,#N/A,TRUE,"Areas";#N/A,#N/A,TRUE,"Summary";#N/A,#N/A,TRUE,"Detail"}</definedName>
    <definedName name="MEP" localSheetId="1" hidden="1">{#N/A,#N/A,TRUE,"Front";#N/A,#N/A,TRUE,"Simple Letter";#N/A,#N/A,TRUE,"Inside";#N/A,#N/A,TRUE,"Contents";#N/A,#N/A,TRUE,"Basis";#N/A,#N/A,TRUE,"Inclusions";#N/A,#N/A,TRUE,"Exclusions";#N/A,#N/A,TRUE,"Areas";#N/A,#N/A,TRUE,"Summary";#N/A,#N/A,TRUE,"Detail"}</definedName>
    <definedName name="MEP" localSheetId="0"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gs" localSheetId="1" hidden="1">{#N/A,#N/A,TRUE,"Front";#N/A,#N/A,TRUE,"Simple Letter";#N/A,#N/A,TRUE,"Inside";#N/A,#N/A,TRUE,"Contents";#N/A,#N/A,TRUE,"Basis";#N/A,#N/A,TRUE,"Inclusions";#N/A,#N/A,TRUE,"Exclusions";#N/A,#N/A,TRUE,"Areas";#N/A,#N/A,TRUE,"Summary";#N/A,#N/A,TRUE,"Detail"}</definedName>
    <definedName name="mgs" localSheetId="0" hidden="1">{#N/A,#N/A,TRUE,"Front";#N/A,#N/A,TRUE,"Simple Letter";#N/A,#N/A,TRUE,"Inside";#N/A,#N/A,TRUE,"Contents";#N/A,#N/A,TRUE,"Basis";#N/A,#N/A,TRUE,"Inclusions";#N/A,#N/A,TRUE,"Exclusions";#N/A,#N/A,TRUE,"Areas";#N/A,#N/A,TRUE,"Summary";#N/A,#N/A,TRUE,"Detail"}</definedName>
    <definedName name="mgs" hidden="1">{#N/A,#N/A,TRUE,"Front";#N/A,#N/A,TRUE,"Simple Letter";#N/A,#N/A,TRUE,"Inside";#N/A,#N/A,TRUE,"Contents";#N/A,#N/A,TRUE,"Basis";#N/A,#N/A,TRUE,"Inclusions";#N/A,#N/A,TRUE,"Exclusions";#N/A,#N/A,TRUE,"Areas";#N/A,#N/A,TRUE,"Summary";#N/A,#N/A,TRUE,"Detail"}</definedName>
    <definedName name="MOTOR" localSheetId="1" hidden="1">{#N/A,#N/A,TRUE,"Vergabe-Regeln";#N/A,#N/A,TRUE,"Baugruppen";#N/A,#N/A,TRUE,"Geräte";#N/A,#N/A,TRUE,"PC-Software";#N/A,#N/A,TRUE,"Software";#N/A,#N/A,TRUE,"SW-Reg";#N/A,#N/A,TRUE,"Dokumentation"}</definedName>
    <definedName name="MOTOR" localSheetId="0" hidden="1">{#N/A,#N/A,TRUE,"Vergabe-Regeln";#N/A,#N/A,TRUE,"Baugruppen";#N/A,#N/A,TRUE,"Geräte";#N/A,#N/A,TRUE,"PC-Software";#N/A,#N/A,TRUE,"Software";#N/A,#N/A,TRUE,"SW-Reg";#N/A,#N/A,TRUE,"Dokumentation"}</definedName>
    <definedName name="MOTOR" hidden="1">{#N/A,#N/A,TRUE,"Vergabe-Regeln";#N/A,#N/A,TRUE,"Baugruppen";#N/A,#N/A,TRUE,"Geräte";#N/A,#N/A,TRUE,"PC-Software";#N/A,#N/A,TRUE,"Software";#N/A,#N/A,TRUE,"SW-Reg";#N/A,#N/A,TRUE,"Dokumentation"}</definedName>
    <definedName name="mr10resi"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den" localSheetId="1" hidden="1">{#N/A,#N/A,TRUE,"Financials";#N/A,#N/A,TRUE,"Operating Statistics";#N/A,#N/A,TRUE,"Capex &amp; Depreciation";#N/A,#N/A,TRUE,"Debt"}</definedName>
    <definedName name="mr10residen" localSheetId="0" hidden="1">{#N/A,#N/A,TRUE,"Financials";#N/A,#N/A,TRUE,"Operating Statistics";#N/A,#N/A,TRUE,"Capex &amp; Depreciation";#N/A,#N/A,TRUE,"Debt"}</definedName>
    <definedName name="mr10residen" hidden="1">{#N/A,#N/A,TRUE,"Financials";#N/A,#N/A,TRUE,"Operating Statistics";#N/A,#N/A,TRUE,"Capex &amp; Depreciation";#N/A,#N/A,TRUE,"Debt"}</definedName>
    <definedName name="mukesh" localSheetId="1" hidden="1">{#N/A,#N/A,TRUE,"Front";#N/A,#N/A,TRUE,"Simple Letter";#N/A,#N/A,TRUE,"Inside";#N/A,#N/A,TRUE,"Contents";#N/A,#N/A,TRUE,"Basis";#N/A,#N/A,TRUE,"Inclusions";#N/A,#N/A,TRUE,"Exclusions";#N/A,#N/A,TRUE,"Areas";#N/A,#N/A,TRUE,"Summary";#N/A,#N/A,TRUE,"Detail"}</definedName>
    <definedName name="mukesh" localSheetId="0" hidden="1">{#N/A,#N/A,TRUE,"Front";#N/A,#N/A,TRUE,"Simple Letter";#N/A,#N/A,TRUE,"Inside";#N/A,#N/A,TRUE,"Contents";#N/A,#N/A,TRUE,"Basis";#N/A,#N/A,TRUE,"Inclusions";#N/A,#N/A,TRUE,"Exclusions";#N/A,#N/A,TRUE,"Areas";#N/A,#N/A,TRUE,"Summary";#N/A,#N/A,TRUE,"Detail"}</definedName>
    <definedName name="mukesh" hidden="1">{#N/A,#N/A,TRUE,"Front";#N/A,#N/A,TRUE,"Simple Letter";#N/A,#N/A,TRUE,"Inside";#N/A,#N/A,TRUE,"Contents";#N/A,#N/A,TRUE,"Basis";#N/A,#N/A,TRUE,"Inclusions";#N/A,#N/A,TRUE,"Exclusions";#N/A,#N/A,TRUE,"Areas";#N/A,#N/A,TRUE,"Summary";#N/A,#N/A,TRUE,"Detail"}</definedName>
    <definedName name="Mullions" localSheetId="1" hidden="1">{#N/A,#N/A,TRUE,"Front";#N/A,#N/A,TRUE,"Simple Letter";#N/A,#N/A,TRUE,"Inside";#N/A,#N/A,TRUE,"Contents";#N/A,#N/A,TRUE,"Basis";#N/A,#N/A,TRUE,"Inclusions";#N/A,#N/A,TRUE,"Exclusions";#N/A,#N/A,TRUE,"Areas";#N/A,#N/A,TRUE,"Summary";#N/A,#N/A,TRUE,"Detail"}</definedName>
    <definedName name="Mullions" localSheetId="0" hidden="1">{#N/A,#N/A,TRUE,"Front";#N/A,#N/A,TRUE,"Simple Letter";#N/A,#N/A,TRUE,"Inside";#N/A,#N/A,TRUE,"Contents";#N/A,#N/A,TRUE,"Basis";#N/A,#N/A,TRUE,"Inclusions";#N/A,#N/A,TRUE,"Exclusions";#N/A,#N/A,TRUE,"Areas";#N/A,#N/A,TRUE,"Summary";#N/A,#N/A,TRUE,"Detail"}</definedName>
    <definedName name="Mullions" hidden="1">{#N/A,#N/A,TRUE,"Front";#N/A,#N/A,TRUE,"Simple Letter";#N/A,#N/A,TRUE,"Inside";#N/A,#N/A,TRUE,"Contents";#N/A,#N/A,TRUE,"Basis";#N/A,#N/A,TRUE,"Inclusions";#N/A,#N/A,TRUE,"Exclusions";#N/A,#N/A,TRUE,"Areas";#N/A,#N/A,TRUE,"Summary";#N/A,#N/A,TRUE,"Detail"}</definedName>
    <definedName name="MUNNA" localSheetId="1" hidden="1">{#N/A,#N/A,TRUE,"Front";#N/A,#N/A,TRUE,"Simple Letter";#N/A,#N/A,TRUE,"Inside";#N/A,#N/A,TRUE,"Contents";#N/A,#N/A,TRUE,"Basis";#N/A,#N/A,TRUE,"Inclusions";#N/A,#N/A,TRUE,"Exclusions";#N/A,#N/A,TRUE,"Areas";#N/A,#N/A,TRUE,"Summary";#N/A,#N/A,TRUE,"Detail"}</definedName>
    <definedName name="MUNNA" localSheetId="0" hidden="1">{#N/A,#N/A,TRUE,"Front";#N/A,#N/A,TRUE,"Simple Letter";#N/A,#N/A,TRUE,"Inside";#N/A,#N/A,TRUE,"Contents";#N/A,#N/A,TRUE,"Basis";#N/A,#N/A,TRUE,"Inclusions";#N/A,#N/A,TRUE,"Exclusions";#N/A,#N/A,TRUE,"Areas";#N/A,#N/A,TRUE,"Summary";#N/A,#N/A,TRUE,"Detail"}</definedName>
    <definedName name="MUNNA" hidden="1">{#N/A,#N/A,TRUE,"Front";#N/A,#N/A,TRUE,"Simple Letter";#N/A,#N/A,TRUE,"Inside";#N/A,#N/A,TRUE,"Contents";#N/A,#N/A,TRUE,"Basis";#N/A,#N/A,TRUE,"Inclusions";#N/A,#N/A,TRUE,"Exclusions";#N/A,#N/A,TRUE,"Areas";#N/A,#N/A,TRUE,"Summary";#N/A,#N/A,TRUE,"Detail"}</definedName>
    <definedName name="n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bc" localSheetId="1" hidden="1">{#N/A,#N/A,TRUE,"Front";#N/A,#N/A,TRUE,"Simple Letter";#N/A,#N/A,TRUE,"Inside";#N/A,#N/A,TRUE,"Contents";#N/A,#N/A,TRUE,"Basis";#N/A,#N/A,TRUE,"Inclusions";#N/A,#N/A,TRUE,"Exclusions";#N/A,#N/A,TRUE,"Areas";#N/A,#N/A,TRUE,"Summary";#N/A,#N/A,TRUE,"Detail"}</definedName>
    <definedName name="nbc" localSheetId="0" hidden="1">{#N/A,#N/A,TRUE,"Front";#N/A,#N/A,TRUE,"Simple Letter";#N/A,#N/A,TRUE,"Inside";#N/A,#N/A,TRUE,"Contents";#N/A,#N/A,TRUE,"Basis";#N/A,#N/A,TRUE,"Inclusions";#N/A,#N/A,TRUE,"Exclusions";#N/A,#N/A,TRUE,"Areas";#N/A,#N/A,TRUE,"Summary";#N/A,#N/A,TRUE,"Detail"}</definedName>
    <definedName name="nbc" hidden="1">{#N/A,#N/A,TRUE,"Front";#N/A,#N/A,TRUE,"Simple Letter";#N/A,#N/A,TRUE,"Inside";#N/A,#N/A,TRUE,"Contents";#N/A,#N/A,TRUE,"Basis";#N/A,#N/A,TRUE,"Inclusions";#N/A,#N/A,TRUE,"Exclusions";#N/A,#N/A,TRUE,"Areas";#N/A,#N/A,TRUE,"Summary";#N/A,#N/A,TRUE,"Detail"}</definedName>
    <definedName name="ncik" localSheetId="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EWNA"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ick" localSheetId="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tin" hidden="1">#REF!</definedName>
    <definedName name="nss" localSheetId="1" hidden="1">{#N/A,#N/A,FALSE,"consu_cover";#N/A,#N/A,FALSE,"consu_strategy";#N/A,#N/A,FALSE,"consu_flow";#N/A,#N/A,FALSE,"Summary_reqmt";#N/A,#N/A,FALSE,"field_ppg";#N/A,#N/A,FALSE,"ppg_shop";#N/A,#N/A,FALSE,"strl";#N/A,#N/A,FALSE,"tankages";#N/A,#N/A,FALSE,"gases"}</definedName>
    <definedName name="nss" localSheetId="0" hidden="1">{#N/A,#N/A,FALSE,"consu_cover";#N/A,#N/A,FALSE,"consu_strategy";#N/A,#N/A,FALSE,"consu_flow";#N/A,#N/A,FALSE,"Summary_reqmt";#N/A,#N/A,FALSE,"field_ppg";#N/A,#N/A,FALSE,"ppg_shop";#N/A,#N/A,FALSE,"strl";#N/A,#N/A,FALSE,"tankages";#N/A,#N/A,FALSE,"gases"}</definedName>
    <definedName name="nss" hidden="1">{#N/A,#N/A,FALSE,"consu_cover";#N/A,#N/A,FALSE,"consu_strategy";#N/A,#N/A,FALSE,"consu_flow";#N/A,#N/A,FALSE,"Summary_reqmt";#N/A,#N/A,FALSE,"field_ppg";#N/A,#N/A,FALSE,"ppg_shop";#N/A,#N/A,FALSE,"strl";#N/A,#N/A,FALSE,"tankages";#N/A,#N/A,FALSE,"gases"}</definedName>
    <definedName name="okay" localSheetId="1" hidden="1">{#N/A,#N/A,FALSE,"mgtsum.XLS";#N/A,#N/A,FALSE,"CAPONE";#N/A,#N/A,FALSE,"CAPTWO";#N/A,#N/A,FALSE,"CAPTHREE"}</definedName>
    <definedName name="okay" localSheetId="0" hidden="1">{#N/A,#N/A,FALSE,"mgtsum.XLS";#N/A,#N/A,FALSE,"CAPONE";#N/A,#N/A,FALSE,"CAPTWO";#N/A,#N/A,FALSE,"CAPTHREE"}</definedName>
    <definedName name="okay" hidden="1">{#N/A,#N/A,FALSE,"mgtsum.XLS";#N/A,#N/A,FALSE,"CAPONE";#N/A,#N/A,FALSE,"CAPTWO";#N/A,#N/A,FALSE,"CAPTHREE"}</definedName>
    <definedName name="ol" localSheetId="1" hidden="1">{#N/A,#N/A,FALSE,"PSU"}</definedName>
    <definedName name="ol" localSheetId="0" hidden="1">{#N/A,#N/A,FALSE,"PSU"}</definedName>
    <definedName name="olk" localSheetId="1" hidden="1">{#N/A,#N/A,TRUE,"Front";#N/A,#N/A,TRUE,"Simple Letter";#N/A,#N/A,TRUE,"Inside";#N/A,#N/A,TRUE,"Contents";#N/A,#N/A,TRUE,"Basis";#N/A,#N/A,TRUE,"Inclusions";#N/A,#N/A,TRUE,"Exclusions";#N/A,#N/A,TRUE,"Areas";#N/A,#N/A,TRUE,"Summary";#N/A,#N/A,TRUE,"Detail"}</definedName>
    <definedName name="olk" localSheetId="0" hidden="1">{#N/A,#N/A,TRUE,"Front";#N/A,#N/A,TRUE,"Simple Letter";#N/A,#N/A,TRUE,"Inside";#N/A,#N/A,TRUE,"Contents";#N/A,#N/A,TRUE,"Basis";#N/A,#N/A,TRUE,"Inclusions";#N/A,#N/A,TRUE,"Exclusions";#N/A,#N/A,TRUE,"Areas";#N/A,#N/A,TRUE,"Summary";#N/A,#N/A,TRUE,"Detail"}</definedName>
    <definedName name="olk" hidden="1">{#N/A,#N/A,TRUE,"Front";#N/A,#N/A,TRUE,"Simple Letter";#N/A,#N/A,TRUE,"Inside";#N/A,#N/A,TRUE,"Contents";#N/A,#N/A,TRUE,"Basis";#N/A,#N/A,TRUE,"Inclusions";#N/A,#N/A,TRUE,"Exclusions";#N/A,#N/A,TRUE,"Areas";#N/A,#N/A,TRUE,"Summary";#N/A,#N/A,TRUE,"Detail"}</definedName>
    <definedName name="opopo" localSheetId="1" hidden="1">{#N/A,#N/A,FALSE,"견적대비-2"}</definedName>
    <definedName name="opopo" localSheetId="0" hidden="1">{#N/A,#N/A,FALSE,"견적대비-2"}</definedName>
    <definedName name="opopo" hidden="1">{#N/A,#N/A,FALSE,"견적대비-2"}</definedName>
    <definedName name="OrderTable" hidden="1">#REF!</definedName>
    <definedName name="Org" localSheetId="1" hidden="1">{#N/A,#N/A,TRUE,"Front";#N/A,#N/A,TRUE,"Simple Letter";#N/A,#N/A,TRUE,"Inside";#N/A,#N/A,TRUE,"Contents";#N/A,#N/A,TRUE,"Basis";#N/A,#N/A,TRUE,"Inclusions";#N/A,#N/A,TRUE,"Exclusions";#N/A,#N/A,TRUE,"Areas";#N/A,#N/A,TRUE,"Summary";#N/A,#N/A,TRUE,"Detail"}</definedName>
    <definedName name="Org" localSheetId="0" hidden="1">{#N/A,#N/A,TRUE,"Front";#N/A,#N/A,TRUE,"Simple Letter";#N/A,#N/A,TRUE,"Inside";#N/A,#N/A,TRUE,"Contents";#N/A,#N/A,TRUE,"Basis";#N/A,#N/A,TRUE,"Inclusions";#N/A,#N/A,TRUE,"Exclusions";#N/A,#N/A,TRUE,"Areas";#N/A,#N/A,TRUE,"Summary";#N/A,#N/A,TRUE,"Detail"}</definedName>
    <definedName name="Org" hidden="1">{#N/A,#N/A,TRUE,"Front";#N/A,#N/A,TRUE,"Simple Letter";#N/A,#N/A,TRUE,"Inside";#N/A,#N/A,TRUE,"Contents";#N/A,#N/A,TRUE,"Basis";#N/A,#N/A,TRUE,"Inclusions";#N/A,#N/A,TRUE,"Exclusions";#N/A,#N/A,TRUE,"Areas";#N/A,#N/A,TRUE,"Summary";#N/A,#N/A,TRUE,"Detail"}</definedName>
    <definedName name="organ" localSheetId="1" hidden="1">{#N/A,#N/A,TRUE,"Front";#N/A,#N/A,TRUE,"Simple Letter";#N/A,#N/A,TRUE,"Inside";#N/A,#N/A,TRUE,"Contents";#N/A,#N/A,TRUE,"Basis";#N/A,#N/A,TRUE,"Inclusions";#N/A,#N/A,TRUE,"Exclusions";#N/A,#N/A,TRUE,"Areas";#N/A,#N/A,TRUE,"Summary";#N/A,#N/A,TRUE,"Detail"}</definedName>
    <definedName name="organ" localSheetId="0" hidden="1">{#N/A,#N/A,TRUE,"Front";#N/A,#N/A,TRUE,"Simple Letter";#N/A,#N/A,TRUE,"Inside";#N/A,#N/A,TRUE,"Contents";#N/A,#N/A,TRUE,"Basis";#N/A,#N/A,TRUE,"Inclusions";#N/A,#N/A,TRUE,"Exclusions";#N/A,#N/A,TRUE,"Areas";#N/A,#N/A,TRUE,"Summary";#N/A,#N/A,TRUE,"Detail"}</definedName>
    <definedName name="organ" hidden="1">{#N/A,#N/A,TRUE,"Front";#N/A,#N/A,TRUE,"Simple Letter";#N/A,#N/A,TRUE,"Inside";#N/A,#N/A,TRUE,"Contents";#N/A,#N/A,TRUE,"Basis";#N/A,#N/A,TRUE,"Inclusions";#N/A,#N/A,TRUE,"Exclusions";#N/A,#N/A,TRUE,"Areas";#N/A,#N/A,TRUE,"Summary";#N/A,#N/A,TRUE,"Detail"}</definedName>
    <definedName name="Page3a" localSheetId="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l_Workbook_GUID" hidden="1">"8C9FWPDC58HV91KMPNBD5P58"</definedName>
    <definedName name="parse" hidden="1">#REF!</definedName>
    <definedName name="pccm15" hidden="1">{#N/A,#N/A,TRUE,"Front";#N/A,#N/A,TRUE,"Simple Letter";#N/A,#N/A,TRUE,"Inside";#N/A,#N/A,TRUE,"Contents";#N/A,#N/A,TRUE,"Basis";#N/A,#N/A,TRUE,"Inclusions";#N/A,#N/A,TRUE,"Exclusions";#N/A,#N/A,TRUE,"Areas";#N/A,#N/A,TRUE,"Summary";#N/A,#N/A,TRUE,"Detail"}</definedName>
    <definedName name="pkg" localSheetId="1" hidden="1">{#N/A,#N/A,TRUE,"Front";#N/A,#N/A,TRUE,"Simple Letter";#N/A,#N/A,TRUE,"Inside";#N/A,#N/A,TRUE,"Contents";#N/A,#N/A,TRUE,"Basis";#N/A,#N/A,TRUE,"Inclusions";#N/A,#N/A,TRUE,"Exclusions";#N/A,#N/A,TRUE,"Areas";#N/A,#N/A,TRUE,"Summary";#N/A,#N/A,TRUE,"Detail"}</definedName>
    <definedName name="pkg" localSheetId="0" hidden="1">{#N/A,#N/A,TRUE,"Front";#N/A,#N/A,TRUE,"Simple Letter";#N/A,#N/A,TRUE,"Inside";#N/A,#N/A,TRUE,"Contents";#N/A,#N/A,TRUE,"Basis";#N/A,#N/A,TRUE,"Inclusions";#N/A,#N/A,TRUE,"Exclusions";#N/A,#N/A,TRUE,"Areas";#N/A,#N/A,TRUE,"Summary";#N/A,#N/A,TRUE,"Detail"}</definedName>
    <definedName name="pkg" hidden="1">{#N/A,#N/A,TRUE,"Front";#N/A,#N/A,TRUE,"Simple Letter";#N/A,#N/A,TRUE,"Inside";#N/A,#N/A,TRUE,"Contents";#N/A,#N/A,TRUE,"Basis";#N/A,#N/A,TRUE,"Inclusions";#N/A,#N/A,TRUE,"Exclusions";#N/A,#N/A,TRUE,"Areas";#N/A,#N/A,TRUE,"Summary";#N/A,#N/A,TRUE,"Detail"}</definedName>
    <definedName name="ppit" hidden="1">{#N/A,#N/A,TRUE,"Front";#N/A,#N/A,TRUE,"Simple Letter";#N/A,#N/A,TRUE,"Inside";#N/A,#N/A,TRUE,"Contents";#N/A,#N/A,TRUE,"Basis";#N/A,#N/A,TRUE,"Inclusions";#N/A,#N/A,TRUE,"Exclusions";#N/A,#N/A,TRUE,"Areas";#N/A,#N/A,TRUE,"Summary";#N/A,#N/A,TRUE,"Detail"}</definedName>
    <definedName name="ppl" localSheetId="1" hidden="1">{#N/A,#N/A,FALSE,"gc (2)"}</definedName>
    <definedName name="ppl" localSheetId="0" hidden="1">{#N/A,#N/A,FALSE,"gc (2)"}</definedName>
    <definedName name="ppl" hidden="1">{#N/A,#N/A,FALSE,"gc (2)"}</definedName>
    <definedName name="prelimnaries" localSheetId="1" hidden="1">{#N/A,#N/A,TRUE,"Front";#N/A,#N/A,TRUE,"Simple Letter";#N/A,#N/A,TRUE,"Inside";#N/A,#N/A,TRUE,"Contents";#N/A,#N/A,TRUE,"Basis";#N/A,#N/A,TRUE,"Inclusions";#N/A,#N/A,TRUE,"Exclusions";#N/A,#N/A,TRUE,"Areas";#N/A,#N/A,TRUE,"Summary";#N/A,#N/A,TRUE,"Detail"}</definedName>
    <definedName name="prelimnaries" localSheetId="0" hidden="1">{#N/A,#N/A,TRUE,"Front";#N/A,#N/A,TRUE,"Simple Letter";#N/A,#N/A,TRUE,"Inside";#N/A,#N/A,TRUE,"Contents";#N/A,#N/A,TRUE,"Basis";#N/A,#N/A,TRUE,"Inclusions";#N/A,#N/A,TRUE,"Exclusions";#N/A,#N/A,TRUE,"Areas";#N/A,#N/A,TRUE,"Summary";#N/A,#N/A,TRUE,"Detail"}</definedName>
    <definedName name="prelimnaries" hidden="1">{#N/A,#N/A,TRUE,"Front";#N/A,#N/A,TRUE,"Simple Letter";#N/A,#N/A,TRUE,"Inside";#N/A,#N/A,TRUE,"Contents";#N/A,#N/A,TRUE,"Basis";#N/A,#N/A,TRUE,"Inclusions";#N/A,#N/A,TRUE,"Exclusions";#N/A,#N/A,TRUE,"Areas";#N/A,#N/A,TRUE,"Summary";#N/A,#N/A,TRUE,"Detail"}</definedName>
    <definedName name="ProdForm" hidden="1">#REF!</definedName>
    <definedName name="Product" hidden="1">#REF!</definedName>
    <definedName name="PUB_FileID" hidden="1">"L10003363.xls"</definedName>
    <definedName name="PUB_UserID" hidden="1">"MAYERX"</definedName>
    <definedName name="q" hidden="1">#REF!</definedName>
    <definedName name="qd" hidden="1">#REF!</definedName>
    <definedName name="qqq" localSheetId="1" hidden="1">{#N/A,#N/A,TRUE,"Projektierung";#N/A,#N/A,TRUE,"Grundgerät";#N/A,#N/A,TRUE,"Baugruppen"}</definedName>
    <definedName name="qqq" localSheetId="0" hidden="1">{#N/A,#N/A,TRUE,"Projektierung";#N/A,#N/A,TRUE,"Grundgerät";#N/A,#N/A,TRUE,"Baugruppen"}</definedName>
    <definedName name="qqq" hidden="1">{#N/A,#N/A,TRUE,"Projektierung";#N/A,#N/A,TRUE,"Grundgerät";#N/A,#N/A,TRUE,"Baugruppen"}</definedName>
    <definedName name="QQQQQ" hidden="1">#N/A</definedName>
    <definedName name="qttty" localSheetId="1" hidden="1">{#N/A,#N/A,TRUE,"Front";#N/A,#N/A,TRUE,"Simple Letter";#N/A,#N/A,TRUE,"Inside";#N/A,#N/A,TRUE,"Contents";#N/A,#N/A,TRUE,"Basis";#N/A,#N/A,TRUE,"Inclusions";#N/A,#N/A,TRUE,"Exclusions";#N/A,#N/A,TRUE,"Areas";#N/A,#N/A,TRUE,"Summary";#N/A,#N/A,TRUE,"Detail"}</definedName>
    <definedName name="qttty" localSheetId="0" hidden="1">{#N/A,#N/A,TRUE,"Front";#N/A,#N/A,TRUE,"Simple Letter";#N/A,#N/A,TRUE,"Inside";#N/A,#N/A,TRUE,"Contents";#N/A,#N/A,TRUE,"Basis";#N/A,#N/A,TRUE,"Inclusions";#N/A,#N/A,TRUE,"Exclusions";#N/A,#N/A,TRUE,"Areas";#N/A,#N/A,TRUE,"Summary";#N/A,#N/A,TRUE,"Detail"}</definedName>
    <definedName name="qttty" hidden="1">{#N/A,#N/A,TRUE,"Front";#N/A,#N/A,TRUE,"Simple Letter";#N/A,#N/A,TRUE,"Inside";#N/A,#N/A,TRUE,"Contents";#N/A,#N/A,TRUE,"Basis";#N/A,#N/A,TRUE,"Inclusions";#N/A,#N/A,TRUE,"Exclusions";#N/A,#N/A,TRUE,"Areas";#N/A,#N/A,TRUE,"Summary";#N/A,#N/A,TRUE,"Detail"}</definedName>
    <definedName name="qw" localSheetId="1" hidden="1">{#N/A,#N/A,FALSE,"Fund-II"}</definedName>
    <definedName name="qw" localSheetId="0" hidden="1">{#N/A,#N/A,FALSE,"Fund-II"}</definedName>
    <definedName name="qw" hidden="1">{#N/A,#N/A,FALSE,"Fund-II"}</definedName>
    <definedName name="qwe" localSheetId="1" hidden="1">{#N/A,#N/A,TRUE,"Front";#N/A,#N/A,TRUE,"Simple Letter";#N/A,#N/A,TRUE,"Inside";#N/A,#N/A,TRUE,"Contents";#N/A,#N/A,TRUE,"Basis";#N/A,#N/A,TRUE,"Inclusions";#N/A,#N/A,TRUE,"Exclusions";#N/A,#N/A,TRUE,"Areas";#N/A,#N/A,TRUE,"Summary";#N/A,#N/A,TRUE,"Detail"}</definedName>
    <definedName name="qwe" localSheetId="0" hidden="1">{#N/A,#N/A,TRUE,"Front";#N/A,#N/A,TRUE,"Simple Letter";#N/A,#N/A,TRUE,"Inside";#N/A,#N/A,TRUE,"Contents";#N/A,#N/A,TRUE,"Basis";#N/A,#N/A,TRUE,"Inclusions";#N/A,#N/A,TRUE,"Exclusions";#N/A,#N/A,TRUE,"Areas";#N/A,#N/A,TRUE,"Summary";#N/A,#N/A,TRUE,"Detail"}</definedName>
    <definedName name="qwe" hidden="1">{#N/A,#N/A,TRUE,"Front";#N/A,#N/A,TRUE,"Simple Letter";#N/A,#N/A,TRUE,"Inside";#N/A,#N/A,TRUE,"Contents";#N/A,#N/A,TRUE,"Basis";#N/A,#N/A,TRUE,"Inclusions";#N/A,#N/A,TRUE,"Exclusions";#N/A,#N/A,TRUE,"Areas";#N/A,#N/A,TRUE,"Summary";#N/A,#N/A,TRUE,"Detail"}</definedName>
    <definedName name="qwertyu" localSheetId="1" hidden="1">{#N/A,#N/A,TRUE,"Front";#N/A,#N/A,TRUE,"Simple Letter";#N/A,#N/A,TRUE,"Inside";#N/A,#N/A,TRUE,"Contents";#N/A,#N/A,TRUE,"Basis";#N/A,#N/A,TRUE,"Inclusions";#N/A,#N/A,TRUE,"Exclusions";#N/A,#N/A,TRUE,"Areas";#N/A,#N/A,TRUE,"Summary";#N/A,#N/A,TRUE,"Detail"}</definedName>
    <definedName name="qwertyu" localSheetId="0" hidden="1">{#N/A,#N/A,TRUE,"Front";#N/A,#N/A,TRUE,"Simple Letter";#N/A,#N/A,TRUE,"Inside";#N/A,#N/A,TRUE,"Contents";#N/A,#N/A,TRUE,"Basis";#N/A,#N/A,TRUE,"Inclusions";#N/A,#N/A,TRUE,"Exclusions";#N/A,#N/A,TRUE,"Areas";#N/A,#N/A,TRUE,"Summary";#N/A,#N/A,TRUE,"Detail"}</definedName>
    <definedName name="qwertyu" hidden="1">{#N/A,#N/A,TRUE,"Front";#N/A,#N/A,TRUE,"Simple Letter";#N/A,#N/A,TRUE,"Inside";#N/A,#N/A,TRUE,"Contents";#N/A,#N/A,TRUE,"Basis";#N/A,#N/A,TRUE,"Inclusions";#N/A,#N/A,TRUE,"Exclusions";#N/A,#N/A,TRUE,"Areas";#N/A,#N/A,TRUE,"Summary";#N/A,#N/A,TRUE,"Detail"}</definedName>
    <definedName name="RA" localSheetId="1" hidden="1">{#N/A,#N/A,TRUE,"Front";#N/A,#N/A,TRUE,"Simple Letter";#N/A,#N/A,TRUE,"Inside";#N/A,#N/A,TRUE,"Contents";#N/A,#N/A,TRUE,"Basis";#N/A,#N/A,TRUE,"Inclusions";#N/A,#N/A,TRUE,"Exclusions";#N/A,#N/A,TRUE,"Areas";#N/A,#N/A,TRUE,"Summary";#N/A,#N/A,TRUE,"Detail"}</definedName>
    <definedName name="RA" localSheetId="0" hidden="1">{#N/A,#N/A,TRUE,"Front";#N/A,#N/A,TRUE,"Simple Letter";#N/A,#N/A,TRUE,"Inside";#N/A,#N/A,TRUE,"Contents";#N/A,#N/A,TRUE,"Basis";#N/A,#N/A,TRUE,"Inclusions";#N/A,#N/A,TRUE,"Exclusions";#N/A,#N/A,TRUE,"Areas";#N/A,#N/A,TRUE,"Summary";#N/A,#N/A,TRUE,"Detail"}</definedName>
    <definedName name="RA" hidden="1">{#N/A,#N/A,TRUE,"Front";#N/A,#N/A,TRUE,"Simple Letter";#N/A,#N/A,TRUE,"Inside";#N/A,#N/A,TRUE,"Contents";#N/A,#N/A,TRUE,"Basis";#N/A,#N/A,TRUE,"Inclusions";#N/A,#N/A,TRUE,"Exclusions";#N/A,#N/A,TRUE,"Areas";#N/A,#N/A,TRUE,"Summary";#N/A,#N/A,TRUE,"Detail"}</definedName>
    <definedName name="RA.Quo" hidden="1">#REF!</definedName>
    <definedName name="RA_1" localSheetId="1" hidden="1">{#N/A,#N/A,TRUE,"Front";#N/A,#N/A,TRUE,"Simple Letter";#N/A,#N/A,TRUE,"Inside";#N/A,#N/A,TRUE,"Contents";#N/A,#N/A,TRUE,"Basis";#N/A,#N/A,TRUE,"Inclusions";#N/A,#N/A,TRUE,"Exclusions";#N/A,#N/A,TRUE,"Areas";#N/A,#N/A,TRUE,"Summary";#N/A,#N/A,TRUE,"Detail"}</definedName>
    <definedName name="RA_1" localSheetId="0" hidden="1">{#N/A,#N/A,TRUE,"Front";#N/A,#N/A,TRUE,"Simple Letter";#N/A,#N/A,TRUE,"Inside";#N/A,#N/A,TRUE,"Contents";#N/A,#N/A,TRUE,"Basis";#N/A,#N/A,TRUE,"Inclusions";#N/A,#N/A,TRUE,"Exclusions";#N/A,#N/A,TRUE,"Areas";#N/A,#N/A,TRUE,"Summary";#N/A,#N/A,TRUE,"Detail"}</definedName>
    <definedName name="RA_1" hidden="1">{#N/A,#N/A,TRUE,"Front";#N/A,#N/A,TRUE,"Simple Letter";#N/A,#N/A,TRUE,"Inside";#N/A,#N/A,TRUE,"Contents";#N/A,#N/A,TRUE,"Basis";#N/A,#N/A,TRUE,"Inclusions";#N/A,#N/A,TRUE,"Exclusions";#N/A,#N/A,TRUE,"Areas";#N/A,#N/A,TRUE,"Summary";#N/A,#N/A,TRUE,"Detail"}</definedName>
    <definedName name="raff" localSheetId="1" hidden="1">{#N/A,#N/A,FALSE,"Fund-II"}</definedName>
    <definedName name="raff" localSheetId="0" hidden="1">{#N/A,#N/A,FALSE,"Fund-II"}</definedName>
    <definedName name="raff" hidden="1">{#N/A,#N/A,FALSE,"Fund-II"}</definedName>
    <definedName name="Raj" localSheetId="1" hidden="1">{"'Sheet1'!$A$4386:$N$4591"}</definedName>
    <definedName name="Raj" localSheetId="0" hidden="1">{"'Sheet1'!$A$4386:$N$4591"}</definedName>
    <definedName name="Raj" hidden="1">{"'Sheet1'!$A$4386:$N$4591"}</definedName>
    <definedName name="RATHAN" localSheetId="1" hidden="1">{#N/A,#N/A,TRUE,"Front";#N/A,#N/A,TRUE,"Simple Letter";#N/A,#N/A,TRUE,"Inside";#N/A,#N/A,TRUE,"Contents";#N/A,#N/A,TRUE,"Basis";#N/A,#N/A,TRUE,"Inclusions";#N/A,#N/A,TRUE,"Exclusions";#N/A,#N/A,TRUE,"Areas";#N/A,#N/A,TRUE,"Summary";#N/A,#N/A,TRUE,"Detail"}</definedName>
    <definedName name="RATHAN" localSheetId="0" hidden="1">{#N/A,#N/A,TRUE,"Front";#N/A,#N/A,TRUE,"Simple Letter";#N/A,#N/A,TRUE,"Inside";#N/A,#N/A,TRUE,"Contents";#N/A,#N/A,TRUE,"Basis";#N/A,#N/A,TRUE,"Inclusions";#N/A,#N/A,TRUE,"Exclusions";#N/A,#N/A,TRUE,"Areas";#N/A,#N/A,TRUE,"Summary";#N/A,#N/A,TRUE,"Detail"}</definedName>
    <definedName name="RATHAN" hidden="1">{#N/A,#N/A,TRUE,"Front";#N/A,#N/A,TRUE,"Simple Letter";#N/A,#N/A,TRUE,"Inside";#N/A,#N/A,TRUE,"Contents";#N/A,#N/A,TRUE,"Basis";#N/A,#N/A,TRUE,"Inclusions";#N/A,#N/A,TRUE,"Exclusions";#N/A,#N/A,TRUE,"Areas";#N/A,#N/A,TRUE,"Summary";#N/A,#N/A,TRUE,"Detail"}</definedName>
    <definedName name="RAUL" localSheetId="1" hidden="1">{#N/A,#N/A,TRUE,"Front";#N/A,#N/A,TRUE,"Simple Letter";#N/A,#N/A,TRUE,"Inside";#N/A,#N/A,TRUE,"Contents";#N/A,#N/A,TRUE,"Basis";#N/A,#N/A,TRUE,"Inclusions";#N/A,#N/A,TRUE,"Exclusions";#N/A,#N/A,TRUE,"Areas";#N/A,#N/A,TRUE,"Summary";#N/A,#N/A,TRUE,"Detail"}</definedName>
    <definedName name="RAUL" localSheetId="0" hidden="1">{#N/A,#N/A,TRUE,"Front";#N/A,#N/A,TRUE,"Simple Letter";#N/A,#N/A,TRUE,"Inside";#N/A,#N/A,TRUE,"Contents";#N/A,#N/A,TRUE,"Basis";#N/A,#N/A,TRUE,"Inclusions";#N/A,#N/A,TRUE,"Exclusions";#N/A,#N/A,TRUE,"Areas";#N/A,#N/A,TRUE,"Summary";#N/A,#N/A,TRUE,"Detail"}</definedName>
    <definedName name="RAUL" hidden="1">{#N/A,#N/A,TRUE,"Front";#N/A,#N/A,TRUE,"Simple Letter";#N/A,#N/A,TRUE,"Inside";#N/A,#N/A,TRUE,"Contents";#N/A,#N/A,TRUE,"Basis";#N/A,#N/A,TRUE,"Inclusions";#N/A,#N/A,TRUE,"Exclusions";#N/A,#N/A,TRUE,"Areas";#N/A,#N/A,TRUE,"Summary";#N/A,#N/A,TRUE,"Detail"}</definedName>
    <definedName name="ravi" localSheetId="1" hidden="1">{#N/A,#N/A,TRUE,"Front";#N/A,#N/A,TRUE,"Simple Letter";#N/A,#N/A,TRUE,"Inside";#N/A,#N/A,TRUE,"Contents";#N/A,#N/A,TRUE,"Basis";#N/A,#N/A,TRUE,"Inclusions";#N/A,#N/A,TRUE,"Exclusions";#N/A,#N/A,TRUE,"Areas";#N/A,#N/A,TRUE,"Summary";#N/A,#N/A,TRUE,"Detail"}</definedName>
    <definedName name="ravi" localSheetId="0" hidden="1">{#N/A,#N/A,TRUE,"Front";#N/A,#N/A,TRUE,"Simple Letter";#N/A,#N/A,TRUE,"Inside";#N/A,#N/A,TRUE,"Contents";#N/A,#N/A,TRUE,"Basis";#N/A,#N/A,TRUE,"Inclusions";#N/A,#N/A,TRUE,"Exclusions";#N/A,#N/A,TRUE,"Areas";#N/A,#N/A,TRUE,"Summary";#N/A,#N/A,TRUE,"Detail"}</definedName>
    <definedName name="ravi" hidden="1">{#N/A,#N/A,TRUE,"Front";#N/A,#N/A,TRUE,"Simple Letter";#N/A,#N/A,TRUE,"Inside";#N/A,#N/A,TRUE,"Contents";#N/A,#N/A,TRUE,"Basis";#N/A,#N/A,TRUE,"Inclusions";#N/A,#N/A,TRUE,"Exclusions";#N/A,#N/A,TRUE,"Areas";#N/A,#N/A,TRUE,"Summary";#N/A,#N/A,TRUE,"Detail"}</definedName>
    <definedName name="RCArea" hidden="1">#REF!</definedName>
    <definedName name="rdhherjtjtrjtr" localSheetId="1" hidden="1">{#N/A,#N/A,TRUE,"Front";#N/A,#N/A,TRUE,"Simple Letter";#N/A,#N/A,TRUE,"Inside";#N/A,#N/A,TRUE,"Contents";#N/A,#N/A,TRUE,"Basis";#N/A,#N/A,TRUE,"Inclusions";#N/A,#N/A,TRUE,"Exclusions";#N/A,#N/A,TRUE,"Areas";#N/A,#N/A,TRUE,"Summary";#N/A,#N/A,TRUE,"Detail"}</definedName>
    <definedName name="rdhherjtjtrjtr" localSheetId="0" hidden="1">{#N/A,#N/A,TRUE,"Front";#N/A,#N/A,TRUE,"Simple Letter";#N/A,#N/A,TRUE,"Inside";#N/A,#N/A,TRUE,"Contents";#N/A,#N/A,TRUE,"Basis";#N/A,#N/A,TRUE,"Inclusions";#N/A,#N/A,TRUE,"Exclusions";#N/A,#N/A,TRUE,"Areas";#N/A,#N/A,TRUE,"Summary";#N/A,#N/A,TRUE,"Detail"}</definedName>
    <definedName name="rdhherjtjtrjtr" hidden="1">{#N/A,#N/A,TRUE,"Front";#N/A,#N/A,TRUE,"Simple Letter";#N/A,#N/A,TRUE,"Inside";#N/A,#N/A,TRUE,"Contents";#N/A,#N/A,TRUE,"Basis";#N/A,#N/A,TRUE,"Inclusions";#N/A,#N/A,TRUE,"Exclusions";#N/A,#N/A,TRUE,"Areas";#N/A,#N/A,TRUE,"Summary";#N/A,#N/A,TRUE,"Detail"}</definedName>
    <definedName name="RDN" localSheetId="1" hidden="1">{#N/A,#N/A,FALSE,"COVER.XLS";#N/A,#N/A,FALSE,"RACT1.XLS";#N/A,#N/A,FALSE,"RACT2.XLS";#N/A,#N/A,FALSE,"ECCMP";#N/A,#N/A,FALSE,"WELDER.XLS"}</definedName>
    <definedName name="RDN" localSheetId="0" hidden="1">{#N/A,#N/A,FALSE,"COVER.XLS";#N/A,#N/A,FALSE,"RACT1.XLS";#N/A,#N/A,FALSE,"RACT2.XLS";#N/A,#N/A,FALSE,"ECCMP";#N/A,#N/A,FALSE,"WELDER.XLS"}</definedName>
    <definedName name="RDN" hidden="1">{#N/A,#N/A,FALSE,"COVER.XLS";#N/A,#N/A,FALSE,"RACT1.XLS";#N/A,#N/A,FALSE,"RACT2.XLS";#N/A,#N/A,FALSE,"ECCMP";#N/A,#N/A,FALSE,"WELDER.XLS"}</definedName>
    <definedName name="reconequip" localSheetId="1" hidden="1">{#N/A,#N/A,TRUE,"Front";#N/A,#N/A,TRUE,"Simple Letter";#N/A,#N/A,TRUE,"Inside";#N/A,#N/A,TRUE,"Contents";#N/A,#N/A,TRUE,"Basis";#N/A,#N/A,TRUE,"Inclusions";#N/A,#N/A,TRUE,"Exclusions";#N/A,#N/A,TRUE,"Areas";#N/A,#N/A,TRUE,"Summary";#N/A,#N/A,TRUE,"Detail"}</definedName>
    <definedName name="reconequip" localSheetId="0" hidden="1">{#N/A,#N/A,TRUE,"Front";#N/A,#N/A,TRUE,"Simple Letter";#N/A,#N/A,TRUE,"Inside";#N/A,#N/A,TRUE,"Contents";#N/A,#N/A,TRUE,"Basis";#N/A,#N/A,TRUE,"Inclusions";#N/A,#N/A,TRUE,"Exclusions";#N/A,#N/A,TRUE,"Areas";#N/A,#N/A,TRUE,"Summary";#N/A,#N/A,TRUE,"Detail"}</definedName>
    <definedName name="reconequip" hidden="1">{#N/A,#N/A,TRUE,"Front";#N/A,#N/A,TRUE,"Simple Letter";#N/A,#N/A,TRUE,"Inside";#N/A,#N/A,TRUE,"Contents";#N/A,#N/A,TRUE,"Basis";#N/A,#N/A,TRUE,"Inclusions";#N/A,#N/A,TRUE,"Exclusions";#N/A,#N/A,TRUE,"Areas";#N/A,#N/A,TRUE,"Summary";#N/A,#N/A,TRUE,"Detail"}</definedName>
    <definedName name="ree" localSheetId="1" hidden="1">{#N/A,#N/A,FALSE,"PSU"}</definedName>
    <definedName name="ree" localSheetId="0" hidden="1">{#N/A,#N/A,FALSE,"PSU"}</definedName>
    <definedName name="ree" hidden="1">{#N/A,#N/A,FALSE,"PSU"}</definedName>
    <definedName name="Regional" localSheetId="1" hidden="1">{#N/A,#N/A,FALSE,"mgtsum.XLS";#N/A,#N/A,FALSE,"CAPONE";#N/A,#N/A,FALSE,"CAPTWO";#N/A,#N/A,FALSE,"CAPTHREE"}</definedName>
    <definedName name="Regional" localSheetId="0" hidden="1">{#N/A,#N/A,FALSE,"mgtsum.XLS";#N/A,#N/A,FALSE,"CAPONE";#N/A,#N/A,FALSE,"CAPTWO";#N/A,#N/A,FALSE,"CAPTHREE"}</definedName>
    <definedName name="Regional" hidden="1">{#N/A,#N/A,FALSE,"mgtsum.XLS";#N/A,#N/A,FALSE,"CAPONE";#N/A,#N/A,FALSE,"CAPTWO";#N/A,#N/A,FALSE,"CAPTHREE"}</definedName>
    <definedName name="rename" localSheetId="1" hidden="1">{#N/A,#N/A,TRUE,"Front";#N/A,#N/A,TRUE,"Simple Letter";#N/A,#N/A,TRUE,"Inside";#N/A,#N/A,TRUE,"Contents";#N/A,#N/A,TRUE,"Basis";#N/A,#N/A,TRUE,"Inclusions";#N/A,#N/A,TRUE,"Exclusions";#N/A,#N/A,TRUE,"Areas";#N/A,#N/A,TRUE,"Summary";#N/A,#N/A,TRUE,"Detail"}</definedName>
    <definedName name="rename" localSheetId="0" hidden="1">{#N/A,#N/A,TRUE,"Front";#N/A,#N/A,TRUE,"Simple Letter";#N/A,#N/A,TRUE,"Inside";#N/A,#N/A,TRUE,"Contents";#N/A,#N/A,TRUE,"Basis";#N/A,#N/A,TRUE,"Inclusions";#N/A,#N/A,TRUE,"Exclusions";#N/A,#N/A,TRUE,"Areas";#N/A,#N/A,TRUE,"Summary";#N/A,#N/A,TRUE,"Detail"}</definedName>
    <definedName name="rename" hidden="1">{#N/A,#N/A,TRUE,"Front";#N/A,#N/A,TRUE,"Simple Letter";#N/A,#N/A,TRUE,"Inside";#N/A,#N/A,TRUE,"Contents";#N/A,#N/A,TRUE,"Basis";#N/A,#N/A,TRUE,"Inclusions";#N/A,#N/A,TRUE,"Exclusions";#N/A,#N/A,TRUE,"Areas";#N/A,#N/A,TRUE,"Summary";#N/A,#N/A,TRUE,"Detail"}</definedName>
    <definedName name="report2" localSheetId="1" hidden="1">{#N/A,#N/A,TRUE,"Front";#N/A,#N/A,TRUE,"Simple Letter";#N/A,#N/A,TRUE,"Inside";#N/A,#N/A,TRUE,"Contents";#N/A,#N/A,TRUE,"Basis";#N/A,#N/A,TRUE,"Inclusions";#N/A,#N/A,TRUE,"Exclusions";#N/A,#N/A,TRUE,"Areas";#N/A,#N/A,TRUE,"Summary";#N/A,#N/A,TRUE,"Detail"}</definedName>
    <definedName name="report2" localSheetId="0" hidden="1">{#N/A,#N/A,TRUE,"Front";#N/A,#N/A,TRUE,"Simple Letter";#N/A,#N/A,TRUE,"Inside";#N/A,#N/A,TRUE,"Contents";#N/A,#N/A,TRUE,"Basis";#N/A,#N/A,TRUE,"Inclusions";#N/A,#N/A,TRUE,"Exclusions";#N/A,#N/A,TRUE,"Areas";#N/A,#N/A,TRUE,"Summary";#N/A,#N/A,TRUE,"Detail"}</definedName>
    <definedName name="report2" hidden="1">{#N/A,#N/A,TRUE,"Front";#N/A,#N/A,TRUE,"Simple Letter";#N/A,#N/A,TRUE,"Inside";#N/A,#N/A,TRUE,"Contents";#N/A,#N/A,TRUE,"Basis";#N/A,#N/A,TRUE,"Inclusions";#N/A,#N/A,TRUE,"Exclusions";#N/A,#N/A,TRUE,"Areas";#N/A,#N/A,TRUE,"Summary";#N/A,#N/A,TRUE,"Detail"}</definedName>
    <definedName name="res_sum" localSheetId="1" hidden="1">{#N/A,#N/A,FALSE,"COVER1.XLS ";#N/A,#N/A,FALSE,"RACT1.XLS";#N/A,#N/A,FALSE,"RACT2.XLS";#N/A,#N/A,FALSE,"ECCMP";#N/A,#N/A,FALSE,"WELDER.XLS"}</definedName>
    <definedName name="res_sum" localSheetId="0" hidden="1">{#N/A,#N/A,FALSE,"COVER1.XLS ";#N/A,#N/A,FALSE,"RACT1.XLS";#N/A,#N/A,FALSE,"RACT2.XLS";#N/A,#N/A,FALSE,"ECCMP";#N/A,#N/A,FALSE,"WELDER.XLS"}</definedName>
    <definedName name="res_sum" hidden="1">{#N/A,#N/A,FALSE,"COVER1.XLS ";#N/A,#N/A,FALSE,"RACT1.XLS";#N/A,#N/A,FALSE,"RACT2.XLS";#N/A,#N/A,FALSE,"ECCMP";#N/A,#N/A,FALSE,"WELDER.XLS"}</definedName>
    <definedName name="retetrt" localSheetId="1" hidden="1">{#N/A,#N/A,TRUE,"Front";#N/A,#N/A,TRUE,"Simple Letter";#N/A,#N/A,TRUE,"Inside";#N/A,#N/A,TRUE,"Contents";#N/A,#N/A,TRUE,"Basis";#N/A,#N/A,TRUE,"Inclusions";#N/A,#N/A,TRUE,"Exclusions";#N/A,#N/A,TRUE,"Areas";#N/A,#N/A,TRUE,"Summary";#N/A,#N/A,TRUE,"Detail"}</definedName>
    <definedName name="retetrt" localSheetId="0" hidden="1">{#N/A,#N/A,TRUE,"Front";#N/A,#N/A,TRUE,"Simple Letter";#N/A,#N/A,TRUE,"Inside";#N/A,#N/A,TRUE,"Contents";#N/A,#N/A,TRUE,"Basis";#N/A,#N/A,TRUE,"Inclusions";#N/A,#N/A,TRUE,"Exclusions";#N/A,#N/A,TRUE,"Areas";#N/A,#N/A,TRUE,"Summary";#N/A,#N/A,TRUE,"Detail"}</definedName>
    <definedName name="retetrt" hidden="1">{#N/A,#N/A,TRUE,"Front";#N/A,#N/A,TRUE,"Simple Letter";#N/A,#N/A,TRUE,"Inside";#N/A,#N/A,TRUE,"Contents";#N/A,#N/A,TRUE,"Basis";#N/A,#N/A,TRUE,"Inclusions";#N/A,#N/A,TRUE,"Exclusions";#N/A,#N/A,TRUE,"Areas";#N/A,#N/A,TRUE,"Summary";#N/A,#N/A,TRUE,"Detail"}</definedName>
    <definedName name="reu" localSheetId="1" hidden="1">{#N/A,#N/A,FALSE,"gc (2)"}</definedName>
    <definedName name="reu" localSheetId="0" hidden="1">{#N/A,#N/A,FALSE,"gc (2)"}</definedName>
    <definedName name="reu" hidden="1">{#N/A,#N/A,FALSE,"gc (2)"}</definedName>
    <definedName name="reuse" localSheetId="1" hidden="1">{#N/A,#N/A,FALSE,"mgtsum.XLS";#N/A,#N/A,FALSE,"CAPONE";#N/A,#N/A,FALSE,"CAPTWO";#N/A,#N/A,FALSE,"CAPTHREE"}</definedName>
    <definedName name="reuse" localSheetId="0" hidden="1">{#N/A,#N/A,FALSE,"mgtsum.XLS";#N/A,#N/A,FALSE,"CAPONE";#N/A,#N/A,FALSE,"CAPTWO";#N/A,#N/A,FALSE,"CAPTHREE"}</definedName>
    <definedName name="reuse" hidden="1">{#N/A,#N/A,FALSE,"mgtsum.XLS";#N/A,#N/A,FALSE,"CAPONE";#N/A,#N/A,FALSE,"CAPTWO";#N/A,#N/A,FALSE,"CAPTHREE"}</definedName>
    <definedName name="reya" localSheetId="1" hidden="1">{"office ltcg",#N/A,FALSE,"gain01";"IT LTCG",#N/A,FALSE,"gain01"}</definedName>
    <definedName name="reya" localSheetId="0" hidden="1">{"office ltcg",#N/A,FALSE,"gain01";"IT LTCG",#N/A,FALSE,"gain01"}</definedName>
    <definedName name="reya" hidden="1">{"office ltcg",#N/A,FALSE,"gain01";"IT LTCG",#N/A,FALSE,"gain01"}</definedName>
    <definedName name="ripal" localSheetId="1" hidden="1">{#N/A,#N/A,FALSE,"gc (2)"}</definedName>
    <definedName name="ripal" localSheetId="0" hidden="1">{#N/A,#N/A,FALSE,"gc (2)"}</definedName>
    <definedName name="ripal" hidden="1">{#N/A,#N/A,FALSE,"gc (2)"}</definedName>
    <definedName name="RiskAfterRecalcMacro" hidden="1">""</definedName>
    <definedName name="RiskAfterSimMacro" hidden="1">""</definedName>
    <definedName name="RiskBeforeRecalcMacro" hidden="1">""</definedName>
    <definedName name="RiskBeforeSimMacro" hidden="1">""</definedName>
    <definedName name="RiskHasSettings" localSheetId="1" hidden="1">5</definedName>
    <definedName name="RiskHasSettings" localSheetId="0" hidden="1">5</definedName>
    <definedName name="RiskMonitorConvergence" localSheetId="1" hidden="1">TRUE</definedName>
    <definedName name="RiskMonitorConvergence" localSheetId="0" hidden="1">TRUE</definedName>
    <definedName name="RiskMultipleCPUSupportEnabled" hidden="1">TRUE</definedName>
    <definedName name="RiskNumIterations" localSheetId="1" hidden="1">-1</definedName>
    <definedName name="RiskNumIterations" localSheetId="0" hidden="1">-1</definedName>
    <definedName name="RiskStandardRecalc" localSheetId="1" hidden="1">2</definedName>
    <definedName name="RiskStandardRecalc" localSheetId="0" hidden="1">2</definedName>
    <definedName name="RiskUseMultipleCPUs" localSheetId="1" hidden="1">TRUE</definedName>
    <definedName name="RiskUseMultipleCPUs" localSheetId="0" hidden="1">TRUE</definedName>
    <definedName name="rmr" localSheetId="1" hidden="1">{#N/A,#N/A,TRUE,"Front";#N/A,#N/A,TRUE,"Simple Letter";#N/A,#N/A,TRUE,"Inside";#N/A,#N/A,TRUE,"Contents";#N/A,#N/A,TRUE,"Basis";#N/A,#N/A,TRUE,"Inclusions";#N/A,#N/A,TRUE,"Exclusions";#N/A,#N/A,TRUE,"Areas";#N/A,#N/A,TRUE,"Summary";#N/A,#N/A,TRUE,"Detail"}</definedName>
    <definedName name="rmr" localSheetId="0" hidden="1">{#N/A,#N/A,TRUE,"Front";#N/A,#N/A,TRUE,"Simple Letter";#N/A,#N/A,TRUE,"Inside";#N/A,#N/A,TRUE,"Contents";#N/A,#N/A,TRUE,"Basis";#N/A,#N/A,TRUE,"Inclusions";#N/A,#N/A,TRUE,"Exclusions";#N/A,#N/A,TRUE,"Areas";#N/A,#N/A,TRUE,"Summary";#N/A,#N/A,TRUE,"Detail"}</definedName>
    <definedName name="rsdec" localSheetId="1" hidden="1">{#N/A,#N/A,TRUE,"Front";#N/A,#N/A,TRUE,"Simple Letter";#N/A,#N/A,TRUE,"Inside";#N/A,#N/A,TRUE,"Contents";#N/A,#N/A,TRUE,"Basis";#N/A,#N/A,TRUE,"Inclusions";#N/A,#N/A,TRUE,"Exclusions";#N/A,#N/A,TRUE,"Areas";#N/A,#N/A,TRUE,"Summary";#N/A,#N/A,TRUE,"Detail"}</definedName>
    <definedName name="rsdec" localSheetId="0" hidden="1">{#N/A,#N/A,TRUE,"Front";#N/A,#N/A,TRUE,"Simple Letter";#N/A,#N/A,TRUE,"Inside";#N/A,#N/A,TRUE,"Contents";#N/A,#N/A,TRUE,"Basis";#N/A,#N/A,TRUE,"Inclusions";#N/A,#N/A,TRUE,"Exclusions";#N/A,#N/A,TRUE,"Areas";#N/A,#N/A,TRUE,"Summary";#N/A,#N/A,TRUE,"Detail"}</definedName>
    <definedName name="rsdec" hidden="1">{#N/A,#N/A,TRUE,"Front";#N/A,#N/A,TRUE,"Simple Letter";#N/A,#N/A,TRUE,"Inside";#N/A,#N/A,TRUE,"Contents";#N/A,#N/A,TRUE,"Basis";#N/A,#N/A,TRUE,"Inclusions";#N/A,#N/A,TRUE,"Exclusions";#N/A,#N/A,TRUE,"Areas";#N/A,#N/A,TRUE,"Summary";#N/A,#N/A,TRUE,"Detail"}</definedName>
    <definedName name="rtg" localSheetId="1" hidden="1">{#N/A,#N/A,TRUE,"Front";#N/A,#N/A,TRUE,"Simple Letter";#N/A,#N/A,TRUE,"Inside";#N/A,#N/A,TRUE,"Contents";#N/A,#N/A,TRUE,"Basis";#N/A,#N/A,TRUE,"Inclusions";#N/A,#N/A,TRUE,"Exclusions";#N/A,#N/A,TRUE,"Areas";#N/A,#N/A,TRUE,"Summary";#N/A,#N/A,TRUE,"Detail"}</definedName>
    <definedName name="rtg" localSheetId="0" hidden="1">{#N/A,#N/A,TRUE,"Front";#N/A,#N/A,TRUE,"Simple Letter";#N/A,#N/A,TRUE,"Inside";#N/A,#N/A,TRUE,"Contents";#N/A,#N/A,TRUE,"Basis";#N/A,#N/A,TRUE,"Inclusions";#N/A,#N/A,TRUE,"Exclusions";#N/A,#N/A,TRUE,"Areas";#N/A,#N/A,TRUE,"Summary";#N/A,#N/A,TRUE,"Detail"}</definedName>
    <definedName name="rtg" hidden="1">{#N/A,#N/A,TRUE,"Front";#N/A,#N/A,TRUE,"Simple Letter";#N/A,#N/A,TRUE,"Inside";#N/A,#N/A,TRUE,"Contents";#N/A,#N/A,TRUE,"Basis";#N/A,#N/A,TRUE,"Inclusions";#N/A,#N/A,TRUE,"Exclusions";#N/A,#N/A,TRUE,"Areas";#N/A,#N/A,TRUE,"Summary";#N/A,#N/A,TRUE,"Detail"}</definedName>
    <definedName name="rtrr" localSheetId="1" hidden="1">{#N/A,#N/A,TRUE,"Front";#N/A,#N/A,TRUE,"Simple Letter";#N/A,#N/A,TRUE,"Inside";#N/A,#N/A,TRUE,"Contents";#N/A,#N/A,TRUE,"Basis";#N/A,#N/A,TRUE,"Inclusions";#N/A,#N/A,TRUE,"Exclusions";#N/A,#N/A,TRUE,"Areas";#N/A,#N/A,TRUE,"Summary";#N/A,#N/A,TRUE,"Detail"}</definedName>
    <definedName name="rtrr" localSheetId="0" hidden="1">{#N/A,#N/A,TRUE,"Front";#N/A,#N/A,TRUE,"Simple Letter";#N/A,#N/A,TRUE,"Inside";#N/A,#N/A,TRUE,"Contents";#N/A,#N/A,TRUE,"Basis";#N/A,#N/A,TRUE,"Inclusions";#N/A,#N/A,TRUE,"Exclusions";#N/A,#N/A,TRUE,"Areas";#N/A,#N/A,TRUE,"Summary";#N/A,#N/A,TRUE,"Detail"}</definedName>
    <definedName name="rtrr" hidden="1">{#N/A,#N/A,TRUE,"Front";#N/A,#N/A,TRUE,"Simple Letter";#N/A,#N/A,TRUE,"Inside";#N/A,#N/A,TRUE,"Contents";#N/A,#N/A,TRUE,"Basis";#N/A,#N/A,TRUE,"Inclusions";#N/A,#N/A,TRUE,"Exclusions";#N/A,#N/A,TRUE,"Areas";#N/A,#N/A,TRUE,"Summary";#N/A,#N/A,TRUE,"Detail"}</definedName>
    <definedName name="rtrt" localSheetId="1" hidden="1">{#N/A,#N/A,TRUE,"Front";#N/A,#N/A,TRUE,"Simple Letter";#N/A,#N/A,TRUE,"Inside";#N/A,#N/A,TRUE,"Contents";#N/A,#N/A,TRUE,"Basis";#N/A,#N/A,TRUE,"Inclusions";#N/A,#N/A,TRUE,"Exclusions";#N/A,#N/A,TRUE,"Areas";#N/A,#N/A,TRUE,"Summary";#N/A,#N/A,TRUE,"Detail"}</definedName>
    <definedName name="rtrt" localSheetId="0" hidden="1">{#N/A,#N/A,TRUE,"Front";#N/A,#N/A,TRUE,"Simple Letter";#N/A,#N/A,TRUE,"Inside";#N/A,#N/A,TRUE,"Contents";#N/A,#N/A,TRUE,"Basis";#N/A,#N/A,TRUE,"Inclusions";#N/A,#N/A,TRUE,"Exclusions";#N/A,#N/A,TRUE,"Areas";#N/A,#N/A,TRUE,"Summary";#N/A,#N/A,TRUE,"Detail"}</definedName>
    <definedName name="rtrt" hidden="1">{#N/A,#N/A,TRUE,"Front";#N/A,#N/A,TRUE,"Simple Letter";#N/A,#N/A,TRUE,"Inside";#N/A,#N/A,TRUE,"Contents";#N/A,#N/A,TRUE,"Basis";#N/A,#N/A,TRUE,"Inclusions";#N/A,#N/A,TRUE,"Exclusions";#N/A,#N/A,TRUE,"Areas";#N/A,#N/A,TRUE,"Summary";#N/A,#N/A,TRUE,"Detail"}</definedName>
    <definedName name="RTTRTRTR"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ule" hidden="1">#REF!</definedName>
    <definedName name="rwere" localSheetId="1" hidden="1">{#N/A,#N/A,FALSE,"COVER1.XLS ";#N/A,#N/A,FALSE,"RACT1.XLS";#N/A,#N/A,FALSE,"RACT2.XLS";#N/A,#N/A,FALSE,"ECCMP";#N/A,#N/A,FALSE,"WELDER.XLS"}</definedName>
    <definedName name="rwere" localSheetId="0" hidden="1">{#N/A,#N/A,FALSE,"COVER1.XLS ";#N/A,#N/A,FALSE,"RACT1.XLS";#N/A,#N/A,FALSE,"RACT2.XLS";#N/A,#N/A,FALSE,"ECCMP";#N/A,#N/A,FALSE,"WELDER.XLS"}</definedName>
    <definedName name="rwere" hidden="1">{#N/A,#N/A,FALSE,"COVER1.XLS ";#N/A,#N/A,FALSE,"RACT1.XLS";#N/A,#N/A,FALSE,"RACT2.XLS";#N/A,#N/A,FALSE,"ECCMP";#N/A,#N/A,FALSE,"WELDER.XLS"}</definedName>
    <definedName name="sadfdasf" hidden="1">#REF!</definedName>
    <definedName name="SAFSF" localSheetId="1" hidden="1">{#N/A,#N/A,FALSE,"mgtsum.XLS";#N/A,#N/A,FALSE,"CAPONE";#N/A,#N/A,FALSE,"CAPTWO";#N/A,#N/A,FALSE,"CAPTHREE"}</definedName>
    <definedName name="SAFSF" localSheetId="0" hidden="1">{#N/A,#N/A,FALSE,"mgtsum.XLS";#N/A,#N/A,FALSE,"CAPONE";#N/A,#N/A,FALSE,"CAPTWO";#N/A,#N/A,FALSE,"CAPTHREE"}</definedName>
    <definedName name="SAFSF" hidden="1">{#N/A,#N/A,FALSE,"mgtsum.XLS";#N/A,#N/A,FALSE,"CAPONE";#N/A,#N/A,FALSE,"CAPTWO";#N/A,#N/A,FALSE,"CAPTHREE"}</definedName>
    <definedName name="sagdhag" localSheetId="1" hidden="1">{#N/A,#N/A,FALSE,"COVER1.XLS ";#N/A,#N/A,FALSE,"RACT1.XLS";#N/A,#N/A,FALSE,"RACT2.XLS";#N/A,#N/A,FALSE,"ECCMP";#N/A,#N/A,FALSE,"WELDER.XLS"}</definedName>
    <definedName name="sagdhag" localSheetId="0" hidden="1">{#N/A,#N/A,FALSE,"COVER1.XLS ";#N/A,#N/A,FALSE,"RACT1.XLS";#N/A,#N/A,FALSE,"RACT2.XLS";#N/A,#N/A,FALSE,"ECCMP";#N/A,#N/A,FALSE,"WELDER.XLS"}</definedName>
    <definedName name="sagdhag" hidden="1">{#N/A,#N/A,FALSE,"COVER1.XLS ";#N/A,#N/A,FALSE,"RACT1.XLS";#N/A,#N/A,FALSE,"RACT2.XLS";#N/A,#N/A,FALSE,"ECCMP";#N/A,#N/A,FALSE,"WELDER.XLS"}</definedName>
    <definedName name="sanju" localSheetId="1" hidden="1">{"office ltcg",#N/A,FALSE,"gain01";"IT LTCG",#N/A,FALSE,"gain01"}</definedName>
    <definedName name="sanju" localSheetId="0" hidden="1">{"office ltcg",#N/A,FALSE,"gain01";"IT LTCG",#N/A,FALSE,"gain01"}</definedName>
    <definedName name="sanju" hidden="1">{"office ltcg",#N/A,FALSE,"gain01";"IT LTCG",#N/A,FALSE,"gain01"}</definedName>
    <definedName name="SAPBEXrevision" hidden="1">3</definedName>
    <definedName name="SAPBEXsysID" hidden="1">"B2P"</definedName>
    <definedName name="SAPBEXwbID" hidden="1">"9AZDQ7N19SPMY2O3UTHJ159PW"</definedName>
    <definedName name="Saski" localSheetId="1" hidden="1">{"COM",#N/A,FALSE,"800 10th"}</definedName>
    <definedName name="Saski" localSheetId="0" hidden="1">{"COM",#N/A,FALSE,"800 10th"}</definedName>
    <definedName name="Saski" hidden="1">{"COM",#N/A,FALSE,"800 10th"}</definedName>
    <definedName name="Scorecard" localSheetId="1" hidden="1">{"COM",#N/A,FALSE,"800 10th"}</definedName>
    <definedName name="Scorecard" localSheetId="0" hidden="1">{"COM",#N/A,FALSE,"800 10th"}</definedName>
    <definedName name="Scorecard" hidden="1">{"COM",#N/A,FALSE,"800 10th"}</definedName>
    <definedName name="SCREED" localSheetId="1" hidden="1">{#N/A,#N/A,TRUE,"Front";#N/A,#N/A,TRUE,"Simple Letter";#N/A,#N/A,TRUE,"Inside";#N/A,#N/A,TRUE,"Contents";#N/A,#N/A,TRUE,"Basis";#N/A,#N/A,TRUE,"Inclusions";#N/A,#N/A,TRUE,"Exclusions";#N/A,#N/A,TRUE,"Areas";#N/A,#N/A,TRUE,"Summary";#N/A,#N/A,TRUE,"Detail"}</definedName>
    <definedName name="SCREED" localSheetId="0" hidden="1">{#N/A,#N/A,TRUE,"Front";#N/A,#N/A,TRUE,"Simple Letter";#N/A,#N/A,TRUE,"Inside";#N/A,#N/A,TRUE,"Contents";#N/A,#N/A,TRUE,"Basis";#N/A,#N/A,TRUE,"Inclusions";#N/A,#N/A,TRUE,"Exclusions";#N/A,#N/A,TRUE,"Areas";#N/A,#N/A,TRUE,"Summary";#N/A,#N/A,TRUE,"Detail"}</definedName>
    <definedName name="sdad" hidden="1">#N/A</definedName>
    <definedName name="SDAF" localSheetId="1" hidden="1">{#N/A,#N/A,FALSE,"mgtsum.XLS";#N/A,#N/A,FALSE,"CAPONE";#N/A,#N/A,FALSE,"CAPTWO";#N/A,#N/A,FALSE,"CAPTHREE"}</definedName>
    <definedName name="SDAF" localSheetId="0" hidden="1">{#N/A,#N/A,FALSE,"mgtsum.XLS";#N/A,#N/A,FALSE,"CAPONE";#N/A,#N/A,FALSE,"CAPTWO";#N/A,#N/A,FALSE,"CAPTHREE"}</definedName>
    <definedName name="SDAF" hidden="1">{#N/A,#N/A,FALSE,"mgtsum.XLS";#N/A,#N/A,FALSE,"CAPONE";#N/A,#N/A,FALSE,"CAPTWO";#N/A,#N/A,FALSE,"CAPTHREE"}</definedName>
    <definedName name="sdd" localSheetId="1" hidden="1">{#N/A,#N/A,TRUE,"Front";#N/A,#N/A,TRUE,"Simple Letter";#N/A,#N/A,TRUE,"Inside";#N/A,#N/A,TRUE,"Contents";#N/A,#N/A,TRUE,"Basis";#N/A,#N/A,TRUE,"Inclusions";#N/A,#N/A,TRUE,"Exclusions";#N/A,#N/A,TRUE,"Areas";#N/A,#N/A,TRUE,"Summary";#N/A,#N/A,TRUE,"Detail"}</definedName>
    <definedName name="sdd" localSheetId="0" hidden="1">{#N/A,#N/A,TRUE,"Front";#N/A,#N/A,TRUE,"Simple Letter";#N/A,#N/A,TRUE,"Inside";#N/A,#N/A,TRUE,"Contents";#N/A,#N/A,TRUE,"Basis";#N/A,#N/A,TRUE,"Inclusions";#N/A,#N/A,TRUE,"Exclusions";#N/A,#N/A,TRUE,"Areas";#N/A,#N/A,TRUE,"Summary";#N/A,#N/A,TRUE,"Detail"}</definedName>
    <definedName name="sdd" hidden="1">{#N/A,#N/A,TRUE,"Front";#N/A,#N/A,TRUE,"Simple Letter";#N/A,#N/A,TRUE,"Inside";#N/A,#N/A,TRUE,"Contents";#N/A,#N/A,TRUE,"Basis";#N/A,#N/A,TRUE,"Inclusions";#N/A,#N/A,TRUE,"Exclusions";#N/A,#N/A,TRUE,"Areas";#N/A,#N/A,TRUE,"Summary";#N/A,#N/A,TRUE,"Detail"}</definedName>
    <definedName name="sdfd" localSheetId="1" hidden="1">{#N/A,#N/A,TRUE,"Projektierung";#N/A,#N/A,TRUE,"Grundgerät";#N/A,#N/A,TRUE,"Baugruppen"}</definedName>
    <definedName name="sdfd" localSheetId="0" hidden="1">{#N/A,#N/A,TRUE,"Projektierung";#N/A,#N/A,TRUE,"Grundgerät";#N/A,#N/A,TRUE,"Baugruppen"}</definedName>
    <definedName name="sdfd" hidden="1">{#N/A,#N/A,TRUE,"Projektierung";#N/A,#N/A,TRUE,"Grundgerät";#N/A,#N/A,TRUE,"Baugruppen"}</definedName>
    <definedName name="sds" hidden="1">#REF!</definedName>
    <definedName name="sdsdsds" localSheetId="1" hidden="1">{#N/A,#N/A,TRUE,"Front";#N/A,#N/A,TRUE,"Simple Letter";#N/A,#N/A,TRUE,"Inside";#N/A,#N/A,TRUE,"Contents";#N/A,#N/A,TRUE,"Basis";#N/A,#N/A,TRUE,"Inclusions";#N/A,#N/A,TRUE,"Exclusions";#N/A,#N/A,TRUE,"Areas";#N/A,#N/A,TRUE,"Summary";#N/A,#N/A,TRUE,"Detail"}</definedName>
    <definedName name="sdsdsds" localSheetId="0" hidden="1">{#N/A,#N/A,TRUE,"Front";#N/A,#N/A,TRUE,"Simple Letter";#N/A,#N/A,TRUE,"Inside";#N/A,#N/A,TRUE,"Contents";#N/A,#N/A,TRUE,"Basis";#N/A,#N/A,TRUE,"Inclusions";#N/A,#N/A,TRUE,"Exclusions";#N/A,#N/A,TRUE,"Areas";#N/A,#N/A,TRUE,"Summary";#N/A,#N/A,TRUE,"Detail"}</definedName>
    <definedName name="sdsdsds" hidden="1">{#N/A,#N/A,TRUE,"Front";#N/A,#N/A,TRUE,"Simple Letter";#N/A,#N/A,TRUE,"Inside";#N/A,#N/A,TRUE,"Contents";#N/A,#N/A,TRUE,"Basis";#N/A,#N/A,TRUE,"Inclusions";#N/A,#N/A,TRUE,"Exclusions";#N/A,#N/A,TRUE,"Areas";#N/A,#N/A,TRUE,"Summary";#N/A,#N/A,TRUE,"Detail"}</definedName>
    <definedName name="sfdgfd" hidden="1">#REF!</definedName>
    <definedName name="sgrg" hidden="1">#REF!</definedName>
    <definedName name="Sheet2" localSheetId="1" hidden="1">{#N/A,#N/A,TRUE,"Front";#N/A,#N/A,TRUE,"Simple Letter";#N/A,#N/A,TRUE,"Inside";#N/A,#N/A,TRUE,"Contents";#N/A,#N/A,TRUE,"Basis";#N/A,#N/A,TRUE,"Inclusions";#N/A,#N/A,TRUE,"Exclusions";#N/A,#N/A,TRUE,"Areas";#N/A,#N/A,TRUE,"Summary";#N/A,#N/A,TRUE,"Detail"}</definedName>
    <definedName name="Sheet2" localSheetId="0" hidden="1">{#N/A,#N/A,TRUE,"Front";#N/A,#N/A,TRUE,"Simple Letter";#N/A,#N/A,TRUE,"Inside";#N/A,#N/A,TRUE,"Contents";#N/A,#N/A,TRUE,"Basis";#N/A,#N/A,TRUE,"Inclusions";#N/A,#N/A,TRUE,"Exclusions";#N/A,#N/A,TRUE,"Areas";#N/A,#N/A,TRUE,"Summary";#N/A,#N/A,TRUE,"Detail"}</definedName>
    <definedName name="Sheet2" hidden="1">{#N/A,#N/A,TRUE,"Front";#N/A,#N/A,TRUE,"Simple Letter";#N/A,#N/A,TRUE,"Inside";#N/A,#N/A,TRUE,"Contents";#N/A,#N/A,TRUE,"Basis";#N/A,#N/A,TRUE,"Inclusions";#N/A,#N/A,TRUE,"Exclusions";#N/A,#N/A,TRUE,"Areas";#N/A,#N/A,TRUE,"Summary";#N/A,#N/A,TRUE,"Detail"}</definedName>
    <definedName name="Sheet2_1" localSheetId="1" hidden="1">{#N/A,#N/A,TRUE,"Front";#N/A,#N/A,TRUE,"Simple Letter";#N/A,#N/A,TRUE,"Inside";#N/A,#N/A,TRUE,"Contents";#N/A,#N/A,TRUE,"Basis";#N/A,#N/A,TRUE,"Inclusions";#N/A,#N/A,TRUE,"Exclusions";#N/A,#N/A,TRUE,"Areas";#N/A,#N/A,TRUE,"Summary";#N/A,#N/A,TRUE,"Detail"}</definedName>
    <definedName name="Sheet2_1" localSheetId="0" hidden="1">{#N/A,#N/A,TRUE,"Front";#N/A,#N/A,TRUE,"Simple Letter";#N/A,#N/A,TRUE,"Inside";#N/A,#N/A,TRUE,"Contents";#N/A,#N/A,TRUE,"Basis";#N/A,#N/A,TRUE,"Inclusions";#N/A,#N/A,TRUE,"Exclusions";#N/A,#N/A,TRUE,"Areas";#N/A,#N/A,TRUE,"Summary";#N/A,#N/A,TRUE,"Detail"}</definedName>
    <definedName name="Sheet2_1" hidden="1">{#N/A,#N/A,TRUE,"Front";#N/A,#N/A,TRUE,"Simple Letter";#N/A,#N/A,TRUE,"Inside";#N/A,#N/A,TRUE,"Contents";#N/A,#N/A,TRUE,"Basis";#N/A,#N/A,TRUE,"Inclusions";#N/A,#N/A,TRUE,"Exclusions";#N/A,#N/A,TRUE,"Areas";#N/A,#N/A,TRUE,"Summary";#N/A,#N/A,TRUE,"Detail"}</definedName>
    <definedName name="short" localSheetId="1" hidden="1">{#N/A,#N/A,FALSE,"COVER1.XLS ";#N/A,#N/A,FALSE,"RACT1.XLS";#N/A,#N/A,FALSE,"RACT2.XLS";#N/A,#N/A,FALSE,"ECCMP";#N/A,#N/A,FALSE,"WELDER.XLS"}</definedName>
    <definedName name="short" localSheetId="0" hidden="1">{#N/A,#N/A,FALSE,"COVER1.XLS ";#N/A,#N/A,FALSE,"RACT1.XLS";#N/A,#N/A,FALSE,"RACT2.XLS";#N/A,#N/A,FALSE,"ECCMP";#N/A,#N/A,FALSE,"WELDER.XLS"}</definedName>
    <definedName name="short" hidden="1">{#N/A,#N/A,FALSE,"COVER1.XLS ";#N/A,#N/A,FALSE,"RACT1.XLS";#N/A,#N/A,FALSE,"RACT2.XLS";#N/A,#N/A,FALSE,"ECCMP";#N/A,#N/A,FALSE,"WELDER.XLS"}</definedName>
    <definedName name="Show.Acct.Update.Warning" hidden="1">#REF!</definedName>
    <definedName name="Show.MDB.Update.Warning" hidden="1">#REF!</definedName>
    <definedName name="shuttering" localSheetId="1" hidden="1">{#N/A,#N/A,TRUE,"Front";#N/A,#N/A,TRUE,"Simple Letter";#N/A,#N/A,TRUE,"Inside";#N/A,#N/A,TRUE,"Contents";#N/A,#N/A,TRUE,"Basis";#N/A,#N/A,TRUE,"Inclusions";#N/A,#N/A,TRUE,"Exclusions";#N/A,#N/A,TRUE,"Areas";#N/A,#N/A,TRUE,"Summary";#N/A,#N/A,TRUE,"Detail"}</definedName>
    <definedName name="shuttering" localSheetId="0" hidden="1">{#N/A,#N/A,TRUE,"Front";#N/A,#N/A,TRUE,"Simple Letter";#N/A,#N/A,TRUE,"Inside";#N/A,#N/A,TRUE,"Contents";#N/A,#N/A,TRUE,"Basis";#N/A,#N/A,TRUE,"Inclusions";#N/A,#N/A,TRUE,"Exclusions";#N/A,#N/A,TRUE,"Areas";#N/A,#N/A,TRUE,"Summary";#N/A,#N/A,TRUE,"Detail"}</definedName>
    <definedName name="shuttering" hidden="1">{#N/A,#N/A,TRUE,"Front";#N/A,#N/A,TRUE,"Simple Letter";#N/A,#N/A,TRUE,"Inside";#N/A,#N/A,TRUE,"Contents";#N/A,#N/A,TRUE,"Basis";#N/A,#N/A,TRUE,"Inclusions";#N/A,#N/A,TRUE,"Exclusions";#N/A,#N/A,TRUE,"Areas";#N/A,#N/A,TRUE,"Summary";#N/A,#N/A,TRUE,"Detail"}</definedName>
    <definedName name="Sjdg" hidden="1">{#N/A,#N/A,TRUE,"Front";#N/A,#N/A,TRUE,"Simple Letter";#N/A,#N/A,TRUE,"Inside";#N/A,#N/A,TRUE,"Contents";#N/A,#N/A,TRUE,"Basis";#N/A,#N/A,TRUE,"Inclusions";#N/A,#N/A,TRUE,"Exclusions";#N/A,#N/A,TRUE,"Areas";#N/A,#N/A,TRUE,"Summary";#N/A,#N/A,TRUE,"Detail"}</definedName>
    <definedName name="sk"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a" localSheetId="1" hidden="1">{#N/A,#N/A,TRUE,"Front";#N/A,#N/A,TRUE,"Simple Letter";#N/A,#N/A,TRUE,"Inside";#N/A,#N/A,TRUE,"Contents";#N/A,#N/A,TRUE,"Basis";#N/A,#N/A,TRUE,"Inclusions";#N/A,#N/A,TRUE,"Exclusions";#N/A,#N/A,TRUE,"Areas";#N/A,#N/A,TRUE,"Summary";#N/A,#N/A,TRUE,"Detail"}</definedName>
    <definedName name="ska" localSheetId="0" hidden="1">{#N/A,#N/A,TRUE,"Front";#N/A,#N/A,TRUE,"Simple Letter";#N/A,#N/A,TRUE,"Inside";#N/A,#N/A,TRUE,"Contents";#N/A,#N/A,TRUE,"Basis";#N/A,#N/A,TRUE,"Inclusions";#N/A,#N/A,TRUE,"Exclusions";#N/A,#N/A,TRUE,"Areas";#N/A,#N/A,TRUE,"Summary";#N/A,#N/A,TRUE,"Detail"}</definedName>
    <definedName name="ska" hidden="1">{#N/A,#N/A,TRUE,"Front";#N/A,#N/A,TRUE,"Simple Letter";#N/A,#N/A,TRUE,"Inside";#N/A,#N/A,TRUE,"Contents";#N/A,#N/A,TRUE,"Basis";#N/A,#N/A,TRUE,"Inclusions";#N/A,#N/A,TRUE,"Exclusions";#N/A,#N/A,TRUE,"Areas";#N/A,#N/A,TRUE,"Summary";#N/A,#N/A,TRUE,"Detail"}</definedName>
    <definedName name="skq" localSheetId="1" hidden="1">{#N/A,#N/A,TRUE,"Front";#N/A,#N/A,TRUE,"Simple Letter";#N/A,#N/A,TRUE,"Inside";#N/A,#N/A,TRUE,"Contents";#N/A,#N/A,TRUE,"Basis";#N/A,#N/A,TRUE,"Inclusions";#N/A,#N/A,TRUE,"Exclusions";#N/A,#N/A,TRUE,"Areas";#N/A,#N/A,TRUE,"Summary";#N/A,#N/A,TRUE,"Detail"}</definedName>
    <definedName name="skq" localSheetId="0"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snj" localSheetId="1" hidden="1">{#N/A,#N/A,FALSE,"PSU"}</definedName>
    <definedName name="snj" localSheetId="0" hidden="1">{#N/A,#N/A,FALSE,"PSU"}</definedName>
    <definedName name="snj" hidden="1">{#N/A,#N/A,FALSE,"PSU"}</definedName>
    <definedName name="soasia" hidden="1">#REF!</definedName>
    <definedName name="soo" hidden="1">#REF!</definedName>
    <definedName name="SpecialPrice" hidden="1">#REF!</definedName>
    <definedName name="SRB" localSheetId="1" hidden="1">{"'Sheet1'!$A$4386:$N$4591"}</definedName>
    <definedName name="SRB" localSheetId="0" hidden="1">{"'Sheet1'!$A$4386:$N$4591"}</definedName>
    <definedName name="SRB" hidden="1">{"'Sheet1'!$A$4386:$N$4591"}</definedName>
    <definedName name="srgerherherhej" localSheetId="1" hidden="1">{#N/A,#N/A,TRUE,"Front";#N/A,#N/A,TRUE,"Simple Letter";#N/A,#N/A,TRUE,"Inside";#N/A,#N/A,TRUE,"Contents";#N/A,#N/A,TRUE,"Basis";#N/A,#N/A,TRUE,"Inclusions";#N/A,#N/A,TRUE,"Exclusions";#N/A,#N/A,TRUE,"Areas";#N/A,#N/A,TRUE,"Summary";#N/A,#N/A,TRUE,"Detail"}</definedName>
    <definedName name="srgerherherhej" localSheetId="0" hidden="1">{#N/A,#N/A,TRUE,"Front";#N/A,#N/A,TRUE,"Simple Letter";#N/A,#N/A,TRUE,"Inside";#N/A,#N/A,TRUE,"Contents";#N/A,#N/A,TRUE,"Basis";#N/A,#N/A,TRUE,"Inclusions";#N/A,#N/A,TRUE,"Exclusions";#N/A,#N/A,TRUE,"Areas";#N/A,#N/A,TRUE,"Summary";#N/A,#N/A,TRUE,"Detail"}</definedName>
    <definedName name="srgerherherhej" hidden="1">{#N/A,#N/A,TRUE,"Front";#N/A,#N/A,TRUE,"Simple Letter";#N/A,#N/A,TRUE,"Inside";#N/A,#N/A,TRUE,"Contents";#N/A,#N/A,TRUE,"Basis";#N/A,#N/A,TRUE,"Inclusions";#N/A,#N/A,TRUE,"Exclusions";#N/A,#N/A,TRUE,"Areas";#N/A,#N/A,TRUE,"Summary";#N/A,#N/A,TRUE,"Detail"}</definedName>
    <definedName name="ssfdd" localSheetId="1" hidden="1">{#N/A,#N/A,TRUE,"Vergabe-Regeln";#N/A,#N/A,TRUE,"Baugruppen";#N/A,#N/A,TRUE,"Geräte";#N/A,#N/A,TRUE,"PC-Software";#N/A,#N/A,TRUE,"Software";#N/A,#N/A,TRUE,"SW-Reg";#N/A,#N/A,TRUE,"Dokumentation"}</definedName>
    <definedName name="ssfdd" localSheetId="0" hidden="1">{#N/A,#N/A,TRUE,"Vergabe-Regeln";#N/A,#N/A,TRUE,"Baugruppen";#N/A,#N/A,TRUE,"Geräte";#N/A,#N/A,TRUE,"PC-Software";#N/A,#N/A,TRUE,"Software";#N/A,#N/A,TRUE,"SW-Reg";#N/A,#N/A,TRUE,"Dokumentation"}</definedName>
    <definedName name="ssfdd" hidden="1">{#N/A,#N/A,TRUE,"Vergabe-Regeln";#N/A,#N/A,TRUE,"Baugruppen";#N/A,#N/A,TRUE,"Geräte";#N/A,#N/A,TRUE,"PC-Software";#N/A,#N/A,TRUE,"Software";#N/A,#N/A,TRUE,"SW-Reg";#N/A,#N/A,TRUE,"Dokumentation"}</definedName>
    <definedName name="sssss" hidden="1">#REF!</definedName>
    <definedName name="SSWEWE" hidden="1">#REF!</definedName>
    <definedName name="stock02" localSheetId="1" hidden="1">{#N/A,#N/A,FALSE,"gc (2)"}</definedName>
    <definedName name="stock02" localSheetId="0" hidden="1">{#N/A,#N/A,FALSE,"gc (2)"}</definedName>
    <definedName name="stock02" hidden="1">{#N/A,#N/A,FALSE,"gc (2)"}</definedName>
    <definedName name="Su" localSheetId="1" hidden="1">{#N/A,#N/A,TRUE,"Vergabe-Regeln";#N/A,#N/A,TRUE,"Baugruppen";#N/A,#N/A,TRUE,"Geräte";#N/A,#N/A,TRUE,"PC-Software";#N/A,#N/A,TRUE,"Software";#N/A,#N/A,TRUE,"SW-Reg";#N/A,#N/A,TRUE,"Dokumentation"}</definedName>
    <definedName name="Su" localSheetId="0" hidden="1">{#N/A,#N/A,TRUE,"Vergabe-Regeln";#N/A,#N/A,TRUE,"Baugruppen";#N/A,#N/A,TRUE,"Geräte";#N/A,#N/A,TRUE,"PC-Software";#N/A,#N/A,TRUE,"Software";#N/A,#N/A,TRUE,"SW-Reg";#N/A,#N/A,TRUE,"Dokumentation"}</definedName>
    <definedName name="Su" hidden="1">{#N/A,#N/A,TRUE,"Vergabe-Regeln";#N/A,#N/A,TRUE,"Baugruppen";#N/A,#N/A,TRUE,"Geräte";#N/A,#N/A,TRUE,"PC-Software";#N/A,#N/A,TRUE,"Software";#N/A,#N/A,TRUE,"SW-Reg";#N/A,#N/A,TRUE,"Dokumentation"}</definedName>
    <definedName name="subh" localSheetId="1" hidden="1">{#N/A,#N/A,TRUE,"Vergabe-Regeln";#N/A,#N/A,TRUE,"Baugruppen";#N/A,#N/A,TRUE,"Geräte";#N/A,#N/A,TRUE,"PC-Software";#N/A,#N/A,TRUE,"Software";#N/A,#N/A,TRUE,"SW-Reg";#N/A,#N/A,TRUE,"Dokumentation"}</definedName>
    <definedName name="subh" localSheetId="0" hidden="1">{#N/A,#N/A,TRUE,"Vergabe-Regeln";#N/A,#N/A,TRUE,"Baugruppen";#N/A,#N/A,TRUE,"Geräte";#N/A,#N/A,TRUE,"PC-Software";#N/A,#N/A,TRUE,"Software";#N/A,#N/A,TRUE,"SW-Reg";#N/A,#N/A,TRUE,"Dokumentation"}</definedName>
    <definedName name="subh" hidden="1">{#N/A,#N/A,TRUE,"Vergabe-Regeln";#N/A,#N/A,TRUE,"Baugruppen";#N/A,#N/A,TRUE,"Geräte";#N/A,#N/A,TRUE,"PC-Software";#N/A,#N/A,TRUE,"Software";#N/A,#N/A,TRUE,"SW-Reg";#N/A,#N/A,TRUE,"Dokumentation"}</definedName>
    <definedName name="succ" localSheetId="1" hidden="1">{#N/A,#N/A,FALSE,"COVER1.XLS ";#N/A,#N/A,FALSE,"RACT1.XLS";#N/A,#N/A,FALSE,"RACT2.XLS";#N/A,#N/A,FALSE,"ECCMP";#N/A,#N/A,FALSE,"WELDER.XLS"}</definedName>
    <definedName name="succ" localSheetId="0" hidden="1">{#N/A,#N/A,FALSE,"COVER1.XLS ";#N/A,#N/A,FALSE,"RACT1.XLS";#N/A,#N/A,FALSE,"RACT2.XLS";#N/A,#N/A,FALSE,"ECCMP";#N/A,#N/A,FALSE,"WELDER.XLS"}</definedName>
    <definedName name="succ" hidden="1">{#N/A,#N/A,FALSE,"COVER1.XLS ";#N/A,#N/A,FALSE,"RACT1.XLS";#N/A,#N/A,FALSE,"RACT2.XLS";#N/A,#N/A,FALSE,"ECCMP";#N/A,#N/A,FALSE,"WELDER.XLS"}</definedName>
    <definedName name="Supplies" localSheetId="1" hidden="1">{#N/A,#N/A,FALSE,"PHASED";#N/A,#N/A,FALSE,"DETAIL OF SITE";#N/A,#N/A,FALSE,"MSTR SUMMARY";#N/A,#N/A,FALSE,"CAT1-16 SUMM";#N/A,#N/A,FALSE,"ELEVATOR";#N/A,#N/A,FALSE,"PHASE 2 COSTS"}</definedName>
    <definedName name="Supplies" localSheetId="0" hidden="1">{#N/A,#N/A,FALSE,"PHASED";#N/A,#N/A,FALSE,"DETAIL OF SITE";#N/A,#N/A,FALSE,"MSTR SUMMARY";#N/A,#N/A,FALSE,"CAT1-16 SUMM";#N/A,#N/A,FALSE,"ELEVATOR";#N/A,#N/A,FALSE,"PHASE 2 COSTS"}</definedName>
    <definedName name="Supplies" hidden="1">{#N/A,#N/A,FALSE,"PHASED";#N/A,#N/A,FALSE,"DETAIL OF SITE";#N/A,#N/A,FALSE,"MSTR SUMMARY";#N/A,#N/A,FALSE,"CAT1-16 SUMM";#N/A,#N/A,FALSE,"ELEVATOR";#N/A,#N/A,FALSE,"PHASE 2 COSTS"}</definedName>
    <definedName name="SVFFG" localSheetId="1" hidden="1">{#N/A,#N/A,TRUE,"Front";#N/A,#N/A,TRUE,"Simple Letter";#N/A,#N/A,TRUE,"Inside";#N/A,#N/A,TRUE,"Contents";#N/A,#N/A,TRUE,"Basis";#N/A,#N/A,TRUE,"Inclusions";#N/A,#N/A,TRUE,"Exclusions";#N/A,#N/A,TRUE,"Areas";#N/A,#N/A,TRUE,"Summary";#N/A,#N/A,TRUE,"Detail"}</definedName>
    <definedName name="SVFFG" localSheetId="0" hidden="1">{#N/A,#N/A,TRUE,"Front";#N/A,#N/A,TRUE,"Simple Letter";#N/A,#N/A,TRUE,"Inside";#N/A,#N/A,TRUE,"Contents";#N/A,#N/A,TRUE,"Basis";#N/A,#N/A,TRUE,"Inclusions";#N/A,#N/A,TRUE,"Exclusions";#N/A,#N/A,TRUE,"Areas";#N/A,#N/A,TRUE,"Summary";#N/A,#N/A,TRUE,"Detail"}</definedName>
    <definedName name="SVFFG" hidden="1">{#N/A,#N/A,TRUE,"Front";#N/A,#N/A,TRUE,"Simple Letter";#N/A,#N/A,TRUE,"Inside";#N/A,#N/A,TRUE,"Contents";#N/A,#N/A,TRUE,"Basis";#N/A,#N/A,TRUE,"Inclusions";#N/A,#N/A,TRUE,"Exclusions";#N/A,#N/A,TRUE,"Areas";#N/A,#N/A,TRUE,"Summary";#N/A,#N/A,TRUE,"Detail"}</definedName>
    <definedName name="SW" localSheetId="1" hidden="1">{#N/A,#N/A,TRUE,"Front";#N/A,#N/A,TRUE,"Simple Letter";#N/A,#N/A,TRUE,"Inside";#N/A,#N/A,TRUE,"Contents";#N/A,#N/A,TRUE,"Basis";#N/A,#N/A,TRUE,"Inclusions";#N/A,#N/A,TRUE,"Exclusions";#N/A,#N/A,TRUE,"Areas";#N/A,#N/A,TRUE,"Summary";#N/A,#N/A,TRUE,"Detail"}</definedName>
    <definedName name="SW" localSheetId="0" hidden="1">{#N/A,#N/A,TRUE,"Front";#N/A,#N/A,TRUE,"Simple Letter";#N/A,#N/A,TRUE,"Inside";#N/A,#N/A,TRUE,"Contents";#N/A,#N/A,TRUE,"Basis";#N/A,#N/A,TRUE,"Inclusions";#N/A,#N/A,TRUE,"Exclusions";#N/A,#N/A,TRUE,"Areas";#N/A,#N/A,TRUE,"Summary";#N/A,#N/A,TRUE,"Detail"}</definedName>
    <definedName name="SW" hidden="1">{#N/A,#N/A,TRUE,"Front";#N/A,#N/A,TRUE,"Simple Letter";#N/A,#N/A,TRUE,"Inside";#N/A,#N/A,TRUE,"Contents";#N/A,#N/A,TRUE,"Basis";#N/A,#N/A,TRUE,"Inclusions";#N/A,#N/A,TRUE,"Exclusions";#N/A,#N/A,TRUE,"Areas";#N/A,#N/A,TRUE,"Summary";#N/A,#N/A,TRUE,"Detail"}</definedName>
    <definedName name="TA" localSheetId="1" hidden="1">{#N/A,#N/A,TRUE,"Financials";#N/A,#N/A,TRUE,"Operating Statistics";#N/A,#N/A,TRUE,"Capex &amp; Depreciation";#N/A,#N/A,TRUE,"Debt"}</definedName>
    <definedName name="TA" localSheetId="0" hidden="1">{#N/A,#N/A,TRUE,"Financials";#N/A,#N/A,TRUE,"Operating Statistics";#N/A,#N/A,TRUE,"Capex &amp; Depreciation";#N/A,#N/A,TRUE,"Debt"}</definedName>
    <definedName name="TA" hidden="1">{#N/A,#N/A,TRUE,"Financials";#N/A,#N/A,TRUE,"Operating Statistics";#N/A,#N/A,TRUE,"Capex &amp; Depreciation";#N/A,#N/A,TRUE,"Debt"}</definedName>
    <definedName name="tab" localSheetId="1" hidden="1">{#N/A,#N/A,TRUE,"Front";#N/A,#N/A,TRUE,"Simple Letter";#N/A,#N/A,TRUE,"Inside";#N/A,#N/A,TRUE,"Contents";#N/A,#N/A,TRUE,"Basis";#N/A,#N/A,TRUE,"Inclusions";#N/A,#N/A,TRUE,"Exclusions";#N/A,#N/A,TRUE,"Areas";#N/A,#N/A,TRUE,"Summary";#N/A,#N/A,TRUE,"Detail"}</definedName>
    <definedName name="tab" localSheetId="0" hidden="1">{#N/A,#N/A,TRUE,"Front";#N/A,#N/A,TRUE,"Simple Letter";#N/A,#N/A,TRUE,"Inside";#N/A,#N/A,TRUE,"Contents";#N/A,#N/A,TRUE,"Basis";#N/A,#N/A,TRUE,"Inclusions";#N/A,#N/A,TRUE,"Exclusions";#N/A,#N/A,TRUE,"Areas";#N/A,#N/A,TRUE,"Summary";#N/A,#N/A,TRUE,"Detail"}</definedName>
    <definedName name="tab" hidden="1">{#N/A,#N/A,TRUE,"Front";#N/A,#N/A,TRUE,"Simple Letter";#N/A,#N/A,TRUE,"Inside";#N/A,#N/A,TRUE,"Contents";#N/A,#N/A,TRUE,"Basis";#N/A,#N/A,TRUE,"Inclusions";#N/A,#N/A,TRUE,"Exclusions";#N/A,#N/A,TRUE,"Areas";#N/A,#N/A,TRUE,"Summary";#N/A,#N/A,TRUE,"Detail"}</definedName>
    <definedName name="tarar"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xCalculation" hidden="1">#REF!</definedName>
    <definedName name="TB" localSheetId="1" hidden="1">{#N/A,#N/A,FALSE,"One Pager";#N/A,#N/A,FALSE,"Technical"}</definedName>
    <definedName name="TB" localSheetId="0" hidden="1">{#N/A,#N/A,FALSE,"One Pager";#N/A,#N/A,FALSE,"Technical"}</definedName>
    <definedName name="TB" hidden="1">{#N/A,#N/A,FALSE,"One Pager";#N/A,#N/A,FALSE,"Technical"}</definedName>
    <definedName name="tbl_ProdInfo" hidden="1">#REF!</definedName>
    <definedName name="tem" localSheetId="1" hidden="1">{#N/A,#N/A,TRUE,"Front";#N/A,#N/A,TRUE,"Simple Letter";#N/A,#N/A,TRUE,"Inside";#N/A,#N/A,TRUE,"Contents";#N/A,#N/A,TRUE,"Basis";#N/A,#N/A,TRUE,"Inclusions";#N/A,#N/A,TRUE,"Exclusions";#N/A,#N/A,TRUE,"Areas";#N/A,#N/A,TRUE,"Summary";#N/A,#N/A,TRUE,"Detail"}</definedName>
    <definedName name="tem" localSheetId="0" hidden="1">{#N/A,#N/A,TRUE,"Front";#N/A,#N/A,TRUE,"Simple Letter";#N/A,#N/A,TRUE,"Inside";#N/A,#N/A,TRUE,"Contents";#N/A,#N/A,TRUE,"Basis";#N/A,#N/A,TRUE,"Inclusions";#N/A,#N/A,TRUE,"Exclusions";#N/A,#N/A,TRUE,"Areas";#N/A,#N/A,TRUE,"Summary";#N/A,#N/A,TRUE,"Detail"}</definedName>
    <definedName name="tem" hidden="1">{#N/A,#N/A,TRUE,"Front";#N/A,#N/A,TRUE,"Simple Letter";#N/A,#N/A,TRUE,"Inside";#N/A,#N/A,TRUE,"Contents";#N/A,#N/A,TRUE,"Basis";#N/A,#N/A,TRUE,"Inclusions";#N/A,#N/A,TRUE,"Exclusions";#N/A,#N/A,TRUE,"Areas";#N/A,#N/A,TRUE,"Summary";#N/A,#N/A,TRUE,"Detail"}</definedName>
    <definedName name="temp" localSheetId="1" hidden="1">{#N/A,#N/A,TRUE,"Front";#N/A,#N/A,TRUE,"Simple Letter";#N/A,#N/A,TRUE,"Inside";#N/A,#N/A,TRUE,"Contents";#N/A,#N/A,TRUE,"Basis";#N/A,#N/A,TRUE,"Inclusions";#N/A,#N/A,TRUE,"Exclusions";#N/A,#N/A,TRUE,"Areas";#N/A,#N/A,TRUE,"Summary";#N/A,#N/A,TRUE,"Detail"}</definedName>
    <definedName name="temp" localSheetId="0"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 localSheetId="1" hidden="1">{#N/A,#N/A,TRUE,"Front";#N/A,#N/A,TRUE,"Simple Letter";#N/A,#N/A,TRUE,"Inside";#N/A,#N/A,TRUE,"Contents";#N/A,#N/A,TRUE,"Basis";#N/A,#N/A,TRUE,"Inclusions";#N/A,#N/A,TRUE,"Exclusions";#N/A,#N/A,TRUE,"Areas";#N/A,#N/A,TRUE,"Summary";#N/A,#N/A,TRUE,"Detail"}</definedName>
    <definedName name="temp." localSheetId="0"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1" localSheetId="1" hidden="1">{#N/A,#N/A,TRUE,"Front";#N/A,#N/A,TRUE,"Simple Letter";#N/A,#N/A,TRUE,"Inside";#N/A,#N/A,TRUE,"Contents";#N/A,#N/A,TRUE,"Basis";#N/A,#N/A,TRUE,"Inclusions";#N/A,#N/A,TRUE,"Exclusions";#N/A,#N/A,TRUE,"Areas";#N/A,#N/A,TRUE,"Summary";#N/A,#N/A,TRUE,"Detail"}</definedName>
    <definedName name="temp1" localSheetId="0"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mp1_1" localSheetId="1" hidden="1">{#N/A,#N/A,TRUE,"Front";#N/A,#N/A,TRUE,"Simple Letter";#N/A,#N/A,TRUE,"Inside";#N/A,#N/A,TRUE,"Contents";#N/A,#N/A,TRUE,"Basis";#N/A,#N/A,TRUE,"Inclusions";#N/A,#N/A,TRUE,"Exclusions";#N/A,#N/A,TRUE,"Areas";#N/A,#N/A,TRUE,"Summary";#N/A,#N/A,TRUE,"Detail"}</definedName>
    <definedName name="temp1_1" localSheetId="0" hidden="1">{#N/A,#N/A,TRUE,"Front";#N/A,#N/A,TRUE,"Simple Letter";#N/A,#N/A,TRUE,"Inside";#N/A,#N/A,TRUE,"Contents";#N/A,#N/A,TRUE,"Basis";#N/A,#N/A,TRUE,"Inclusions";#N/A,#N/A,TRUE,"Exclusions";#N/A,#N/A,TRUE,"Areas";#N/A,#N/A,TRUE,"Summary";#N/A,#N/A,TRUE,"Detail"}</definedName>
    <definedName name="temp1_1" hidden="1">{#N/A,#N/A,TRUE,"Front";#N/A,#N/A,TRUE,"Simple Letter";#N/A,#N/A,TRUE,"Inside";#N/A,#N/A,TRUE,"Contents";#N/A,#N/A,TRUE,"Basis";#N/A,#N/A,TRUE,"Inclusions";#N/A,#N/A,TRUE,"Exclusions";#N/A,#N/A,TRUE,"Areas";#N/A,#N/A,TRUE,"Summary";#N/A,#N/A,TRUE,"Detail"}</definedName>
    <definedName name="temp2" localSheetId="1" hidden="1">{#N/A,#N/A,TRUE,"Front";#N/A,#N/A,TRUE,"Simple Letter";#N/A,#N/A,TRUE,"Inside";#N/A,#N/A,TRUE,"Contents";#N/A,#N/A,TRUE,"Basis";#N/A,#N/A,TRUE,"Inclusions";#N/A,#N/A,TRUE,"Exclusions";#N/A,#N/A,TRUE,"Areas";#N/A,#N/A,TRUE,"Summary";#N/A,#N/A,TRUE,"Detail"}</definedName>
    <definedName name="temp2" localSheetId="0" hidden="1">{#N/A,#N/A,TRUE,"Front";#N/A,#N/A,TRUE,"Simple Letter";#N/A,#N/A,TRUE,"Inside";#N/A,#N/A,TRUE,"Contents";#N/A,#N/A,TRUE,"Basis";#N/A,#N/A,TRUE,"Inclusions";#N/A,#N/A,TRUE,"Exclusions";#N/A,#N/A,TRUE,"Areas";#N/A,#N/A,TRUE,"Summary";#N/A,#N/A,TRUE,"Detail"}</definedName>
    <definedName name="temp2" hidden="1">{#N/A,#N/A,TRUE,"Front";#N/A,#N/A,TRUE,"Simple Letter";#N/A,#N/A,TRUE,"Inside";#N/A,#N/A,TRUE,"Contents";#N/A,#N/A,TRUE,"Basis";#N/A,#N/A,TRUE,"Inclusions";#N/A,#N/A,TRUE,"Exclusions";#N/A,#N/A,TRUE,"Areas";#N/A,#N/A,TRUE,"Summary";#N/A,#N/A,TRUE,"Detail"}</definedName>
    <definedName name="temp3" localSheetId="1" hidden="1">{#N/A,#N/A,TRUE,"Front";#N/A,#N/A,TRUE,"Simple Letter";#N/A,#N/A,TRUE,"Inside";#N/A,#N/A,TRUE,"Contents";#N/A,#N/A,TRUE,"Basis";#N/A,#N/A,TRUE,"Inclusions";#N/A,#N/A,TRUE,"Exclusions";#N/A,#N/A,TRUE,"Areas";#N/A,#N/A,TRUE,"Summary";#N/A,#N/A,TRUE,"Detail"}</definedName>
    <definedName name="temp3" localSheetId="0" hidden="1">{#N/A,#N/A,TRUE,"Front";#N/A,#N/A,TRUE,"Simple Letter";#N/A,#N/A,TRUE,"Inside";#N/A,#N/A,TRUE,"Contents";#N/A,#N/A,TRUE,"Basis";#N/A,#N/A,TRUE,"Inclusions";#N/A,#N/A,TRUE,"Exclusions";#N/A,#N/A,TRUE,"Areas";#N/A,#N/A,TRUE,"Summary";#N/A,#N/A,TRUE,"Detail"}</definedName>
    <definedName name="temp3" hidden="1">{#N/A,#N/A,TRUE,"Front";#N/A,#N/A,TRUE,"Simple Letter";#N/A,#N/A,TRUE,"Inside";#N/A,#N/A,TRUE,"Contents";#N/A,#N/A,TRUE,"Basis";#N/A,#N/A,TRUE,"Inclusions";#N/A,#N/A,TRUE,"Exclusions";#N/A,#N/A,TRUE,"Areas";#N/A,#N/A,TRUE,"Summary";#N/A,#N/A,TRUE,"Detail"}</definedName>
    <definedName name="TER.FLR" localSheetId="1" hidden="1">{#N/A,#N/A,TRUE,"Flooring "}</definedName>
    <definedName name="TER.FLR" localSheetId="0" hidden="1">{#N/A,#N/A,TRUE,"Flooring "}</definedName>
    <definedName name="TER.FLR" hidden="1">{#N/A,#N/A,TRUE,"Flooring "}</definedName>
    <definedName name="TEST1" localSheetId="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1" localSheetId="1" hidden="1">{#N/A,#N/A,FALSE,"Fund-II"}</definedName>
    <definedName name="test11" localSheetId="0" hidden="1">{#N/A,#N/A,FALSE,"Fund-II"}</definedName>
    <definedName name="test11" hidden="1">{#N/A,#N/A,FALSE,"Fund-II"}</definedName>
    <definedName name="tg" localSheetId="1" hidden="1">{#N/A,#N/A,TRUE,"Front";#N/A,#N/A,TRUE,"Simple Letter";#N/A,#N/A,TRUE,"Inside";#N/A,#N/A,TRUE,"Contents";#N/A,#N/A,TRUE,"Basis";#N/A,#N/A,TRUE,"Inclusions";#N/A,#N/A,TRUE,"Exclusions";#N/A,#N/A,TRUE,"Areas";#N/A,#N/A,TRUE,"Summary";#N/A,#N/A,TRUE,"Detail"}</definedName>
    <definedName name="tg" localSheetId="0" hidden="1">{#N/A,#N/A,TRUE,"Front";#N/A,#N/A,TRUE,"Simple Letter";#N/A,#N/A,TRUE,"Inside";#N/A,#N/A,TRUE,"Contents";#N/A,#N/A,TRUE,"Basis";#N/A,#N/A,TRUE,"Inclusions";#N/A,#N/A,TRUE,"Exclusions";#N/A,#N/A,TRUE,"Areas";#N/A,#N/A,TRUE,"Summary";#N/A,#N/A,TRUE,"Detail"}</definedName>
    <definedName name="tg" hidden="1">{#N/A,#N/A,TRUE,"Front";#N/A,#N/A,TRUE,"Simple Letter";#N/A,#N/A,TRUE,"Inside";#N/A,#N/A,TRUE,"Contents";#N/A,#N/A,TRUE,"Basis";#N/A,#N/A,TRUE,"Inclusions";#N/A,#N/A,TRUE,"Exclusions";#N/A,#N/A,TRUE,"Areas";#N/A,#N/A,TRUE,"Summary";#N/A,#N/A,TRUE,"Detail"}</definedName>
    <definedName name="the" localSheetId="1" hidden="1">{#N/A,#N/A,FALSE,"gc (2)"}</definedName>
    <definedName name="the" localSheetId="0" hidden="1">{#N/A,#N/A,FALSE,"gc (2)"}</definedName>
    <definedName name="the" hidden="1">{#N/A,#N/A,FALSE,"gc (2)"}</definedName>
    <definedName name="Thiagarajan" localSheetId="1" hidden="1">{"'Sheet1'!$A$4386:$N$4591"}</definedName>
    <definedName name="Thiagarajan" localSheetId="0" hidden="1">{"'Sheet1'!$A$4386:$N$4591"}</definedName>
    <definedName name="Thiagarajan" hidden="1">{"'Sheet1'!$A$4386:$N$4591"}</definedName>
    <definedName name="tom" localSheetId="1" hidden="1">{#N/A,#N/A,FALSE,"OUTPUT SHEET "}</definedName>
    <definedName name="tom" localSheetId="0" hidden="1">{#N/A,#N/A,FALSE,"OUTPUT SHEET "}</definedName>
    <definedName name="tom" hidden="1">{#N/A,#N/A,FALSE,"OUTPUT SHEET "}</definedName>
    <definedName name="Topsheet" hidden="1">#REF!</definedName>
    <definedName name="tr" localSheetId="1" hidden="1">{#N/A,#N/A,TRUE,"Front";#N/A,#N/A,TRUE,"Simple Letter";#N/A,#N/A,TRUE,"Inside";#N/A,#N/A,TRUE,"Contents";#N/A,#N/A,TRUE,"Basis";#N/A,#N/A,TRUE,"Inclusions";#N/A,#N/A,TRUE,"Exclusions";#N/A,#N/A,TRUE,"Areas";#N/A,#N/A,TRUE,"Summary";#N/A,#N/A,TRUE,"Detail"}</definedName>
    <definedName name="tr" localSheetId="0" hidden="1">{#N/A,#N/A,TRUE,"Front";#N/A,#N/A,TRUE,"Simple Letter";#N/A,#N/A,TRUE,"Inside";#N/A,#N/A,TRUE,"Contents";#N/A,#N/A,TRUE,"Basis";#N/A,#N/A,TRUE,"Inclusions";#N/A,#N/A,TRUE,"Exclusions";#N/A,#N/A,TRUE,"Areas";#N/A,#N/A,TRUE,"Summary";#N/A,#N/A,TRUE,"Detail"}</definedName>
    <definedName name="tr" hidden="1">{#N/A,#N/A,TRUE,"Front";#N/A,#N/A,TRUE,"Simple Letter";#N/A,#N/A,TRUE,"Inside";#N/A,#N/A,TRUE,"Contents";#N/A,#N/A,TRUE,"Basis";#N/A,#N/A,TRUE,"Inclusions";#N/A,#N/A,TRUE,"Exclusions";#N/A,#N/A,TRUE,"Areas";#N/A,#N/A,TRUE,"Summary";#N/A,#N/A,TRUE,"Detail"}</definedName>
    <definedName name="TRAFO" localSheetId="1" hidden="1">{#N/A,#N/A,TRUE,"Vergabe-Regeln";#N/A,#N/A,TRUE,"Baugruppen";#N/A,#N/A,TRUE,"Geräte";#N/A,#N/A,TRUE,"PC-Software";#N/A,#N/A,TRUE,"Software";#N/A,#N/A,TRUE,"SW-Reg";#N/A,#N/A,TRUE,"Dokumentation"}</definedName>
    <definedName name="TRAFO" localSheetId="0" hidden="1">{#N/A,#N/A,TRUE,"Vergabe-Regeln";#N/A,#N/A,TRUE,"Baugruppen";#N/A,#N/A,TRUE,"Geräte";#N/A,#N/A,TRUE,"PC-Software";#N/A,#N/A,TRUE,"Software";#N/A,#N/A,TRUE,"SW-Reg";#N/A,#N/A,TRUE,"Dokumentation"}</definedName>
    <definedName name="TRAFO" hidden="1">{#N/A,#N/A,TRUE,"Vergabe-Regeln";#N/A,#N/A,TRUE,"Baugruppen";#N/A,#N/A,TRUE,"Geräte";#N/A,#N/A,TRUE,"PC-Software";#N/A,#N/A,TRUE,"Software";#N/A,#N/A,TRUE,"SW-Reg";#N/A,#N/A,TRUE,"Dokumentation"}</definedName>
    <definedName name="TRGG" localSheetId="1" hidden="1">{#N/A,#N/A,TRUE,"Front";#N/A,#N/A,TRUE,"Simple Letter";#N/A,#N/A,TRUE,"Inside";#N/A,#N/A,TRUE,"Contents";#N/A,#N/A,TRUE,"Basis";#N/A,#N/A,TRUE,"Inclusions";#N/A,#N/A,TRUE,"Exclusions";#N/A,#N/A,TRUE,"Areas";#N/A,#N/A,TRUE,"Summary";#N/A,#N/A,TRUE,"Detail"}</definedName>
    <definedName name="TRGG" localSheetId="0" hidden="1">{#N/A,#N/A,TRUE,"Front";#N/A,#N/A,TRUE,"Simple Letter";#N/A,#N/A,TRUE,"Inside";#N/A,#N/A,TRUE,"Contents";#N/A,#N/A,TRUE,"Basis";#N/A,#N/A,TRUE,"Inclusions";#N/A,#N/A,TRUE,"Exclusions";#N/A,#N/A,TRUE,"Areas";#N/A,#N/A,TRUE,"Summary";#N/A,#N/A,TRUE,"Detail"}</definedName>
    <definedName name="TRGG" hidden="1">{#N/A,#N/A,TRUE,"Front";#N/A,#N/A,TRUE,"Simple Letter";#N/A,#N/A,TRUE,"Inside";#N/A,#N/A,TRUE,"Contents";#N/A,#N/A,TRUE,"Basis";#N/A,#N/A,TRUE,"Inclusions";#N/A,#N/A,TRUE,"Exclusions";#N/A,#N/A,TRUE,"Areas";#N/A,#N/A,TRUE,"Summary";#N/A,#N/A,TRUE,"Detail"}</definedName>
    <definedName name="trif" localSheetId="1" hidden="1">{#N/A,#N/A,TRUE,"Front";#N/A,#N/A,TRUE,"Simple Letter";#N/A,#N/A,TRUE,"Inside";#N/A,#N/A,TRUE,"Contents";#N/A,#N/A,TRUE,"Basis";#N/A,#N/A,TRUE,"Inclusions";#N/A,#N/A,TRUE,"Exclusions";#N/A,#N/A,TRUE,"Areas";#N/A,#N/A,TRUE,"Summary";#N/A,#N/A,TRUE,"Detail"}</definedName>
    <definedName name="trif" localSheetId="0" hidden="1">{#N/A,#N/A,TRUE,"Front";#N/A,#N/A,TRUE,"Simple Letter";#N/A,#N/A,TRUE,"Inside";#N/A,#N/A,TRUE,"Contents";#N/A,#N/A,TRUE,"Basis";#N/A,#N/A,TRUE,"Inclusions";#N/A,#N/A,TRUE,"Exclusions";#N/A,#N/A,TRUE,"Areas";#N/A,#N/A,TRUE,"Summary";#N/A,#N/A,TRUE,"Detail"}</definedName>
    <definedName name="trif" hidden="1">{#N/A,#N/A,TRUE,"Front";#N/A,#N/A,TRUE,"Simple Letter";#N/A,#N/A,TRUE,"Inside";#N/A,#N/A,TRUE,"Contents";#N/A,#N/A,TRUE,"Basis";#N/A,#N/A,TRUE,"Inclusions";#N/A,#N/A,TRUE,"Exclusions";#N/A,#N/A,TRUE,"Areas";#N/A,#N/A,TRUE,"Summary";#N/A,#N/A,TRUE,"Detail"}</definedName>
    <definedName name="trrryt" localSheetId="1" hidden="1">{#N/A,#N/A,TRUE,"Front";#N/A,#N/A,TRUE,"Simple Letter";#N/A,#N/A,TRUE,"Inside";#N/A,#N/A,TRUE,"Contents";#N/A,#N/A,TRUE,"Basis";#N/A,#N/A,TRUE,"Inclusions";#N/A,#N/A,TRUE,"Exclusions";#N/A,#N/A,TRUE,"Areas";#N/A,#N/A,TRUE,"Summary";#N/A,#N/A,TRUE,"Detail"}</definedName>
    <definedName name="trrryt" localSheetId="0" hidden="1">{#N/A,#N/A,TRUE,"Front";#N/A,#N/A,TRUE,"Simple Letter";#N/A,#N/A,TRUE,"Inside";#N/A,#N/A,TRUE,"Contents";#N/A,#N/A,TRUE,"Basis";#N/A,#N/A,TRUE,"Inclusions";#N/A,#N/A,TRUE,"Exclusions";#N/A,#N/A,TRUE,"Areas";#N/A,#N/A,TRUE,"Summary";#N/A,#N/A,TRUE,"Detail"}</definedName>
    <definedName name="trrryt" hidden="1">{#N/A,#N/A,TRUE,"Front";#N/A,#N/A,TRUE,"Simple Letter";#N/A,#N/A,TRUE,"Inside";#N/A,#N/A,TRUE,"Contents";#N/A,#N/A,TRUE,"Basis";#N/A,#N/A,TRUE,"Inclusions";#N/A,#N/A,TRUE,"Exclusions";#N/A,#N/A,TRUE,"Areas";#N/A,#N/A,TRUE,"Summary";#N/A,#N/A,TRUE,"Detail"}</definedName>
    <definedName name="TRU" localSheetId="1" hidden="1">{#N/A,#N/A,TRUE,"Front";#N/A,#N/A,TRUE,"Simple Letter";#N/A,#N/A,TRUE,"Inside";#N/A,#N/A,TRUE,"Contents";#N/A,#N/A,TRUE,"Basis";#N/A,#N/A,TRUE,"Inclusions";#N/A,#N/A,TRUE,"Exclusions";#N/A,#N/A,TRUE,"Areas";#N/A,#N/A,TRUE,"Summary";#N/A,#N/A,TRUE,"Detail"}</definedName>
    <definedName name="TRU" localSheetId="0" hidden="1">{#N/A,#N/A,TRUE,"Front";#N/A,#N/A,TRUE,"Simple Letter";#N/A,#N/A,TRUE,"Inside";#N/A,#N/A,TRUE,"Contents";#N/A,#N/A,TRUE,"Basis";#N/A,#N/A,TRUE,"Inclusions";#N/A,#N/A,TRUE,"Exclusions";#N/A,#N/A,TRUE,"Areas";#N/A,#N/A,TRUE,"Summary";#N/A,#N/A,TRUE,"Detail"}</definedName>
    <definedName name="TRU" hidden="1">{#N/A,#N/A,TRUE,"Front";#N/A,#N/A,TRUE,"Simple Letter";#N/A,#N/A,TRUE,"Inside";#N/A,#N/A,TRUE,"Contents";#N/A,#N/A,TRUE,"Basis";#N/A,#N/A,TRUE,"Inclusions";#N/A,#N/A,TRUE,"Exclusions";#N/A,#N/A,TRUE,"Areas";#N/A,#N/A,TRUE,"Summary";#N/A,#N/A,TRUE,"Detail"}</definedName>
    <definedName name="ttt" localSheetId="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ttt" localSheetId="0"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ttt"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uiui" localSheetId="1" hidden="1">{#N/A,#N/A,FALSE,"PSU"}</definedName>
    <definedName name="uiui" localSheetId="0" hidden="1">{#N/A,#N/A,FALSE,"PSU"}</definedName>
    <definedName name="uiui" hidden="1">{#N/A,#N/A,FALSE,"PSU"}</definedName>
    <definedName name="ukkk" localSheetId="1" hidden="1">{#N/A,#N/A,TRUE,"Front";#N/A,#N/A,TRUE,"Simple Letter";#N/A,#N/A,TRUE,"Inside";#N/A,#N/A,TRUE,"Contents";#N/A,#N/A,TRUE,"Basis";#N/A,#N/A,TRUE,"Inclusions";#N/A,#N/A,TRUE,"Exclusions";#N/A,#N/A,TRUE,"Areas";#N/A,#N/A,TRUE,"Summary";#N/A,#N/A,TRUE,"Detail"}</definedName>
    <definedName name="ukkk" localSheetId="0" hidden="1">{#N/A,#N/A,TRUE,"Front";#N/A,#N/A,TRUE,"Simple Letter";#N/A,#N/A,TRUE,"Inside";#N/A,#N/A,TRUE,"Contents";#N/A,#N/A,TRUE,"Basis";#N/A,#N/A,TRUE,"Inclusions";#N/A,#N/A,TRUE,"Exclusions";#N/A,#N/A,TRUE,"Areas";#N/A,#N/A,TRUE,"Summary";#N/A,#N/A,TRUE,"Detail"}</definedName>
    <definedName name="ukkk" hidden="1">{#N/A,#N/A,TRUE,"Front";#N/A,#N/A,TRUE,"Simple Letter";#N/A,#N/A,TRUE,"Inside";#N/A,#N/A,TRUE,"Contents";#N/A,#N/A,TRUE,"Basis";#N/A,#N/A,TRUE,"Inclusions";#N/A,#N/A,TRUE,"Exclusions";#N/A,#N/A,TRUE,"Areas";#N/A,#N/A,TRUE,"Summary";#N/A,#N/A,TRUE,"Detail"}</definedName>
    <definedName name="uma" localSheetId="1" hidden="1">{#N/A,#N/A,FALSE,"COVER1.XLS ";#N/A,#N/A,FALSE,"RACT1.XLS";#N/A,#N/A,FALSE,"RACT2.XLS";#N/A,#N/A,FALSE,"ECCMP";#N/A,#N/A,FALSE,"WELDER.XLS"}</definedName>
    <definedName name="uma" localSheetId="0" hidden="1">{#N/A,#N/A,FALSE,"COVER1.XLS ";#N/A,#N/A,FALSE,"RACT1.XLS";#N/A,#N/A,FALSE,"RACT2.XLS";#N/A,#N/A,FALSE,"ECCMP";#N/A,#N/A,FALSE,"WELDER.XLS"}</definedName>
    <definedName name="uma" hidden="1">{#N/A,#N/A,FALSE,"COVER1.XLS ";#N/A,#N/A,FALSE,"RACT1.XLS";#N/A,#N/A,FALSE,"RACT2.XLS";#N/A,#N/A,FALSE,"ECCMP";#N/A,#N/A,FALSE,"WELDER.XLS"}</definedName>
    <definedName name="uu" localSheetId="1" hidden="1">{#N/A,#N/A,TRUE,"Front";#N/A,#N/A,TRUE,"Simple Letter";#N/A,#N/A,TRUE,"Inside";#N/A,#N/A,TRUE,"Contents";#N/A,#N/A,TRUE,"Basis";#N/A,#N/A,TRUE,"Inclusions";#N/A,#N/A,TRUE,"Exclusions";#N/A,#N/A,TRUE,"Areas";#N/A,#N/A,TRUE,"Summary";#N/A,#N/A,TRUE,"Detail"}</definedName>
    <definedName name="uu" localSheetId="0" hidden="1">{#N/A,#N/A,TRUE,"Front";#N/A,#N/A,TRUE,"Simple Letter";#N/A,#N/A,TRUE,"Inside";#N/A,#N/A,TRUE,"Contents";#N/A,#N/A,TRUE,"Basis";#N/A,#N/A,TRUE,"Inclusions";#N/A,#N/A,TRUE,"Exclusions";#N/A,#N/A,TRUE,"Areas";#N/A,#N/A,TRUE,"Summary";#N/A,#N/A,TRUE,"Detail"}</definedName>
    <definedName name="uu" hidden="1">{#N/A,#N/A,TRUE,"Front";#N/A,#N/A,TRUE,"Simple Letter";#N/A,#N/A,TRUE,"Inside";#N/A,#N/A,TRUE,"Contents";#N/A,#N/A,TRUE,"Basis";#N/A,#N/A,TRUE,"Inclusions";#N/A,#N/A,TRUE,"Exclusions";#N/A,#N/A,TRUE,"Areas";#N/A,#N/A,TRUE,"Summary";#N/A,#N/A,TRUE,"Detail"}</definedName>
    <definedName name="uuu" localSheetId="1" hidden="1">{#N/A,#N/A,TRUE,"Front";#N/A,#N/A,TRUE,"Simple Letter";#N/A,#N/A,TRUE,"Inside";#N/A,#N/A,TRUE,"Contents";#N/A,#N/A,TRUE,"Basis";#N/A,#N/A,TRUE,"Inclusions";#N/A,#N/A,TRUE,"Exclusions";#N/A,#N/A,TRUE,"Areas";#N/A,#N/A,TRUE,"Summary";#N/A,#N/A,TRUE,"Detail"}</definedName>
    <definedName name="uuu" localSheetId="0" hidden="1">{#N/A,#N/A,TRUE,"Front";#N/A,#N/A,TRUE,"Simple Letter";#N/A,#N/A,TRUE,"Inside";#N/A,#N/A,TRUE,"Contents";#N/A,#N/A,TRUE,"Basis";#N/A,#N/A,TRUE,"Inclusions";#N/A,#N/A,TRUE,"Exclusions";#N/A,#N/A,TRUE,"Areas";#N/A,#N/A,TRUE,"Summary";#N/A,#N/A,TRUE,"Detail"}</definedName>
    <definedName name="uuu" hidden="1">{#N/A,#N/A,TRUE,"Front";#N/A,#N/A,TRUE,"Simple Letter";#N/A,#N/A,TRUE,"Inside";#N/A,#N/A,TRUE,"Contents";#N/A,#N/A,TRUE,"Basis";#N/A,#N/A,TRUE,"Inclusions";#N/A,#N/A,TRUE,"Exclusions";#N/A,#N/A,TRUE,"Areas";#N/A,#N/A,TRUE,"Summary";#N/A,#N/A,TRUE,"Detail"}</definedName>
    <definedName name="vcvv" localSheetId="1" hidden="1">{#N/A,#N/A,TRUE,"Front";#N/A,#N/A,TRUE,"Simple Letter";#N/A,#N/A,TRUE,"Inside";#N/A,#N/A,TRUE,"Contents";#N/A,#N/A,TRUE,"Basis";#N/A,#N/A,TRUE,"Inclusions";#N/A,#N/A,TRUE,"Exclusions";#N/A,#N/A,TRUE,"Areas";#N/A,#N/A,TRUE,"Summary";#N/A,#N/A,TRUE,"Detail"}</definedName>
    <definedName name="vcvv" localSheetId="0" hidden="1">{#N/A,#N/A,TRUE,"Front";#N/A,#N/A,TRUE,"Simple Letter";#N/A,#N/A,TRUE,"Inside";#N/A,#N/A,TRUE,"Contents";#N/A,#N/A,TRUE,"Basis";#N/A,#N/A,TRUE,"Inclusions";#N/A,#N/A,TRUE,"Exclusions";#N/A,#N/A,TRUE,"Areas";#N/A,#N/A,TRUE,"Summary";#N/A,#N/A,TRUE,"Detail"}</definedName>
    <definedName name="vcvv" hidden="1">{#N/A,#N/A,TRUE,"Front";#N/A,#N/A,TRUE,"Simple Letter";#N/A,#N/A,TRUE,"Inside";#N/A,#N/A,TRUE,"Contents";#N/A,#N/A,TRUE,"Basis";#N/A,#N/A,TRUE,"Inclusions";#N/A,#N/A,TRUE,"Exclusions";#N/A,#N/A,TRUE,"Areas";#N/A,#N/A,TRUE,"Summary";#N/A,#N/A,TRUE,"Detail"}</definedName>
    <definedName name="vg" localSheetId="1" hidden="1">{#N/A,#N/A,FALSE,"One Pager";#N/A,#N/A,FALSE,"Technical"}</definedName>
    <definedName name="vg" localSheetId="0" hidden="1">{#N/A,#N/A,FALSE,"One Pager";#N/A,#N/A,FALSE,"Technical"}</definedName>
    <definedName name="vg" hidden="1">{#N/A,#N/A,FALSE,"One Pager";#N/A,#N/A,FALSE,"Technical"}</definedName>
    <definedName name="Vinod"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rtusa" localSheetId="1" hidden="1">{#N/A,#N/A,TRUE,"Front";#N/A,#N/A,TRUE,"Simple Letter";#N/A,#N/A,TRUE,"Inside";#N/A,#N/A,TRUE,"Contents";#N/A,#N/A,TRUE,"Basis";#N/A,#N/A,TRUE,"Inclusions";#N/A,#N/A,TRUE,"Exclusions";#N/A,#N/A,TRUE,"Areas";#N/A,#N/A,TRUE,"Summary";#N/A,#N/A,TRUE,"Detail"}</definedName>
    <definedName name="virtusa" localSheetId="0" hidden="1">{#N/A,#N/A,TRUE,"Front";#N/A,#N/A,TRUE,"Simple Letter";#N/A,#N/A,TRUE,"Inside";#N/A,#N/A,TRUE,"Contents";#N/A,#N/A,TRUE,"Basis";#N/A,#N/A,TRUE,"Inclusions";#N/A,#N/A,TRUE,"Exclusions";#N/A,#N/A,TRUE,"Areas";#N/A,#N/A,TRUE,"Summary";#N/A,#N/A,TRUE,"Detail"}</definedName>
    <definedName name="virtusa" hidden="1">{#N/A,#N/A,TRUE,"Front";#N/A,#N/A,TRUE,"Simple Letter";#N/A,#N/A,TRUE,"Inside";#N/A,#N/A,TRUE,"Contents";#N/A,#N/A,TRUE,"Basis";#N/A,#N/A,TRUE,"Inclusions";#N/A,#N/A,TRUE,"Exclusions";#N/A,#N/A,TRUE,"Areas";#N/A,#N/A,TRUE,"Summary";#N/A,#N/A,TRUE,"Detail"}</definedName>
    <definedName name="vishnu" localSheetId="1" hidden="1">{#N/A,#N/A,FALSE,"One Pager";#N/A,#N/A,FALSE,"Technical"}</definedName>
    <definedName name="vishnu" localSheetId="0" hidden="1">{#N/A,#N/A,FALSE,"One Pager";#N/A,#N/A,FALSE,"Technical"}</definedName>
    <definedName name="vishnu" hidden="1">{#N/A,#N/A,FALSE,"One Pager";#N/A,#N/A,FALSE,"Technical"}</definedName>
    <definedName name="vk" localSheetId="1" hidden="1">{#N/A,#N/A,FALSE,"One Pager";#N/A,#N/A,FALSE,"Technical"}</definedName>
    <definedName name="vk" localSheetId="0" hidden="1">{#N/A,#N/A,FALSE,"One Pager";#N/A,#N/A,FALSE,"Technical"}</definedName>
    <definedName name="vk" hidden="1">{#N/A,#N/A,FALSE,"One Pager";#N/A,#N/A,FALSE,"Technical"}</definedName>
    <definedName name="vsasgfsghxas" localSheetId="1" hidden="1">{#N/A,#N/A,FALSE,"consu_cover";#N/A,#N/A,FALSE,"consu_strategy";#N/A,#N/A,FALSE,"consu_flow";#N/A,#N/A,FALSE,"Summary_reqmt";#N/A,#N/A,FALSE,"field_ppg";#N/A,#N/A,FALSE,"ppg_shop";#N/A,#N/A,FALSE,"strl";#N/A,#N/A,FALSE,"tankages";#N/A,#N/A,FALSE,"gases"}</definedName>
    <definedName name="vsasgfsghxas" localSheetId="0" hidden="1">{#N/A,#N/A,FALSE,"consu_cover";#N/A,#N/A,FALSE,"consu_strategy";#N/A,#N/A,FALSE,"consu_flow";#N/A,#N/A,FALSE,"Summary_reqmt";#N/A,#N/A,FALSE,"field_ppg";#N/A,#N/A,FALSE,"ppg_shop";#N/A,#N/A,FALSE,"strl";#N/A,#N/A,FALSE,"tankages";#N/A,#N/A,FALSE,"gases"}</definedName>
    <definedName name="vsasgfsghxas" hidden="1">{#N/A,#N/A,FALSE,"consu_cover";#N/A,#N/A,FALSE,"consu_strategy";#N/A,#N/A,FALSE,"consu_flow";#N/A,#N/A,FALSE,"Summary_reqmt";#N/A,#N/A,FALSE,"field_ppg";#N/A,#N/A,FALSE,"ppg_shop";#N/A,#N/A,FALSE,"strl";#N/A,#N/A,FALSE,"tankages";#N/A,#N/A,FALSE,"gases"}</definedName>
    <definedName name="vv" localSheetId="1" hidden="1">{#N/A,#N/A,FALSE,"견적대비-2"}</definedName>
    <definedName name="vv" localSheetId="0" hidden="1">{#N/A,#N/A,FALSE,"견적대비-2"}</definedName>
    <definedName name="vv" hidden="1">{#N/A,#N/A,FALSE,"견적대비-2"}</definedName>
    <definedName name="wed" hidden="1">#REF!</definedName>
    <definedName name="wen" localSheetId="1" hidden="1">{#N/A,#N/A,TRUE,"Front";#N/A,#N/A,TRUE,"Simple Letter";#N/A,#N/A,TRUE,"Inside";#N/A,#N/A,TRUE,"Contents";#N/A,#N/A,TRUE,"Basis";#N/A,#N/A,TRUE,"Inclusions";#N/A,#N/A,TRUE,"Exclusions";#N/A,#N/A,TRUE,"Areas";#N/A,#N/A,TRUE,"Summary";#N/A,#N/A,TRUE,"Detail"}</definedName>
    <definedName name="wen" localSheetId="0" hidden="1">{#N/A,#N/A,TRUE,"Front";#N/A,#N/A,TRUE,"Simple Letter";#N/A,#N/A,TRUE,"Inside";#N/A,#N/A,TRUE,"Contents";#N/A,#N/A,TRUE,"Basis";#N/A,#N/A,TRUE,"Inclusions";#N/A,#N/A,TRUE,"Exclusions";#N/A,#N/A,TRUE,"Areas";#N/A,#N/A,TRUE,"Summary";#N/A,#N/A,TRUE,"Detail"}</definedName>
    <definedName name="wen" hidden="1">{#N/A,#N/A,TRUE,"Front";#N/A,#N/A,TRUE,"Simple Letter";#N/A,#N/A,TRUE,"Inside";#N/A,#N/A,TRUE,"Contents";#N/A,#N/A,TRUE,"Basis";#N/A,#N/A,TRUE,"Inclusions";#N/A,#N/A,TRUE,"Exclusions";#N/A,#N/A,TRUE,"Areas";#N/A,#N/A,TRUE,"Summary";#N/A,#N/A,TRUE,"Detail"}</definedName>
    <definedName name="wen_1" localSheetId="1" hidden="1">{#N/A,#N/A,TRUE,"Front";#N/A,#N/A,TRUE,"Simple Letter";#N/A,#N/A,TRUE,"Inside";#N/A,#N/A,TRUE,"Contents";#N/A,#N/A,TRUE,"Basis";#N/A,#N/A,TRUE,"Inclusions";#N/A,#N/A,TRUE,"Exclusions";#N/A,#N/A,TRUE,"Areas";#N/A,#N/A,TRUE,"Summary";#N/A,#N/A,TRUE,"Detail"}</definedName>
    <definedName name="wen_1" localSheetId="0" hidden="1">{#N/A,#N/A,TRUE,"Front";#N/A,#N/A,TRUE,"Simple Letter";#N/A,#N/A,TRUE,"Inside";#N/A,#N/A,TRUE,"Contents";#N/A,#N/A,TRUE,"Basis";#N/A,#N/A,TRUE,"Inclusions";#N/A,#N/A,TRUE,"Exclusions";#N/A,#N/A,TRUE,"Areas";#N/A,#N/A,TRUE,"Summary";#N/A,#N/A,TRUE,"Detail"}</definedName>
    <definedName name="wen_1" hidden="1">{#N/A,#N/A,TRUE,"Front";#N/A,#N/A,TRUE,"Simple Letter";#N/A,#N/A,TRUE,"Inside";#N/A,#N/A,TRUE,"Contents";#N/A,#N/A,TRUE,"Basis";#N/A,#N/A,TRUE,"Inclusions";#N/A,#N/A,TRUE,"Exclusions";#N/A,#N/A,TRUE,"Areas";#N/A,#N/A,TRUE,"Summary";#N/A,#N/A,TRUE,"Detail"}</definedName>
    <definedName name="weqwe" localSheetId="1" hidden="1">{#N/A,#N/A,TRUE,"Front";#N/A,#N/A,TRUE,"Simple Letter";#N/A,#N/A,TRUE,"Inside";#N/A,#N/A,TRUE,"Contents";#N/A,#N/A,TRUE,"Basis";#N/A,#N/A,TRUE,"Inclusions";#N/A,#N/A,TRUE,"Exclusions";#N/A,#N/A,TRUE,"Areas";#N/A,#N/A,TRUE,"Summary";#N/A,#N/A,TRUE,"Detail"}</definedName>
    <definedName name="weqwe" localSheetId="0" hidden="1">{#N/A,#N/A,TRUE,"Front";#N/A,#N/A,TRUE,"Simple Letter";#N/A,#N/A,TRUE,"Inside";#N/A,#N/A,TRUE,"Contents";#N/A,#N/A,TRUE,"Basis";#N/A,#N/A,TRUE,"Inclusions";#N/A,#N/A,TRUE,"Exclusions";#N/A,#N/A,TRUE,"Areas";#N/A,#N/A,TRUE,"Summary";#N/A,#N/A,TRUE,"Detail"}</definedName>
    <definedName name="weqwe" hidden="1">{#N/A,#N/A,TRUE,"Front";#N/A,#N/A,TRUE,"Simple Letter";#N/A,#N/A,TRUE,"Inside";#N/A,#N/A,TRUE,"Contents";#N/A,#N/A,TRUE,"Basis";#N/A,#N/A,TRUE,"Inclusions";#N/A,#N/A,TRUE,"Exclusions";#N/A,#N/A,TRUE,"Areas";#N/A,#N/A,TRUE,"Summary";#N/A,#N/A,TRUE,"Detail"}</definedName>
    <definedName name="wer" localSheetId="1" hidden="1">{#N/A,#N/A,TRUE,"Front";#N/A,#N/A,TRUE,"Simple Letter";#N/A,#N/A,TRUE,"Inside";#N/A,#N/A,TRUE,"Contents";#N/A,#N/A,TRUE,"Basis";#N/A,#N/A,TRUE,"Inclusions";#N/A,#N/A,TRUE,"Exclusions";#N/A,#N/A,TRUE,"Areas";#N/A,#N/A,TRUE,"Summary";#N/A,#N/A,TRUE,"Detail"}</definedName>
    <definedName name="wer" localSheetId="0" hidden="1">{#N/A,#N/A,TRUE,"Front";#N/A,#N/A,TRUE,"Simple Letter";#N/A,#N/A,TRUE,"Inside";#N/A,#N/A,TRUE,"Contents";#N/A,#N/A,TRUE,"Basis";#N/A,#N/A,TRUE,"Inclusions";#N/A,#N/A,TRUE,"Exclusions";#N/A,#N/A,TRUE,"Areas";#N/A,#N/A,TRUE,"Summary";#N/A,#N/A,TRUE,"Detail"}</definedName>
    <definedName name="wer" hidden="1">{#N/A,#N/A,TRUE,"Front";#N/A,#N/A,TRUE,"Simple Letter";#N/A,#N/A,TRUE,"Inside";#N/A,#N/A,TRUE,"Contents";#N/A,#N/A,TRUE,"Basis";#N/A,#N/A,TRUE,"Inclusions";#N/A,#N/A,TRUE,"Exclusions";#N/A,#N/A,TRUE,"Areas";#N/A,#N/A,TRUE,"Summary";#N/A,#N/A,TRUE,"Detail"}</definedName>
    <definedName name="WET" localSheetId="1" hidden="1">{#N/A,#N/A,TRUE,"Front";#N/A,#N/A,TRUE,"Simple Letter";#N/A,#N/A,TRUE,"Inside";#N/A,#N/A,TRUE,"Contents";#N/A,#N/A,TRUE,"Basis";#N/A,#N/A,TRUE,"Inclusions";#N/A,#N/A,TRUE,"Exclusions";#N/A,#N/A,TRUE,"Areas";#N/A,#N/A,TRUE,"Summary";#N/A,#N/A,TRUE,"Detail"}</definedName>
    <definedName name="WET" localSheetId="0" hidden="1">{#N/A,#N/A,TRUE,"Front";#N/A,#N/A,TRUE,"Simple Letter";#N/A,#N/A,TRUE,"Inside";#N/A,#N/A,TRUE,"Contents";#N/A,#N/A,TRUE,"Basis";#N/A,#N/A,TRUE,"Inclusions";#N/A,#N/A,TRUE,"Exclusions";#N/A,#N/A,TRUE,"Areas";#N/A,#N/A,TRUE,"Summary";#N/A,#N/A,TRUE,"Detail"}</definedName>
    <definedName name="WET" hidden="1">{#N/A,#N/A,TRUE,"Front";#N/A,#N/A,TRUE,"Simple Letter";#N/A,#N/A,TRUE,"Inside";#N/A,#N/A,TRUE,"Contents";#N/A,#N/A,TRUE,"Basis";#N/A,#N/A,TRUE,"Inclusions";#N/A,#N/A,TRUE,"Exclusions";#N/A,#N/A,TRUE,"Areas";#N/A,#N/A,TRUE,"Summary";#N/A,#N/A,TRUE,"Detail"}</definedName>
    <definedName name="WK" localSheetId="1" hidden="1">{#N/A,#N/A,FALSE,"견적대비-2"}</definedName>
    <definedName name="WK" localSheetId="0" hidden="1">{#N/A,#N/A,FALSE,"견적대비-2"}</definedName>
    <definedName name="WLD" localSheetId="1" hidden="1">{#N/A,#N/A,TRUE,"Front";#N/A,#N/A,TRUE,"Simple Letter";#N/A,#N/A,TRUE,"Inside";#N/A,#N/A,TRUE,"Contents";#N/A,#N/A,TRUE,"Basis";#N/A,#N/A,TRUE,"Inclusions";#N/A,#N/A,TRUE,"Exclusions";#N/A,#N/A,TRUE,"Areas";#N/A,#N/A,TRUE,"Summary";#N/A,#N/A,TRUE,"Detail"}</definedName>
    <definedName name="WLD" localSheetId="0" hidden="1">{#N/A,#N/A,TRUE,"Front";#N/A,#N/A,TRUE,"Simple Letter";#N/A,#N/A,TRUE,"Inside";#N/A,#N/A,TRUE,"Contents";#N/A,#N/A,TRUE,"Basis";#N/A,#N/A,TRUE,"Inclusions";#N/A,#N/A,TRUE,"Exclusions";#N/A,#N/A,TRUE,"Areas";#N/A,#N/A,TRUE,"Summary";#N/A,#N/A,TRUE,"Detail"}</definedName>
    <definedName name="WLD" hidden="1">{#N/A,#N/A,TRUE,"Front";#N/A,#N/A,TRUE,"Simple Letter";#N/A,#N/A,TRUE,"Inside";#N/A,#N/A,TRUE,"Contents";#N/A,#N/A,TRUE,"Basis";#N/A,#N/A,TRUE,"Inclusions";#N/A,#N/A,TRUE,"Exclusions";#N/A,#N/A,TRUE,"Areas";#N/A,#N/A,TRUE,"Summary";#N/A,#N/A,TRUE,"Detail"}</definedName>
    <definedName name="wqd" localSheetId="1" hidden="1">{#N/A,#N/A,FALSE,"mgtsum.XLS";#N/A,#N/A,FALSE,"CAPONE";#N/A,#N/A,FALSE,"CAPTWO";#N/A,#N/A,FALSE,"CAPTHREE"}</definedName>
    <definedName name="wqd" localSheetId="0" hidden="1">{#N/A,#N/A,FALSE,"mgtsum.XLS";#N/A,#N/A,FALSE,"CAPONE";#N/A,#N/A,FALSE,"CAPTWO";#N/A,#N/A,FALSE,"CAPTHREE"}</definedName>
    <definedName name="wqd" hidden="1">{#N/A,#N/A,FALSE,"mgtsum.XLS";#N/A,#N/A,FALSE,"CAPONE";#N/A,#N/A,FALSE,"CAPTWO";#N/A,#N/A,FALSE,"CAPTHREE"}</definedName>
    <definedName name="WQQQQ" localSheetId="1" hidden="1">{#N/A,#N/A,TRUE,"Front";#N/A,#N/A,TRUE,"Simple Letter";#N/A,#N/A,TRUE,"Inside";#N/A,#N/A,TRUE,"Contents";#N/A,#N/A,TRUE,"Basis";#N/A,#N/A,TRUE,"Inclusions";#N/A,#N/A,TRUE,"Exclusions";#N/A,#N/A,TRUE,"Areas";#N/A,#N/A,TRUE,"Summary";#N/A,#N/A,TRUE,"Detail"}</definedName>
    <definedName name="WQQQQ" localSheetId="0" hidden="1">{#N/A,#N/A,TRUE,"Front";#N/A,#N/A,TRUE,"Simple Letter";#N/A,#N/A,TRUE,"Inside";#N/A,#N/A,TRUE,"Contents";#N/A,#N/A,TRUE,"Basis";#N/A,#N/A,TRUE,"Inclusions";#N/A,#N/A,TRUE,"Exclusions";#N/A,#N/A,TRUE,"Areas";#N/A,#N/A,TRUE,"Summary";#N/A,#N/A,TRUE,"Detail"}</definedName>
    <definedName name="WQQQQ" hidden="1">{#N/A,#N/A,TRUE,"Front";#N/A,#N/A,TRUE,"Simple Letter";#N/A,#N/A,TRUE,"Inside";#N/A,#N/A,TRUE,"Contents";#N/A,#N/A,TRUE,"Basis";#N/A,#N/A,TRUE,"Inclusions";#N/A,#N/A,TRUE,"Exclusions";#N/A,#N/A,TRUE,"Areas";#N/A,#N/A,TRUE,"Summary";#N/A,#N/A,TRUE,"Detail"}</definedName>
    <definedName name="wr" localSheetId="1" hidden="1">{#N/A,#N/A,FALSE,"COVER1.XLS ";#N/A,#N/A,FALSE,"RACT1.XLS";#N/A,#N/A,FALSE,"RACT2.XLS";#N/A,#N/A,FALSE,"ECCMP";#N/A,#N/A,FALSE,"WELDER.XLS"}</definedName>
    <definedName name="wr" localSheetId="0" hidden="1">{#N/A,#N/A,FALSE,"COVER1.XLS ";#N/A,#N/A,FALSE,"RACT1.XLS";#N/A,#N/A,FALSE,"RACT2.XLS";#N/A,#N/A,FALSE,"ECCMP";#N/A,#N/A,FALSE,"WELDER.XLS"}</definedName>
    <definedName name="wr" hidden="1">{#N/A,#N/A,FALSE,"COVER1.XLS ";#N/A,#N/A,FALSE,"RACT1.XLS";#N/A,#N/A,FALSE,"RACT2.XLS";#N/A,#N/A,FALSE,"ECCMP";#N/A,#N/A,FALSE,"WELDER.XLS"}</definedName>
    <definedName name="wrn" localSheetId="1" hidden="1">{#N/A,#N/A,TRUE,"Front";#N/A,#N/A,TRUE,"Simple Letter";#N/A,#N/A,TRUE,"Inside";#N/A,#N/A,TRUE,"Contents";#N/A,#N/A,TRUE,"Basis";#N/A,#N/A,TRUE,"Inclusions";#N/A,#N/A,TRUE,"Exclusions";#N/A,#N/A,TRUE,"Areas";#N/A,#N/A,TRUE,"Summary";#N/A,#N/A,TRUE,"Detail"}</definedName>
    <definedName name="wrn" localSheetId="0" hidden="1">{#N/A,#N/A,TRUE,"Front";#N/A,#N/A,TRUE,"Simple Letter";#N/A,#N/A,TRUE,"Inside";#N/A,#N/A,TRUE,"Contents";#N/A,#N/A,TRUE,"Basis";#N/A,#N/A,TRUE,"Inclusions";#N/A,#N/A,TRUE,"Exclusions";#N/A,#N/A,TRUE,"Areas";#N/A,#N/A,TRUE,"Summary";#N/A,#N/A,TRUE,"Detail"}</definedName>
    <definedName name="wrn" hidden="1">{#N/A,#N/A,TRUE,"Front";#N/A,#N/A,TRUE,"Simple Letter";#N/A,#N/A,TRUE,"Inside";#N/A,#N/A,TRUE,"Contents";#N/A,#N/A,TRUE,"Basis";#N/A,#N/A,TRUE,"Inclusions";#N/A,#N/A,TRUE,"Exclusions";#N/A,#N/A,TRUE,"Areas";#N/A,#N/A,TRUE,"Summary";#N/A,#N/A,TRUE,"Detail"}</definedName>
    <definedName name="wrn.1." localSheetId="1" hidden="1">{#N/A,#N/A,FALSE,"17MAY";#N/A,#N/A,FALSE,"24MAY"}</definedName>
    <definedName name="wrn.1." localSheetId="0" hidden="1">{#N/A,#N/A,FALSE,"17MAY";#N/A,#N/A,FALSE,"24MAY"}</definedName>
    <definedName name="wrn.1." hidden="1">{#N/A,#N/A,FALSE,"17MAY";#N/A,#N/A,FALSE,"24MAY"}</definedName>
    <definedName name="wrn.2.2" localSheetId="1" hidden="1">{#N/A,#N/A,FALSE,"17MAY";#N/A,#N/A,FALSE,"24MAY"}</definedName>
    <definedName name="wrn.2.2" localSheetId="0" hidden="1">{#N/A,#N/A,FALSE,"17MAY";#N/A,#N/A,FALSE,"24MAY"}</definedName>
    <definedName name="wrn.2.2" hidden="1">{#N/A,#N/A,FALSE,"17MAY";#N/A,#N/A,FALSE,"24MAY"}</definedName>
    <definedName name="wrn.892A._.II." localSheetId="1" hidden="1">{#N/A,#N/A,FALSE,"Fund-II"}</definedName>
    <definedName name="wrn.892A._.II." localSheetId="0" hidden="1">{#N/A,#N/A,FALSE,"Fund-II"}</definedName>
    <definedName name="wrn.892A._.II." hidden="1">{#N/A,#N/A,FALSE,"Fund-II"}</definedName>
    <definedName name="wrn.892B._.II." localSheetId="1" hidden="1">{#N/A,#N/A,FALSE,"Fund-II"}</definedName>
    <definedName name="wrn.892B._.II." localSheetId="0" hidden="1">{#N/A,#N/A,FALSE,"Fund-II"}</definedName>
    <definedName name="wrn.892B._.II." hidden="1">{#N/A,#N/A,FALSE,"Fund-II"}</definedName>
    <definedName name="wrn.892C._.II." localSheetId="1" hidden="1">{#N/A,#N/A,FALSE,"Fund-II"}</definedName>
    <definedName name="wrn.892C._.II." localSheetId="0" hidden="1">{#N/A,#N/A,FALSE,"Fund-II"}</definedName>
    <definedName name="wrn.892C._.II." hidden="1">{#N/A,#N/A,FALSE,"Fund-II"}</definedName>
    <definedName name="wrn.Aging._.and._.Trend._.Analysis." localSheetId="1"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 hidden="1">{#N/A,#N/A,FALSE,"Engr Data";#N/A,#N/A,FALSE,"Engr Cur";#N/A,#N/A,FALSE,"DsnDraft";#N/A,#N/A,FALSE,"DsnDftCur";#N/A,#N/A,FALSE,"Supports";#N/A,#N/A,FALSE,"SptCur";#N/A,#N/A,FALSE,"Total";#N/A,#N/A,FALSE,"TotCur";#N/A,#N/A,FALSE,"Client";#N/A,#N/A,FALSE,"Instructions"}</definedName>
    <definedName name="wrn.ALL." localSheetId="0" hidden="1">{#N/A,#N/A,FALSE,"Engr Data";#N/A,#N/A,FALSE,"Engr Cur";#N/A,#N/A,FALSE,"DsnDraft";#N/A,#N/A,FALSE,"DsnDftCur";#N/A,#N/A,FALSE,"Supports";#N/A,#N/A,FALSE,"SptCur";#N/A,#N/A,FALSE,"Total";#N/A,#N/A,FALSE,"TotCur";#N/A,#N/A,FALSE,"Client";#N/A,#N/A,FALSE,"Instructions"}</definedName>
    <definedName name="wrn.ALL." hidden="1">{#N/A,#N/A,FALSE,"Engr Data";#N/A,#N/A,FALSE,"Engr Cur";#N/A,#N/A,FALSE,"DsnDraft";#N/A,#N/A,FALSE,"DsnDftCur";#N/A,#N/A,FALSE,"Supports";#N/A,#N/A,FALSE,"SptCur";#N/A,#N/A,FALSE,"Total";#N/A,#N/A,FALSE,"TotCur";#N/A,#N/A,FALSE,"Client";#N/A,#N/A,FALSE,"Instructions"}</definedName>
    <definedName name="wrn.All._.Divisions." localSheetId="1"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Divisions." localSheetId="0"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Divisions."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Sheets." localSheetId="1" hidden="1">{#N/A,#N/A,FALSE,"Sheet5";#N/A,#N/A,FALSE,"Sheet4";#N/A,#N/A,FALSE,"Sheet2";#N/A,#N/A,FALSE,"Sheet6";#N/A,#N/A,FALSE,"Sheet7";#N/A,#N/A,FALSE,"Sheet8";#N/A,#N/A,FALSE,"Sheet9";#N/A,#N/A,FALSE,"Sheet10"}</definedName>
    <definedName name="wrn.All._.Sheets." localSheetId="0" hidden="1">{#N/A,#N/A,FALSE,"Sheet5";#N/A,#N/A,FALSE,"Sheet4";#N/A,#N/A,FALSE,"Sheet2";#N/A,#N/A,FALSE,"Sheet6";#N/A,#N/A,FALSE,"Sheet7";#N/A,#N/A,FALSE,"Sheet8";#N/A,#N/A,FALSE,"Sheet9";#N/A,#N/A,FALSE,"Sheet10"}</definedName>
    <definedName name="wrn.All._.Sheets." hidden="1">{#N/A,#N/A,FALSE,"Sheet5";#N/A,#N/A,FALSE,"Sheet4";#N/A,#N/A,FALSE,"Sheet2";#N/A,#N/A,FALSE,"Sheet6";#N/A,#N/A,FALSE,"Sheet7";#N/A,#N/A,FALSE,"Sheet8";#N/A,#N/A,FALSE,"Sheet9";#N/A,#N/A,FALSE,"Sheet10"}</definedName>
    <definedName name="wrn.All._.Sheets._1" localSheetId="1" hidden="1">{#N/A,#N/A,FALSE,"Sheet5";#N/A,#N/A,FALSE,"Sheet4";#N/A,#N/A,FALSE,"Sheet2";#N/A,#N/A,FALSE,"Sheet6";#N/A,#N/A,FALSE,"Sheet7";#N/A,#N/A,FALSE,"Sheet8";#N/A,#N/A,FALSE,"Sheet9";#N/A,#N/A,FALSE,"Sheet10"}</definedName>
    <definedName name="wrn.All._.Sheets._1" localSheetId="0" hidden="1">{#N/A,#N/A,FALSE,"Sheet5";#N/A,#N/A,FALSE,"Sheet4";#N/A,#N/A,FALSE,"Sheet2";#N/A,#N/A,FALSE,"Sheet6";#N/A,#N/A,FALSE,"Sheet7";#N/A,#N/A,FALSE,"Sheet8";#N/A,#N/A,FALSE,"Sheet9";#N/A,#N/A,FALSE,"Sheet10"}</definedName>
    <definedName name="wrn.All._.Sheets._1" hidden="1">{#N/A,#N/A,FALSE,"Sheet5";#N/A,#N/A,FALSE,"Sheet4";#N/A,#N/A,FALSE,"Sheet2";#N/A,#N/A,FALSE,"Sheet6";#N/A,#N/A,FALSE,"Sheet7";#N/A,#N/A,FALSE,"Sheet8";#N/A,#N/A,FALSE,"Sheet9";#N/A,#N/A,FALSE,"Sheet10"}</definedName>
    <definedName name="wrn.All._.Three._.Sheets." localSheetId="1" hidden="1">{#N/A,#N/A,FALSE,"Legal Entities";#N/A,#N/A,FALSE,"Departments";#N/A,#N/A,FALSE,"Chart of Accounts"}</definedName>
    <definedName name="wrn.All._.Three._.Sheets." localSheetId="0" hidden="1">{#N/A,#N/A,FALSE,"Legal Entities";#N/A,#N/A,FALSE,"Departments";#N/A,#N/A,FALSE,"Chart of Accounts"}</definedName>
    <definedName name="wrn.all.1"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e." localSheetId="1" hidden="1">{#N/A,#N/A,TRUE,"Vergabe-Regeln";#N/A,#N/A,TRUE,"Baugruppen";#N/A,#N/A,TRUE,"Geräte";#N/A,#N/A,TRUE,"PC-Software";#N/A,#N/A,TRUE,"Software";#N/A,#N/A,TRUE,"SW-Reg";#N/A,#N/A,TRUE,"Dokumentation"}</definedName>
    <definedName name="wrn.alle." localSheetId="0" hidden="1">{#N/A,#N/A,TRUE,"Vergabe-Regeln";#N/A,#N/A,TRUE,"Baugruppen";#N/A,#N/A,TRUE,"Geräte";#N/A,#N/A,TRUE,"PC-Software";#N/A,#N/A,TRUE,"Software";#N/A,#N/A,TRUE,"SW-Reg";#N/A,#N/A,TRUE,"Dokumentation"}</definedName>
    <definedName name="wrn.alle." hidden="1">{#N/A,#N/A,TRUE,"Vergabe-Regeln";#N/A,#N/A,TRUE,"Baugruppen";#N/A,#N/A,TRUE,"Geräte";#N/A,#N/A,TRUE,"PC-Software";#N/A,#N/A,TRUE,"Software";#N/A,#N/A,TRUE,"SW-Reg";#N/A,#N/A,TRUE,"Dokumentation"}</definedName>
    <definedName name="wrn.AllVariances." localSheetId="1" hidden="1">{#N/A,#N/A,FALSE,"ActPrior";#N/A,#N/A,FALSE,"ActPlan";#N/A,#N/A,FALSE,"ActFore"}</definedName>
    <definedName name="wrn.AllVariances." localSheetId="0" hidden="1">{#N/A,#N/A,FALSE,"ActPrior";#N/A,#N/A,FALSE,"ActPlan";#N/A,#N/A,FALSE,"ActFore"}</definedName>
    <definedName name="wrn.AllVariances." hidden="1">{#N/A,#N/A,FALSE,"ActPrior";#N/A,#N/A,FALSE,"ActPlan";#N/A,#N/A,FALSE,"ActFore"}</definedName>
    <definedName name="wrn.amk." localSheetId="1" hidden="1">{#N/A,#N/A,FALSE,"M&amp;B_43A_fab";#N/A,#N/A,FALSE,"M&amp;B_43A_ERE.";#N/A,#N/A,FALSE,"M&amp;B-43A-ALIGN"}</definedName>
    <definedName name="wrn.amk." localSheetId="0" hidden="1">{#N/A,#N/A,FALSE,"M&amp;B_43A_fab";#N/A,#N/A,FALSE,"M&amp;B_43A_ERE.";#N/A,#N/A,FALSE,"M&amp;B-43A-ALIGN"}</definedName>
    <definedName name="wrn.amk." hidden="1">{#N/A,#N/A,FALSE,"M&amp;B_43A_fab";#N/A,#N/A,FALSE,"M&amp;B_43A_ERE.";#N/A,#N/A,FALSE,"M&amp;B-43A-ALIGN"}</definedName>
    <definedName name="wrn.Assumption._.Book." localSheetId="1" hidden="1">{#N/A,#N/A,FALSE,"Model Assumptions"}</definedName>
    <definedName name="wrn.Assumption._.Book." localSheetId="0" hidden="1">{#N/A,#N/A,FALSE,"Model Assumptions"}</definedName>
    <definedName name="wrn.Assumption._.Book." hidden="1">{#N/A,#N/A,FALSE,"Model Assumptions"}</definedName>
    <definedName name="wrn.backup." localSheetId="1" hidden="1">{"financials",#N/A,FALSE,"BASIC";"interest",#N/A,FALSE,"BASIC";"leasing and financing",#N/A,FALSE,"BASIC";"returns back up",#N/A,FALSE,"BASIC"}</definedName>
    <definedName name="wrn.backup." localSheetId="0" hidden="1">{"financials",#N/A,FALSE,"BASIC";"interest",#N/A,FALSE,"BASIC";"leasing and financing",#N/A,FALSE,"BASIC";"returns back up",#N/A,FALSE,"BASIC"}</definedName>
    <definedName name="wrn.backup." hidden="1">{"financials",#N/A,FALSE,"BASIC";"interest",#N/A,FALSE,"BASIC";"leasing and financing",#N/A,FALSE,"BASIC";"returns back up",#N/A,FALSE,"BASIC"}</definedName>
    <definedName name="wrn.bank._.model." localSheetId="1" hidden="1">{"banks",#N/A,FALSE,"BASIC"}</definedName>
    <definedName name="wrn.bank._.model." localSheetId="0" hidden="1">{"banks",#N/A,FALSE,"BASIC"}</definedName>
    <definedName name="wrn.bank._.model." hidden="1">{"banks",#N/A,FALSE,"BASIC"}</definedName>
    <definedName name="wrn.BARCHART." localSheetId="1" hidden="1">{"View1",#N/A,FALSE,"Sheet1";"View2",#N/A,FALSE,"Sheet1";"View3",#N/A,FALSE,"Sheet1";"View4",#N/A,FALSE,"Sheet1"}</definedName>
    <definedName name="wrn.BARCHART." localSheetId="0" hidden="1">{"View1",#N/A,FALSE,"Sheet1";"View2",#N/A,FALSE,"Sheet1";"View3",#N/A,FALSE,"Sheet1";"View4",#N/A,FALSE,"Sheet1"}</definedName>
    <definedName name="wrn.BARCHART." hidden="1">{"View1",#N/A,FALSE,"Sheet1";"View2",#N/A,FALSE,"Sheet1";"View3",#N/A,FALSE,"Sheet1";"View4",#N/A,FALSE,"Sheet1"}</definedName>
    <definedName name="wrn.Basic._.Report." localSheetId="1" hidden="1">{#N/A,#N/A,FALSE,"New Depr Sch-150% DB";#N/A,#N/A,FALSE,"Cash Flows RLP";#N/A,#N/A,FALSE,"IRR";#N/A,#N/A,FALSE,"Proforma IS";#N/A,#N/A,FALSE,"Assumptions"}</definedName>
    <definedName name="wrn.Basic._.Report." localSheetId="0"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CAP." localSheetId="1" hidden="1">{"DEA CAP",#N/A,TRUE,"DEA";"RVA CAP",#N/A,TRUE,"RVA";"MDA CAP",#N/A,TRUE,"MDA";"Table C CAP",#N/A,TRUE,"C";"Table V CAP",#N/A,TRUE,"V";"DEA GL ACCOUNTS",#N/A,TRUE,"DEA";"RULES CAP",#N/A,TRUE,"RULES";"COs CAP",#N/A,TRUE,"COs";#N/A,#N/A,TRUE,"CHIP"}</definedName>
    <definedName name="wrn.CAP." localSheetId="0" hidden="1">{"DEA CAP",#N/A,TRUE,"DEA";"RVA CAP",#N/A,TRUE,"RVA";"MDA CAP",#N/A,TRUE,"MDA";"Table C CAP",#N/A,TRUE,"C";"Table V CAP",#N/A,TRUE,"V";"DEA GL ACCOUNTS",#N/A,TRUE,"DEA";"RULES CAP",#N/A,TRUE,"RULES";"COs CAP",#N/A,TRUE,"COs";#N/A,#N/A,TRUE,"CHIP"}</definedName>
    <definedName name="wrn.CAP." hidden="1">{"DEA CAP",#N/A,TRUE,"DEA";"RVA CAP",#N/A,TRUE,"RVA";"MDA CAP",#N/A,TRUE,"MDA";"Table C CAP",#N/A,TRUE,"C";"Table V CAP",#N/A,TRUE,"V";"DEA GL ACCOUNTS",#N/A,TRUE,"DEA";"RULES CAP",#N/A,TRUE,"RULES";"COs CAP",#N/A,TRUE,"COs";#N/A,#N/A,TRUE,"CHIP"}</definedName>
    <definedName name="wrn.Capex." localSheetId="1" hidden="1">{#N/A,#N/A,TRUE,"Capex Summ";#N/A,#N/A,TRUE,"Essential Works.tw";#N/A,#N/A,TRUE,"Desirable Works.tw";#N/A,#N/A,TRUE,"Essential Works.rt";#N/A,#N/A,TRUE,"Desirable Works.rt";#N/A,#N/A,TRUE,"Mthly";#N/A,#N/A,TRUE,"Essential Works.ht";#N/A,#N/A,TRUE,"Desirable Works.ht";#N/A,#N/A,TRUE,"Incentives"}</definedName>
    <definedName name="wrn.Capex." localSheetId="0" hidden="1">{#N/A,#N/A,TRUE,"Capex Summ";#N/A,#N/A,TRUE,"Essential Works.tw";#N/A,#N/A,TRUE,"Desirable Works.tw";#N/A,#N/A,TRUE,"Essential Works.rt";#N/A,#N/A,TRUE,"Desirable Works.rt";#N/A,#N/A,TRUE,"Mthly";#N/A,#N/A,TRUE,"Essential Works.ht";#N/A,#N/A,TRUE,"Desirable Works.ht";#N/A,#N/A,TRUE,"Incentives"}</definedName>
    <definedName name="wrn.Capex." hidden="1">{#N/A,#N/A,TRUE,"Capex Summ";#N/A,#N/A,TRUE,"Essential Works.tw";#N/A,#N/A,TRUE,"Desirable Works.tw";#N/A,#N/A,TRUE,"Essential Works.rt";#N/A,#N/A,TRUE,"Desirable Works.rt";#N/A,#N/A,TRUE,"Mthly";#N/A,#N/A,TRUE,"Essential Works.ht";#N/A,#N/A,TRUE,"Desirable Works.ht";#N/A,#N/A,TRUE,"Incentives"}</definedName>
    <definedName name="wrn.clientcopy."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ntrpt." localSheetId="1" hidden="1">{#N/A,#N/A,FALSE,"CLIENT HOPSR";#N/A,#N/A,FALSE,"JEG GRAPH";#N/A,#N/A,FALSE,"PROCESS";#N/A,#N/A,FALSE,"CIVIL";#N/A,#N/A,FALSE,"ELECTRICAL";#N/A,#N/A,FALSE,"CNTRL SYS";#N/A,#N/A,FALSE,"MECH";#N/A,#N/A,FALSE,"PIPE"}</definedName>
    <definedName name="wrn.clntrpt." localSheetId="0" hidden="1">{#N/A,#N/A,FALSE,"CLIENT HOPSR";#N/A,#N/A,FALSE,"JEG GRAPH";#N/A,#N/A,FALSE,"PROCESS";#N/A,#N/A,FALSE,"CIVIL";#N/A,#N/A,FALSE,"ELECTRICAL";#N/A,#N/A,FALSE,"CNTRL SYS";#N/A,#N/A,FALSE,"MECH";#N/A,#N/A,FALSE,"PIPE"}</definedName>
    <definedName name="wrn.clntrpt." hidden="1">{#N/A,#N/A,FALSE,"CLIENT HOPSR";#N/A,#N/A,FALSE,"JEG GRAPH";#N/A,#N/A,FALSE,"PROCESS";#N/A,#N/A,FALSE,"CIVIL";#N/A,#N/A,FALSE,"ELECTRICAL";#N/A,#N/A,FALSE,"CNTRL SYS";#N/A,#N/A,FALSE,"MECH";#N/A,#N/A,FALSE,"PIPE"}</definedName>
    <definedName name="wrn.coII._.I." localSheetId="1" hidden="1">{#N/A,#N/A,FALSE,"Fund-I"}</definedName>
    <definedName name="wrn.coII._.I." localSheetId="0" hidden="1">{#N/A,#N/A,FALSE,"Fund-I"}</definedName>
    <definedName name="wrn.coII._.I." hidden="1">{#N/A,#N/A,FALSE,"Fund-I"}</definedName>
    <definedName name="wrn.CoIV._.II." localSheetId="1" hidden="1">{#N/A,#N/A,FALSE,"Fund-II"}</definedName>
    <definedName name="wrn.CoIV._.II." localSheetId="0" hidden="1">{#N/A,#N/A,FALSE,"Fund-II"}</definedName>
    <definedName name="wrn.CoIV._.II." hidden="1">{#N/A,#N/A,FALSE,"Fund-II"}</definedName>
    <definedName name="wrn.COM." localSheetId="1" hidden="1">{"COM",#N/A,FALSE,"800 10th"}</definedName>
    <definedName name="wrn.COM." localSheetId="0" hidden="1">{"COM",#N/A,FALSE,"800 10th"}</definedName>
    <definedName name="wrn.COM." hidden="1">{"COM",#N/A,FALSE,"800 10th"}</definedName>
    <definedName name="wrn.COMLAWTC." localSheetId="1" hidden="1">{"Commish",#N/A,FALSE,"LAWTC"}</definedName>
    <definedName name="wrn.COMLAWTC." localSheetId="0" hidden="1">{"Commish",#N/A,FALSE,"LAWTC"}</definedName>
    <definedName name="wrn.COMLAWTC." hidden="1">{"Commish",#N/A,FALSE,"LAWTC"}</definedName>
    <definedName name="wrn.Complete._.Report." localSheetId="1" hidden="1">{#N/A,#N/A,FALSE,"Assumptions";#N/A,#N/A,FALSE,"Proforma IS";#N/A,#N/A,FALSE,"Cash Flows RLP";#N/A,#N/A,FALSE,"IRR";#N/A,#N/A,FALSE,"New Depr Sch-150% DB";#N/A,#N/A,FALSE,"Comments"}</definedName>
    <definedName name="wrn.Complete._.Report." localSheetId="0" hidden="1">{#N/A,#N/A,FALSE,"Assumptions";#N/A,#N/A,FALSE,"Proforma IS";#N/A,#N/A,FALSE,"Cash Flows RLP";#N/A,#N/A,FALSE,"IRR";#N/A,#N/A,FALSE,"New Depr Sch-150% DB";#N/A,#N/A,FALSE,"Comments"}</definedName>
    <definedName name="wrn.Complete._.Report." hidden="1">{#N/A,#N/A,FALSE,"Assumptions";#N/A,#N/A,FALSE,"Proforma IS";#N/A,#N/A,FALSE,"Cash Flows RLP";#N/A,#N/A,FALSE,"IRR";#N/A,#N/A,FALSE,"New Depr Sch-150% DB";#N/A,#N/A,FALSE,"Comments"}</definedName>
    <definedName name="wrn.Complete._.Review." localSheetId="1" hidden="1">{#N/A,#N/A,FALSE,"Occ and Rate";#N/A,#N/A,FALSE,"PF Input";#N/A,#N/A,FALSE,"Capital Input";#N/A,#N/A,FALSE,"Proforma Five Yr";#N/A,#N/A,FALSE,"Calculations";#N/A,#N/A,FALSE,"Transaction Summary-DTW"}</definedName>
    <definedName name="wrn.Complete._.Review." localSheetId="0" hidden="1">{#N/A,#N/A,FALSE,"Occ and Rate";#N/A,#N/A,FALSE,"PF Input";#N/A,#N/A,FALSE,"Capital Input";#N/A,#N/A,FALSE,"Proforma Five Yr";#N/A,#N/A,FALSE,"Calculations";#N/A,#N/A,FALSE,"Transaction Summary-DTW"}</definedName>
    <definedName name="wrn.Complete._.Review." hidden="1">{#N/A,#N/A,FALSE,"Occ and Rate";#N/A,#N/A,FALSE,"PF Input";#N/A,#N/A,FALSE,"Capital Input";#N/A,#N/A,FALSE,"Proforma Five Yr";#N/A,#N/A,FALSE,"Calculations";#N/A,#N/A,FALSE,"Transaction Summary-DTW"}</definedName>
    <definedName name="wrn.consumable." localSheetId="1" hidden="1">{#N/A,#N/A,FALSE,"consu_cover";#N/A,#N/A,FALSE,"consu_strategy";#N/A,#N/A,FALSE,"consu_flow";#N/A,#N/A,FALSE,"Summary_reqmt";#N/A,#N/A,FALSE,"field_ppg";#N/A,#N/A,FALSE,"ppg_shop";#N/A,#N/A,FALSE,"strl";#N/A,#N/A,FALSE,"tankages";#N/A,#N/A,FALSE,"gases"}</definedName>
    <definedName name="wrn.consumable." localSheetId="0"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Data._.and._.Totals." localSheetId="1" hidden="1">{"All Except Totals",#N/A,TRUE,"Recap";"Totals Page",#N/A,TRUE,"Recap"}</definedName>
    <definedName name="wrn.Data._.and._.Totals." localSheetId="0" hidden="1">{"All Except Totals",#N/A,TRUE,"Recap";"Totals Page",#N/A,TRUE,"Recap"}</definedName>
    <definedName name="wrn.Data._.and._.Totals." hidden="1">{"All Except Totals",#N/A,TRUE,"Recap";"Totals Page",#N/A,TRUE,"Recap"}</definedName>
    <definedName name="wrn.Data._.and._.Totals._1" localSheetId="1" hidden="1">{"All Except Totals",#N/A,TRUE,"Recap";"Totals Page",#N/A,TRUE,"Recap"}</definedName>
    <definedName name="wrn.Data._.and._.Totals._1" localSheetId="0" hidden="1">{"All Except Totals",#N/A,TRUE,"Recap";"Totals Page",#N/A,TRUE,"Recap"}</definedName>
    <definedName name="wrn.Data._.and._.Totals._1" hidden="1">{"All Except Totals",#N/A,TRUE,"Recap";"Totals Page",#N/A,TRUE,"Recap"}</definedName>
    <definedName name="wrn.dep." localSheetId="1" hidden="1">{"dep. full detail",#N/A,FALSE,"annex";"3cd annex",#N/A,FALSE,"annex";"co. dep.",#N/A,FALSE,"annex"}</definedName>
    <definedName name="wrn.dep." localSheetId="0" hidden="1">{"dep. full detail",#N/A,FALSE,"annex";"3cd annex",#N/A,FALSE,"annex";"co. dep.",#N/A,FALSE,"annex"}</definedName>
    <definedName name="wrn.dep." hidden="1">{"dep. full detail",#N/A,FALSE,"annex";"3cd annex",#N/A,FALSE,"annex";"co. dep.",#N/A,FALSE,"annex"}</definedName>
    <definedName name="wrn.Detail." localSheetId="1" hidden="1">{"Detail",#N/A,FALSE,"Assump";"Detail",#N/A,FALSE,"Muni";"Detail",#N/A,FALSE,"Proj";"Detail",#N/A,FALSE,"Calc";"Present",#N/A,FALSE,"Cover"}</definedName>
    <definedName name="wrn.Detail." localSheetId="0" hidden="1">{"Detail",#N/A,FALSE,"Assump";"Detail",#N/A,FALSE,"Muni";"Detail",#N/A,FALSE,"Proj";"Detail",#N/A,FALSE,"Calc";"Present",#N/A,FALSE,"Cover"}</definedName>
    <definedName name="wrn.Detail." hidden="1">{"Detail",#N/A,FALSE,"Assump";"Detail",#N/A,FALSE,"Muni";"Detail",#N/A,FALSE,"Proj";"Detail",#N/A,FALSE,"Calc";"Present",#N/A,FALSE,"Cover"}</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quipment._.list._.and._.Summary." hidden="1">{#N/A,#N/A,FALSE,"SUMMARY SHEET";#N/A,#N/A,FALSE,"Page 1";#N/A,#N/A,FALSE,"Page 2";#N/A,#N/A,FALSE,"Page 3";#N/A,#N/A,FALSE,"Page 4";#N/A,#N/A,FALSE,"Page 5";#N/A,#N/A,FALSE,"Page 6";#N/A,#N/A,FALSE,"Page 7"}</definedName>
    <definedName name="wrn.filecopy."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loor." localSheetId="1" hidden="1">{#N/A,#N/A,TRUE,"Flooring "}</definedName>
    <definedName name="wrn.floor." localSheetId="0" hidden="1">{#N/A,#N/A,TRUE,"Flooring "}</definedName>
    <definedName name="wrn.floor." hidden="1">{#N/A,#N/A,TRUE,"Flooring "}</definedName>
    <definedName name="WRN.FULL" localSheetId="1" hidden="1">{#N/A,#N/A,TRUE,"Front";#N/A,#N/A,TRUE,"Simple Letter";#N/A,#N/A,TRUE,"Inside";#N/A,#N/A,TRUE,"Contents";#N/A,#N/A,TRUE,"Basis";#N/A,#N/A,TRUE,"Inclusions";#N/A,#N/A,TRUE,"Exclusions";#N/A,#N/A,TRUE,"Areas";#N/A,#N/A,TRUE,"Summary";#N/A,#N/A,TRUE,"Detail"}</definedName>
    <definedName name="WRN.FULL" localSheetId="0" hidden="1">{#N/A,#N/A,TRUE,"Front";#N/A,#N/A,TRUE,"Simple Letter";#N/A,#N/A,TRUE,"Inside";#N/A,#N/A,TRUE,"Contents";#N/A,#N/A,TRUE,"Basis";#N/A,#N/A,TRUE,"Inclusions";#N/A,#N/A,TRUE,"Exclusions";#N/A,#N/A,TRUE,"Areas";#N/A,#N/A,TRUE,"Summary";#N/A,#N/A,TRUE,"Detail"}</definedName>
    <definedName name="WRN.FULL" hidden="1">{#N/A,#N/A,TRUE,"Front";#N/A,#N/A,TRUE,"Simple Letter";#N/A,#N/A,TRUE,"Inside";#N/A,#N/A,TRUE,"Contents";#N/A,#N/A,TRUE,"Basis";#N/A,#N/A,TRUE,"Inclusions";#N/A,#N/A,TRUE,"Exclusions";#N/A,#N/A,TRUE,"Areas";#N/A,#N/A,TRUE,"Summary";#N/A,#N/A,TRUE,"Detail"}</definedName>
    <definedName name="wrn.FULL." localSheetId="1" hidden="1">{#N/A,#N/A,FALSE,"B"}</definedName>
    <definedName name="wrn.FULL." localSheetId="0" hidden="1">{#N/A,#N/A,FALSE,"B"}</definedName>
    <definedName name="wrn.FULL." hidden="1">{#N/A,#N/A,FALSE,"B"}</definedName>
    <definedName name="wrn.Full._.Financials." localSheetId="1" hidden="1">{#N/A,#N/A,TRUE,"Financials";#N/A,#N/A,TRUE,"Operating Statistics";#N/A,#N/A,TRUE,"Capex &amp; Depreciation";#N/A,#N/A,TRUE,"Debt"}</definedName>
    <definedName name="wrn.Full._.Financials." localSheetId="0" hidden="1">{#N/A,#N/A,TRUE,"Financials";#N/A,#N/A,TRUE,"Operating Statistics";#N/A,#N/A,TRUE,"Capex &amp; Depreciation";#N/A,#N/A,TRUE,"Debt"}</definedName>
    <definedName name="wrn.Full._.Financials." hidden="1">{#N/A,#N/A,TRUE,"Financials";#N/A,#N/A,TRUE,"Operating Statistics";#N/A,#N/A,TRUE,"Capex &amp; Depreciation";#N/A,#N/A,TRUE,"Debt"}</definedName>
    <definedName name="wrn.Full._.Report." localSheetId="1" hidden="1">{#N/A,#N/A,TRUE,"Front";#N/A,#N/A,TRUE,"Simple Letter";#N/A,#N/A,TRUE,"Inside";#N/A,#N/A,TRUE,"Contents";#N/A,#N/A,TRUE,"Basis";#N/A,#N/A,TRUE,"Inclusions";#N/A,#N/A,TRUE,"Exclusions";#N/A,#N/A,TRUE,"Areas";#N/A,#N/A,TRUE,"Summary";#N/A,#N/A,TRUE,"Detail"}</definedName>
    <definedName name="wrn.Full._.Report." localSheetId="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_.Report._1" localSheetId="1" hidden="1">{#N/A,#N/A,TRUE,"Front";#N/A,#N/A,TRUE,"Simple Letter";#N/A,#N/A,TRUE,"Inside";#N/A,#N/A,TRUE,"Contents";#N/A,#N/A,TRUE,"Basis";#N/A,#N/A,TRUE,"Inclusions";#N/A,#N/A,TRUE,"Exclusions";#N/A,#N/A,TRUE,"Areas";#N/A,#N/A,TRUE,"Summary";#N/A,#N/A,TRUE,"Detail"}</definedName>
    <definedName name="wrn.Full._.Report._1" localSheetId="0" hidden="1">{#N/A,#N/A,TRUE,"Front";#N/A,#N/A,TRUE,"Simple Letter";#N/A,#N/A,TRUE,"Inside";#N/A,#N/A,TRUE,"Contents";#N/A,#N/A,TRUE,"Basis";#N/A,#N/A,TRUE,"Inclusions";#N/A,#N/A,TRUE,"Exclusions";#N/A,#N/A,TRUE,"Areas";#N/A,#N/A,TRUE,"Summary";#N/A,#N/A,TRUE,"Detail"}</definedName>
    <definedName name="wrn.Full._.Report._1" hidden="1">{#N/A,#N/A,TRUE,"Front";#N/A,#N/A,TRUE,"Simple Letter";#N/A,#N/A,TRUE,"Inside";#N/A,#N/A,TRUE,"Contents";#N/A,#N/A,TRUE,"Basis";#N/A,#N/A,TRUE,"Inclusions";#N/A,#N/A,TRUE,"Exclusions";#N/A,#N/A,TRUE,"Areas";#N/A,#N/A,TRUE,"Summary";#N/A,#N/A,TRUE,"Detail"}</definedName>
    <definedName name="wrn.full._.reports" localSheetId="1" hidden="1">{#N/A,#N/A,TRUE,"Front";#N/A,#N/A,TRUE,"Simple Letter";#N/A,#N/A,TRUE,"Inside";#N/A,#N/A,TRUE,"Contents";#N/A,#N/A,TRUE,"Basis";#N/A,#N/A,TRUE,"Inclusions";#N/A,#N/A,TRUE,"Exclusions";#N/A,#N/A,TRUE,"Areas";#N/A,#N/A,TRUE,"Summary";#N/A,#N/A,TRUE,"Detail"}</definedName>
    <definedName name="wrn.full._.reports" localSheetId="0" hidden="1">{#N/A,#N/A,TRUE,"Front";#N/A,#N/A,TRUE,"Simple Letter";#N/A,#N/A,TRUE,"Inside";#N/A,#N/A,TRUE,"Contents";#N/A,#N/A,TRUE,"Basis";#N/A,#N/A,TRUE,"Inclusions";#N/A,#N/A,TRUE,"Exclusions";#N/A,#N/A,TRUE,"Areas";#N/A,#N/A,TRUE,"Summary";#N/A,#N/A,TRUE,"Detail"}</definedName>
    <definedName name="wrn.full._.reports" hidden="1">{#N/A,#N/A,TRUE,"Front";#N/A,#N/A,TRUE,"Simple Letter";#N/A,#N/A,TRUE,"Inside";#N/A,#N/A,TRUE,"Contents";#N/A,#N/A,TRUE,"Basis";#N/A,#N/A,TRUE,"Inclusions";#N/A,#N/A,TRUE,"Exclusions";#N/A,#N/A,TRUE,"Areas";#N/A,#N/A,TRUE,"Summary";#N/A,#N/A,TRUE,"Detail"}</definedName>
    <definedName name="wrn.full.fin.1" localSheetId="1" hidden="1">{#N/A,#N/A,TRUE,"Financials";#N/A,#N/A,TRUE,"Operating Statistics";#N/A,#N/A,TRUE,"Capex &amp; Depreciation";#N/A,#N/A,TRUE,"Debt"}</definedName>
    <definedName name="wrn.full.fin.1" localSheetId="0" hidden="1">{#N/A,#N/A,TRUE,"Financials";#N/A,#N/A,TRUE,"Operating Statistics";#N/A,#N/A,TRUE,"Capex &amp; Depreciation";#N/A,#N/A,TRUE,"Debt"}</definedName>
    <definedName name="wrn.full.fin.1" hidden="1">{#N/A,#N/A,TRUE,"Financials";#N/A,#N/A,TRUE,"Operating Statistics";#N/A,#N/A,TRUE,"Capex &amp; Depreciation";#N/A,#N/A,TRUE,"Debt"}</definedName>
    <definedName name="wrn.fulld" localSheetId="1" hidden="1">{#N/A,#N/A,TRUE,"Front";#N/A,#N/A,TRUE,"Simple Letter";#N/A,#N/A,TRUE,"Inside";#N/A,#N/A,TRUE,"Contents";#N/A,#N/A,TRUE,"Basis";#N/A,#N/A,TRUE,"Inclusions";#N/A,#N/A,TRUE,"Exclusions";#N/A,#N/A,TRUE,"Areas";#N/A,#N/A,TRUE,"Summary";#N/A,#N/A,TRUE,"Detail"}</definedName>
    <definedName name="wrn.fulld" localSheetId="0" hidden="1">{#N/A,#N/A,TRUE,"Front";#N/A,#N/A,TRUE,"Simple Letter";#N/A,#N/A,TRUE,"Inside";#N/A,#N/A,TRUE,"Contents";#N/A,#N/A,TRUE,"Basis";#N/A,#N/A,TRUE,"Inclusions";#N/A,#N/A,TRUE,"Exclusions";#N/A,#N/A,TRUE,"Areas";#N/A,#N/A,TRUE,"Summary";#N/A,#N/A,TRUE,"Detail"}</definedName>
    <definedName name="wrn.fulld" hidden="1">{#N/A,#N/A,TRUE,"Front";#N/A,#N/A,TRUE,"Simple Letter";#N/A,#N/A,TRUE,"Inside";#N/A,#N/A,TRUE,"Contents";#N/A,#N/A,TRUE,"Basis";#N/A,#N/A,TRUE,"Inclusions";#N/A,#N/A,TRUE,"Exclusions";#N/A,#N/A,TRUE,"Areas";#N/A,#N/A,TRUE,"Summary";#N/A,#N/A,TRUE,"Detail"}</definedName>
    <definedName name="wrn.fulll" localSheetId="1" hidden="1">{#N/A,#N/A,TRUE,"Front";#N/A,#N/A,TRUE,"Simple Letter";#N/A,#N/A,TRUE,"Inside";#N/A,#N/A,TRUE,"Contents";#N/A,#N/A,TRUE,"Basis";#N/A,#N/A,TRUE,"Inclusions";#N/A,#N/A,TRUE,"Exclusions";#N/A,#N/A,TRUE,"Areas";#N/A,#N/A,TRUE,"Summary";#N/A,#N/A,TRUE,"Detail"}</definedName>
    <definedName name="wrn.fulll" localSheetId="0" hidden="1">{#N/A,#N/A,TRUE,"Front";#N/A,#N/A,TRUE,"Simple Letter";#N/A,#N/A,TRUE,"Inside";#N/A,#N/A,TRUE,"Contents";#N/A,#N/A,TRUE,"Basis";#N/A,#N/A,TRUE,"Inclusions";#N/A,#N/A,TRUE,"Exclusions";#N/A,#N/A,TRUE,"Areas";#N/A,#N/A,TRUE,"Summary";#N/A,#N/A,TRUE,"Detail"}</definedName>
    <definedName name="wrn.fulll" hidden="1">{#N/A,#N/A,TRUE,"Front";#N/A,#N/A,TRUE,"Simple Letter";#N/A,#N/A,TRUE,"Inside";#N/A,#N/A,TRUE,"Contents";#N/A,#N/A,TRUE,"Basis";#N/A,#N/A,TRUE,"Inclusions";#N/A,#N/A,TRUE,"Exclusions";#N/A,#N/A,TRUE,"Areas";#N/A,#N/A,TRUE,"Summary";#N/A,#N/A,TRUE,"Detail"}</definedName>
    <definedName name="wrn.fullreport." localSheetId="1"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localSheetId="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G.C.P.L.." localSheetId="1" hidden="1">{#N/A,#N/A,FALSE,"gc (2)"}</definedName>
    <definedName name="wrn.G.C.P.L.." localSheetId="0" hidden="1">{#N/A,#N/A,FALSE,"gc (2)"}</definedName>
    <definedName name="wrn.G.C.P.L.." hidden="1">{#N/A,#N/A,FALSE,"gc (2)"}</definedName>
    <definedName name="wrn.GENSERV." localSheetId="1" hidden="1">{#N/A,#N/A,FALSE,"VISTAF"}</definedName>
    <definedName name="wrn.GENSERV." localSheetId="0" hidden="1">{#N/A,#N/A,FALSE,"VISTAF"}</definedName>
    <definedName name="wrn.GENSERV." hidden="1">{#N/A,#N/A,FALSE,"VISTAF"}</definedName>
    <definedName name="wrn.HILTON._.GARDEN._.INN." localSheetId="1" hidden="1">{#N/A,#N/A,FALSE,"SUMMARY SHEET";#N/A,#N/A,FALSE,"CAT1-16 SUMM";#N/A,#N/A,FALSE,"LABOR";#N/A,#N/A,FALSE,"TELEPHONES";#N/A,#N/A,FALSE,"EQUIPMENT";#N/A,#N/A,FALSE,"SUPPLIES";#N/A,#N/A,FALSE,"FF &amp; E";#N/A,#N/A,FALSE,"DESIGN COSTS";#N/A,#N/A,FALSE,"PROGRAM"}</definedName>
    <definedName name="wrn.HILTON._.GARDEN._.INN." localSheetId="0" hidden="1">{#N/A,#N/A,FALSE,"SUMMARY SHEET";#N/A,#N/A,FALSE,"CAT1-16 SUMM";#N/A,#N/A,FALSE,"LABOR";#N/A,#N/A,FALSE,"TELEPHONES";#N/A,#N/A,FALSE,"EQUIPMENT";#N/A,#N/A,FALSE,"SUPPLIES";#N/A,#N/A,FALSE,"FF &amp; E";#N/A,#N/A,FALSE,"DESIGN COSTS";#N/A,#N/A,FALSE,"PROGRAM"}</definedName>
    <definedName name="wrn.HILTON._.GARDEN._.INN." hidden="1">{#N/A,#N/A,FALSE,"SUMMARY SHEET";#N/A,#N/A,FALSE,"CAT1-16 SUMM";#N/A,#N/A,FALSE,"LABOR";#N/A,#N/A,FALSE,"TELEPHONES";#N/A,#N/A,FALSE,"EQUIPMENT";#N/A,#N/A,FALSE,"SUPPLIES";#N/A,#N/A,FALSE,"FF &amp; E";#N/A,#N/A,FALSE,"DESIGN COSTS";#N/A,#N/A,FALSE,"PROGRAM"}</definedName>
    <definedName name="wrn.Investment._.Review." localSheetId="1" hidden="1">{#N/A,#N/A,FALSE,"Proforma Five Yr";#N/A,#N/A,FALSE,"Capital Input";#N/A,#N/A,FALSE,"Calculations";#N/A,#N/A,FALSE,"Transaction Summary-DTW"}</definedName>
    <definedName name="wrn.Investment._.Review." localSheetId="0" hidden="1">{#N/A,#N/A,FALSE,"Proforma Five Yr";#N/A,#N/A,FALSE,"Capital Input";#N/A,#N/A,FALSE,"Calculations";#N/A,#N/A,FALSE,"Transaction Summary-DTW"}</definedName>
    <definedName name="wrn.Investment._.Review." hidden="1">{#N/A,#N/A,FALSE,"Proforma Five Yr";#N/A,#N/A,FALSE,"Capital Input";#N/A,#N/A,FALSE,"Calculations";#N/A,#N/A,FALSE,"Transaction Summary-DTW"}</definedName>
    <definedName name="wrn.Investors._.II." localSheetId="1" hidden="1">{#N/A,#N/A,FALSE,"Fund-II"}</definedName>
    <definedName name="wrn.Investors._.II." localSheetId="0" hidden="1">{#N/A,#N/A,FALSE,"Fund-II"}</definedName>
    <definedName name="wrn.Investors._.II." hidden="1">{#N/A,#N/A,FALSE,"Fund-II"}</definedName>
    <definedName name="wrn.jegrpt." localSheetId="1" hidden="1">{#N/A,#N/A,FALSE,"PJT STATUS RVW";#N/A,#N/A,FALSE,"MAPS CKLIST";#N/A,#N/A,FALSE,"HOPSR-BASE-IHOCS";#N/A,#N/A,FALSE,"HOPSR-BASE FOR REPORT";#N/A,#N/A,FALSE,"GEN SERVICES";#N/A,#N/A,FALSE,"FINANCIAL";#N/A,#N/A,FALSE,"CONTRACT CURVES";#N/A,#N/A,FALSE,"JEG GRAPH";#N/A,#N/A,FALSE,"JEG GRAPH (2)"}</definedName>
    <definedName name="wrn.jegrpt." localSheetId="0" hidden="1">{#N/A,#N/A,FALSE,"PJT STATUS RVW";#N/A,#N/A,FALSE,"MAPS CKLIST";#N/A,#N/A,FALSE,"HOPSR-BASE-IHOCS";#N/A,#N/A,FALSE,"HOPSR-BASE FOR REPORT";#N/A,#N/A,FALSE,"GEN SERVICES";#N/A,#N/A,FALSE,"FINANCIAL";#N/A,#N/A,FALSE,"CONTRACT CURVES";#N/A,#N/A,FALSE,"JEG GRAPH";#N/A,#N/A,FALSE,"JEG GRAPH (2)"}</definedName>
    <definedName name="wrn.jegrpt." hidden="1">{#N/A,#N/A,FALSE,"PJT STATUS RVW";#N/A,#N/A,FALSE,"MAPS CKLIST";#N/A,#N/A,FALSE,"HOPSR-BASE-IHOCS";#N/A,#N/A,FALSE,"HOPSR-BASE FOR REPORT";#N/A,#N/A,FALSE,"GEN SERVICES";#N/A,#N/A,FALSE,"FINANCIAL";#N/A,#N/A,FALSE,"CONTRACT CURVES";#N/A,#N/A,FALSE,"JEG GRAPH";#N/A,#N/A,FALSE,"JEG GRAPH (2)"}</definedName>
    <definedName name="wrn.Kuwait._.1." localSheetId="1" hidden="1">{#N/A,#N/A,FALSE,"Fund-I"}</definedName>
    <definedName name="wrn.Kuwait._.1." localSheetId="0" hidden="1">{#N/A,#N/A,FALSE,"Fund-I"}</definedName>
    <definedName name="wrn.Kuwait._.1." hidden="1">{#N/A,#N/A,FALSE,"Fund-I"}</definedName>
    <definedName name="wrn.LTCG." localSheetId="1" hidden="1">{"office ltcg",#N/A,FALSE,"gain01";"IT LTCG",#N/A,FALSE,"gain01"}</definedName>
    <definedName name="wrn.LTCG." localSheetId="0" hidden="1">{"office ltcg",#N/A,FALSE,"gain01";"IT LTCG",#N/A,FALSE,"gain01"}</definedName>
    <definedName name="wrn.LTCG." hidden="1">{"office ltcg",#N/A,FALSE,"gain01";"IT LTCG",#N/A,FALSE,"gain01"}</definedName>
    <definedName name="wrn.MARGIN." localSheetId="1" hidden="1">{#N/A,#N/A,FALSE,"VISTAF"}</definedName>
    <definedName name="wrn.MARGIN." localSheetId="0" hidden="1">{#N/A,#N/A,FALSE,"VISTAF"}</definedName>
    <definedName name="wrn.MARGIN." hidden="1">{#N/A,#N/A,FALSE,"VISTAF"}</definedName>
    <definedName name="wrn.MFS._.BOS." localSheetId="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localSheetId="0"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hrfcst." localSheetId="1" hidden="1">{#N/A,#N/A,FALSE,"MANHR FCST-BASE"}</definedName>
    <definedName name="wrn.mhrfcst." localSheetId="0" hidden="1">{#N/A,#N/A,FALSE,"MANHR FCST-BASE"}</definedName>
    <definedName name="wrn.mhrfcst." hidden="1">{#N/A,#N/A,FALSE,"MANHR FCST-BASE"}</definedName>
    <definedName name="wrn.model." localSheetId="1" hidden="1">{"basic",#N/A,FALSE,"BASIC"}</definedName>
    <definedName name="wrn.model." localSheetId="0" hidden="1">{"basic",#N/A,FALSE,"BASIC"}</definedName>
    <definedName name="wrn.model." hidden="1">{"basic",#N/A,FALSE,"BASIC"}</definedName>
    <definedName name="wrn.mortassetplan." localSheetId="1" hidden="1">{#N/A,#N/A,FALSE,"asset plan";#N/A,#N/A,FALSE,"Mgmt Report";#N/A,#N/A,FALSE,"sensitivities (2)";#N/A,#N/A,FALSE,"sensitivities";#N/A,#N/A,FALSE,"let up 10  Mort";#N/A,#N/A,FALSE,"let up 12 Mort";#N/A,#N/A,FALSE,"Capex";#N/A,#N/A,FALSE,"Capex Cashflow (2)";#N/A,#N/A,FALSE,"Capex Cashflow (3)";#N/A,#N/A,FALSE,"House View";#N/A,#N/A,FALSE,"kpi"}</definedName>
    <definedName name="wrn.mortassetplan." localSheetId="0" hidden="1">{#N/A,#N/A,FALSE,"asset plan";#N/A,#N/A,FALSE,"Mgmt Report";#N/A,#N/A,FALSE,"sensitivities (2)";#N/A,#N/A,FALSE,"sensitivities";#N/A,#N/A,FALSE,"let up 10  Mort";#N/A,#N/A,FALSE,"let up 12 Mort";#N/A,#N/A,FALSE,"Capex";#N/A,#N/A,FALSE,"Capex Cashflow (2)";#N/A,#N/A,FALSE,"Capex Cashflow (3)";#N/A,#N/A,FALSE,"House View";#N/A,#N/A,FALSE,"kpi"}</definedName>
    <definedName name="wrn.mortassetplan." hidden="1">{#N/A,#N/A,FALSE,"asset plan";#N/A,#N/A,FALSE,"Mgmt Report";#N/A,#N/A,FALSE,"sensitivities (2)";#N/A,#N/A,FALSE,"sensitivities";#N/A,#N/A,FALSE,"let up 10  Mort";#N/A,#N/A,FALSE,"let up 12 Mort";#N/A,#N/A,FALSE,"Capex";#N/A,#N/A,FALSE,"Capex Cashflow (2)";#N/A,#N/A,FALSE,"Capex Cashflow (3)";#N/A,#N/A,FALSE,"House View";#N/A,#N/A,FALSE,"kpi"}</definedName>
    <definedName name="Wrn.nov29" localSheetId="1" hidden="1">{#N/A,#N/A,FALSE,"BALLY COSTS";#N/A,#N/A,FALSE,"FF&amp;E";#N/A,#N/A,FALSE,"FEES";#N/A,#N/A,FALSE,"CONTINGENCY";#N/A,#N/A,FALSE,"SOFT COSTS";#N/A,#N/A,FALSE,"DETAIL";#N/A,#N/A,FALSE,"sum12-3"}</definedName>
    <definedName name="Wrn.nov29" localSheetId="0" hidden="1">{#N/A,#N/A,FALSE,"BALLY COSTS";#N/A,#N/A,FALSE,"FF&amp;E";#N/A,#N/A,FALSE,"FEES";#N/A,#N/A,FALSE,"CONTINGENCY";#N/A,#N/A,FALSE,"SOFT COSTS";#N/A,#N/A,FALSE,"DETAIL";#N/A,#N/A,FALSE,"sum12-3"}</definedName>
    <definedName name="Wrn.nov29" hidden="1">{#N/A,#N/A,FALSE,"BALLY COSTS";#N/A,#N/A,FALSE,"FF&amp;E";#N/A,#N/A,FALSE,"FEES";#N/A,#N/A,FALSE,"CONTINGENCY";#N/A,#N/A,FALSE,"SOFT COSTS";#N/A,#N/A,FALSE,"DETAIL";#N/A,#N/A,FALSE,"sum12-3"}</definedName>
    <definedName name="wrn.NOV30." localSheetId="1" hidden="1">{#N/A,#N/A,FALSE,"BALLY COSTS";#N/A,#N/A,FALSE,"FF&amp;E";#N/A,#N/A,FALSE,"FEES";#N/A,#N/A,FALSE,"CONTINGENCY";#N/A,#N/A,FALSE,"SOFT COSTS";#N/A,#N/A,FALSE,"DETAIL";#N/A,#N/A,FALSE,"sum12-3"}</definedName>
    <definedName name="wrn.NOV30." localSheetId="0" hidden="1">{#N/A,#N/A,FALSE,"BALLY COSTS";#N/A,#N/A,FALSE,"FF&amp;E";#N/A,#N/A,FALSE,"FEES";#N/A,#N/A,FALSE,"CONTINGENCY";#N/A,#N/A,FALSE,"SOFT COSTS";#N/A,#N/A,FALSE,"DETAIL";#N/A,#N/A,FALSE,"sum12-3"}</definedName>
    <definedName name="wrn.NOV30." hidden="1">{#N/A,#N/A,FALSE,"BALLY COSTS";#N/A,#N/A,FALSE,"FF&amp;E";#N/A,#N/A,FALSE,"FEES";#N/A,#N/A,FALSE,"CONTINGENCY";#N/A,#N/A,FALSE,"SOFT COSTS";#N/A,#N/A,FALSE,"DETAIL";#N/A,#N/A,FALSE,"sum12-3"}</definedName>
    <definedName name="wrn.november._.17." localSheetId="1"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localSheetId="0"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One._.Pager._.plus._.Technicals." localSheetId="1" hidden="1">{#N/A,#N/A,FALSE,"One Pager";#N/A,#N/A,FALSE,"Technical"}</definedName>
    <definedName name="wrn.One._.Pager._.plus._.Technicals." localSheetId="0" hidden="1">{#N/A,#N/A,FALSE,"One Pager";#N/A,#N/A,FALSE,"Technical"}</definedName>
    <definedName name="wrn.One._.Pager._.plus._.Technicals." hidden="1">{#N/A,#N/A,FALSE,"One Pager";#N/A,#N/A,FALSE,"Technical"}</definedName>
    <definedName name="wrn.Operations._.Review." localSheetId="1" hidden="1">{#N/A,#N/A,FALSE,"Proforma Five Yr";#N/A,#N/A,FALSE,"Occ and Rate";#N/A,#N/A,FALSE,"PF Input";#N/A,#N/A,FALSE,"Hotcomps"}</definedName>
    <definedName name="wrn.Operations._.Review." localSheetId="0" hidden="1">{#N/A,#N/A,FALSE,"Proforma Five Yr";#N/A,#N/A,FALSE,"Occ and Rate";#N/A,#N/A,FALSE,"PF Input";#N/A,#N/A,FALSE,"Hotcomps"}</definedName>
    <definedName name="wrn.Operations._.Review." hidden="1">{#N/A,#N/A,FALSE,"Proforma Five Yr";#N/A,#N/A,FALSE,"Occ and Rate";#N/A,#N/A,FALSE,"PF Input";#N/A,#N/A,FALSE,"Hotcomps"}</definedName>
    <definedName name="wrn.P854._.ADDENDUM." localSheetId="1" hidden="1">{#N/A,#N/A,FALSE,"mgtsum.XLS";#N/A,#N/A,FALSE,"CAPONE";#N/A,#N/A,FALSE,"CAPTWO";#N/A,#N/A,FALSE,"CAPTHREE"}</definedName>
    <definedName name="wrn.P854._.ADDENDUM." localSheetId="0" hidden="1">{#N/A,#N/A,FALSE,"mgtsum.XLS";#N/A,#N/A,FALSE,"CAPONE";#N/A,#N/A,FALSE,"CAPTWO";#N/A,#N/A,FALSE,"CAPTHREE"}</definedName>
    <definedName name="wrn.P854._.ADDENDUM." hidden="1">{#N/A,#N/A,FALSE,"mgtsum.XLS";#N/A,#N/A,FALSE,"CAPONE";#N/A,#N/A,FALSE,"CAPTWO";#N/A,#N/A,FALSE,"CAPTHREE"}</definedName>
    <definedName name="wrn.p854._.addendum2" localSheetId="1" hidden="1">{#N/A,#N/A,FALSE,"mgtsum.XLS";#N/A,#N/A,FALSE,"CAPONE";#N/A,#N/A,FALSE,"CAPTWO";#N/A,#N/A,FALSE,"CAPTHREE"}</definedName>
    <definedName name="wrn.p854._.addendum2" localSheetId="0" hidden="1">{#N/A,#N/A,FALSE,"mgtsum.XLS";#N/A,#N/A,FALSE,"CAPONE";#N/A,#N/A,FALSE,"CAPTWO";#N/A,#N/A,FALSE,"CAPTHREE"}</definedName>
    <definedName name="wrn.p854._.addendum2" hidden="1">{#N/A,#N/A,FALSE,"mgtsum.XLS";#N/A,#N/A,FALSE,"CAPONE";#N/A,#N/A,FALSE,"CAPTWO";#N/A,#N/A,FALSE,"CAPTHREE"}</definedName>
    <definedName name="wrn.p854._.addendum3" localSheetId="1" hidden="1">{#N/A,#N/A,FALSE,"mgtsum.XLS";#N/A,#N/A,FALSE,"CAPONE";#N/A,#N/A,FALSE,"CAPTWO";#N/A,#N/A,FALSE,"CAPTHREE"}</definedName>
    <definedName name="wrn.p854._.addendum3" localSheetId="0" hidden="1">{#N/A,#N/A,FALSE,"mgtsum.XLS";#N/A,#N/A,FALSE,"CAPONE";#N/A,#N/A,FALSE,"CAPTWO";#N/A,#N/A,FALSE,"CAPTHREE"}</definedName>
    <definedName name="wrn.p854._.addendum3" hidden="1">{#N/A,#N/A,FALSE,"mgtsum.XLS";#N/A,#N/A,FALSE,"CAPONE";#N/A,#N/A,FALSE,"CAPTWO";#N/A,#N/A,FALSE,"CAPTHREE"}</definedName>
    <definedName name="wrn.Package." localSheetId="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RTNERSHIP." localSheetId="1" hidden="1">{#N/A,#N/A,FALSE,"BALANCE SHEET";#N/A,#N/A,FALSE,"PL ACCOUNT";#N/A,#N/A,FALSE,"FIXED ASSETS";#N/A,#N/A,FALSE,"HP (V)";#N/A,#N/A,FALSE,"TAX COMP";#N/A,#N/A,FALSE,"W&amp;T";#N/A,#N/A,FALSE,"RECONCILE"}</definedName>
    <definedName name="wrn.PARTNERSHIP." localSheetId="0" hidden="1">{#N/A,#N/A,FALSE,"BALANCE SHEET";#N/A,#N/A,FALSE,"PL ACCOUNT";#N/A,#N/A,FALSE,"FIXED ASSETS";#N/A,#N/A,FALSE,"HP (V)";#N/A,#N/A,FALSE,"TAX COMP";#N/A,#N/A,FALSE,"W&amp;T";#N/A,#N/A,FALSE,"RECONCILE"}</definedName>
    <definedName name="wrn.PARTNERSHIP." hidden="1">{#N/A,#N/A,FALSE,"BALANCE SHEET";#N/A,#N/A,FALSE,"PL ACCOUNT";#N/A,#N/A,FALSE,"FIXED ASSETS";#N/A,#N/A,FALSE,"HP (V)";#N/A,#N/A,FALSE,"TAX COMP";#N/A,#N/A,FALSE,"W&amp;T";#N/A,#N/A,FALSE,"RECONCILE"}</definedName>
    <definedName name="wrn.pauls." localSheetId="1" hidden="1">{#N/A,#N/A,FALSE,"PSU"}</definedName>
    <definedName name="wrn.pauls." localSheetId="0" hidden="1">{#N/A,#N/A,FALSE,"PSU"}</definedName>
    <definedName name="wrn.pauls." hidden="1">{#N/A,#N/A,FALSE,"PSU"}</definedName>
    <definedName name="wrn.Phase._.I." localSheetId="1" hidden="1">{#N/A,#N/A,FALSE,"Transaction Summary-DTW";#N/A,#N/A,FALSE,"Proforma Five Yr";#N/A,#N/A,FALSE,"Occ and Rate"}</definedName>
    <definedName name="wrn.Phase._.I." localSheetId="0" hidden="1">{#N/A,#N/A,FALSE,"Transaction Summary-DTW";#N/A,#N/A,FALSE,"Proforma Five Yr";#N/A,#N/A,FALSE,"Occ and Rate"}</definedName>
    <definedName name="wrn.Phase._.I." hidden="1">{#N/A,#N/A,FALSE,"Transaction Summary-DTW";#N/A,#N/A,FALSE,"Proforma Five Yr";#N/A,#N/A,FALSE,"Occ and Rate"}</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resent." localSheetId="1" hidden="1">{"Present",#N/A,FALSE,"Assump";"Present",#N/A,FALSE,"Calc";"Present",#N/A,FALSE,"Cover"}</definedName>
    <definedName name="wrn.Present." localSheetId="0" hidden="1">{"Present",#N/A,FALSE,"Assump";"Present",#N/A,FALSE,"Calc";"Present",#N/A,FALSE,"Cover"}</definedName>
    <definedName name="wrn.Present." hidden="1">{"Present",#N/A,FALSE,"Assump";"Present",#N/A,FALSE,"Calc";"Present",#N/A,FALSE,"Cover"}</definedName>
    <definedName name="wrn.PRESENTATION." localSheetId="1" hidden="1">{#N/A,#N/A,FALSE,"SUMMARY SHEET";#N/A,#N/A,FALSE,"VARIANCE REPORT";#N/A,#N/A,FALSE,"CAT1-16 SUMM";#N/A,#N/A,FALSE,"GCS";#N/A,#N/A,FALSE,"FF &amp; E";#N/A,#N/A,FALSE,"DESIGN COSTS"}</definedName>
    <definedName name="wrn.PRESENTATION." localSheetId="0" hidden="1">{#N/A,#N/A,FALSE,"SUMMARY SHEET";#N/A,#N/A,FALSE,"VARIANCE REPORT";#N/A,#N/A,FALSE,"CAT1-16 SUMM";#N/A,#N/A,FALSE,"GCS";#N/A,#N/A,FALSE,"FF &amp; E";#N/A,#N/A,FALSE,"DESIGN COSTS"}</definedName>
    <definedName name="wrn.PRESENTATION." hidden="1">{#N/A,#N/A,FALSE,"SUMMARY SHEET";#N/A,#N/A,FALSE,"VARIANCE REPORT";#N/A,#N/A,FALSE,"CAT1-16 SUMM";#N/A,#N/A,FALSE,"GCS";#N/A,#N/A,FALSE,"FF &amp; E";#N/A,#N/A,FALSE,"DESIGN COSTS"}</definedName>
    <definedName name="wrn.print." localSheetId="1" hidden="1">{#N/A,#N/A,FALSE,"Japan 2003";#N/A,#N/A,FALSE,"Sheet2"}</definedName>
    <definedName name="wrn.print." localSheetId="0" hidden="1">{#N/A,#N/A,FALSE,"Japan 2003";#N/A,#N/A,FALSE,"Sheet2"}</definedName>
    <definedName name="wrn.print." hidden="1">{#N/A,#N/A,FALSE,"Japan 2003";#N/A,#N/A,FALSE,"Sheet2"}</definedName>
    <definedName name="wrn.Print._.Model." localSheetId="1"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0"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Output." localSheetId="1" hidden="1">{#N/A,#N/A,FALSE,"OUTPUT SHEET "}</definedName>
    <definedName name="wrn.Print._.Output." localSheetId="0" hidden="1">{#N/A,#N/A,FALSE,"OUTPUT SHEET "}</definedName>
    <definedName name="wrn.Print._.Output." hidden="1">{#N/A,#N/A,FALSE,"OUTPUT SHEET "}</definedName>
    <definedName name="wrn.Print._.whole._.Report." localSheetId="1"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0"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ocess._.Graphs." localSheetId="1" hidden="1">{"process graphs",#N/A,FALSE,"graphs&amp;data"}</definedName>
    <definedName name="wrn.Process._.Graphs." localSheetId="0" hidden="1">{"process graphs",#N/A,FALSE,"graphs&amp;data"}</definedName>
    <definedName name="wrn.Process._.Graphs." hidden="1">{"process graphs",#N/A,FALSE,"graphs&amp;data"}</definedName>
    <definedName name="wrn.Profitability." localSheetId="1" hidden="1">{#N/A,"Good",TRUE,"Sheet1";#N/A,"Normal",TRUE,"Sheet1";#N/A,"Bad",TRUE,"Sheet1"}</definedName>
    <definedName name="wrn.Profitability." localSheetId="0" hidden="1">{#N/A,"Good",TRUE,"Sheet1";#N/A,"Normal",TRUE,"Sheet1";#N/A,"Bad",TRUE,"Sheet1"}</definedName>
    <definedName name="wrn.Profitability." hidden="1">{#N/A,"Good",TRUE,"Sheet1";#N/A,"Normal",TRUE,"Sheet1";#N/A,"Bad",TRUE,"Sheet1"}</definedName>
    <definedName name="wrn.Proforma._.Review." localSheetId="1" hidden="1">{#N/A,#N/A,FALSE,"Occ and Rate";#N/A,#N/A,FALSE,"PF Input";#N/A,#N/A,FALSE,"Proforma Five Yr";#N/A,#N/A,FALSE,"Hotcomps"}</definedName>
    <definedName name="wrn.Proforma._.Review." localSheetId="0" hidden="1">{#N/A,#N/A,FALSE,"Occ and Rate";#N/A,#N/A,FALSE,"PF Input";#N/A,#N/A,FALSE,"Proforma Five Yr";#N/A,#N/A,FALSE,"Hotcomps"}</definedName>
    <definedName name="wrn.Proforma._.Review." hidden="1">{#N/A,#N/A,FALSE,"Occ and Rate";#N/A,#N/A,FALSE,"PF Input";#N/A,#N/A,FALSE,"Proforma Five Yr";#N/A,#N/A,FALSE,"Hotcomps"}</definedName>
    <definedName name="wrn.Project._.Graphs." localSheetId="1" hidden="1">{"project graphs",#N/A,FALSE,"graphs&amp;data"}</definedName>
    <definedName name="wrn.Project._.Graphs." localSheetId="0" hidden="1">{"project graphs",#N/A,FALSE,"graphs&amp;data"}</definedName>
    <definedName name="wrn.Project._.Graphs." hidden="1">{"project graphs",#N/A,FALSE,"graphs&amp;data"}</definedName>
    <definedName name="wrn.QAPU." localSheetId="1" hidden="1">{#N/A,#N/A,FALSE,"5YRASSPl - consol'd";#N/A,#N/A,FALSE,"5YRASSPl - hotel";#N/A,#N/A,FALSE,"5YRASSPl - excl htl";#N/A,#N/A,FALSE,"VarReport";#N/A,#N/A,FALSE,"Sensitivity";#N/A,#N/A,FALSE,"House View ";#N/A,#N/A,FALSE,"KPI"}</definedName>
    <definedName name="wrn.QAPU." localSheetId="0" hidden="1">{#N/A,#N/A,FALSE,"5YRASSPl - consol'd";#N/A,#N/A,FALSE,"5YRASSPl - hotel";#N/A,#N/A,FALSE,"5YRASSPl - excl htl";#N/A,#N/A,FALSE,"VarReport";#N/A,#N/A,FALSE,"Sensitivity";#N/A,#N/A,FALSE,"House View ";#N/A,#N/A,FALSE,"KPI"}</definedName>
    <definedName name="wrn.QAPU." hidden="1">{#N/A,#N/A,FALSE,"5YRASSPl - consol'd";#N/A,#N/A,FALSE,"5YRASSPl - hotel";#N/A,#N/A,FALSE,"5YRASSPl - excl htl";#N/A,#N/A,FALSE,"VarReport";#N/A,#N/A,FALSE,"Sensitivity";#N/A,#N/A,FALSE,"House View ";#N/A,#N/A,FALSE,"KPI"}</definedName>
    <definedName name="wrn.Quill._.Construction._.Creditors._.Report." hidden="1">{#N/A,#N/A,TRUE,"Miscre Listing"}</definedName>
    <definedName name="wrn.RCC." localSheetId="1"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0"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 hidden="1">{#N/A,#N/A,FALSE,"COVER.XLS";#N/A,#N/A,FALSE,"RACT1.XLS";#N/A,#N/A,FALSE,"RACT2.XLS";#N/A,#N/A,FALSE,"ECCMP";#N/A,#N/A,FALSE,"WELDER.XLS"}</definedName>
    <definedName name="wrn.report." localSheetId="0" hidden="1">{#N/A,#N/A,FALSE,"COVER.XLS";#N/A,#N/A,FALSE,"RACT1.XLS";#N/A,#N/A,FALSE,"RACT2.XLS";#N/A,#N/A,FALSE,"ECCMP";#N/A,#N/A,FALSE,"WELDER.XLS"}</definedName>
    <definedName name="wrn.report." hidden="1">{#N/A,#N/A,FALSE,"COVER.XLS";#N/A,#N/A,FALSE,"RACT1.XLS";#N/A,#N/A,FALSE,"RACT2.XLS";#N/A,#N/A,FALSE,"ECCMP";#N/A,#N/A,FALSE,"WELDER.XLS"}</definedName>
    <definedName name="wrn.REPORT._.ALL." localSheetId="1" hidden="1">{#N/A,#N/A,FALSE,"MASTER SUMMARY";#N/A,#N/A,FALSE,"FF&amp;E COSTS";#N/A,#N/A,FALSE,"BALLY COSTS";#N/A,#N/A,FALSE,"GENERAL COND.";#N/A,#N/A,FALSE,"SOFT COSTS";#N/A,#N/A,FALSE,"GARAGE SUMMARY";#N/A,#N/A,FALSE,"CAP INTEREST";#N/A,#N/A,FALSE,"4.00 FEATURES";#N/A,#N/A,FALSE,"MISCELLANEOUS";#N/A,#N/A,FALSE,"DESIGN COSTS"}</definedName>
    <definedName name="wrn.REPORT._.ALL." localSheetId="0" hidden="1">{#N/A,#N/A,FALSE,"MASTER SUMMARY";#N/A,#N/A,FALSE,"FF&amp;E COSTS";#N/A,#N/A,FALSE,"BALLY COSTS";#N/A,#N/A,FALSE,"GENERAL COND.";#N/A,#N/A,FALSE,"SOFT COSTS";#N/A,#N/A,FALSE,"GARAGE SUMMARY";#N/A,#N/A,FALSE,"CAP INTEREST";#N/A,#N/A,FALSE,"4.00 FEATURES";#N/A,#N/A,FALSE,"MISCELLANEOUS";#N/A,#N/A,FALSE,"DESIGN COSTS"}</definedName>
    <definedName name="wrn.REPORT._.ALL." hidden="1">{#N/A,#N/A,FALSE,"MASTER SUMMARY";#N/A,#N/A,FALSE,"FF&amp;E COSTS";#N/A,#N/A,FALSE,"BALLY COSTS";#N/A,#N/A,FALSE,"GENERAL COND.";#N/A,#N/A,FALSE,"SOFT COSTS";#N/A,#N/A,FALSE,"GARAGE SUMMARY";#N/A,#N/A,FALSE,"CAP INTEREST";#N/A,#N/A,FALSE,"4.00 FEATURES";#N/A,#N/A,FALSE,"MISCELLANEOUS";#N/A,#N/A,FALSE,"DESIGN COSTS"}</definedName>
    <definedName name="wrn.Risk._.Analysis._.Report._.1." localSheetId="1" hidden="1">{#N/A,#N/A,FALSE,"Sheet2";#N/A,#N/A,FALSE,"Sheet4";#N/A,#N/A,FALSE,"Sheet5"}</definedName>
    <definedName name="wrn.Risk._.Analysis._.Report._.1." localSheetId="0" hidden="1">{#N/A,#N/A,FALSE,"Sheet2";#N/A,#N/A,FALSE,"Sheet4";#N/A,#N/A,FALSE,"Sheet5"}</definedName>
    <definedName name="wrn.Risk._.Analysis._.Report._.1." hidden="1">{#N/A,#N/A,FALSE,"Sheet2";#N/A,#N/A,FALSE,"Sheet4";#N/A,#N/A,FALSE,"Sheet5"}</definedName>
    <definedName name="wrn.Risk._.Analysis._.Report._.1._1" localSheetId="1" hidden="1">{#N/A,#N/A,FALSE,"Sheet2";#N/A,#N/A,FALSE,"Sheet4";#N/A,#N/A,FALSE,"Sheet5"}</definedName>
    <definedName name="wrn.Risk._.Analysis._.Report._.1._1" localSheetId="0" hidden="1">{#N/A,#N/A,FALSE,"Sheet2";#N/A,#N/A,FALSE,"Sheet4";#N/A,#N/A,FALSE,"Sheet5"}</definedName>
    <definedName name="wrn.Risk._.Analysis._.Report._.1._1" hidden="1">{#N/A,#N/A,FALSE,"Sheet2";#N/A,#N/A,FALSE,"Sheet4";#N/A,#N/A,FALSE,"Sheet5"}</definedName>
    <definedName name="wrn.RPLINS." localSheetId="1" hidden="1">{#N/A,#N/A,FALSE,"str_title";#N/A,#N/A,FALSE,"SUM";#N/A,#N/A,FALSE,"Scope";#N/A,#N/A,FALSE,"PIE-Jn";#N/A,#N/A,FALSE,"PIE-Jn_Hz";#N/A,#N/A,FALSE,"Liq_Plan";#N/A,#N/A,FALSE,"S_Curve";#N/A,#N/A,FALSE,"Liq_Prof";#N/A,#N/A,FALSE,"Man_Pwr";#N/A,#N/A,FALSE,"Man_Prof"}</definedName>
    <definedName name="wrn.RPLINS." localSheetId="0"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1" localSheetId="1" hidden="1">{#N/A,#N/A,FALSE,"COVER1.XLS ";#N/A,#N/A,FALSE,"RACT1.XLS";#N/A,#N/A,FALSE,"RACT2.XLS";#N/A,#N/A,FALSE,"ECCMP";#N/A,#N/A,FALSE,"WELDER.XLS"}</definedName>
    <definedName name="wrn.summ1" localSheetId="0" hidden="1">{#N/A,#N/A,FALSE,"COVER1.XLS ";#N/A,#N/A,FALSE,"RACT1.XLS";#N/A,#N/A,FALSE,"RACT2.XLS";#N/A,#N/A,FALSE,"ECCMP";#N/A,#N/A,FALSE,"WELDER.XLS"}</definedName>
    <definedName name="wrn.summ1"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0" hidden="1">{#N/A,#N/A,FALSE,"COVER1.XLS ";#N/A,#N/A,FALSE,"RACT1.XLS";#N/A,#N/A,FALSE,"RACT2.XLS";#N/A,#N/A,FALSE,"ECCMP";#N/A,#N/A,FALSE,"WELDER.XLS"}</definedName>
    <definedName name="wrn.summary." hidden="1">{#N/A,#N/A,FALSE,"COVER1.XLS ";#N/A,#N/A,FALSE,"RACT1.XLS";#N/A,#N/A,FALSE,"RACT2.XLS";#N/A,#N/A,FALSE,"ECCMP";#N/A,#N/A,FALSE,"WELDER.XLS"}</definedName>
    <definedName name="wrn.TAX._.COMPUTATION." localSheetId="1" hidden="1">{#N/A,#N/A,FALSE,"TAX COMPUTATION";#N/A,#N/A,FALSE,"TAX SCHEDULE";#N/A,#N/A,FALSE,"ADDITIONS";#N/A,#N/A,FALSE,"W &amp; T"}</definedName>
    <definedName name="wrn.TAX._.COMPUTATION." localSheetId="0" hidden="1">{#N/A,#N/A,FALSE,"TAX COMPUTATION";#N/A,#N/A,FALSE,"TAX SCHEDULE";#N/A,#N/A,FALSE,"ADDITIONS";#N/A,#N/A,FALSE,"W &amp; T"}</definedName>
    <definedName name="wrn.TAX._.COMPUTATION." hidden="1">{#N/A,#N/A,FALSE,"TAX COMPUTATION";#N/A,#N/A,FALSE,"TAX SCHEDULE";#N/A,#N/A,FALSE,"ADDITIONS";#N/A,#N/A,FALSE,"W &amp; T"}</definedName>
    <definedName name="wrn.Test._.Report." localSheetId="1" hidden="1">{#N/A,#N/A,FALSE,"DATA D.I.";#N/A,#N/A,FALSE,"DATA C.I."}</definedName>
    <definedName name="wrn.Test._.Report." localSheetId="0" hidden="1">{#N/A,#N/A,FALSE,"DATA D.I.";#N/A,#N/A,FALSE,"DATA C.I."}</definedName>
    <definedName name="wrn.Test._.Report." hidden="1">{#N/A,#N/A,FALSE,"DATA D.I.";#N/A,#N/A,FALSE,"DATA C.I."}</definedName>
    <definedName name="wrn.Total._.Print." localSheetId="1"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0"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u구매." localSheetId="1" hidden="1">{#N/A,#N/A,FALSE,"견적대비-2"}</definedName>
    <definedName name="wrn.tou구매." localSheetId="0" hidden="1">{#N/A,#N/A,FALSE,"견적대비-2"}</definedName>
    <definedName name="wrn.trial." localSheetId="1" hidden="1">{#N/A,#N/A,FALSE,"mpph1";#N/A,#N/A,FALSE,"mpmseb";#N/A,#N/A,FALSE,"mpph2"}</definedName>
    <definedName name="wrn.trial." localSheetId="0" hidden="1">{#N/A,#N/A,FALSE,"mpph1";#N/A,#N/A,FALSE,"mpmseb";#N/A,#N/A,FALSE,"mpph2"}</definedName>
    <definedName name="wrn.trial." hidden="1">{#N/A,#N/A,FALSE,"mpph1";#N/A,#N/A,FALSE,"mpmseb";#N/A,#N/A,FALSE,"mpph2"}</definedName>
    <definedName name="wrn.Valuation._.Summaries." localSheetId="1" hidden="1">{#N/A,#N/A,FALSE,"Cover Sheet";#N/A,#N/A,FALSE,"Financial Assumptions";#N/A,#N/A,FALSE,"DCFOverviewPower";#N/A,#N/A,FALSE,"DCFOverviewGas";#N/A,#N/A,FALSE,"DCFOverviewWater";#N/A,#N/A,FALSE,"DCFOverviewVersorgung"}</definedName>
    <definedName name="wrn.Valuation._.Summaries." localSheetId="0" hidden="1">{#N/A,#N/A,FALSE,"Cover Sheet";#N/A,#N/A,FALSE,"Financial Assumptions";#N/A,#N/A,FALSE,"DCFOverviewPower";#N/A,#N/A,FALSE,"DCFOverviewGas";#N/A,#N/A,FALSE,"DCFOverviewWater";#N/A,#N/A,FALSE,"DCFOverviewVersorgung"}</definedName>
    <definedName name="wrn.Valuation._.Summaries." hidden="1">{#N/A,#N/A,FALSE,"Cover Sheet";#N/A,#N/A,FALSE,"Financial Assumptions";#N/A,#N/A,FALSE,"DCFOverviewPower";#N/A,#N/A,FALSE,"DCFOverviewGas";#N/A,#N/A,FALSE,"DCFOverviewWater";#N/A,#N/A,FALSE,"DCFOverviewVersorgung"}</definedName>
    <definedName name="wrn.ventana." localSheetId="1" hidden="1">{#N/A,#N/A,FALSE,"Cash Flow";#N/A,#N/A,FALSE,"scenario 1"}</definedName>
    <definedName name="wrn.ventana." localSheetId="0" hidden="1">{#N/A,#N/A,FALSE,"Cash Flow";#N/A,#N/A,FALSE,"scenario 1"}</definedName>
    <definedName name="wrn.ventana." hidden="1">{#N/A,#N/A,FALSE,"Cash Flow";#N/A,#N/A,FALSE,"scenario 1"}</definedName>
    <definedName name="wrn.ventana.BKC" localSheetId="1" hidden="1">{#N/A,#N/A,FALSE,"Cash Flow";#N/A,#N/A,FALSE,"scenario 1"}</definedName>
    <definedName name="wrn.ventana.BKC" localSheetId="0" hidden="1">{#N/A,#N/A,FALSE,"Cash Flow";#N/A,#N/A,FALSE,"scenario 1"}</definedName>
    <definedName name="wrn.ventana.BKC" hidden="1">{#N/A,#N/A,FALSE,"Cash Flow";#N/A,#N/A,FALSE,"scenario 1"}</definedName>
    <definedName name="wrn.Versorgungs._.GmbH._.Data." localSheetId="1"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0"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0" localSheetId="1" hidden="1">{#N/A,#N/A,FALSE,"COVER1.XLS ";#N/A,#N/A,FALSE,"RACT1.XLS";#N/A,#N/A,FALSE,"RACT2.XLS";#N/A,#N/A,FALSE,"ECCMP";#N/A,#N/A,FALSE,"WELDER.XLS"}</definedName>
    <definedName name="WRN0" localSheetId="0" hidden="1">{#N/A,#N/A,FALSE,"COVER1.XLS ";#N/A,#N/A,FALSE,"RACT1.XLS";#N/A,#N/A,FALSE,"RACT2.XLS";#N/A,#N/A,FALSE,"ECCMP";#N/A,#N/A,FALSE,"WELDER.XLS"}</definedName>
    <definedName name="WRN0" hidden="1">{#N/A,#N/A,FALSE,"COVER1.XLS ";#N/A,#N/A,FALSE,"RACT1.XLS";#N/A,#N/A,FALSE,"RACT2.XLS";#N/A,#N/A,FALSE,"ECCMP";#N/A,#N/A,FALSE,"WELDER.XLS"}</definedName>
    <definedName name="wrnfulla" localSheetId="1" hidden="1">{#N/A,#N/A,TRUE,"Front";#N/A,#N/A,TRUE,"Simple Letter";#N/A,#N/A,TRUE,"Inside";#N/A,#N/A,TRUE,"Contents";#N/A,#N/A,TRUE,"Basis";#N/A,#N/A,TRUE,"Inclusions";#N/A,#N/A,TRUE,"Exclusions";#N/A,#N/A,TRUE,"Areas";#N/A,#N/A,TRUE,"Summary";#N/A,#N/A,TRUE,"Detail"}</definedName>
    <definedName name="wrnfulla" localSheetId="0" hidden="1">{#N/A,#N/A,TRUE,"Front";#N/A,#N/A,TRUE,"Simple Letter";#N/A,#N/A,TRUE,"Inside";#N/A,#N/A,TRUE,"Contents";#N/A,#N/A,TRUE,"Basis";#N/A,#N/A,TRUE,"Inclusions";#N/A,#N/A,TRUE,"Exclusions";#N/A,#N/A,TRUE,"Areas";#N/A,#N/A,TRUE,"Summary";#N/A,#N/A,TRUE,"Detail"}</definedName>
    <definedName name="wrnfulla" hidden="1">{#N/A,#N/A,TRUE,"Front";#N/A,#N/A,TRUE,"Simple Letter";#N/A,#N/A,TRUE,"Inside";#N/A,#N/A,TRUE,"Contents";#N/A,#N/A,TRUE,"Basis";#N/A,#N/A,TRUE,"Inclusions";#N/A,#N/A,TRUE,"Exclusions";#N/A,#N/A,TRUE,"Areas";#N/A,#N/A,TRUE,"Summary";#N/A,#N/A,TRUE,"Detail"}</definedName>
    <definedName name="wrt" localSheetId="1" hidden="1">{#N/A,#N/A,TRUE,"Front";#N/A,#N/A,TRUE,"Simple Letter";#N/A,#N/A,TRUE,"Inside";#N/A,#N/A,TRUE,"Contents";#N/A,#N/A,TRUE,"Basis";#N/A,#N/A,TRUE,"Inclusions";#N/A,#N/A,TRUE,"Exclusions";#N/A,#N/A,TRUE,"Areas";#N/A,#N/A,TRUE,"Summary";#N/A,#N/A,TRUE,"Detail"}</definedName>
    <definedName name="wrt" localSheetId="0" hidden="1">{#N/A,#N/A,TRUE,"Front";#N/A,#N/A,TRUE,"Simple Letter";#N/A,#N/A,TRUE,"Inside";#N/A,#N/A,TRUE,"Contents";#N/A,#N/A,TRUE,"Basis";#N/A,#N/A,TRUE,"Inclusions";#N/A,#N/A,TRUE,"Exclusions";#N/A,#N/A,TRUE,"Areas";#N/A,#N/A,TRUE,"Summary";#N/A,#N/A,TRUE,"Detail"}</definedName>
    <definedName name="wrt" hidden="1">{#N/A,#N/A,TRUE,"Front";#N/A,#N/A,TRUE,"Simple Letter";#N/A,#N/A,TRUE,"Inside";#N/A,#N/A,TRUE,"Contents";#N/A,#N/A,TRUE,"Basis";#N/A,#N/A,TRUE,"Inclusions";#N/A,#N/A,TRUE,"Exclusions";#N/A,#N/A,TRUE,"Areas";#N/A,#N/A,TRUE,"Summary";#N/A,#N/A,TRUE,"Detail"}</definedName>
    <definedName name="wrt_1" localSheetId="1" hidden="1">{#N/A,#N/A,TRUE,"Front";#N/A,#N/A,TRUE,"Simple Letter";#N/A,#N/A,TRUE,"Inside";#N/A,#N/A,TRUE,"Contents";#N/A,#N/A,TRUE,"Basis";#N/A,#N/A,TRUE,"Inclusions";#N/A,#N/A,TRUE,"Exclusions";#N/A,#N/A,TRUE,"Areas";#N/A,#N/A,TRUE,"Summary";#N/A,#N/A,TRUE,"Detail"}</definedName>
    <definedName name="wrt_1" localSheetId="0" hidden="1">{#N/A,#N/A,TRUE,"Front";#N/A,#N/A,TRUE,"Simple Letter";#N/A,#N/A,TRUE,"Inside";#N/A,#N/A,TRUE,"Contents";#N/A,#N/A,TRUE,"Basis";#N/A,#N/A,TRUE,"Inclusions";#N/A,#N/A,TRUE,"Exclusions";#N/A,#N/A,TRUE,"Areas";#N/A,#N/A,TRUE,"Summary";#N/A,#N/A,TRUE,"Detail"}</definedName>
    <definedName name="wrt_1" hidden="1">{#N/A,#N/A,TRUE,"Front";#N/A,#N/A,TRUE,"Simple Letter";#N/A,#N/A,TRUE,"Inside";#N/A,#N/A,TRUE,"Contents";#N/A,#N/A,TRUE,"Basis";#N/A,#N/A,TRUE,"Inclusions";#N/A,#N/A,TRUE,"Exclusions";#N/A,#N/A,TRUE,"Areas";#N/A,#N/A,TRUE,"Summary";#N/A,#N/A,TRUE,"Detail"}</definedName>
    <definedName name="wsgz" localSheetId="1" hidden="1">{#N/A,#N/A,FALSE,"COVER1.XLS ";#N/A,#N/A,FALSE,"RACT1.XLS";#N/A,#N/A,FALSE,"RACT2.XLS";#N/A,#N/A,FALSE,"ECCMP";#N/A,#N/A,FALSE,"WELDER.XLS"}</definedName>
    <definedName name="wsgz" localSheetId="0" hidden="1">{#N/A,#N/A,FALSE,"COVER1.XLS ";#N/A,#N/A,FALSE,"RACT1.XLS";#N/A,#N/A,FALSE,"RACT2.XLS";#N/A,#N/A,FALSE,"ECCMP";#N/A,#N/A,FALSE,"WELDER.XLS"}</definedName>
    <definedName name="wsgz" hidden="1">{#N/A,#N/A,FALSE,"COVER1.XLS ";#N/A,#N/A,FALSE,"RACT1.XLS";#N/A,#N/A,FALSE,"RACT2.XLS";#N/A,#N/A,FALSE,"ECCMP";#N/A,#N/A,FALSE,"WELDER.XLS"}</definedName>
    <definedName name="wweerrkabir" localSheetId="1" hidden="1">{#N/A,#N/A,TRUE,"Front";#N/A,#N/A,TRUE,"Simple Letter";#N/A,#N/A,TRUE,"Inside";#N/A,#N/A,TRUE,"Contents";#N/A,#N/A,TRUE,"Basis";#N/A,#N/A,TRUE,"Inclusions";#N/A,#N/A,TRUE,"Exclusions";#N/A,#N/A,TRUE,"Areas";#N/A,#N/A,TRUE,"Summary";#N/A,#N/A,TRUE,"Detail"}</definedName>
    <definedName name="wweerrkabir" localSheetId="0" hidden="1">{#N/A,#N/A,TRUE,"Front";#N/A,#N/A,TRUE,"Simple Letter";#N/A,#N/A,TRUE,"Inside";#N/A,#N/A,TRUE,"Contents";#N/A,#N/A,TRUE,"Basis";#N/A,#N/A,TRUE,"Inclusions";#N/A,#N/A,TRUE,"Exclusions";#N/A,#N/A,TRUE,"Areas";#N/A,#N/A,TRUE,"Summary";#N/A,#N/A,TRUE,"Detail"}</definedName>
    <definedName name="wweerrkabir" hidden="1">{#N/A,#N/A,TRUE,"Front";#N/A,#N/A,TRUE,"Simple Letter";#N/A,#N/A,TRUE,"Inside";#N/A,#N/A,TRUE,"Contents";#N/A,#N/A,TRUE,"Basis";#N/A,#N/A,TRUE,"Inclusions";#N/A,#N/A,TRUE,"Exclusions";#N/A,#N/A,TRUE,"Areas";#N/A,#N/A,TRUE,"Summary";#N/A,#N/A,TRUE,"Detail"}</definedName>
    <definedName name="WWWW" localSheetId="1" hidden="1">{#N/A,#N/A,FALSE,"COVER.XLS";#N/A,#N/A,FALSE,"RACT1.XLS";#N/A,#N/A,FALSE,"RACT2.XLS";#N/A,#N/A,FALSE,"ECCMP";#N/A,#N/A,FALSE,"WELDER.XLS"}</definedName>
    <definedName name="WWWW" localSheetId="0" hidden="1">{#N/A,#N/A,FALSE,"COVER.XLS";#N/A,#N/A,FALSE,"RACT1.XLS";#N/A,#N/A,FALSE,"RACT2.XLS";#N/A,#N/A,FALSE,"ECCMP";#N/A,#N/A,FALSE,"WELDER.XLS"}</definedName>
    <definedName name="WWWW" hidden="1">{#N/A,#N/A,FALSE,"COVER.XLS";#N/A,#N/A,FALSE,"RACT1.XLS";#N/A,#N/A,FALSE,"RACT2.XLS";#N/A,#N/A,FALSE,"ECCMP";#N/A,#N/A,FALSE,"WELDER.XLS"}</definedName>
    <definedName name="wwwww" hidden="1">#REF!</definedName>
    <definedName name="wwwwwwwwwwww" localSheetId="1" hidden="1">{#N/A,#N/A,TRUE,"Front";#N/A,#N/A,TRUE,"Simple Letter";#N/A,#N/A,TRUE,"Inside";#N/A,#N/A,TRUE,"Contents";#N/A,#N/A,TRUE,"Basis";#N/A,#N/A,TRUE,"Inclusions";#N/A,#N/A,TRUE,"Exclusions";#N/A,#N/A,TRUE,"Areas";#N/A,#N/A,TRUE,"Summary";#N/A,#N/A,TRUE,"Detail"}</definedName>
    <definedName name="wwwwwwwwwwww" localSheetId="0" hidden="1">{#N/A,#N/A,TRUE,"Front";#N/A,#N/A,TRUE,"Simple Letter";#N/A,#N/A,TRUE,"Inside";#N/A,#N/A,TRUE,"Contents";#N/A,#N/A,TRUE,"Basis";#N/A,#N/A,TRUE,"Inclusions";#N/A,#N/A,TRUE,"Exclusions";#N/A,#N/A,TRUE,"Areas";#N/A,#N/A,TRUE,"Summary";#N/A,#N/A,TRUE,"Detail"}</definedName>
    <definedName name="wwwwwwwwwwww" hidden="1">{#N/A,#N/A,TRUE,"Front";#N/A,#N/A,TRUE,"Simple Letter";#N/A,#N/A,TRUE,"Inside";#N/A,#N/A,TRUE,"Contents";#N/A,#N/A,TRUE,"Basis";#N/A,#N/A,TRUE,"Inclusions";#N/A,#N/A,TRUE,"Exclusions";#N/A,#N/A,TRUE,"Areas";#N/A,#N/A,TRUE,"Summary";#N/A,#N/A,TRUE,"Detail"}</definedName>
    <definedName name="xxx" localSheetId="1" hidden="1">{"COM",#N/A,FALSE,"800 10th"}</definedName>
    <definedName name="xxx" localSheetId="0" hidden="1">{"COM",#N/A,FALSE,"800 10th"}</definedName>
    <definedName name="xxxxx" localSheetId="1" hidden="1">{#N/A,#N/A,TRUE,"Vergabe-Regeln";#N/A,#N/A,TRUE,"Baugruppen";#N/A,#N/A,TRUE,"Geräte";#N/A,#N/A,TRUE,"PC-Software";#N/A,#N/A,TRUE,"Software";#N/A,#N/A,TRUE,"SW-Reg";#N/A,#N/A,TRUE,"Dokumentation"}</definedName>
    <definedName name="xxxxx" localSheetId="0" hidden="1">{#N/A,#N/A,TRUE,"Vergabe-Regeln";#N/A,#N/A,TRUE,"Baugruppen";#N/A,#N/A,TRUE,"Geräte";#N/A,#N/A,TRUE,"PC-Software";#N/A,#N/A,TRUE,"Software";#N/A,#N/A,TRUE,"SW-Reg";#N/A,#N/A,TRUE,"Dokumentation"}</definedName>
    <definedName name="xxxxx" hidden="1">{#N/A,#N/A,TRUE,"Vergabe-Regeln";#N/A,#N/A,TRUE,"Baugruppen";#N/A,#N/A,TRUE,"Geräte";#N/A,#N/A,TRUE,"PC-Software";#N/A,#N/A,TRUE,"Software";#N/A,#N/A,TRUE,"SW-Reg";#N/A,#N/A,TRUE,"Dokumentation"}</definedName>
    <definedName name="xz" localSheetId="1" hidden="1">{#N/A,#N/A,TRUE,"Front";#N/A,#N/A,TRUE,"Simple Letter";#N/A,#N/A,TRUE,"Inside";#N/A,#N/A,TRUE,"Contents";#N/A,#N/A,TRUE,"Basis";#N/A,#N/A,TRUE,"Inclusions";#N/A,#N/A,TRUE,"Exclusions";#N/A,#N/A,TRUE,"Areas";#N/A,#N/A,TRUE,"Summary";#N/A,#N/A,TRUE,"Detail"}</definedName>
    <definedName name="xz" localSheetId="0" hidden="1">{#N/A,#N/A,TRUE,"Front";#N/A,#N/A,TRUE,"Simple Letter";#N/A,#N/A,TRUE,"Inside";#N/A,#N/A,TRUE,"Contents";#N/A,#N/A,TRUE,"Basis";#N/A,#N/A,TRUE,"Inclusions";#N/A,#N/A,TRUE,"Exclusions";#N/A,#N/A,TRUE,"Areas";#N/A,#N/A,TRUE,"Summary";#N/A,#N/A,TRUE,"Detail"}</definedName>
    <definedName name="xz" hidden="1">{#N/A,#N/A,TRUE,"Front";#N/A,#N/A,TRUE,"Simple Letter";#N/A,#N/A,TRUE,"Inside";#N/A,#N/A,TRUE,"Contents";#N/A,#N/A,TRUE,"Basis";#N/A,#N/A,TRUE,"Inclusions";#N/A,#N/A,TRUE,"Exclusions";#N/A,#N/A,TRUE,"Areas";#N/A,#N/A,TRUE,"Summary";#N/A,#N/A,TRUE,"Detail"}</definedName>
    <definedName name="YAKEEN" localSheetId="1" hidden="1">{#N/A,#N/A,TRUE,"Front";#N/A,#N/A,TRUE,"Simple Letter";#N/A,#N/A,TRUE,"Inside";#N/A,#N/A,TRUE,"Contents";#N/A,#N/A,TRUE,"Basis";#N/A,#N/A,TRUE,"Inclusions";#N/A,#N/A,TRUE,"Exclusions";#N/A,#N/A,TRUE,"Areas";#N/A,#N/A,TRUE,"Summary";#N/A,#N/A,TRUE,"Detail"}</definedName>
    <definedName name="YAKEEN" localSheetId="0" hidden="1">{#N/A,#N/A,TRUE,"Front";#N/A,#N/A,TRUE,"Simple Letter";#N/A,#N/A,TRUE,"Inside";#N/A,#N/A,TRUE,"Contents";#N/A,#N/A,TRUE,"Basis";#N/A,#N/A,TRUE,"Inclusions";#N/A,#N/A,TRUE,"Exclusions";#N/A,#N/A,TRUE,"Areas";#N/A,#N/A,TRUE,"Summary";#N/A,#N/A,TRUE,"Detail"}</definedName>
    <definedName name="YAKEEN" hidden="1">{#N/A,#N/A,TRUE,"Front";#N/A,#N/A,TRUE,"Simple Letter";#N/A,#N/A,TRUE,"Inside";#N/A,#N/A,TRUE,"Contents";#N/A,#N/A,TRUE,"Basis";#N/A,#N/A,TRUE,"Inclusions";#N/A,#N/A,TRUE,"Exclusions";#N/A,#N/A,TRUE,"Areas";#N/A,#N/A,TRUE,"Summary";#N/A,#N/A,TRUE,"Detail"}</definedName>
    <definedName name="yh" localSheetId="1" hidden="1">{#N/A,#N/A,TRUE,"Vergabe-Regeln";#N/A,#N/A,TRUE,"Baugruppen";#N/A,#N/A,TRUE,"Geräte";#N/A,#N/A,TRUE,"PC-Software";#N/A,#N/A,TRUE,"Software";#N/A,#N/A,TRUE,"SW-Reg";#N/A,#N/A,TRUE,"Dokumentation"}</definedName>
    <definedName name="yh" localSheetId="0" hidden="1">{#N/A,#N/A,TRUE,"Vergabe-Regeln";#N/A,#N/A,TRUE,"Baugruppen";#N/A,#N/A,TRUE,"Geräte";#N/A,#N/A,TRUE,"PC-Software";#N/A,#N/A,TRUE,"Software";#N/A,#N/A,TRUE,"SW-Reg";#N/A,#N/A,TRUE,"Dokumentation"}</definedName>
    <definedName name="yh" hidden="1">{#N/A,#N/A,TRUE,"Vergabe-Regeln";#N/A,#N/A,TRUE,"Baugruppen";#N/A,#N/A,TRUE,"Geräte";#N/A,#N/A,TRUE,"PC-Software";#N/A,#N/A,TRUE,"Software";#N/A,#N/A,TRUE,"SW-Reg";#N/A,#N/A,TRUE,"Dokumentation"}</definedName>
    <definedName name="yhj" localSheetId="1" hidden="1">{#N/A,#N/A,TRUE,"Front";#N/A,#N/A,TRUE,"Simple Letter";#N/A,#N/A,TRUE,"Inside";#N/A,#N/A,TRUE,"Contents";#N/A,#N/A,TRUE,"Basis";#N/A,#N/A,TRUE,"Inclusions";#N/A,#N/A,TRUE,"Exclusions";#N/A,#N/A,TRUE,"Areas";#N/A,#N/A,TRUE,"Summary";#N/A,#N/A,TRUE,"Detail"}</definedName>
    <definedName name="yhj" localSheetId="0" hidden="1">{#N/A,#N/A,TRUE,"Front";#N/A,#N/A,TRUE,"Simple Letter";#N/A,#N/A,TRUE,"Inside";#N/A,#N/A,TRUE,"Contents";#N/A,#N/A,TRUE,"Basis";#N/A,#N/A,TRUE,"Inclusions";#N/A,#N/A,TRUE,"Exclusions";#N/A,#N/A,TRUE,"Areas";#N/A,#N/A,TRUE,"Summary";#N/A,#N/A,TRUE,"Detail"}</definedName>
    <definedName name="yhj" hidden="1">{#N/A,#N/A,TRUE,"Front";#N/A,#N/A,TRUE,"Simple Letter";#N/A,#N/A,TRUE,"Inside";#N/A,#N/A,TRUE,"Contents";#N/A,#N/A,TRUE,"Basis";#N/A,#N/A,TRUE,"Inclusions";#N/A,#N/A,TRUE,"Exclusions";#N/A,#N/A,TRUE,"Areas";#N/A,#N/A,TRUE,"Summary";#N/A,#N/A,TRUE,"Detail"}</definedName>
    <definedName name="ythtt" localSheetId="1" hidden="1">{#N/A,#N/A,TRUE,"Front";#N/A,#N/A,TRUE,"Simple Letter";#N/A,#N/A,TRUE,"Inside";#N/A,#N/A,TRUE,"Contents";#N/A,#N/A,TRUE,"Basis";#N/A,#N/A,TRUE,"Inclusions";#N/A,#N/A,TRUE,"Exclusions";#N/A,#N/A,TRUE,"Areas";#N/A,#N/A,TRUE,"Summary";#N/A,#N/A,TRUE,"Detail"}</definedName>
    <definedName name="ythtt" localSheetId="0" hidden="1">{#N/A,#N/A,TRUE,"Front";#N/A,#N/A,TRUE,"Simple Letter";#N/A,#N/A,TRUE,"Inside";#N/A,#N/A,TRUE,"Contents";#N/A,#N/A,TRUE,"Basis";#N/A,#N/A,TRUE,"Inclusions";#N/A,#N/A,TRUE,"Exclusions";#N/A,#N/A,TRUE,"Areas";#N/A,#N/A,TRUE,"Summary";#N/A,#N/A,TRUE,"Detail"}</definedName>
    <definedName name="ythtt" hidden="1">{#N/A,#N/A,TRUE,"Front";#N/A,#N/A,TRUE,"Simple Letter";#N/A,#N/A,TRUE,"Inside";#N/A,#N/A,TRUE,"Contents";#N/A,#N/A,TRUE,"Basis";#N/A,#N/A,TRUE,"Inclusions";#N/A,#N/A,TRUE,"Exclusions";#N/A,#N/A,TRUE,"Areas";#N/A,#N/A,TRUE,"Summary";#N/A,#N/A,TRUE,"Detail"}</definedName>
    <definedName name="YU" localSheetId="1" hidden="1">{#N/A,#N/A,TRUE,"Front";#N/A,#N/A,TRUE,"Simple Letter";#N/A,#N/A,TRUE,"Inside";#N/A,#N/A,TRUE,"Contents";#N/A,#N/A,TRUE,"Basis";#N/A,#N/A,TRUE,"Inclusions";#N/A,#N/A,TRUE,"Exclusions";#N/A,#N/A,TRUE,"Areas";#N/A,#N/A,TRUE,"Summary";#N/A,#N/A,TRUE,"Detail"}</definedName>
    <definedName name="YU" localSheetId="0" hidden="1">{#N/A,#N/A,TRUE,"Front";#N/A,#N/A,TRUE,"Simple Letter";#N/A,#N/A,TRUE,"Inside";#N/A,#N/A,TRUE,"Contents";#N/A,#N/A,TRUE,"Basis";#N/A,#N/A,TRUE,"Inclusions";#N/A,#N/A,TRUE,"Exclusions";#N/A,#N/A,TRUE,"Areas";#N/A,#N/A,TRUE,"Summary";#N/A,#N/A,TRUE,"Detail"}</definedName>
    <definedName name="YU" hidden="1">{#N/A,#N/A,TRUE,"Front";#N/A,#N/A,TRUE,"Simple Letter";#N/A,#N/A,TRUE,"Inside";#N/A,#N/A,TRUE,"Contents";#N/A,#N/A,TRUE,"Basis";#N/A,#N/A,TRUE,"Inclusions";#N/A,#N/A,TRUE,"Exclusions";#N/A,#N/A,TRUE,"Areas";#N/A,#N/A,TRUE,"Summary";#N/A,#N/A,TRUE,"Detail"}</definedName>
    <definedName name="yuh" localSheetId="1" hidden="1">{#N/A,#N/A,TRUE,"Front";#N/A,#N/A,TRUE,"Simple Letter";#N/A,#N/A,TRUE,"Inside";#N/A,#N/A,TRUE,"Contents";#N/A,#N/A,TRUE,"Basis";#N/A,#N/A,TRUE,"Inclusions";#N/A,#N/A,TRUE,"Exclusions";#N/A,#N/A,TRUE,"Areas";#N/A,#N/A,TRUE,"Summary";#N/A,#N/A,TRUE,"Detail"}</definedName>
    <definedName name="yuh" localSheetId="0" hidden="1">{#N/A,#N/A,TRUE,"Front";#N/A,#N/A,TRUE,"Simple Letter";#N/A,#N/A,TRUE,"Inside";#N/A,#N/A,TRUE,"Contents";#N/A,#N/A,TRUE,"Basis";#N/A,#N/A,TRUE,"Inclusions";#N/A,#N/A,TRUE,"Exclusions";#N/A,#N/A,TRUE,"Areas";#N/A,#N/A,TRUE,"Summary";#N/A,#N/A,TRUE,"Detail"}</definedName>
    <definedName name="yuh" hidden="1">{#N/A,#N/A,TRUE,"Front";#N/A,#N/A,TRUE,"Simple Letter";#N/A,#N/A,TRUE,"Inside";#N/A,#N/A,TRUE,"Contents";#N/A,#N/A,TRUE,"Basis";#N/A,#N/A,TRUE,"Inclusions";#N/A,#N/A,TRUE,"Exclusions";#N/A,#N/A,TRUE,"Areas";#N/A,#N/A,TRUE,"Summary";#N/A,#N/A,TRUE,"Detail"}</definedName>
    <definedName name="YY" localSheetId="1" hidden="1">{"View1",#N/A,FALSE,"Sheet1";"View2",#N/A,FALSE,"Sheet1";"View3",#N/A,FALSE,"Sheet1";"View4",#N/A,FALSE,"Sheet1"}</definedName>
    <definedName name="YY" localSheetId="0" hidden="1">{"View1",#N/A,FALSE,"Sheet1";"View2",#N/A,FALSE,"Sheet1";"View3",#N/A,FALSE,"Sheet1";"View4",#N/A,FALSE,"Sheet1"}</definedName>
    <definedName name="YY" hidden="1">{"View1",#N/A,FALSE,"Sheet1";"View2",#N/A,FALSE,"Sheet1";"View3",#N/A,FALSE,"Sheet1";"View4",#N/A,FALSE,"Sheet1"}</definedName>
    <definedName name="yyy" localSheetId="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yyy" localSheetId="0"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yyy"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z" localSheetId="1" hidden="1">{#N/A,#N/A,TRUE,"Front";#N/A,#N/A,TRUE,"Simple Letter";#N/A,#N/A,TRUE,"Inside";#N/A,#N/A,TRUE,"Contents";#N/A,#N/A,TRUE,"Basis";#N/A,#N/A,TRUE,"Inclusions";#N/A,#N/A,TRUE,"Exclusions";#N/A,#N/A,TRUE,"Areas";#N/A,#N/A,TRUE,"Summary";#N/A,#N/A,TRUE,"Detail"}</definedName>
    <definedName name="z" localSheetId="0" hidden="1">{#N/A,#N/A,TRUE,"Front";#N/A,#N/A,TRUE,"Simple Letter";#N/A,#N/A,TRUE,"Inside";#N/A,#N/A,TRUE,"Contents";#N/A,#N/A,TRUE,"Basis";#N/A,#N/A,TRUE,"Inclusions";#N/A,#N/A,TRUE,"Exclusions";#N/A,#N/A,TRUE,"Areas";#N/A,#N/A,TRUE,"Summary";#N/A,#N/A,TRUE,"Detail"}</definedName>
    <definedName name="z" hidden="1">{#N/A,#N/A,TRUE,"Front";#N/A,#N/A,TRUE,"Simple Letter";#N/A,#N/A,TRUE,"Inside";#N/A,#N/A,TRUE,"Contents";#N/A,#N/A,TRUE,"Basis";#N/A,#N/A,TRUE,"Inclusions";#N/A,#N/A,TRUE,"Exclusions";#N/A,#N/A,TRUE,"Areas";#N/A,#N/A,TRUE,"Summary";#N/A,#N/A,TRUE,"Detail"}</definedName>
    <definedName name="Z_011C08A3_0443_11D2_8C52_0080C719627A_.wvu.PrintArea" hidden="1">#REF!</definedName>
    <definedName name="Z_011C08A3_0443_11D2_8C52_0080C719627A_.wvu.PrintTitles" hidden="1">#REF!</definedName>
    <definedName name="Z_01EEECA8_52E8_4BA6_B221_CB6D3C468C80_.wvu.Cols" hidden="1">#REF!</definedName>
    <definedName name="Z_01EEECA8_52E8_4BA6_B221_CB6D3C468C80_.wvu.FilterData" hidden="1">#REF!</definedName>
    <definedName name="Z_0B3EF283_BAAE_40DA_B109_606B8002D5D4_.wvu.FilterData" hidden="1">#REF!</definedName>
    <definedName name="Z_0C509CAE_4B28_497F_9463_E056D87AE422_.wvu.Rows" hidden="1">#REF!</definedName>
    <definedName name="z_1" localSheetId="1" hidden="1">{#N/A,#N/A,TRUE,"Front";#N/A,#N/A,TRUE,"Simple Letter";#N/A,#N/A,TRUE,"Inside";#N/A,#N/A,TRUE,"Contents";#N/A,#N/A,TRUE,"Basis";#N/A,#N/A,TRUE,"Inclusions";#N/A,#N/A,TRUE,"Exclusions";#N/A,#N/A,TRUE,"Areas";#N/A,#N/A,TRUE,"Summary";#N/A,#N/A,TRUE,"Detail"}</definedName>
    <definedName name="z_1" localSheetId="0" hidden="1">{#N/A,#N/A,TRUE,"Front";#N/A,#N/A,TRUE,"Simple Letter";#N/A,#N/A,TRUE,"Inside";#N/A,#N/A,TRUE,"Contents";#N/A,#N/A,TRUE,"Basis";#N/A,#N/A,TRUE,"Inclusions";#N/A,#N/A,TRUE,"Exclusions";#N/A,#N/A,TRUE,"Areas";#N/A,#N/A,TRUE,"Summary";#N/A,#N/A,TRUE,"Detail"}</definedName>
    <definedName name="z_1" hidden="1">{#N/A,#N/A,TRUE,"Front";#N/A,#N/A,TRUE,"Simple Letter";#N/A,#N/A,TRUE,"Inside";#N/A,#N/A,TRUE,"Contents";#N/A,#N/A,TRUE,"Basis";#N/A,#N/A,TRUE,"Inclusions";#N/A,#N/A,TRUE,"Exclusions";#N/A,#N/A,TRUE,"Areas";#N/A,#N/A,TRUE,"Summary";#N/A,#N/A,TRUE,"Detail"}</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152A3067_56C8_11D2_BFAA_0080C73019B8_.wvu.PrintArea" hidden="1">#REF!</definedName>
    <definedName name="Z_152A3067_56C8_11D2_BFAA_0080C73019B8_.wvu.PrintTitles" hidden="1">#REF!</definedName>
    <definedName name="Z_1DB5E89F_5549_11D2_BFAA_0080C73019B8_.wvu.PrintArea" hidden="1">#REF!</definedName>
    <definedName name="Z_1DB5E89F_5549_11D2_BFAA_0080C73019B8_.wvu.PrintTitles" hidden="1">#REF!</definedName>
    <definedName name="Z_2F812E49_D9ED_4A73_993E_B0274CCF839A_.wvu.Cols" hidden="1">#REF!</definedName>
    <definedName name="Z_2F812E49_D9ED_4A73_993E_B0274CCF839A_.wvu.PrintArea" hidden="1">#REF!</definedName>
    <definedName name="Z_32DE5C65_0ED6_11D3_A535_008048FCDF23_.wvu.Cols" hidden="1">#REF!,#REF!,#REF!,#REF!,#REF!,#REF!</definedName>
    <definedName name="Z_3CD90F23_1FB7_11D2_BFA9_0080C73019B8_.wvu.PrintArea" hidden="1">#REF!</definedName>
    <definedName name="Z_3CD90F23_1FB7_11D2_BFA9_0080C73019B8_.wvu.PrintTitles" hidden="1">#REF!</definedName>
    <definedName name="Z_4C187252_7A52_4DAC_BB2D_0644DF2E09B0_.wvu.PrintArea" localSheetId="1" hidden="1">'HVAC LOW SIDE '!$A$1:$K$434</definedName>
    <definedName name="Z_4C187252_7A52_4DAC_BB2D_0644DF2E09B0_.wvu.PrintArea" localSheetId="0" hidden="1">'HVAC SUMMARY'!$A$1:$F$19</definedName>
    <definedName name="Z_4C187252_7A52_4DAC_BB2D_0644DF2E09B0_.wvu.PrintTitles" localSheetId="1" hidden="1">'HVAC LOW SIDE '!$2:$2</definedName>
    <definedName name="Z_4DEAB16A_1665_11D2_BFA9_0080C73019B8_.wvu.PrintArea" hidden="1">#REF!</definedName>
    <definedName name="Z_4DEAB16A_1665_11D2_BFA9_0080C73019B8_.wvu.PrintTitles" hidden="1">#REF!</definedName>
    <definedName name="Z_5A4CDE39_BC84_48C0_8208_6970E7A71896_.wvu.Cols" hidden="1">#REF!,#REF!,#REF!</definedName>
    <definedName name="Z_5ADA983C_1EDC_4645_AD8A_3535C65F44D6_.wvu.PrintArea" localSheetId="1" hidden="1">'HVAC LOW SIDE '!$A$1:$K$434</definedName>
    <definedName name="Z_5ADA983C_1EDC_4645_AD8A_3535C65F44D6_.wvu.PrintArea" localSheetId="0" hidden="1">'HVAC SUMMARY'!$A$1:$F$19</definedName>
    <definedName name="Z_5ADA983C_1EDC_4645_AD8A_3535C65F44D6_.wvu.PrintTitles" localSheetId="1" hidden="1">'HVAC LOW SIDE '!$2:$2</definedName>
    <definedName name="Z_64FBE21F_D610_4122_B662_C1CA556F0E6B_.wvu.Rows" hidden="1">#REF!,#REF!</definedName>
    <definedName name="Z_67879F2D_A365_4C5F_ACA2_06A222DC585F_.wvu.FilterData" hidden="1">#REF!</definedName>
    <definedName name="Z_6CDCF69B_5AF1_4147_8314_DDC51BBAE13A_.wvu.FilterData" hidden="1">#REF!</definedName>
    <definedName name="Z_786D6B23_1FA4_11D2_BFA9_0080C73019B8_.wvu.PrintArea" hidden="1">#REF!</definedName>
    <definedName name="Z_786D6B23_1FA4_11D2_BFA9_0080C73019B8_.wvu.PrintTitles" hidden="1">#REF!</definedName>
    <definedName name="Z_7ED649E3_0524_11D2_8C52_0080C719627A_.wvu.PrintArea" hidden="1">#REF!</definedName>
    <definedName name="Z_7ED649E3_0524_11D2_8C52_0080C719627A_.wvu.PrintTitles" hidden="1">#REF!</definedName>
    <definedName name="Z_80C18858_2264_40D8_89B1_43CC91AE6872_.wvu.PrintArea" localSheetId="1" hidden="1">'HVAC LOW SIDE '!$A$1:$K$434</definedName>
    <definedName name="Z_80C18858_2264_40D8_89B1_43CC91AE6872_.wvu.PrintArea" localSheetId="0" hidden="1">'HVAC SUMMARY'!$A$1:$F$19</definedName>
    <definedName name="Z_80C18858_2264_40D8_89B1_43CC91AE6872_.wvu.PrintTitles" localSheetId="1" hidden="1">'HVAC LOW SIDE '!$2:$2</definedName>
    <definedName name="Z_821080B5_A53F_46D5_A7A8_C550E9A6DB8E_.wvu.Rows" hidden="1">#REF!</definedName>
    <definedName name="Z_89FC4C3A_6586_42BA_B0E6_F0959042E6A0_.wvu.Rows" hidden="1">#REF!</definedName>
    <definedName name="Z_8FCC9949_BB10_48DD_835F_9D6E68B3AE12_.wvu.PrintTitles" hidden="1">#REF!</definedName>
    <definedName name="Z_8FCC9949_BB10_48DD_835F_9D6E68B3AE12_.wvu.Rows" hidden="1">#REF!,#REF!</definedName>
    <definedName name="Z_97AF8B62_D04D_48F2_A853_93998C7922D6_.wvu.FilterData" hidden="1">#REF!</definedName>
    <definedName name="Z_9F278A40_BF82_4E3D_9E8B_F7A34E58042E_.wvu.FilterData" hidden="1">#REF!</definedName>
    <definedName name="Z_AE45FBA4_0437_11D2_8C52_0080C719627A_.wvu.PrintArea" hidden="1">#REF!</definedName>
    <definedName name="Z_AE45FBA4_0437_11D2_8C52_0080C719627A_.wvu.PrintTitles" hidden="1">#REF!</definedName>
    <definedName name="Z_B69AE2F6_CB28_11D2_A535_008048FCDF23_.wvu.Cols" hidden="1">#REF!,#REF!,#REF!,#REF!,#REF!,#REF!</definedName>
    <definedName name="Z_B69AE2F6_CB28_11D2_A535_008048FCDF23_.wvu.Rows" hidden="1">#REF!,#REF!</definedName>
    <definedName name="Z_E61184E6_4A82_48AD_BD46_AD03682B9E61_.wvu.Rows" hidden="1">#REF!</definedName>
    <definedName name="Z_EA424862_9DB5_4158_B57E_464B76E20666_.wvu.FilterData" hidden="1">#REF!</definedName>
    <definedName name="Z_F44FFE0D_EF1F_43C0_ACC8_2B26582A55BA_.wvu.PrintArea" localSheetId="1" hidden="1">'HVAC LOW SIDE '!$A$1:$K$434</definedName>
    <definedName name="Z_F44FFE0D_EF1F_43C0_ACC8_2B26582A55BA_.wvu.PrintArea" localSheetId="0" hidden="1">'HVAC SUMMARY'!$A$1:$F$19</definedName>
    <definedName name="Z_F44FFE0D_EF1F_43C0_ACC8_2B26582A55BA_.wvu.PrintTitles" localSheetId="1" hidden="1">'HVAC LOW SIDE '!$2:$2</definedName>
    <definedName name="Z_F4A7CA8E_98F3_454B_9E7A_4BC18859A193_.wvu.PrintArea" localSheetId="1" hidden="1">'HVAC LOW SIDE '!$A$1:$K$434</definedName>
    <definedName name="Z_F4A7CA8E_98F3_454B_9E7A_4BC18859A193_.wvu.PrintArea" localSheetId="0" hidden="1">'HVAC SUMMARY'!$A$1:$F$19</definedName>
    <definedName name="Z_F4A7CA8E_98F3_454B_9E7A_4BC18859A193_.wvu.PrintTitles" localSheetId="1" hidden="1">'HVAC LOW SIDE '!$2:$2</definedName>
    <definedName name="Z_F56F135F_44F3_478B_BCC3_5E739B702BEF_.wvu.Cols" hidden="1">#REF!</definedName>
    <definedName name="Z_F56F135F_44F3_478B_BCC3_5E739B702BEF_.wvu.FilterData" hidden="1">#REF!</definedName>
    <definedName name="Z_F56F135F_44F3_478B_BCC3_5E739B702BEF_.wvu.PrintTitles" hidden="1">#REF!,#REF!</definedName>
    <definedName name="zc" localSheetId="1" hidden="1">{#N/A,#N/A,TRUE,"Front";#N/A,#N/A,TRUE,"Simple Letter";#N/A,#N/A,TRUE,"Inside";#N/A,#N/A,TRUE,"Contents";#N/A,#N/A,TRUE,"Basis";#N/A,#N/A,TRUE,"Inclusions";#N/A,#N/A,TRUE,"Exclusions";#N/A,#N/A,TRUE,"Areas";#N/A,#N/A,TRUE,"Summary";#N/A,#N/A,TRUE,"Detail"}</definedName>
    <definedName name="zc" localSheetId="0" hidden="1">{#N/A,#N/A,TRUE,"Front";#N/A,#N/A,TRUE,"Simple Letter";#N/A,#N/A,TRUE,"Inside";#N/A,#N/A,TRUE,"Contents";#N/A,#N/A,TRUE,"Basis";#N/A,#N/A,TRUE,"Inclusions";#N/A,#N/A,TRUE,"Exclusions";#N/A,#N/A,TRUE,"Areas";#N/A,#N/A,TRUE,"Summary";#N/A,#N/A,TRUE,"Detail"}</definedName>
    <definedName name="zc" hidden="1">{#N/A,#N/A,TRUE,"Front";#N/A,#N/A,TRUE,"Simple Letter";#N/A,#N/A,TRUE,"Inside";#N/A,#N/A,TRUE,"Contents";#N/A,#N/A,TRUE,"Basis";#N/A,#N/A,TRUE,"Inclusions";#N/A,#N/A,TRUE,"Exclusions";#N/A,#N/A,TRUE,"Areas";#N/A,#N/A,TRUE,"Summary";#N/A,#N/A,TRUE,"Detail"}</definedName>
    <definedName name="ZENANA" localSheetId="1" hidden="1">{#N/A,#N/A,TRUE,"Front";#N/A,#N/A,TRUE,"Simple Letter";#N/A,#N/A,TRUE,"Inside";#N/A,#N/A,TRUE,"Contents";#N/A,#N/A,TRUE,"Basis";#N/A,#N/A,TRUE,"Inclusions";#N/A,#N/A,TRUE,"Exclusions";#N/A,#N/A,TRUE,"Areas";#N/A,#N/A,TRUE,"Summary";#N/A,#N/A,TRUE,"Detail"}</definedName>
    <definedName name="ZENANA" localSheetId="0" hidden="1">{#N/A,#N/A,TRUE,"Front";#N/A,#N/A,TRUE,"Simple Letter";#N/A,#N/A,TRUE,"Inside";#N/A,#N/A,TRUE,"Contents";#N/A,#N/A,TRUE,"Basis";#N/A,#N/A,TRUE,"Inclusions";#N/A,#N/A,TRUE,"Exclusions";#N/A,#N/A,TRUE,"Areas";#N/A,#N/A,TRUE,"Summary";#N/A,#N/A,TRUE,"Detail"}</definedName>
    <definedName name="ZENANA" hidden="1">{#N/A,#N/A,TRUE,"Front";#N/A,#N/A,TRUE,"Simple Letter";#N/A,#N/A,TRUE,"Inside";#N/A,#N/A,TRUE,"Contents";#N/A,#N/A,TRUE,"Basis";#N/A,#N/A,TRUE,"Inclusions";#N/A,#N/A,TRUE,"Exclusions";#N/A,#N/A,TRUE,"Areas";#N/A,#N/A,TRUE,"Summary";#N/A,#N/A,TRUE,"Detail"}</definedName>
    <definedName name="Zip1" localSheetId="1" hidden="1">{#N/A,#N/A,TRUE,"Front";#N/A,#N/A,TRUE,"Simple Letter";#N/A,#N/A,TRUE,"Inside";#N/A,#N/A,TRUE,"Contents";#N/A,#N/A,TRUE,"Basis";#N/A,#N/A,TRUE,"Inclusions";#N/A,#N/A,TRUE,"Exclusions";#N/A,#N/A,TRUE,"Areas";#N/A,#N/A,TRUE,"Summary";#N/A,#N/A,TRUE,"Detail"}</definedName>
    <definedName name="Zip1" localSheetId="0" hidden="1">{#N/A,#N/A,TRUE,"Front";#N/A,#N/A,TRUE,"Simple Letter";#N/A,#N/A,TRUE,"Inside";#N/A,#N/A,TRUE,"Contents";#N/A,#N/A,TRUE,"Basis";#N/A,#N/A,TRUE,"Inclusions";#N/A,#N/A,TRUE,"Exclusions";#N/A,#N/A,TRUE,"Areas";#N/A,#N/A,TRUE,"Summary";#N/A,#N/A,TRUE,"Detail"}</definedName>
    <definedName name="Zip1" hidden="1">{#N/A,#N/A,TRUE,"Front";#N/A,#N/A,TRUE,"Simple Letter";#N/A,#N/A,TRUE,"Inside";#N/A,#N/A,TRUE,"Contents";#N/A,#N/A,TRUE,"Basis";#N/A,#N/A,TRUE,"Inclusions";#N/A,#N/A,TRUE,"Exclusions";#N/A,#N/A,TRUE,"Areas";#N/A,#N/A,TRUE,"Summary";#N/A,#N/A,TRUE,"Detail"}</definedName>
    <definedName name="zxc" hidden="1">{#N/A,#N/A,FALSE,"견적대비-2"}</definedName>
    <definedName name="zzzz" localSheetId="1" hidden="1">{"Commish",#N/A,FALSE,"LAWTC"}</definedName>
    <definedName name="zzzz" localSheetId="0" hidden="1">{"Commish",#N/A,FALSE,"LAWTC"}</definedName>
    <definedName name="zzzz" hidden="1">{"Commish",#N/A,FALSE,"LAWTC"}</definedName>
    <definedName name="zzzzzzzzzzzz" hidden="1">#REF!</definedName>
    <definedName name="ZZZZZZZZZZZZZZ" hidden="1">#REF!</definedName>
    <definedName name="っｋ" hidden="1">#REF!</definedName>
  </definedNames>
  <calcPr calcId="191029"/>
  <customWorkbookViews>
    <customWorkbookView name="Nasim Ahmed - Personal View" guid="{5ADA983C-1EDC-4645-AD8A-3535C65F44D6}" mergeInterval="0" personalView="1" maximized="1" xWindow="-8" yWindow="-8" windowWidth="1936" windowHeight="1056" tabRatio="931" activeSheetId="16"/>
    <customWorkbookView name="Ashish.Dhamu - Personal View" guid="{4C187252-7A52-4DAC-BB2D-0644DF2E09B0}" mergeInterval="0" personalView="1" maximized="1" xWindow="-13" yWindow="-13" windowWidth="3226" windowHeight="1930" tabRatio="931" activeSheetId="1" showComments="commIndAndComment"/>
    <customWorkbookView name="Sania Khatri - Personal View" guid="{F44FFE0D-EF1F-43C0-ACC8-2B26582A55BA}" mergeInterval="0" personalView="1" maximized="1" xWindow="-8" yWindow="-8" windowWidth="1936" windowHeight="1056" tabRatio="931" activeSheetId="6"/>
    <customWorkbookView name="Pranjal Gharat - Personal View" guid="{80C18858-2264-40D8-89B1-43CC91AE6872}" mergeInterval="0" personalView="1" maximized="1" xWindow="-8" yWindow="-8" windowWidth="1936" windowHeight="1056" tabRatio="931" activeSheetId="6"/>
    <customWorkbookView name="Brijesh Khambhayata - Personal View" guid="{F4A7CA8E-98F3-454B-9E7A-4BC18859A193}" mergeInterval="0" personalView="1" maximized="1" xWindow="-9" yWindow="-9" windowWidth="1938" windowHeight="1038" tabRatio="931" activeSheetId="8"/>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0" i="37" l="1"/>
  <c r="D192" i="37"/>
  <c r="C290" i="37"/>
  <c r="C427" i="37"/>
  <c r="E314" i="37"/>
  <c r="E317" i="37"/>
  <c r="E430" i="37" l="1"/>
  <c r="E429" i="37"/>
  <c r="E428" i="37"/>
  <c r="E427" i="37"/>
  <c r="E426" i="37"/>
  <c r="E425" i="37"/>
  <c r="E424" i="37"/>
  <c r="E423" i="37"/>
  <c r="E422" i="37"/>
  <c r="E421" i="37"/>
  <c r="E420" i="37"/>
  <c r="E419" i="37"/>
  <c r="E418" i="37"/>
  <c r="E417" i="37"/>
  <c r="E416" i="37"/>
  <c r="E415" i="37"/>
  <c r="E410" i="37"/>
  <c r="E409" i="37"/>
  <c r="E408" i="37"/>
  <c r="E407" i="37"/>
  <c r="E406" i="37"/>
  <c r="E405" i="37"/>
  <c r="E404" i="37"/>
  <c r="E403" i="37"/>
  <c r="E402" i="37"/>
  <c r="E401" i="37"/>
  <c r="E400" i="37"/>
  <c r="E399" i="37"/>
  <c r="E398" i="37"/>
  <c r="E397" i="37"/>
  <c r="E396" i="37"/>
  <c r="E395" i="37"/>
  <c r="E394" i="37"/>
  <c r="E393" i="37"/>
  <c r="E392" i="37"/>
  <c r="E391" i="37"/>
  <c r="E390" i="37"/>
  <c r="E389" i="37"/>
  <c r="E388" i="37"/>
  <c r="E387" i="37"/>
  <c r="E386" i="37"/>
  <c r="E385" i="37"/>
  <c r="E384" i="37"/>
  <c r="E383" i="37"/>
  <c r="E382" i="37"/>
  <c r="E381" i="37"/>
  <c r="E380" i="37"/>
  <c r="E376" i="37"/>
  <c r="E375" i="37"/>
  <c r="E374" i="37"/>
  <c r="E373" i="37"/>
  <c r="E372" i="37"/>
  <c r="E371" i="37"/>
  <c r="E370" i="37"/>
  <c r="E369" i="37"/>
  <c r="E368" i="37"/>
  <c r="E367" i="37"/>
  <c r="E366" i="37"/>
  <c r="E365" i="37"/>
  <c r="E364" i="37"/>
  <c r="E363" i="37"/>
  <c r="E362" i="37"/>
  <c r="E361" i="37"/>
  <c r="E360" i="37"/>
  <c r="E359" i="37"/>
  <c r="E358" i="37"/>
  <c r="E357" i="37"/>
  <c r="E356" i="37"/>
  <c r="E352" i="37"/>
  <c r="E351" i="37"/>
  <c r="E350" i="37"/>
  <c r="E349" i="37"/>
  <c r="E348" i="37"/>
  <c r="E347" i="37"/>
  <c r="E346" i="37"/>
  <c r="E345" i="37"/>
  <c r="E344" i="37"/>
  <c r="E343" i="37"/>
  <c r="E342" i="37"/>
  <c r="E341" i="37"/>
  <c r="E340" i="37"/>
  <c r="E339" i="37"/>
  <c r="E338" i="37"/>
  <c r="E337" i="37"/>
  <c r="E336" i="37"/>
  <c r="E335" i="37"/>
  <c r="E334" i="37"/>
  <c r="E333" i="37"/>
  <c r="E332" i="37"/>
  <c r="E331" i="37"/>
  <c r="E330" i="37"/>
  <c r="E329" i="37"/>
  <c r="E326" i="37"/>
  <c r="E325" i="37"/>
  <c r="E324" i="37"/>
  <c r="E323" i="37"/>
  <c r="E322" i="37"/>
  <c r="E321" i="37"/>
  <c r="E320" i="37"/>
  <c r="E319" i="37"/>
  <c r="E316" i="37"/>
  <c r="E315" i="37"/>
  <c r="E313" i="37"/>
  <c r="E312" i="37"/>
  <c r="E311" i="37"/>
  <c r="E310" i="37"/>
  <c r="E309" i="37"/>
  <c r="E308" i="37"/>
  <c r="E307" i="37"/>
  <c r="E306" i="37"/>
  <c r="E305" i="37"/>
  <c r="E304" i="37"/>
  <c r="E303" i="37"/>
  <c r="E302" i="37"/>
  <c r="E301" i="37"/>
  <c r="E300" i="37"/>
  <c r="E299" i="37"/>
  <c r="E298" i="37"/>
  <c r="E297" i="37"/>
  <c r="E296" i="37"/>
  <c r="E295" i="37"/>
  <c r="E294" i="37"/>
  <c r="E293" i="37"/>
  <c r="E292" i="37"/>
  <c r="E291" i="37"/>
  <c r="E290" i="37"/>
  <c r="E289" i="37"/>
  <c r="E288" i="37"/>
  <c r="E287" i="37"/>
  <c r="E286" i="37"/>
  <c r="E285" i="37"/>
  <c r="E284" i="37"/>
  <c r="E283" i="37"/>
  <c r="E282" i="37"/>
  <c r="E281" i="37"/>
  <c r="E280" i="37"/>
  <c r="E279" i="37"/>
  <c r="E278" i="37"/>
  <c r="E277" i="37"/>
  <c r="E276" i="37"/>
  <c r="E275" i="37"/>
  <c r="E274" i="37"/>
  <c r="E273" i="37"/>
  <c r="E272" i="37"/>
  <c r="E271" i="37"/>
  <c r="E270" i="37"/>
  <c r="E269" i="37"/>
  <c r="E268" i="37"/>
  <c r="E267" i="37"/>
  <c r="E266" i="37"/>
  <c r="E265" i="37"/>
  <c r="E264" i="37"/>
  <c r="E263" i="37"/>
  <c r="E262" i="37"/>
  <c r="E261" i="37"/>
  <c r="E260" i="37"/>
  <c r="E259" i="37"/>
  <c r="E258" i="37"/>
  <c r="E257" i="37"/>
  <c r="E256" i="37"/>
  <c r="E255" i="37"/>
  <c r="E254" i="37"/>
  <c r="E253" i="37"/>
  <c r="E252" i="37"/>
  <c r="E251" i="37"/>
  <c r="E250" i="37"/>
  <c r="E249" i="37"/>
  <c r="E248" i="37"/>
  <c r="E247" i="37"/>
  <c r="E246" i="37"/>
  <c r="E242" i="37"/>
  <c r="E241" i="37"/>
  <c r="E240" i="37"/>
  <c r="E239" i="37"/>
  <c r="E238" i="37"/>
  <c r="E237" i="37"/>
  <c r="E236" i="37"/>
  <c r="E235" i="37"/>
  <c r="E231" i="37"/>
  <c r="E230" i="37"/>
  <c r="E229" i="37"/>
  <c r="E228" i="37"/>
  <c r="E227" i="37"/>
  <c r="E226" i="37"/>
  <c r="E225" i="37"/>
  <c r="E224" i="37"/>
  <c r="E223" i="37"/>
  <c r="E222" i="37"/>
  <c r="E221" i="37"/>
  <c r="E220" i="37"/>
  <c r="E219" i="37"/>
  <c r="E218" i="37"/>
  <c r="E217" i="37"/>
  <c r="E216" i="37"/>
  <c r="E215" i="37"/>
  <c r="E214" i="37"/>
  <c r="E213" i="37"/>
  <c r="E212" i="37"/>
  <c r="E211" i="37"/>
  <c r="E210" i="37"/>
  <c r="E209" i="37"/>
  <c r="E208" i="37"/>
  <c r="E207" i="37"/>
  <c r="E206" i="37"/>
  <c r="E205" i="37"/>
  <c r="E204" i="37"/>
  <c r="E203" i="37"/>
  <c r="E202" i="37"/>
  <c r="E201" i="37"/>
  <c r="E200" i="37"/>
  <c r="E199" i="37"/>
  <c r="E198" i="37"/>
  <c r="E197" i="37"/>
  <c r="E196" i="37"/>
  <c r="E195" i="37"/>
  <c r="E194" i="37"/>
  <c r="E193" i="37"/>
  <c r="E192" i="37"/>
  <c r="E191" i="37"/>
  <c r="E190" i="37"/>
  <c r="E189" i="37"/>
  <c r="E188" i="37"/>
  <c r="E187" i="37"/>
  <c r="E185" i="37"/>
  <c r="E184" i="37"/>
  <c r="E183" i="37"/>
  <c r="E182" i="37"/>
  <c r="E181" i="37"/>
  <c r="E180" i="37"/>
  <c r="E179" i="37"/>
  <c r="E178" i="37"/>
  <c r="E177" i="37"/>
  <c r="E176" i="37"/>
  <c r="E175" i="37"/>
  <c r="E174" i="37"/>
  <c r="E173" i="37"/>
  <c r="E172" i="37"/>
  <c r="E171" i="37"/>
  <c r="E170" i="37"/>
  <c r="E169" i="37"/>
  <c r="E168" i="37"/>
  <c r="E167" i="37"/>
  <c r="E166" i="37"/>
  <c r="E165" i="37"/>
  <c r="E164" i="37"/>
  <c r="E163" i="37"/>
  <c r="E162" i="37"/>
  <c r="E161" i="37"/>
  <c r="E160" i="37"/>
  <c r="E159" i="37"/>
  <c r="E158" i="37"/>
  <c r="E157" i="37"/>
  <c r="E156" i="37"/>
  <c r="E155" i="37"/>
  <c r="E154" i="37"/>
  <c r="E153" i="37"/>
  <c r="E152" i="37"/>
  <c r="E151" i="37"/>
  <c r="E150" i="37"/>
  <c r="E149" i="37"/>
  <c r="E148" i="37"/>
  <c r="E147" i="37"/>
  <c r="E146" i="37"/>
  <c r="E145" i="37"/>
  <c r="E144" i="37"/>
  <c r="E143" i="37"/>
  <c r="E142" i="37"/>
  <c r="E141" i="37"/>
  <c r="E140" i="37"/>
  <c r="E139" i="37"/>
  <c r="E138" i="37"/>
  <c r="E137" i="37"/>
  <c r="E136" i="37"/>
  <c r="E135" i="37"/>
  <c r="E134" i="37"/>
  <c r="E133" i="37"/>
  <c r="E132" i="37"/>
  <c r="E131" i="37"/>
  <c r="E130" i="37"/>
  <c r="E129" i="37"/>
  <c r="E128" i="37"/>
  <c r="E127" i="37"/>
  <c r="E126" i="37"/>
  <c r="E125" i="37"/>
  <c r="E124" i="37"/>
  <c r="E123" i="37"/>
  <c r="E122" i="37"/>
  <c r="E121" i="37"/>
  <c r="E120" i="37"/>
  <c r="E119" i="37"/>
  <c r="E118" i="37"/>
  <c r="E117" i="37"/>
  <c r="E116" i="37"/>
  <c r="E115" i="37"/>
  <c r="E114" i="37"/>
  <c r="E113" i="37"/>
  <c r="E112" i="37"/>
  <c r="E111" i="37"/>
  <c r="E110" i="37"/>
  <c r="E109" i="37"/>
  <c r="E108" i="37"/>
  <c r="E107" i="37"/>
  <c r="E106" i="37"/>
  <c r="E105" i="37"/>
  <c r="E104" i="37"/>
  <c r="E103" i="37"/>
  <c r="E102" i="37"/>
  <c r="E101" i="37"/>
  <c r="E100" i="37"/>
  <c r="E98" i="37"/>
  <c r="E97" i="37"/>
  <c r="E96" i="37"/>
  <c r="E95" i="37"/>
  <c r="E94" i="37"/>
  <c r="E93" i="37"/>
  <c r="E92" i="37"/>
  <c r="E91" i="37"/>
  <c r="E90" i="37"/>
  <c r="E89" i="37"/>
  <c r="E88" i="37"/>
  <c r="E87" i="37"/>
  <c r="E86" i="37"/>
  <c r="E85" i="37"/>
  <c r="E84" i="37"/>
  <c r="E83" i="37"/>
  <c r="E82" i="37"/>
  <c r="E81" i="37"/>
  <c r="E80" i="37"/>
  <c r="E79" i="37"/>
  <c r="E78" i="37"/>
  <c r="E77" i="37"/>
  <c r="E76" i="37"/>
  <c r="E75" i="37"/>
  <c r="E72" i="37"/>
  <c r="E71" i="37"/>
  <c r="E70" i="37"/>
  <c r="E69" i="37"/>
  <c r="E68" i="37"/>
  <c r="E67" i="37"/>
  <c r="E66" i="37"/>
  <c r="E65" i="37"/>
  <c r="E64" i="37"/>
  <c r="E63" i="37"/>
  <c r="E62" i="37"/>
  <c r="E61" i="37"/>
  <c r="E60" i="37"/>
  <c r="E59" i="37"/>
  <c r="E58" i="37"/>
  <c r="E57" i="37"/>
  <c r="E56" i="37"/>
  <c r="E55" i="37"/>
  <c r="E54" i="37"/>
  <c r="E53" i="37"/>
  <c r="E52" i="37"/>
  <c r="E51" i="37"/>
  <c r="E50" i="37"/>
  <c r="E49" i="37"/>
  <c r="E48" i="37"/>
  <c r="E47" i="37"/>
  <c r="E46" i="37"/>
  <c r="E45" i="37"/>
  <c r="E44" i="37"/>
  <c r="E43" i="37"/>
  <c r="E42" i="37"/>
  <c r="E41" i="37"/>
  <c r="E40" i="37"/>
  <c r="E39" i="37"/>
  <c r="E38" i="37"/>
  <c r="E37" i="37"/>
  <c r="E36" i="37"/>
  <c r="E35" i="37"/>
  <c r="E34" i="37"/>
  <c r="E33" i="37"/>
  <c r="E32" i="37"/>
  <c r="E31" i="37"/>
  <c r="E30" i="37"/>
  <c r="E29" i="37"/>
  <c r="E28" i="37"/>
  <c r="E27" i="37"/>
  <c r="E26" i="37"/>
  <c r="E25" i="37"/>
  <c r="E24" i="37"/>
  <c r="E23" i="37"/>
  <c r="E22" i="37"/>
  <c r="E21" i="37"/>
  <c r="E20" i="37"/>
  <c r="E19" i="37"/>
  <c r="E17" i="37"/>
  <c r="E18" i="37"/>
  <c r="J232" i="37" l="1"/>
  <c r="I232" i="37"/>
  <c r="J231" i="37"/>
  <c r="I231" i="37"/>
  <c r="A231" i="37"/>
  <c r="J230" i="37"/>
  <c r="I230" i="37"/>
  <c r="J238" i="37"/>
  <c r="I238" i="37"/>
  <c r="J169" i="37"/>
  <c r="I169" i="37"/>
  <c r="J179" i="37" l="1"/>
  <c r="I179" i="37"/>
  <c r="A427" i="37" l="1"/>
  <c r="A428" i="37" s="1"/>
  <c r="A429" i="37" s="1"/>
  <c r="A430" i="37" s="1"/>
  <c r="K348" i="37"/>
  <c r="A217" i="37"/>
  <c r="A218" i="37" s="1"/>
  <c r="A219" i="37" s="1"/>
  <c r="A220" i="37" s="1"/>
  <c r="A221" i="37" s="1"/>
  <c r="A222" i="37" s="1"/>
  <c r="A223" i="37" s="1"/>
  <c r="A224" i="37" s="1"/>
  <c r="A225" i="37" s="1"/>
  <c r="A226" i="37" s="1"/>
  <c r="A227" i="37" s="1"/>
  <c r="A228" i="37" s="1"/>
  <c r="A151" i="37"/>
  <c r="A152" i="37" s="1"/>
  <c r="A153" i="37" s="1"/>
  <c r="A154" i="37" s="1"/>
  <c r="A155" i="37" s="1"/>
  <c r="A156" i="37" s="1"/>
  <c r="J403" i="37" l="1"/>
  <c r="I214" i="37"/>
  <c r="I210" i="37"/>
  <c r="I430" i="37"/>
  <c r="I42" i="37"/>
  <c r="J366" i="37"/>
  <c r="I396" i="37"/>
  <c r="I17" i="37"/>
  <c r="J22" i="37"/>
  <c r="J32" i="37"/>
  <c r="J174" i="37"/>
  <c r="I47" i="37"/>
  <c r="J17" i="37"/>
  <c r="I35" i="37"/>
  <c r="I37" i="37"/>
  <c r="J89" i="37"/>
  <c r="J146" i="37"/>
  <c r="J134" i="37"/>
  <c r="I142" i="37"/>
  <c r="J165" i="37"/>
  <c r="I36" i="37"/>
  <c r="I65" i="37"/>
  <c r="J82" i="37"/>
  <c r="J197" i="37"/>
  <c r="J220" i="37"/>
  <c r="J96" i="37"/>
  <c r="J102" i="37"/>
  <c r="J185" i="37"/>
  <c r="J91" i="37"/>
  <c r="J130" i="37"/>
  <c r="J177" i="37"/>
  <c r="J183" i="37"/>
  <c r="I69" i="37"/>
  <c r="I27" i="37"/>
  <c r="I29" i="37"/>
  <c r="J34" i="37"/>
  <c r="J45" i="37"/>
  <c r="I48" i="37"/>
  <c r="I50" i="37"/>
  <c r="J57" i="37"/>
  <c r="J59" i="37"/>
  <c r="I96" i="37"/>
  <c r="J127" i="37"/>
  <c r="I138" i="37"/>
  <c r="I206" i="37"/>
  <c r="J207" i="37"/>
  <c r="J25" i="37"/>
  <c r="I66" i="37"/>
  <c r="J119" i="37"/>
  <c r="I152" i="37"/>
  <c r="I165" i="37"/>
  <c r="J188" i="37"/>
  <c r="I195" i="37"/>
  <c r="I243" i="37"/>
  <c r="J21" i="37"/>
  <c r="I24" i="37"/>
  <c r="J41" i="37"/>
  <c r="I44" i="37"/>
  <c r="J55" i="37"/>
  <c r="J203" i="37"/>
  <c r="J19" i="37"/>
  <c r="I20" i="37"/>
  <c r="J26" i="37"/>
  <c r="I39" i="37"/>
  <c r="J58" i="37"/>
  <c r="J71" i="37"/>
  <c r="I72" i="37"/>
  <c r="J90" i="37"/>
  <c r="I114" i="37"/>
  <c r="I121" i="37"/>
  <c r="I134" i="37"/>
  <c r="I150" i="37"/>
  <c r="J187" i="37"/>
  <c r="J189" i="37"/>
  <c r="I18" i="37"/>
  <c r="I61" i="37"/>
  <c r="I64" i="37"/>
  <c r="J65" i="37"/>
  <c r="I83" i="37"/>
  <c r="I115" i="37"/>
  <c r="J131" i="37"/>
  <c r="J147" i="37"/>
  <c r="I155" i="37"/>
  <c r="I167" i="37"/>
  <c r="J168" i="37"/>
  <c r="I171" i="37"/>
  <c r="I192" i="37"/>
  <c r="J198" i="37"/>
  <c r="J219" i="37"/>
  <c r="I222" i="37"/>
  <c r="I38" i="37"/>
  <c r="J61" i="37"/>
  <c r="J100" i="37"/>
  <c r="J101" i="37"/>
  <c r="J103" i="37"/>
  <c r="J164" i="37"/>
  <c r="J170" i="37"/>
  <c r="I172" i="37"/>
  <c r="I178" i="37"/>
  <c r="I187" i="37"/>
  <c r="I193" i="37"/>
  <c r="J200" i="37"/>
  <c r="J290" i="37"/>
  <c r="J212" i="37"/>
  <c r="J38" i="37"/>
  <c r="J51" i="37"/>
  <c r="I52" i="37"/>
  <c r="I63" i="37"/>
  <c r="J66" i="37"/>
  <c r="J87" i="37"/>
  <c r="I94" i="37"/>
  <c r="I100" i="37"/>
  <c r="J106" i="37"/>
  <c r="J114" i="37"/>
  <c r="J128" i="37"/>
  <c r="I131" i="37"/>
  <c r="I133" i="37"/>
  <c r="J201" i="37"/>
  <c r="I215" i="37"/>
  <c r="J23" i="37"/>
  <c r="J35" i="37"/>
  <c r="I89" i="37"/>
  <c r="I101" i="37"/>
  <c r="I123" i="37"/>
  <c r="I129" i="37"/>
  <c r="J133" i="37"/>
  <c r="I135" i="37"/>
  <c r="I137" i="37"/>
  <c r="I139" i="37"/>
  <c r="I141" i="37"/>
  <c r="J144" i="37"/>
  <c r="I154" i="37"/>
  <c r="J157" i="37"/>
  <c r="I181" i="37"/>
  <c r="J186" i="37"/>
  <c r="I191" i="37"/>
  <c r="I209" i="37"/>
  <c r="J215" i="37"/>
  <c r="J218" i="37"/>
  <c r="J226" i="37"/>
  <c r="I249" i="37"/>
  <c r="I19" i="37"/>
  <c r="I21" i="37"/>
  <c r="J27" i="37"/>
  <c r="J39" i="37"/>
  <c r="J60" i="37"/>
  <c r="I67" i="37"/>
  <c r="I71" i="37"/>
  <c r="J92" i="37"/>
  <c r="I95" i="37"/>
  <c r="J104" i="37"/>
  <c r="J107" i="37"/>
  <c r="I118" i="37"/>
  <c r="J137" i="37"/>
  <c r="J141" i="37"/>
  <c r="J149" i="37"/>
  <c r="I151" i="37"/>
  <c r="I176" i="37"/>
  <c r="J182" i="37"/>
  <c r="J196" i="37"/>
  <c r="I202" i="37"/>
  <c r="J205" i="37"/>
  <c r="J209" i="37"/>
  <c r="J228" i="37"/>
  <c r="J250" i="37"/>
  <c r="I258" i="37"/>
  <c r="J295" i="37"/>
  <c r="J18" i="37"/>
  <c r="I22" i="37"/>
  <c r="I26" i="37"/>
  <c r="I28" i="37"/>
  <c r="J29" i="37"/>
  <c r="I34" i="37"/>
  <c r="I58" i="37"/>
  <c r="I92" i="37"/>
  <c r="J98" i="37"/>
  <c r="J118" i="37"/>
  <c r="J120" i="37"/>
  <c r="I125" i="37"/>
  <c r="J135" i="37"/>
  <c r="J139" i="37"/>
  <c r="J143" i="37"/>
  <c r="J150" i="37"/>
  <c r="J151" i="37"/>
  <c r="I185" i="37"/>
  <c r="I194" i="37"/>
  <c r="J199" i="37"/>
  <c r="I204" i="37"/>
  <c r="J208" i="37"/>
  <c r="J214" i="37"/>
  <c r="J216" i="37"/>
  <c r="J217" i="37"/>
  <c r="J223" i="37"/>
  <c r="I241" i="37"/>
  <c r="I362" i="37"/>
  <c r="I43" i="37"/>
  <c r="J46" i="37"/>
  <c r="J53" i="37"/>
  <c r="J56" i="37"/>
  <c r="J62" i="37"/>
  <c r="I68" i="37"/>
  <c r="J84" i="37"/>
  <c r="J88" i="37"/>
  <c r="J93" i="37"/>
  <c r="I97" i="37"/>
  <c r="J105" i="37"/>
  <c r="J122" i="37"/>
  <c r="J126" i="37"/>
  <c r="J145" i="37"/>
  <c r="I159" i="37"/>
  <c r="J163" i="37"/>
  <c r="J184" i="37"/>
  <c r="I255" i="37"/>
  <c r="I324" i="37"/>
  <c r="I32" i="37"/>
  <c r="J43" i="37"/>
  <c r="I60" i="37"/>
  <c r="J68" i="37"/>
  <c r="J97" i="37"/>
  <c r="I127" i="37"/>
  <c r="J159" i="37"/>
  <c r="I180" i="37"/>
  <c r="I290" i="37"/>
  <c r="J324" i="37"/>
  <c r="I339" i="37"/>
  <c r="I366" i="37"/>
  <c r="I30" i="37"/>
  <c r="I33" i="37"/>
  <c r="J47" i="37"/>
  <c r="J50" i="37"/>
  <c r="I54" i="37"/>
  <c r="J63" i="37"/>
  <c r="J69" i="37"/>
  <c r="I85" i="37"/>
  <c r="J94" i="37"/>
  <c r="J115" i="37"/>
  <c r="J123" i="37"/>
  <c r="J171" i="37"/>
  <c r="J181" i="37"/>
  <c r="I309" i="37"/>
  <c r="J362" i="37"/>
  <c r="J396" i="37"/>
  <c r="J30" i="37"/>
  <c r="J33" i="37"/>
  <c r="J54" i="37"/>
  <c r="J85" i="37"/>
  <c r="J161" i="37"/>
  <c r="J303" i="37"/>
  <c r="J309" i="37"/>
  <c r="I405" i="37"/>
  <c r="I31" i="37"/>
  <c r="J37" i="37"/>
  <c r="I40" i="37"/>
  <c r="J42" i="37"/>
  <c r="I49" i="37"/>
  <c r="J83" i="37"/>
  <c r="I99" i="37"/>
  <c r="I117" i="37"/>
  <c r="J121" i="37"/>
  <c r="J173" i="37"/>
  <c r="I190" i="37"/>
  <c r="J194" i="37"/>
  <c r="J240" i="37"/>
  <c r="J312" i="37"/>
  <c r="J31" i="37"/>
  <c r="J40" i="37"/>
  <c r="I46" i="37"/>
  <c r="J49" i="37"/>
  <c r="I53" i="37"/>
  <c r="I56" i="37"/>
  <c r="I62" i="37"/>
  <c r="J70" i="37"/>
  <c r="I84" i="37"/>
  <c r="I88" i="37"/>
  <c r="I93" i="37"/>
  <c r="J99" i="37"/>
  <c r="I105" i="37"/>
  <c r="J117" i="37"/>
  <c r="I122" i="37"/>
  <c r="I126" i="37"/>
  <c r="I153" i="37"/>
  <c r="I163" i="37"/>
  <c r="J190" i="37"/>
  <c r="J306" i="37"/>
  <c r="J329" i="37"/>
  <c r="I399" i="37"/>
  <c r="J156" i="37"/>
  <c r="J160" i="37"/>
  <c r="J167" i="37"/>
  <c r="J172" i="37"/>
  <c r="J176" i="37"/>
  <c r="I189" i="37"/>
  <c r="J192" i="37"/>
  <c r="J204" i="37"/>
  <c r="J206" i="37"/>
  <c r="I208" i="37"/>
  <c r="I211" i="37"/>
  <c r="J237" i="37"/>
  <c r="J242" i="37"/>
  <c r="I294" i="37"/>
  <c r="I302" i="37"/>
  <c r="J325" i="37"/>
  <c r="J337" i="37"/>
  <c r="I346" i="37"/>
  <c r="I367" i="37"/>
  <c r="J247" i="37"/>
  <c r="I253" i="37"/>
  <c r="J256" i="37"/>
  <c r="J294" i="37"/>
  <c r="I297" i="37"/>
  <c r="J302" i="37"/>
  <c r="I305" i="37"/>
  <c r="I311" i="37"/>
  <c r="J319" i="37"/>
  <c r="J328" i="37"/>
  <c r="J346" i="37"/>
  <c r="J367" i="37"/>
  <c r="I398" i="37"/>
  <c r="I149" i="37"/>
  <c r="J152" i="37"/>
  <c r="J153" i="37"/>
  <c r="J155" i="37"/>
  <c r="I161" i="37"/>
  <c r="I173" i="37"/>
  <c r="J175" i="37"/>
  <c r="J180" i="37"/>
  <c r="I184" i="37"/>
  <c r="J193" i="37"/>
  <c r="J195" i="37"/>
  <c r="I252" i="37"/>
  <c r="I254" i="37"/>
  <c r="I287" i="37"/>
  <c r="J297" i="37"/>
  <c r="J305" i="37"/>
  <c r="J308" i="37"/>
  <c r="J311" i="37"/>
  <c r="I323" i="37"/>
  <c r="I326" i="37"/>
  <c r="I332" i="37"/>
  <c r="I338" i="37"/>
  <c r="I342" i="37"/>
  <c r="I373" i="37"/>
  <c r="J398" i="37"/>
  <c r="J254" i="37"/>
  <c r="I257" i="37"/>
  <c r="J287" i="37"/>
  <c r="I295" i="37"/>
  <c r="I303" i="37"/>
  <c r="J317" i="37"/>
  <c r="J323" i="37"/>
  <c r="J326" i="37"/>
  <c r="I329" i="37"/>
  <c r="J338" i="37"/>
  <c r="J342" i="37"/>
  <c r="J365" i="37"/>
  <c r="J368" i="37"/>
  <c r="J373" i="37"/>
  <c r="I377" i="37"/>
  <c r="J255" i="37"/>
  <c r="I296" i="37"/>
  <c r="I301" i="37"/>
  <c r="I307" i="37"/>
  <c r="I310" i="37"/>
  <c r="I314" i="37"/>
  <c r="I330" i="37"/>
  <c r="J339" i="37"/>
  <c r="J344" i="37"/>
  <c r="I397" i="37"/>
  <c r="J399" i="37"/>
  <c r="I242" i="37"/>
  <c r="J296" i="37"/>
  <c r="J301" i="37"/>
  <c r="J304" i="37"/>
  <c r="J307" i="37"/>
  <c r="J310" i="37"/>
  <c r="J314" i="37"/>
  <c r="J321" i="37"/>
  <c r="I325" i="37"/>
  <c r="J327" i="37"/>
  <c r="J330" i="37"/>
  <c r="I337" i="37"/>
  <c r="J397" i="37"/>
  <c r="I341" i="37"/>
  <c r="I333" i="37"/>
  <c r="J364" i="37"/>
  <c r="J427" i="37"/>
  <c r="I320" i="37"/>
  <c r="J333" i="37"/>
  <c r="I239" i="37"/>
  <c r="J257" i="37"/>
  <c r="I286" i="37"/>
  <c r="J291" i="37"/>
  <c r="I292" i="37"/>
  <c r="J298" i="37"/>
  <c r="I316" i="37"/>
  <c r="I321" i="37"/>
  <c r="J334" i="37"/>
  <c r="J353" i="37"/>
  <c r="J406" i="37"/>
  <c r="J423" i="37"/>
  <c r="J429" i="37"/>
  <c r="I225" i="37"/>
  <c r="J243" i="37"/>
  <c r="J246" i="37"/>
  <c r="J252" i="37"/>
  <c r="J335" i="37"/>
  <c r="I374" i="37"/>
  <c r="I375" i="37"/>
  <c r="J400" i="37"/>
  <c r="I245" i="37"/>
  <c r="J286" i="37"/>
  <c r="I313" i="37"/>
  <c r="I334" i="37"/>
  <c r="I347" i="37"/>
  <c r="I363" i="37"/>
  <c r="I365" i="37"/>
  <c r="I372" i="37"/>
  <c r="I250" i="37"/>
  <c r="J251" i="37"/>
  <c r="J283" i="37"/>
  <c r="I284" i="37"/>
  <c r="J289" i="37"/>
  <c r="J313" i="37"/>
  <c r="J315" i="37"/>
  <c r="I318" i="37"/>
  <c r="J347" i="37"/>
  <c r="I348" i="37"/>
  <c r="I364" i="37"/>
  <c r="J372" i="37"/>
  <c r="J392" i="37"/>
  <c r="I409" i="37"/>
  <c r="J430" i="37"/>
  <c r="J318" i="37"/>
  <c r="J348" i="37"/>
  <c r="I349" i="37"/>
  <c r="I350" i="37"/>
  <c r="J352" i="37"/>
  <c r="I370" i="37"/>
  <c r="I371" i="37"/>
  <c r="J409" i="37"/>
  <c r="J411" i="37"/>
  <c r="I223" i="37"/>
  <c r="J258" i="37"/>
  <c r="I293" i="37"/>
  <c r="J349" i="37"/>
  <c r="J350" i="37"/>
  <c r="J360" i="37"/>
  <c r="J361" i="37"/>
  <c r="J422" i="37"/>
  <c r="I345" i="37"/>
  <c r="I351" i="37"/>
  <c r="J374" i="37"/>
  <c r="I401" i="37"/>
  <c r="I402" i="37"/>
  <c r="J404" i="37"/>
  <c r="J418" i="37"/>
  <c r="J239" i="37"/>
  <c r="J331" i="37"/>
  <c r="J340" i="37"/>
  <c r="J351" i="37"/>
  <c r="J369" i="37"/>
  <c r="J401" i="37"/>
  <c r="J402" i="37"/>
  <c r="I416" i="37"/>
  <c r="J299" i="37"/>
  <c r="I300" i="37"/>
  <c r="I322" i="37"/>
  <c r="I343" i="37"/>
  <c r="I417" i="37"/>
  <c r="J421" i="37"/>
  <c r="J424" i="37"/>
  <c r="J288" i="37"/>
  <c r="J293" i="37"/>
  <c r="I298" i="37"/>
  <c r="J322" i="37"/>
  <c r="J377" i="37"/>
  <c r="I406" i="37"/>
  <c r="I407" i="37"/>
  <c r="J417" i="37"/>
  <c r="I368" i="37"/>
  <c r="J410" i="37"/>
  <c r="J405" i="37"/>
  <c r="J407" i="37"/>
  <c r="J376" i="37"/>
  <c r="J393" i="37"/>
  <c r="J394" i="37"/>
  <c r="J395" i="37"/>
  <c r="J408" i="37"/>
  <c r="J425" i="37"/>
  <c r="I431" i="37"/>
  <c r="J416" i="37"/>
  <c r="I419" i="37"/>
  <c r="J419" i="37"/>
  <c r="J420" i="37"/>
  <c r="I421" i="37"/>
  <c r="J426" i="37"/>
  <c r="J428" i="37"/>
  <c r="I423" i="37"/>
  <c r="I424" i="37"/>
  <c r="J178" i="37"/>
  <c r="J166" i="37"/>
  <c r="J227" i="37"/>
  <c r="J64" i="37"/>
  <c r="J72" i="37"/>
  <c r="J28" i="37"/>
  <c r="J52" i="37"/>
  <c r="J191" i="37"/>
  <c r="J36" i="37"/>
  <c r="J154" i="37"/>
  <c r="J213" i="37"/>
  <c r="J248" i="37"/>
  <c r="J148" i="37"/>
  <c r="J24" i="37"/>
  <c r="J44" i="37"/>
  <c r="J48" i="37"/>
  <c r="J224" i="37"/>
  <c r="J202" i="37"/>
  <c r="J20" i="37"/>
  <c r="J132" i="37"/>
  <c r="J221" i="37"/>
  <c r="J140" i="37"/>
  <c r="J142" i="37"/>
  <c r="J162" i="37"/>
  <c r="J210" i="37"/>
  <c r="J124" i="37"/>
  <c r="J136" i="37"/>
  <c r="J138" i="37"/>
  <c r="J332" i="37"/>
  <c r="J158" i="37"/>
  <c r="J249" i="37"/>
  <c r="J320" i="37"/>
  <c r="J253" i="37"/>
  <c r="J292" i="37"/>
  <c r="J284" i="37"/>
  <c r="J300" i="37"/>
  <c r="J316" i="37"/>
  <c r="J363" i="37"/>
  <c r="J371" i="37"/>
  <c r="J375" i="37"/>
  <c r="J431" i="37"/>
  <c r="J432" i="37" l="1"/>
  <c r="D12" i="36" s="1"/>
  <c r="I219" i="37"/>
  <c r="I197" i="37"/>
  <c r="I212" i="37"/>
  <c r="I130" i="37"/>
  <c r="I25" i="37"/>
  <c r="I247" i="37"/>
  <c r="I59" i="37"/>
  <c r="I146" i="37"/>
  <c r="I201" i="37"/>
  <c r="I55" i="37"/>
  <c r="I143" i="37"/>
  <c r="I156" i="37"/>
  <c r="I164" i="37"/>
  <c r="I174" i="37"/>
  <c r="I51" i="37"/>
  <c r="I23" i="37"/>
  <c r="I186" i="37"/>
  <c r="I160" i="37"/>
  <c r="I177" i="37"/>
  <c r="I147" i="37"/>
  <c r="I41" i="37"/>
  <c r="I182" i="37"/>
  <c r="I168" i="37"/>
  <c r="I328" i="37"/>
  <c r="I394" i="37"/>
  <c r="I411" i="37"/>
  <c r="I360" i="37"/>
  <c r="I183" i="37"/>
  <c r="I188" i="37"/>
  <c r="I57" i="37"/>
  <c r="I246" i="37"/>
  <c r="I220" i="37"/>
  <c r="I104" i="37"/>
  <c r="I205" i="37"/>
  <c r="I45" i="37"/>
  <c r="I70" i="37"/>
  <c r="J67" i="37"/>
  <c r="J73" i="37" s="1"/>
  <c r="D6" i="36" s="1"/>
  <c r="I369" i="37"/>
  <c r="I145" i="37"/>
  <c r="I251" i="37"/>
  <c r="I327" i="37"/>
  <c r="I240" i="37"/>
  <c r="I157" i="37"/>
  <c r="I308" i="37"/>
  <c r="J95" i="37"/>
  <c r="J343" i="37"/>
  <c r="I170" i="37"/>
  <c r="I312" i="37"/>
  <c r="I425" i="37"/>
  <c r="I317" i="37"/>
  <c r="I304" i="37"/>
  <c r="I410" i="37"/>
  <c r="I420" i="37"/>
  <c r="I256" i="37"/>
  <c r="I353" i="37"/>
  <c r="I361" i="37"/>
  <c r="I306" i="37"/>
  <c r="I237" i="37"/>
  <c r="J370" i="37"/>
  <c r="J378" i="37" s="1"/>
  <c r="D10" i="36" s="1"/>
  <c r="I403" i="37"/>
  <c r="J412" i="37"/>
  <c r="D11" i="36" s="1"/>
  <c r="I395" i="37"/>
  <c r="I344" i="37"/>
  <c r="I393" i="37"/>
  <c r="I376" i="37"/>
  <c r="I427" i="37"/>
  <c r="I175" i="37"/>
  <c r="I227" i="37"/>
  <c r="J222" i="37"/>
  <c r="I429" i="37"/>
  <c r="I132" i="37"/>
  <c r="I289" i="37"/>
  <c r="I331" i="37"/>
  <c r="J211" i="37"/>
  <c r="I207" i="37"/>
  <c r="I91" i="37"/>
  <c r="I98" i="37"/>
  <c r="I90" i="37"/>
  <c r="I319" i="37"/>
  <c r="I200" i="37"/>
  <c r="I422" i="37"/>
  <c r="I162" i="37"/>
  <c r="I87" i="37"/>
  <c r="I106" i="37"/>
  <c r="I315" i="37"/>
  <c r="I352" i="37"/>
  <c r="I400" i="37"/>
  <c r="I124" i="37"/>
  <c r="I158" i="37"/>
  <c r="I248" i="37"/>
  <c r="I119" i="37"/>
  <c r="J225" i="37"/>
  <c r="I335" i="37"/>
  <c r="I299" i="37"/>
  <c r="I144" i="37"/>
  <c r="I218" i="37"/>
  <c r="I82" i="37"/>
  <c r="I166" i="37"/>
  <c r="I221" i="37"/>
  <c r="I418" i="37"/>
  <c r="I426" i="37"/>
  <c r="I196" i="37"/>
  <c r="I140" i="37"/>
  <c r="I392" i="37"/>
  <c r="I120" i="37"/>
  <c r="I228" i="37"/>
  <c r="I102" i="37"/>
  <c r="I291" i="37"/>
  <c r="I283" i="37"/>
  <c r="J125" i="37"/>
  <c r="I226" i="37"/>
  <c r="J129" i="37"/>
  <c r="I428" i="37"/>
  <c r="I408" i="37"/>
  <c r="I107" i="37"/>
  <c r="I213" i="37"/>
  <c r="I404" i="37"/>
  <c r="I136" i="37"/>
  <c r="I128" i="37"/>
  <c r="I340" i="37"/>
  <c r="J245" i="37"/>
  <c r="I199" i="37"/>
  <c r="I203" i="37"/>
  <c r="J341" i="37"/>
  <c r="J241" i="37"/>
  <c r="J345" i="37"/>
  <c r="I103" i="37"/>
  <c r="I224" i="37"/>
  <c r="I148" i="37"/>
  <c r="I216" i="37" l="1"/>
  <c r="J354" i="37"/>
  <c r="D9" i="36" s="1"/>
  <c r="J233" i="37"/>
  <c r="D7" i="36" s="1"/>
  <c r="J244" i="37"/>
  <c r="D8" i="36" s="1"/>
  <c r="I244" i="37"/>
  <c r="C8" i="36" s="1"/>
  <c r="I73" i="37"/>
  <c r="C6" i="36" s="1"/>
  <c r="E6" i="36" s="1"/>
  <c r="I378" i="37"/>
  <c r="C10" i="36" s="1"/>
  <c r="E10" i="36" s="1"/>
  <c r="I432" i="37"/>
  <c r="C12" i="36" s="1"/>
  <c r="E12" i="36" s="1"/>
  <c r="I288" i="37"/>
  <c r="I354" i="37" s="1"/>
  <c r="C9" i="36" s="1"/>
  <c r="I412" i="37"/>
  <c r="C11" i="36" s="1"/>
  <c r="E11" i="36" s="1"/>
  <c r="I217" i="37"/>
  <c r="I198" i="37"/>
  <c r="E8" i="36" l="1"/>
  <c r="I233" i="37"/>
  <c r="D14" i="36"/>
  <c r="D16" i="36" s="1"/>
  <c r="D18" i="36" s="1"/>
  <c r="E9" i="36"/>
  <c r="J433" i="37"/>
  <c r="I433" i="37" l="1"/>
  <c r="C7" i="36"/>
  <c r="C14" i="36" s="1"/>
  <c r="J434" i="37" l="1"/>
  <c r="E7" i="36"/>
  <c r="E14" i="36" s="1"/>
  <c r="C16" i="36"/>
  <c r="C18" i="36" s="1"/>
  <c r="E16" i="36" l="1"/>
  <c r="E18" i="36" s="1"/>
</calcChain>
</file>

<file path=xl/sharedStrings.xml><?xml version="1.0" encoding="utf-8"?>
<sst xmlns="http://schemas.openxmlformats.org/spreadsheetml/2006/main" count="593" uniqueCount="372">
  <si>
    <t>AMOUNT</t>
  </si>
  <si>
    <t>1</t>
  </si>
  <si>
    <t>ELECTRICAL WORKS</t>
  </si>
  <si>
    <t>I</t>
  </si>
  <si>
    <t>a</t>
  </si>
  <si>
    <t>DESCRIPTION</t>
  </si>
  <si>
    <t>QTY</t>
  </si>
  <si>
    <t>Sqm</t>
  </si>
  <si>
    <t>Rmt</t>
  </si>
  <si>
    <t>Nos</t>
  </si>
  <si>
    <t>Set</t>
  </si>
  <si>
    <t>TOTAL</t>
  </si>
  <si>
    <t>A</t>
  </si>
  <si>
    <t>B</t>
  </si>
  <si>
    <t>SUMMARY</t>
  </si>
  <si>
    <t>D</t>
  </si>
  <si>
    <t>F</t>
  </si>
  <si>
    <t>G</t>
  </si>
  <si>
    <t>Supply</t>
  </si>
  <si>
    <t>C</t>
  </si>
  <si>
    <t>E</t>
  </si>
  <si>
    <t>H</t>
  </si>
  <si>
    <t>SUPPLY</t>
  </si>
  <si>
    <t>INSTALLATION</t>
  </si>
  <si>
    <t>Installation</t>
  </si>
  <si>
    <t>No</t>
  </si>
  <si>
    <t>25mm dia</t>
  </si>
  <si>
    <t>50mm dia</t>
  </si>
  <si>
    <t>Unit</t>
  </si>
  <si>
    <t>Total</t>
  </si>
  <si>
    <t>Rate</t>
  </si>
  <si>
    <t>Amount</t>
  </si>
  <si>
    <t>PROJECT</t>
  </si>
  <si>
    <t>SUB</t>
  </si>
  <si>
    <t>Sl. No.</t>
  </si>
  <si>
    <t xml:space="preserve">LOW SIDE WORK </t>
  </si>
  <si>
    <t>INSTALLATION OF CHW AHU , FCU &amp; PIPING WORK</t>
  </si>
  <si>
    <t>SHEET METAL WORK &amp; AIR TERMINATION</t>
  </si>
  <si>
    <t>INSULATION WORK</t>
  </si>
  <si>
    <t>TOTAL OF  VRF WORK</t>
  </si>
  <si>
    <t>ELECTRICAL WORK</t>
  </si>
  <si>
    <t>TOTAL OF VAV WORKS -01</t>
  </si>
  <si>
    <t>TOTAL OF VAV WORKS -02</t>
  </si>
  <si>
    <t>TOTAL HVAC OF LOW SIDE WORK</t>
  </si>
  <si>
    <t>GST @18%</t>
  </si>
  <si>
    <t>GRAND TOTAL WITH GST ( LOW SIDE WORK)</t>
  </si>
  <si>
    <t>CHW AHU /CASSETTE/HIWALL &amp; PIPING WORKS</t>
  </si>
  <si>
    <t>Fan section with DIDW type centrifugal impeller with the motor shall be permanent magnet external rotor motor with integrated electronics and suitable for continuous operation, Chilled water coils of copper tube and aluminum fins construction section with six rows deep having 12-13 FPI with coil face velocity of 500 FPM, Filter section with synthetic fiber filters in corrugated shape rated for filter face velocity 500 FPM Prefilter, &amp; MERV 13 Rating filters.IE-3 motor (inside AHU casing), , spring mounted vibration Isolators, Limit Switch, Emergency Light, UV Emitter section with UVC Lamps, Guard for Inspection Door. AHU motor should be minimum IE3 grade along with the necessary controller hosed in a panel.  The internal wiring between the limit switches,without UV lamp &amp; interlock to be part of AHU vendor scope.  Fan Vendor should also provide the BacNet card for each AHU for BMS integration.</t>
  </si>
  <si>
    <t>The air-handling units shall be as per specifications with extruded aluminum framework having panels with outer pre-plasticised 0.6mm G.I  / Galvalume sheets &amp; inner plain 0.6mm GI / Galvalume sheet having injected 23- 25 mm PUF of 38 -kg/Cum density in between. The drain pan shall be of 18 G SS with 13mm thick nitrile rubber  insulation.  The frame for AHU shall be extruded aluminum. The entire AHU shall be mounted on GI base of min 70mm.</t>
  </si>
  <si>
    <t>Drain pan:  1.2 mm thick SS304 with 25mm Nitrile rubber sandwiched. Provide 40 mm SS threaded drain nipple.</t>
  </si>
  <si>
    <t>Dampers: Al. anodized  low leakage aerofoil.</t>
  </si>
  <si>
    <t xml:space="preserve">Filter section:  With Prefilter , Non-Combustible Filter, access doors filters in extruded al. box type frames with gasket arrangements around filter frames. This should include one set of commissioning filters </t>
  </si>
  <si>
    <r>
      <t xml:space="preserve">Coil Section:  Cu coils with hydrophilic coated al. fins,6 Row coil , </t>
    </r>
    <r>
      <rPr>
        <b/>
        <sz val="12"/>
        <rFont val="Calibri"/>
        <family val="2"/>
      </rPr>
      <t>CHW COIL</t>
    </r>
  </si>
  <si>
    <t>Fan section:  Centrifugal fans with access doors on both sides, inspection windows, limit switch to shut off fan on door opening, Emergency Light,UV Emitter section with UVC Lamp, VFD Starter Panel &amp; cabling from control to fans shall be scope of HVAC VENDOR.</t>
  </si>
  <si>
    <t xml:space="preserve">Drive:  IE-3 motor </t>
  </si>
  <si>
    <t>Vibration Isolators:    For fans and mounting arrangements - Rust resistant spring</t>
  </si>
  <si>
    <t>Flexible connectors:  Non flammable, weather and fungus proof</t>
  </si>
  <si>
    <t xml:space="preserve">FLOOR MOUNTED  ESP-40 mm </t>
  </si>
  <si>
    <t>12000 CFM with  bypass starter</t>
  </si>
  <si>
    <t>CEILING SUSPENDED AHU ESP 25 mm</t>
  </si>
  <si>
    <t>12000 CFM  with starter Panel</t>
  </si>
  <si>
    <t>CEILING SUSPENDED AHU ESP 20 mm</t>
  </si>
  <si>
    <t>4400 CFM/20.0 TR with starter Panel</t>
  </si>
  <si>
    <t>DECORATIVE WALL MOUNTED FAN COIL UNITS</t>
  </si>
  <si>
    <r>
      <t>Installation, Testing, Commissioning of Decorative High Wall Mounted type Chilled Water based Fan Coil Units with energy efficient 3 speed</t>
    </r>
    <r>
      <rPr>
        <b/>
        <sz val="12"/>
        <rFont val="Arial"/>
        <family val="2"/>
      </rPr>
      <t xml:space="preserve"> </t>
    </r>
    <r>
      <rPr>
        <sz val="12"/>
        <rFont val="Arial"/>
        <family val="2"/>
      </rPr>
      <t>motor, ABS plastic decorative casing, Low noise fan-motor combination, Synthetic washable filter, Semi Circular Chilled Water Cooling Coil &amp; aluminium fins with corrossion resistant coating blue or golden, minimum 13 FPI, Copper tubes minimum 7mm dia, multi step design Coil section with minimum 2 Rows, an in-built  factory fitted 2 way On/ Off control valve of minimum PN16 rating duly connected and wired, with combination of pair of brass ball valve with "Y" strainer set fixed outside FCU, flexible pipe/hose with required couplings to fit CHW field In/Out piping; All piping are to be insulated with closed cell elastomeric rubber insulation. Unit shall be equipped with self diagnostic function, temperature display and supplied with Digital Display type cordless remote with 3 speed fan switch &amp; Temp Edit facility &amp; Digital Temp Display, supplied with relevant power supply cable from nearest point to to FCU as required. Inbuilt BMS provision in the units, no additional equipments should be required for Backnet IP connectivity</t>
    </r>
  </si>
  <si>
    <t>2.0 TR (Hub room &amp; IT Room)</t>
  </si>
  <si>
    <t>1.6 TR (UPS room)</t>
  </si>
  <si>
    <t>1.0 TR (Battery room)</t>
  </si>
  <si>
    <t>1.0 TR (IT STORE room )</t>
  </si>
  <si>
    <t>HIGH STATIC DUCT FAN COIL UNIT ( FCU )</t>
  </si>
  <si>
    <t>Supply, installation, testing and commissioning of ceiling concealed type High Static Duct type Fan Coil Units, Eurovent Certified, single skin, draw through type with minimum 3 speed fan motor, minimum 3 row chilled water coil, with Al fins with corrossion resistant coating blue or gold, metallic centrifugal blower, washable filter minimum 20 micron, insulated enclosed double skin drain tray, hanging rods and accessories, copper piping connections, etc. of the following capacities. Starter panel with necessary controls, incoming cable from starter panel to unit, connected with Pressure Independent Control cum Balancing Valve DN25, with minimum 24V Modulating Actuators IP54 with 0-10VDC control, Digital Thermostat with Modbus connectivity, Fire retardant canvass connections with GI powdercoated finish angle flanges on both sides, etc. Additional auxillary tray should accommodate all valves as per the specifications and approved drawings. The external static pressure shall be as per specifictions below. he unit shall have provision for complete control and monitoring over BMS using Modbus/ Bacnet protocol, additional items and controllers if required shall also be provided.</t>
  </si>
  <si>
    <t>3.0  TR ( Server Room)</t>
  </si>
  <si>
    <t xml:space="preserve">Insulated chilled water piping, MS heavy duty 'C' Class (as per IS 1239 - Part I 2004) complete with bends, elbows, tees, vibration isolators, hangers, full round PU / rubber supports insulated with 25mm Thick Nitrile Rubber Insulation with 7 mil Cloth
Pipe thickness:
6.3 mm thick  for 200 - 250 dia pipes
8 mm thick  for 300 - 350 dia pipes
10 mm thick  for 400 - 600 dia pipes
12 mm thick  for 650 - 1000 dia pipes
Insulation thickness
exposed to sun - 75 mm </t>
  </si>
  <si>
    <t>80mm dia</t>
  </si>
  <si>
    <t>32mm dia</t>
  </si>
  <si>
    <t>3</t>
  </si>
  <si>
    <t xml:space="preserve">Supply, Installation, Testing and commissioning of AHU Manifold including all valves and accessories </t>
  </si>
  <si>
    <t>40mm dia</t>
  </si>
  <si>
    <t>4</t>
  </si>
  <si>
    <t>Supply, Installation, Testing and commissioning of Insulated Butterfly Valves with flanges, gaskets, bolts etc.</t>
  </si>
  <si>
    <t>5</t>
  </si>
  <si>
    <t>Supply, Installation, Testing and commissioning of Insulated balancing type control-cum-balancing valves complete with flanges measuring ports etc.</t>
  </si>
  <si>
    <t>6</t>
  </si>
  <si>
    <t>Supply, Installation, Testing and commissioning of I BTU meter with all necessary flanges etc Complete with PIPE SPOOL piece.</t>
  </si>
  <si>
    <t>Total of CHW AHU /CASSETTE/HIWALL &amp; PIPING WORKS</t>
  </si>
  <si>
    <t>DUCTING , INSULATION WORKS &amp; AIR TERMINALS</t>
  </si>
  <si>
    <t>Rectangular Duct : Galvanizing shall be Class VIII – light coating of zinc, nominal 120 gsm / sqm surface area and Lock Forming Quality prime material alongwith mill test certificates.  In addition, if deemed necessary, samples of raw material, selected at random by owner’s site representative shall be subject to approval  and tested for thickness and zinc coating at contractor’s expense.</t>
  </si>
  <si>
    <t>All duct construction and installation shall be in accordance with SMACNA standards.  In addition ducts shall be factory fabricated utilizing the following machines to provide the requisite quality of ducts.</t>
  </si>
  <si>
    <t>All ducts shall be fabricated and installed in workmanlike manner, conforming to relevant SMACNA codes.</t>
  </si>
  <si>
    <r>
      <t xml:space="preserve">The Duct shall be supported with specified Supports at regular intervalas as mentioned in the technical specifications.  </t>
    </r>
    <r>
      <rPr>
        <b/>
        <sz val="12"/>
        <rFont val="Calibri"/>
        <family val="2"/>
      </rPr>
      <t>The sheet metal ducting running inside AHU Rooms&amp; near AHU rooms should be supported with special acoustic hangers to avoid transmission of vibaration from AHU Room to adjacent sensitive areas.  The insulation executed on the ducts inside the AHU Room shall be further finished with fiber glass cloth for mechanical protection.(To ensure the air tightness, all ducts shall be checked with Smoke Test after completion of installation but before applying insulation)</t>
    </r>
  </si>
  <si>
    <t>24 gauge galvanized sheet steel TDF flanges (0.63mm) (0-750mm)</t>
  </si>
  <si>
    <t>22 gauge galvanized sheet steel /TDF flanges(0.80mm) (751-1200mm)</t>
  </si>
  <si>
    <t>20 gauge galvanized sheet steel /TDF flanges(1.00mm)(1201-1800mm)</t>
  </si>
  <si>
    <t>2</t>
  </si>
  <si>
    <t xml:space="preserve">Supply &amp; applying of spray painting for exposed rectangular &amp; Elliptical  ducts(colour will be confirmed by PMC/ARCH at later date)  -2 coats of primer to be considered as first level. Further based on finalized color one set of painting to be done. And final coat to be applied, including support painting. </t>
  </si>
  <si>
    <t xml:space="preserve">FACTORY FABRICATED POWDER COATED SPIRAL ELLIPTICAL/OVAL   DUCTS </t>
  </si>
  <si>
    <r>
      <rPr>
        <b/>
        <sz val="12"/>
        <rFont val="Calibri"/>
        <family val="2"/>
      </rPr>
      <t>ELLIPTICAL / SPIRAL OVAL DUCTS</t>
    </r>
    <r>
      <rPr>
        <sz val="12"/>
        <rFont val="Calibri"/>
        <family val="2"/>
      </rPr>
      <t xml:space="preserve"> (internal 9mm thick thermal insulation to be considered cost. Insulation should be done at factory for all elliptical ducts).All ducts should be supported with wire supports &amp;  painted inline with duct colour . Supports should be provide within 2m distance .All ducts should be supplied with primer &amp; without any patches &amp; damages </t>
    </r>
  </si>
  <si>
    <t>Please note that all elliptical duct should be delivered to the site with zinc cromate primer &amp; required H frames for the elliptical duct connections, cost should be included in the same ducting cost. C ring should be with 18 G only.</t>
  </si>
  <si>
    <t>24 gauge galvanized sheet steel (0.63mm) (0"-24")</t>
  </si>
  <si>
    <t>Sqmt</t>
  </si>
  <si>
    <t>22 gauge galvanized sheet steel (0.8mm) (25"-48")</t>
  </si>
  <si>
    <t>20 gauge galvanized sheet steel (1.0 mm) (49"-70")</t>
  </si>
  <si>
    <t>Supply &amp; Installation of double skin plenum of 40-45mm thick with puf insulation (factory fabricated  ) of following sizes  -Plenum Mouth Size to be cordinated with final Shop drawings for number of openings . Also scope covers for  supply and fixing of double reinforced fire rated canvass. The scope also includes necessary hanging arrangements for plenum boxes,plenum cutouts as per HVAC layout . Color of plenum to match to nearest color of AHU body .Density of PUF 40+/-2 Kg/Cum. Note Quoted rate includes MS 50x50x6 mm angular support for plenum with suspension from dia 10mm threaded rods</t>
  </si>
  <si>
    <t xml:space="preserve">Sound Attenuators for Supply air Duct &amp; Return </t>
  </si>
  <si>
    <t>Sound Attenuators of dissipative type to be provided on the supply &amp; Return air duct entering the AHU Room,Sound attenuator qty  shall be on surface area basis.</t>
  </si>
  <si>
    <t>Sound Attenuators shall consist of outer casing, sound absorbing material and internal baffles, splitters and supports as expalined in the technical specifications.</t>
  </si>
  <si>
    <t xml:space="preserve">Casing shall be of galavanised steel of not less than 20G in thickness. Casings shall be tested to 150mmwg and shall show no leakage or distortion in this condition. </t>
  </si>
  <si>
    <t>Sound absorbing material shall be high density fibre glass held in place with at least 5% compression to prevent voids due to settling.  Absorption material density shall be minimum 48 kg/cum.  Fibreglass faced with minimum 26 g perforated galvanised sheet metal of minimum 40% open area.   Combustion ratings shall be as expalined in the tender specifications</t>
  </si>
  <si>
    <t xml:space="preserve">Supply, installation, testing &amp; commissioning of multi blade, motorised fire &amp; smoke dampers with spring return actuator. The damper shall be of atleast 2 hr. fire rating with 450 mm duct sleeve. The damper shall be as per UL Classified and CBRI approved. The damper shall be constructed out of 16G galvanised sheet steel. It shall be complete with control panel, actuator, sensor and inter-locking / wiring / connection for tripping of AHU fan motor.All the fire dampers should be of factory flanged (four bolt system) connections. The regulanr thin flange connection is not acceptable. </t>
  </si>
  <si>
    <t xml:space="preserve">ACTUATOR FOR FIRE DAMPER </t>
  </si>
  <si>
    <t xml:space="preserve">Supply, installation, testing &amp; commissioning of Volume Control Dampers made out of 100 x 40 x 1.55 mm thick galavanised steel frame and blades of 1.55 mm galavanised sheet steel with TDF flenges .Also suitable leavers for manual control and stickers/ engraving for open/ close identification should be consider post air balancing
SMACNA standards to be followed for damper selection </t>
  </si>
  <si>
    <t>Supply, erection of 26 G GSS factory fabricated  return air transfer duct  piece . The return air transfer piece duct to be insulated with 10mm thick Class 1, open  cell insulation</t>
  </si>
  <si>
    <t>Aluminium Grilles</t>
  </si>
  <si>
    <t>Note - Grilles, Slot and diffuser colors as per architects approval at site</t>
  </si>
  <si>
    <r>
      <rPr>
        <b/>
        <sz val="12"/>
        <rFont val="Calibri"/>
        <family val="2"/>
      </rPr>
      <t>Powder Coated linear grilles</t>
    </r>
    <r>
      <rPr>
        <sz val="12"/>
        <rFont val="Calibri"/>
        <family val="2"/>
      </rPr>
      <t xml:space="preserve"> for supply and return distribution    ( colour for the grill to b confirmed by Arch/ PMC team before placing the  order) . Deflection of the grille shall be 0 / 15 / 30. same will be confirmed later.  deflection shall be considered as mentioned below &amp; approved shop dwgs</t>
    </r>
    <r>
      <rPr>
        <b/>
        <sz val="12"/>
        <rFont val="Calibri"/>
        <family val="2"/>
      </rPr>
      <t xml:space="preserve">. </t>
    </r>
    <r>
      <rPr>
        <sz val="12"/>
        <rFont val="Calibri"/>
        <family val="2"/>
      </rPr>
      <t>for Cross talk attinuator grille should be flush with partition towards open ceiling.</t>
    </r>
    <r>
      <rPr>
        <b/>
        <sz val="12"/>
        <rFont val="Calibri"/>
        <family val="2"/>
      </rPr>
      <t xml:space="preserve"> </t>
    </r>
    <r>
      <rPr>
        <sz val="12"/>
        <rFont val="Calibri"/>
        <family val="2"/>
      </rPr>
      <t>Length of grille</t>
    </r>
    <r>
      <rPr>
        <b/>
        <sz val="12"/>
        <rFont val="Calibri"/>
        <family val="2"/>
      </rPr>
      <t xml:space="preserve"> </t>
    </r>
    <r>
      <rPr>
        <sz val="12"/>
        <rFont val="Calibri"/>
        <family val="2"/>
      </rPr>
      <t xml:space="preserve"> should follow as per shop dwg (width can be 50/100/150/200/250/600mm)</t>
    </r>
    <r>
      <rPr>
        <b/>
        <sz val="12"/>
        <rFont val="Calibri"/>
        <family val="2"/>
      </rPr>
      <t xml:space="preserve">.  Single/one way </t>
    </r>
  </si>
  <si>
    <t xml:space="preserve">Supply and installation of aluminium curved grilles,With collar dampers ,  Single / double deflection ,  grille with high quality extruded aluminium frame and bars, front horizontal and rear vertical, pitch of blade will be 19 mm for both front and rear blades , collar damper blades can be placed vertically or horizontally . Frame thickness shall be 1.2 mm thick, 45 mm deep and 20 mm wide, Bars shall be 3 mm thick from front side , Powder coated with a uniform thickness of 30-50 microns  </t>
  </si>
  <si>
    <t>Supply ,and installation of  Aluminium collar dampers</t>
  </si>
  <si>
    <t xml:space="preserve">Spill Air Boxes with butterfly damper - Expansion Plenum </t>
  </si>
  <si>
    <r>
      <t xml:space="preserve"> 550</t>
    </r>
    <r>
      <rPr>
        <u/>
        <sz val="12"/>
        <rFont val="Calibri"/>
        <family val="2"/>
      </rPr>
      <t xml:space="preserve">x 550 x 400 mm  High </t>
    </r>
    <r>
      <rPr>
        <b/>
        <u/>
        <sz val="12"/>
        <rFont val="Calibri"/>
        <family val="2"/>
      </rPr>
      <t>Sheet Metal Spill air boxes</t>
    </r>
    <r>
      <rPr>
        <sz val="12"/>
        <rFont val="Calibri"/>
        <family val="2"/>
      </rPr>
      <t xml:space="preserve"> made out of 26 GI sheet for connecting the diffuser outlet &amp; flexible with internal acoustic by 10mm open cell nitrile rubber </t>
    </r>
  </si>
  <si>
    <r>
      <t>900</t>
    </r>
    <r>
      <rPr>
        <u/>
        <sz val="12"/>
        <rFont val="Calibri"/>
        <family val="2"/>
      </rPr>
      <t xml:space="preserve">x 150 x 400 mm  High </t>
    </r>
    <r>
      <rPr>
        <b/>
        <u/>
        <sz val="12"/>
        <rFont val="Calibri"/>
        <family val="2"/>
      </rPr>
      <t>Sheet Metal Spill air boxes</t>
    </r>
    <r>
      <rPr>
        <sz val="12"/>
        <rFont val="Calibri"/>
        <family val="2"/>
      </rPr>
      <t xml:space="preserve"> made out of 26 GI sheet for connecting the diffuser outlet &amp; flexible with internal acoustic by 10mm open cell nitrile rubber </t>
    </r>
  </si>
  <si>
    <t>Supply and Installation of round type supply air diffusers of below mentioned dia . The diffusers should be with suitable opposed blade collar dampers</t>
  </si>
  <si>
    <t>Dia 450mm</t>
  </si>
  <si>
    <t>Dia 400mm</t>
  </si>
  <si>
    <t>Dia 375mm</t>
  </si>
  <si>
    <t>Dia 200 mm</t>
  </si>
  <si>
    <t>Dia 150 mm</t>
  </si>
  <si>
    <t>Round duct, It should be of 24G ,Note -Duct Dropper of length 100/ 150mm for round diffuser connection and 9mm thick Nitrile rubber insulation also to be include</t>
  </si>
  <si>
    <t>150 mm dia</t>
  </si>
  <si>
    <t>200 mm dia</t>
  </si>
  <si>
    <t>250 mm dia</t>
  </si>
  <si>
    <t>350 mm dia</t>
  </si>
  <si>
    <t>400 mm dia</t>
  </si>
  <si>
    <t>SITC of powder coated Extruded Aluminium 4-way diffusers Supply in accordance with the approved shop drawings and specifications. The diffuser Neck size shall be as given below. Outer size shall be as per the F/c grid, Diffuser shall be removable core type, shall have concealed fixing screw. Color code shall be as per architect approval. Supply diffuser with colar damper to be include.</t>
  </si>
  <si>
    <t>600 x 600 Outer Size (525x 525 Neck size in mm)</t>
  </si>
  <si>
    <t>600 x 600 Outer Size (450 x 450 Neck size in mm)</t>
  </si>
  <si>
    <t>600 x 600 Outer Size (375 x 375 Neck size in mm)</t>
  </si>
  <si>
    <t>600 x 600 Outer Size (300x 300 Neck size in mm)</t>
  </si>
  <si>
    <t>600 x 600 Outer Size (225 x 225 Neck size in mm)</t>
  </si>
  <si>
    <t>600 x 600 Outer Size (150 x 150 Neck size in mm)</t>
  </si>
  <si>
    <t>SITC of powder coated Extruded Aluminium 4-way diffusers Return in accordance with the approved shop drawings and specifications. The diffuser Neck size shall be as given below. Outer size shall be as per the F/c grid, Diffuser shall be removable core type, shall have concealed fixing screw,. Color code shall be as per architect approval.</t>
  </si>
  <si>
    <t>Supply and Installation of 3/2 slot Aluminium diffusers with white colored wings and white mesh from internal area</t>
  </si>
  <si>
    <r>
      <t xml:space="preserve">Supply and Fixing -Hit and Miss </t>
    </r>
    <r>
      <rPr>
        <b/>
        <sz val="12"/>
        <rFont val="Calibri"/>
        <family val="2"/>
      </rPr>
      <t xml:space="preserve"> Damper</t>
    </r>
    <r>
      <rPr>
        <sz val="12"/>
        <rFont val="Calibri"/>
        <family val="2"/>
      </rPr>
      <t xml:space="preserve"> -  with   anodised matt black finish  for slot grilles. The dampers should be such that it can be able to throttle the air quantity </t>
    </r>
  </si>
  <si>
    <t>Insulated Flexible Ducting</t>
  </si>
  <si>
    <t xml:space="preserve">Factory Fabricated Insulated Flexible made out aluminium for connecting from main duct to diffuser box. The length of the flexible duct shall be around 1.0 to 1.5 mtr </t>
  </si>
  <si>
    <t xml:space="preserve">The flexible duct shall me made of double lamination of aluminium foil, polyester and metalised polyester film permanently bonded to a coated spring steel wire helix.  The exterior shal be wrapped with 25mm thick 16 kg / cum fibreglass insulation.  The outer insulation jacket / vapour barrier made of fibreglass reinforced metalised polyester film laminate.  </t>
  </si>
  <si>
    <t xml:space="preserve">150 mm dia insulated flexible duct </t>
  </si>
  <si>
    <t xml:space="preserve">Supply and fixing of aluminium non return dampers / Back Draft dampers </t>
  </si>
  <si>
    <t xml:space="preserve">Supply and fabrication of 300x50mm MS powder coated Perforated tray / Raceway with necessary supports and bends. Tray supports also to be painted as per architects approval </t>
  </si>
  <si>
    <t>Supply and Installation of round disc valve of dia 150 mm with suitable complete GSS box and necessary neck connections and clamps</t>
  </si>
  <si>
    <r>
      <t>Supply, Installation, testing and commissioning of EXHAUST &amp; FRESH AIR  FANS - Cabinet type single skin 0.8 mm thick outdoor mountable type, ceiling/floor mounted type fan with outlet velocity not more than 10 m/sec with all necessary supports.</t>
    </r>
    <r>
      <rPr>
        <b/>
        <sz val="12"/>
        <rFont val="Calibri"/>
        <family val="2"/>
      </rPr>
      <t>with NC/ NC contacts for IBMS compitbility wit IP Protocol.</t>
    </r>
  </si>
  <si>
    <t>800 CFM, Inline15-20mm ESP Exhaust fan</t>
  </si>
  <si>
    <t>Supply installation testing commisioning of inline -micro processor  based explosion proof exhauxt fan of 500 cfm 25mm ESP exhaust fan for battery room with suitable canvass connections. Scope also includes supply and installation fo micro processor based exhauxt fan hydrogen gas sensor with control panel and suitable cabling complete solutions .</t>
  </si>
  <si>
    <t>Air balancing activity for entire floor with calibrated air hood , with required tools  and subsequent air balancing report with consultants approval for entire project</t>
  </si>
  <si>
    <t>Supply and installation  of 9 mm thick insulated GSS drain tray   near Hiwall AC/Ducted AC.</t>
  </si>
  <si>
    <t xml:space="preserve">Supply installation testing commissioning of duct type  Co2 Sensor with control panel  to measure the return air CO2 level in the AHU room . Carbon dioxide transmitters shall accurately monitor the CO2 concentration in the indoor environment to help achieve energy savings . The sensor shall only be with a single beam dual wavelength nondispersive infrared (NDIR) sensor  , the unit to be integerated to fresh air fan/Motorized vcd Actuator . Provided system complete  to have Led display. Above mentioned control panel should be able to write any logic with respect to CO2 level. Logic should be discussed with consultants , scope also includes complete cabling and hardwares required for complete system including from sensor to control panel, fans and motorised VCD , Co2 sensor to be integerated to Motorized VCD </t>
  </si>
  <si>
    <t>Supply, installation and adjusting of GSS made fresh motorized  volume contol damper with actuators . opposed blades , frame shall be made of 18G and blades shall be made of 20G with prefilters for the louvers in all AHU room</t>
  </si>
  <si>
    <t>VENTIALTION UNITS</t>
  </si>
  <si>
    <t xml:space="preserve"> SITC Inline  type cabinet Exhasut fan - low noise Inline EC fan with motor duly installed complete with mounting , spring type vibration isolator &amp; supporting arrangement with bird wire mesh suitable for ceiling mounting,complete in all respects of design requirment, suitable to install in duct work.Inline fans shall be single phase.All instrument and control of Inline Fan must be suitable for construction 25 mm static Pressure, Canvas connection to be included ,Unit shall have controller Auto change over option ,auto restart option and need to be integrated with Backnet /Modbus with BMS </t>
  </si>
  <si>
    <t>200 Cfm</t>
  </si>
  <si>
    <t>300 Cfm</t>
  </si>
  <si>
    <t xml:space="preserve">400 Cfm </t>
  </si>
  <si>
    <t>500 Cfm ith hydrogen sensor for battery room
Note:  Inlinefan with H2 sensor , timer &amp; hooter with 40 mm static pressure,  requried panel &amp; electrical works to be included in the same line item. Should generate an alarm if the H2 LEVEL in the room temperature goes beyond the set point .H2 Sensor panel should be provided with BMS compatibility.</t>
  </si>
  <si>
    <t xml:space="preserve">600 Cfm </t>
  </si>
  <si>
    <t xml:space="preserve">800 Cfm </t>
  </si>
  <si>
    <t>1000 Cfm</t>
  </si>
  <si>
    <t>1250 Cfm</t>
  </si>
  <si>
    <t xml:space="preserve">1500 Cfm </t>
  </si>
  <si>
    <t xml:space="preserve">2000 Cfm </t>
  </si>
  <si>
    <t xml:space="preserve">3000 Cfm </t>
  </si>
  <si>
    <t>5000 Cfm</t>
  </si>
  <si>
    <t>SISW kItchen Exhaust fan 80mm ESP</t>
  </si>
  <si>
    <t xml:space="preserve"> Supply, installation, testing and commissioning of (SISW) Double Skin  units, complete with double skin (45±2 mm) insulated Rockwool insulation material of density 60 kg/cum. The sheet thickness shall be minimum 0.8 mm for the  outer skin and 0.8 mm thickness for the inner skin of GI .  
Single inlet single width backward fan fireproof fans with VFD . Each fan shall be complete with totally enclosed fan cooled IE5 motor , direct drive, motor shall be placed outside from the airflow path ,pulley mounted on motor &amp; fan shaft ,Unit should include vibration isolator. 
The motor shall be suitable for 415 V + 10% volts 3 phase 50 cycles, AC supply &amp; suitable for operating through VFD. The motor selected shall be energy efficient having efficiency at full load ranging between 82.5% to 92% in accordance with motor rating as per specification ,Kitchen exhaust Connectors ,fan and Junction boxes must be fireproof 
</t>
  </si>
  <si>
    <t xml:space="preserve">17000 cfm </t>
  </si>
  <si>
    <t xml:space="preserve">10000 cfm </t>
  </si>
  <si>
    <t xml:space="preserve">5000 cfm </t>
  </si>
  <si>
    <t xml:space="preserve"> SITC Inline  type cabinet /inline Fresh air fan - low noise  EC fan with motor duly installed complete with mounting , spring type vibration isolator &amp; supporting arrangement with bird wire mesh suitable for ceiling mounting,complete in all respects of design requirment, suitable to install in duct work.Inline fans shall be single phase.All instrument and control of Inline Fan must be suitable for construction 25 mm static Pressure (with prefilter) ,Canvas connection to be included ,MERV 8 filter to be considere ,Unit shall have controller Auto change over option ,auto restart option and need to be integrated with Backnet /Modbus with BMS </t>
  </si>
  <si>
    <t xml:space="preserve"> 300 Cfm</t>
  </si>
  <si>
    <t xml:space="preserve"> 400 Cfm</t>
  </si>
  <si>
    <t xml:space="preserve"> 600 Cfm</t>
  </si>
  <si>
    <t xml:space="preserve"> 700 Cfm</t>
  </si>
  <si>
    <t xml:space="preserve"> 800 Cfm</t>
  </si>
  <si>
    <t>1500 Cfm</t>
  </si>
  <si>
    <t xml:space="preserve">4000 Cfm </t>
  </si>
  <si>
    <t xml:space="preserve">5000 Cfm </t>
  </si>
  <si>
    <t xml:space="preserve">10000 Cfm </t>
  </si>
  <si>
    <t xml:space="preserve">15000 Cfm </t>
  </si>
  <si>
    <t>Total of SHEET METAL WORK &amp; AIR TERMINATION</t>
  </si>
  <si>
    <r>
      <t>Supply and installation Thermal (Insulation) of specified thickness of  Elastromeric Rubber Insulation</t>
    </r>
    <r>
      <rPr>
        <u/>
        <sz val="12"/>
        <rFont val="Calibri"/>
        <family val="2"/>
      </rPr>
      <t xml:space="preserve"> </t>
    </r>
    <r>
      <rPr>
        <sz val="12"/>
        <rFont val="Calibri"/>
        <family val="2"/>
      </rPr>
      <t>manafactured as per ASTM E 84 test &amp; which should also meet NFPA 90A supplementary materials for air distribution system  which should not absorbs less 0.2% water by volume (ASTM c 209), should not support microbial growth (ASTM C1071, G21, G22) and should emit objectionable odors (ASTM C 665) and should have thermal conductivity of 0.27 ( R - 2.78 in 3.4" thickness) and water vapor permeance of 0.10.   Joints should be sealed with 50 mm wide 3 mm thick self adhesive tape (Black Cotton Tape not acceptable).   Class "O" Material- 9 mm thick</t>
    </r>
  </si>
  <si>
    <r>
      <t>Supply and installation of (Accoustic) Duct liner (Insulation) of specified thickness of  Elastromeric Rubber Insulation manafactured as per ASTM E 84 test &amp; which should also meet NFPA 90A supplementary materials for air distribution system  which should not absorbs less 0.2% water by volume (ASTM c 209), should not support microbial growth (ASTM C1071, G21, G22) and should emit objectionable odors (ASTM C 665) and should have thermal conductivity of 0.27 ( R - 2.78 in 3.4" thickness) and water vapor permeance of 0.10.  - Class "1" Material-</t>
    </r>
    <r>
      <rPr>
        <b/>
        <sz val="12"/>
        <rFont val="Calibri"/>
        <family val="2"/>
      </rPr>
      <t xml:space="preserve">.All joints of the Insulation material should be further covered with 50 mm wide 3 mm thick self adhesive tape made of similar material &amp; Black Cotton Tape shall not be used.  </t>
    </r>
  </si>
  <si>
    <t>AHU ceiling and wall insulation:Providing and fixing Supplying of acoustic lining on wall and ceiling
of AHU rooms with (UP TWIGA MAKE/ISOVER MAKE) 25mm thick Rigid Board of Glass wool one side
aluminum faced and other side black glass cloth lamination, density 70 to 80 kg/cu.m</t>
  </si>
  <si>
    <t>Total of Insulation works</t>
  </si>
  <si>
    <t xml:space="preserve"> VRV/HI BRID AIR-CONDITIONING EQUIPMENTS:(100% INVERTER TYPE ONLY TO BE QUOTED) - R410A refrigerant</t>
  </si>
  <si>
    <r>
      <t xml:space="preserve">Supply &amp; Installation of </t>
    </r>
    <r>
      <rPr>
        <b/>
        <sz val="12"/>
        <rFont val="Calibri"/>
        <family val="2"/>
      </rPr>
      <t>VRV</t>
    </r>
    <r>
      <rPr>
        <sz val="12"/>
        <rFont val="Calibri"/>
        <family val="2"/>
      </rPr>
      <t xml:space="preserve"> /VRF airconditioning system comprising of Modular type high efficiency Twin Rotary Multiple  Compressor with inverter, High efficiency heat transfer Cooling Coil suitable for Environment friendly R410a refrigerant,Air cooled propeller type condenser fan with DC motor drive,interconnecting piping, suction line insulation etc., Micro-processor control panel suitable for automatic operation,High speed calculation inverter control, active oil control mechanism incorporating all safety functions as per equipment specifications &amp; other points as listed below:</t>
    </r>
  </si>
  <si>
    <t>The unit mounted starter panel shall be complete with IP-55 protection consisting of power disconnecting switches with fuses, soft starters, for compressor motors, under/over voltage trip, single phase preventers, communication card which can accept 4-20 mA or 2-10 Vdc analog signal.</t>
  </si>
  <si>
    <t>All components shall be mounted on welded steel base frame, structural steel profiles/panels made out of galvanized sheet steel, protected with primary coat &amp; finished with epoxy paint.</t>
  </si>
  <si>
    <t xml:space="preserve">Modular type outdoor units equipped with highly efficient scroll compressors, with  inverter  type compressor(s),special acryl precoated heat exchanger,low noise condenser fan,auto check function for connection error, auto address &amp; UNIT Price shall be inclusive of outdoor stand price.Shifting &amp; Installing of ODU as per shop drawing is part VRV vendor scope.(ODU Location &amp; Capacity mentioned below).Shifting of Out door units from GF to Terrace floor is part of VRF vendor scope </t>
  </si>
  <si>
    <t xml:space="preserve">All VRV units should be compatible for third party BMS integration .necessary integrator should be consider in part HVAC/VRF vendor scope </t>
  </si>
  <si>
    <t>Top Discharge Outdoor Unit(ODU) : Cooling Capacity    : 62HP</t>
  </si>
  <si>
    <t>INDOOR UNITS</t>
  </si>
  <si>
    <t>Indoor Unit(IDU):  Cooling  type : 
All the units should be supplied with Cordless remote control. The following Indoor unit capacities are required for each type of Room.Drycontact should be considered for Auto change over,failure status,overload sequencing etc..</t>
  </si>
  <si>
    <t>HI WALL</t>
  </si>
  <si>
    <t xml:space="preserve">2.0 TR </t>
  </si>
  <si>
    <t xml:space="preserve">1.5 TR </t>
  </si>
  <si>
    <t xml:space="preserve">1.0 TR </t>
  </si>
  <si>
    <t>Ductable Unit</t>
  </si>
  <si>
    <t xml:space="preserve">3.0  TR </t>
  </si>
  <si>
    <t>6.0TR</t>
  </si>
  <si>
    <t>7.0TR</t>
  </si>
  <si>
    <t>8.0TR</t>
  </si>
  <si>
    <t>11.0TR</t>
  </si>
  <si>
    <t>18.0TR</t>
  </si>
  <si>
    <t>Cassette Unit</t>
  </si>
  <si>
    <t>0.6TR</t>
  </si>
  <si>
    <t>0.8TR</t>
  </si>
  <si>
    <t>1.0TR</t>
  </si>
  <si>
    <t>1.2TR</t>
  </si>
  <si>
    <t>2 TR</t>
  </si>
  <si>
    <t>2.5 TR</t>
  </si>
  <si>
    <t>2.8 TR</t>
  </si>
  <si>
    <t>3.0TR</t>
  </si>
  <si>
    <t>3.5TR</t>
  </si>
  <si>
    <t>4.0TR</t>
  </si>
  <si>
    <t>5.0TR</t>
  </si>
  <si>
    <t>Supply of Centralised Remote Controller system of VRV system for all the indoor &amp; outdoor units.</t>
  </si>
  <si>
    <t>Only ON/OFF Type Centralised Remote Controller system</t>
  </si>
  <si>
    <t> Centralised Remote Controller system</t>
  </si>
  <si>
    <t>LCD Touch Panel Type Centralised Remote Controller system</t>
  </si>
  <si>
    <t xml:space="preserve">BACNET protocol for BMS interface BACnet gateway with required control cabling to Central BMS with suitable software and accessories. Necessary integrator, convertor, software, hardware, license's etc. as applicable for the VRF / VRVs / SET FREE / MMS to interact &amp; be controllable thru' central BMS. Necessary protocol for connecting with MODBUS RTU, BACNET, LOW WORKS etc. shall also be included. </t>
  </si>
  <si>
    <t>REFRIGERANT PIPING</t>
  </si>
  <si>
    <t>Interconnecting copper refrigerant pipe work duly insulated with elastomeric nitrile rubber type  tubular insulation with SEVEN MILL CLOTH  between  indoor &amp; outdoor units as per specifications . All piping inside the room shall be properly supported with hanger and all piping should be run in perforated cably tray.  Cable tray qty specified seperately.. MS supports for refrigerant piping &amp; cables, using angles, channels, Tees, flats, etc should be considered as part of scope.All MS supports shall be given a coat of red-oxide primer and two coats of synthetic enamel paint of approved colour.</t>
  </si>
  <si>
    <t>41.3mm OD (insulation =13 mm thick)</t>
  </si>
  <si>
    <t>34.3mm OD (insulation =13 mm thick)</t>
  </si>
  <si>
    <t>28.6mm OD (insulation =13 mm thick)</t>
  </si>
  <si>
    <t>22.2mm OD (insulation =13 mm thick)</t>
  </si>
  <si>
    <t>19.1mm OD (insulation =13 mm thick)</t>
  </si>
  <si>
    <t>15.9mm OD (insulation =13 mm thick)</t>
  </si>
  <si>
    <t>12.7mm OD (insulation =13 mm thick)</t>
  </si>
  <si>
    <t>9.5mm OD (insulation =13 mm thick)</t>
  </si>
  <si>
    <t>6.4mm OD (insulation =13 mm thick)</t>
  </si>
  <si>
    <t>DRAIN PIPE</t>
  </si>
  <si>
    <t>Insulated Condensate Drain Piping</t>
  </si>
  <si>
    <r>
      <t>Supply Insulated PVC Condensate Drain piping  as per specification as mentioned in the document insulated same as chilled water piping but without polyshield covering.Consider drip pans with drian pipe .Entire draine pipe needs to be insulated with  9mm thick Nitrile rubber insulation.</t>
    </r>
    <r>
      <rPr>
        <b/>
        <sz val="14"/>
        <rFont val="Calibri"/>
        <family val="2"/>
      </rPr>
      <t/>
    </r>
  </si>
  <si>
    <t>40 mm dia</t>
  </si>
  <si>
    <t>32 mm dia</t>
  </si>
  <si>
    <t>25 mm dia</t>
  </si>
  <si>
    <t>Note:Cable from Electrical panel to isolator excluded in VRV vendor scope.same should capture in Electrical vendor scope. Cable from Isolator to ODU is part of VRV Vendorscope.</t>
  </si>
  <si>
    <t>Imported fittings like Y-Joints and headers etc as per the layout( additional supports should consider for both ends of the Y joint)</t>
  </si>
  <si>
    <t>Supply &amp; providing of MS stand for VRV ODU along with proper supports-suitable for above configuration</t>
  </si>
  <si>
    <t>Filling, testing, commissioning  including topping up of R410 A Refrigerant.</t>
  </si>
  <si>
    <t>Kg</t>
  </si>
  <si>
    <t>SITC of Auto Sequential control panel for automatic change over between working unit and stand by unit in case of failure running unit based on the temperature, in Critical/Boardrooms/Server room units. Air conditioning units shall be able to restart automatically after power failure/interruption. Scheduling shall be possible between working AHU and stand by DX/VRF  Hiwall split units. The panel shall be provided with potential free contact for fire protection.</t>
  </si>
  <si>
    <t>DRAIN PUMP</t>
  </si>
  <si>
    <t>Supply installation testing  &amp; commissioning of drain pump with all necessary supports</t>
  </si>
  <si>
    <t>The condensate pump  capable of pumping water to a height of 10m and a maximum flow of 1250L/hour. It should run continuous and be rated at 0.38A, with a normally closed, 4.0A safety cut out switch wired to the AC unit. The outlet should be 10mm with a non-return valve fitted. All as manufactured by Aspen Pumps model HD10 – FP2066/2 or equal and approved. (one working &amp; one stand by)</t>
  </si>
  <si>
    <t xml:space="preserve">(Please note that required digital control logic panel with hooter should be included in the same line item) - Vendor has to select Pump for   </t>
  </si>
  <si>
    <t>Total of VRF works</t>
  </si>
  <si>
    <t xml:space="preserve">POWER CABLING  </t>
  </si>
  <si>
    <t>Note all copper cables to be FRLS</t>
  </si>
  <si>
    <t>Supply,  laying, affecting  connections &amp; Testing of   the following sizes of 1.1 KV armoured PVC insulated aluminium/ copper conductor cables. Cables shall be inclusive of all clamps, saddles, screws, cable identification tags, cable terminal  joints including  terminal lugs, insulating tapes, affecting terminal connections to the equipment as   per the specifications and as required.</t>
  </si>
  <si>
    <t xml:space="preserve">4C  x  10   Sqmm cable  (Copper)   </t>
  </si>
  <si>
    <t xml:space="preserve">4C  x  6   Sqmm cable  (Copper)   </t>
  </si>
  <si>
    <t>CONTROL WIRING   ( To be shielded cable)</t>
  </si>
  <si>
    <t>Supply,  laying, affecting   connections &amp; testing of   the   following sizes of  control cables between indoor units and outdoor units. Between Panel and AC Equipments, VRV Units</t>
  </si>
  <si>
    <t>Control Cable between IDU to ODU  -Supply and Laying of 2C X 1 Sq.mm Shielded Communication cable with PVC Conduit pipe ( Dia 25 mm ) with necessary supports and fiitings for looping all the indoor Units with outdoor units.</t>
  </si>
  <si>
    <t>Electrical Cable between MCB to ODU -Supply and Laying of 4C X 4 Sq.mm  aluminium cable with  with necessary supports and fiitings for looping from MCB to outdoor units.</t>
  </si>
  <si>
    <t>EARTHING</t>
  </si>
  <si>
    <t>Providing &amp; fixing in position the following bare GI tape/ Cu wire including providing all fixing    accessories &amp; effecting proper connections.</t>
  </si>
  <si>
    <t>8G GI Wire</t>
  </si>
  <si>
    <t>Supply and fixing of 5 A Plug top with 3m of 3cx2.5 Sqmm Multicore copper cable</t>
  </si>
  <si>
    <t>Total of ELECTRICAL WORKS</t>
  </si>
  <si>
    <t>VAV WORKS-PART-01</t>
  </si>
  <si>
    <t>Eliptical type - SITC of VAVs with digital thermostat,suitable wiring</t>
  </si>
  <si>
    <t>Variable Air Volume (VAV) Units are fabricated out of heavy gauge steel, mechanically sealed with gasketed &amp; leak resistance construction.VAV shall be of Flat Oval type with seamless connection to Flat Oval Ducts for duct continuity. VAV should come with plug and play terminations for power, communication and temperature sensor outside of the controller enclosure .Power indicator and connection provison must be outside for better visibility.Cross velocity sensor probe should be replacable type if in case it broken at site, Damper position indicator outside of the VAV box is must.</t>
  </si>
  <si>
    <r>
      <t xml:space="preserve">The boxes shall be supplied with all internal attenuation treatment and acoustical damped casing necessary to achieve the required noise criteria. </t>
    </r>
    <r>
      <rPr>
        <sz val="12"/>
        <rFont val="Trebuchet MS"/>
        <family val="2"/>
      </rPr>
      <t>Casing shall be 22G GI sheet with 25mm thicknes of fibreglass insulation with aluminum foil,mechanically locked at all the side of casing inside.</t>
    </r>
  </si>
  <si>
    <t xml:space="preserve">Maximum allowable static pressure to the boxes for its satisfactory operation shall not exceed 0.20” WG </t>
  </si>
  <si>
    <t>A suitable device shall be provided for the field adjustment of minimum/maximum air flow.  All boxes shall be initially factory set at minimum air quantity of 20% to 120% of the design requirements.  Under shut-off conditions, the VAV boxes shall not have air leakage more than 20% of the maximum air quantity.</t>
  </si>
  <si>
    <t>VAV Unit shall be ceiling suspended with hanger brackets.</t>
  </si>
  <si>
    <t>All accessories listed under specifications should be considered for pricing VAVs</t>
  </si>
  <si>
    <t>The VAV controller shall be of native Bacnet MS/TP, with 4 universal inputs &amp; 4 universal outputs, ports complying to B-ASC device and shall be BTL certified and UL listed. These shall have integrated differential pressure transmiter, inbuilt actuator with a min torque of 5Nm. VAV controller &amp; Actuator should be integral type.VAV Controller must be able to hold Distance Factor to support Demand based Fan Speed control.</t>
  </si>
  <si>
    <t xml:space="preserve">Direct Output temperature sensor comprising of high quality thermistor or platinum sensing element should be supplied with VAVs.The look of the sensor should be rectangular in shape as shown in our schedule drawings showing vav box quantities.the controller to   support MODBUS / BACNET , Scope includes 5 Rmt Multicore power cable with plug top </t>
  </si>
  <si>
    <t>Size of the VAV Boxes is as under:-</t>
  </si>
  <si>
    <t>70 -230 CFM VAV BOX</t>
  </si>
  <si>
    <t>100 -520 CFM VAV BOX</t>
  </si>
  <si>
    <t>125 -710 CFM VAV BOX</t>
  </si>
  <si>
    <t>185 -925 CFM VAV BOX</t>
  </si>
  <si>
    <t>290 -1450 CFM VAV BOX</t>
  </si>
  <si>
    <t>420 -2100 CFM VAV BOX</t>
  </si>
  <si>
    <t>580 - 2900 CFM VAV BOX</t>
  </si>
  <si>
    <t>3700 CFM above VAV BOX</t>
  </si>
  <si>
    <t>Note : Eliptical VAV is part of scope</t>
  </si>
  <si>
    <t>Supply, Installation, Testing and commissioning of Duct static pressure tarnsducer, Scope includes integration of duct pressure sensors into respective VFD with suitable control cabling and suitable hardwares addition if required to integrate AHU starter panel  with VFD . Scope includes necessary cabling and hardwares</t>
  </si>
  <si>
    <t xml:space="preserve">All the VAVs to be interlinked with LAN connectivity should be provided to monitor all the VAV status , temperature status &amp; % of opening. The vendor should load the software for the proper integration. Scope includes  complete software  and necessary routers . VAV  router to be placed inside the AHU room. Vendor to calculate loops and router according to OEM selection, Quoted rate includes required routers, with moniter display / PC to be provided by vendor. </t>
  </si>
  <si>
    <r>
      <t xml:space="preserve">Supply and laying of  CAT-6   cables 19 mm thick FRLS PVC conduit. - </t>
    </r>
    <r>
      <rPr>
        <b/>
        <sz val="12"/>
        <rFont val="Calibri"/>
        <family val="2"/>
      </rPr>
      <t xml:space="preserve">should be shielded cable </t>
    </r>
  </si>
  <si>
    <t>Note Color of conduits as per Architect Approvals</t>
  </si>
  <si>
    <t>Supply, Installation, Testing and commissioning of Router</t>
  </si>
  <si>
    <t>Vav works-PART-01</t>
  </si>
  <si>
    <t>Supply, Assembly, Installation, Testing, Balancing &amp; Commissioning of VAV boxes in supply air duct, VAV shall be fabricated out of 22 G GI sheet and shall be insulated with 10 mm thk open cell nitrile rubber,The VAV unit shall be pressure independent, complete ,controller for receiving Temp. &amp; DP Signal, actuator, associated acessories  etc.</t>
  </si>
  <si>
    <t>Up to 650 CFM</t>
  </si>
  <si>
    <t>From 651 to 1350 CFM</t>
  </si>
  <si>
    <t>From 1351 to 2100 CFM</t>
  </si>
  <si>
    <t>From 2101 to 3200 CFM</t>
  </si>
  <si>
    <t>Above 3200 CFM</t>
  </si>
  <si>
    <t>Supply, Installation, Testing and Commissioning of VAV integrators for integrating the VAVs with third party BMS. Integrators shall be located in the AHU Rooms.  Each integrator shall be capable of integrating minimum 40 no. VAVs. Integrators shall be placed in the AHU room.</t>
  </si>
  <si>
    <t>Note :- 
VAV sizing  &amp; qty - VAV size shall vary with respect to final approved scheme. Contractor to order VAVs based on approved drawing.</t>
  </si>
  <si>
    <t>Cables &amp; Conduits</t>
  </si>
  <si>
    <t xml:space="preserve">2core, 1.5 Sqmm, screened ATC/shielded twisted pair cable for communication looping between VAV’s (VAV to VAV) &amp; BMS. </t>
  </si>
  <si>
    <t xml:space="preserve">4core, 1.5 Sqmm, screened ATC/shielded /Flexible twisted pair cable for communication looping between VAV’s (VAV to Thermostats) &amp; BMS. </t>
  </si>
  <si>
    <t>3core, 1 Sqmm, screened ATC/shielded twisted pair cable for communication looping between VAV’s &amp; BMS. (for analogue thermostats)</t>
  </si>
  <si>
    <t>6core, 1 Sqmm, screened ATC/shielded twisted pair cable for communication looping between VAV’s &amp; BMS. (fro digitial thermostats)</t>
  </si>
  <si>
    <t>Vav works-PART-02</t>
  </si>
  <si>
    <t>RMT</t>
  </si>
  <si>
    <t>16000 CFM with VFD  &amp; bypass starter</t>
  </si>
  <si>
    <t>CASING:</t>
  </si>
  <si>
    <t xml:space="preserve">Supply Installation of Factory Fabricated double skin SA plenum with dampered outlet made out of 50 mm thick double skin PUF panel with powder coated 0.6 mm sheet as outer skin and 0.6 mm plain GSS sheet as inner skin with aluminium frame.  The plenum is required to connect the outlets of Existing Air Handling Units &amp; the proposed supply air duct branches. The colour of the plenum to be as per the architect's requirement. Plenums has to be installed in the required location </t>
  </si>
  <si>
    <t>Access / plenum Section  shall be with 600 mm deep. All  Access door shall be of hinged type &amp; provided with view glass.</t>
  </si>
  <si>
    <t>FAN:</t>
  </si>
  <si>
    <t xml:space="preserve">Direct driven backward curved EC fan (Electronically commutated) with permanent magnet brushless DC  motor  for stepless variation of  speed of fan based on sensor inputs (temperature / pressure). 
The fan section shall be provided with limit switch for safety to shut off fan during Opening of access door. The fans shall be mounted on a supporting frame. </t>
  </si>
  <si>
    <t xml:space="preserve">The limit Switch shall be provided for all sections </t>
  </si>
  <si>
    <t>VRF COIL:</t>
  </si>
  <si>
    <t xml:space="preserve">AHRI certififed,  VRF coil section with 6/4 rows deep construction with Aluminum fins &amp; copper tube and MS header with flanges  . The coil section shell be supplied with  18 gauge SS 314  drain pan with 13 mm thick nitrile rubber insulation with adequate slope The face velocity of the coil shall not exceed 500 fpm,. </t>
  </si>
  <si>
    <t>FILTER SECTION</t>
  </si>
  <si>
    <t xml:space="preserve">Filter Section with complete supporting arrangement for Rough filters with panel type filters of 80 to 85% efficiency down to 20 microns particle size MERV-8, 1 set of commissioning filters , MERV 13 filter to be considered </t>
  </si>
  <si>
    <t xml:space="preserve">ELECTRICAL PANEL </t>
  </si>
  <si>
    <t>Electrical panel suitable for Power Distribution with one incomer &amp; multiple MPCB outgoing feeder as per EC Fans , Heater , Humidifier UVGI Lamp along with required number of cable from starter panel to EC Fans . The Starter Panel shall also be suitable for supplying the required power for control valve , UV lamp , electronic filters, AHU light .  Design shall include the, Interlock between AHU door limit switch and starter. (Starter to trip if door opened and start disabled with door open) and AHU lighting. The Starter shall also have provision to trip the complete system in case of fire signal from fire panel / BMS / Fire Damper. Necessary contactors, transformers, relays, power &amp; control cables etc., to be supplied along with the Starter Panel.Potentiometer to control AHU manually along with auto manual switch The specifications for the panel enclosure shall be same as for MCCs in additional to required terminals to support for control and monitoring of AHUs through BMS system.</t>
  </si>
  <si>
    <t>The rate quoted shall include power termination arrangement mounted on the external surface of the AHU &amp; provision shall be made to switch ON / OFF the AHUs on the AHU cabinet surface.</t>
  </si>
  <si>
    <t>The noise from the AHU should not exceed 65 dBA at a distance of 1m (without connection of ducts) at rated air quantity.</t>
  </si>
  <si>
    <t>The sealant used should be of low VOC &amp; not to exceed 420 gms/ltr.</t>
  </si>
  <si>
    <t>AHU to to be quoted along with AHU Kit in between indoor &amp; outdoor unit '</t>
  </si>
  <si>
    <t>TR, total air, outside air, cooling coil face area, number of rows of cooling coil, External static pressure, number of fans, fan motor KW (each) and fan motor speed.</t>
  </si>
  <si>
    <t xml:space="preserve">AHU - Type - 1 Office </t>
  </si>
  <si>
    <t xml:space="preserve">Nos </t>
  </si>
  <si>
    <t>AHU - Type - 2</t>
  </si>
  <si>
    <t>35 TR, 6605 lps (14000 cfm),  945 lps (2000 Cfm), 4.0 Sqm., 6 rows, 30 mmwg, 3 nos., 2.2 KW &amp; 1450 rpm</t>
  </si>
  <si>
    <t>DOUBLE SKIN CABINET TYPE AIR HANDLING UNITS WITH EC FANS  ( VRF TYPE)</t>
  </si>
  <si>
    <t>40  TR, 7548 lps (16000 cfm), 710 lps (1500 Cfm), 2.98 Sqm., 6 rows, 30 mmwg, 3 Nos , 2.2  KW &amp; 1450 rpm</t>
  </si>
  <si>
    <t xml:space="preserve">Top Discharge Outdoor Unit(ODU) : Cooling Capacity    :25HP </t>
  </si>
  <si>
    <t>65  mm dia</t>
  </si>
  <si>
    <t xml:space="preserve">To be quoted from vendor </t>
  </si>
  <si>
    <t xml:space="preserve">Supply and Fixing  of double reinforced fire rated canvass for AHUs ,fans &amp; DX Acs - Size shall be as per AHU capacity listed </t>
  </si>
  <si>
    <t>1800 CFM, Inline15-20mm ESP Fresh air fan</t>
  </si>
  <si>
    <r>
      <t xml:space="preserve">All VAV </t>
    </r>
    <r>
      <rPr>
        <b/>
        <sz val="12"/>
        <color rgb="FFED0000"/>
        <rFont val="Calibri"/>
        <family val="2"/>
      </rPr>
      <t>Suite to Duct</t>
    </r>
    <r>
      <rPr>
        <sz val="12"/>
        <rFont val="Calibri"/>
        <family val="2"/>
      </rPr>
      <t xml:space="preserve">  Supplied shall be Factory Assembled, Lab Calibration &amp; Testing with verifiable test data for performance.Customer witnessing of the above (if required).Each VAV termnals should have barcode by having the exact shedule as per the shop drawing and this should have scaned for fatory test results.</t>
    </r>
  </si>
  <si>
    <t xml:space="preserve">250 mm dia insulated flexible duct </t>
  </si>
  <si>
    <t>Class "O" Material- 20 mm thick</t>
  </si>
  <si>
    <t>Top Discharge Outdoor Unit(ODU) : Cooling Capacity    : 28 HP</t>
  </si>
  <si>
    <t>CAV</t>
  </si>
  <si>
    <t>The ducts shall be provided with Stiffner rods &amp; Guide vanes for the ducts more than 800 mm</t>
  </si>
  <si>
    <t>UL Approved Spring loaded Actuator of required torque assembled in factory with required accessories to operate fire damper, step-down transformer, auxiliary switch, controller, necessary wiring &amp; mounting arrangement. The actuator shall be equipped for 230V AC operation. The actuator also operates based on the input from BMS &amp; pass on the status output to BMS and communicate to BMS System with an RS 485 port.</t>
  </si>
  <si>
    <t xml:space="preserve"> Supply ,installation, testing and commissioning of  control panel with maximum 6 outgoing feeders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detailshe rate quoted shall include the cost of all accessories like power and control cable to communicate ( soft Integration )to Building Management System through RS485 port for status,</t>
  </si>
  <si>
    <t>Control panel with maximum 6 outgoing feeders for Actuators</t>
  </si>
  <si>
    <t>Control panel with maximum 5 outgoing feeders for Actuators</t>
  </si>
  <si>
    <t>Control panel with maximum 4 outgoing feeders for Actuators</t>
  </si>
  <si>
    <t>7a</t>
  </si>
  <si>
    <t>7b</t>
  </si>
  <si>
    <t>1200 CFM, Inline15-20mm ESP Exhaust fan</t>
  </si>
  <si>
    <t xml:space="preserve">2.5 TR </t>
  </si>
  <si>
    <t>Supply ,Installation,testing &amp; commisoning of CAV with nessarry supporting meaterilas for the 150 to 200 CFM for phone Booth</t>
  </si>
  <si>
    <t>nos</t>
  </si>
  <si>
    <t>250 CFM, Inline15-20mm ESP Fresh air fan</t>
  </si>
  <si>
    <t>1.5TR (huddle room)</t>
  </si>
  <si>
    <t>2C x1.5 Sqmm copper cable ( Multicore)</t>
  </si>
  <si>
    <t>3C x1.0 Sqmm copper cable ( Multicore)</t>
  </si>
  <si>
    <t>4C x1.5 Sqmm copper cable ( Multicore)</t>
  </si>
  <si>
    <t xml:space="preserve">Office </t>
  </si>
  <si>
    <t>COMMON AREA</t>
  </si>
  <si>
    <t>Installation, testing &amp; commissioning of Floor mounted AHU (Double Skin) as per specification</t>
  </si>
  <si>
    <t xml:space="preserve">TS-T2 - WEX- BANGLORE </t>
  </si>
  <si>
    <t xml:space="preserve">TS-T2- WEX - BANGLORE </t>
  </si>
  <si>
    <t xml:space="preserve">Supply , Erection of factory fabricated Elliptical /spiral round VCDs </t>
  </si>
  <si>
    <t>Top Discharge Outdoor Unit(ODU) : Cooling Capacity    : 6 HP (T2 server room)</t>
  </si>
  <si>
    <t xml:space="preserve">Top Discharge Outdoor Unit(ODU) : Cooling Capacity    : 4 HP </t>
  </si>
  <si>
    <t xml:space="preserve">Centralised Remote Controller system (CRC) - The cost shall include below line itmes </t>
  </si>
  <si>
    <t>Vav works-PART-02 (Rectangular  &amp; Bypass Type) SITC of VAVs with digital thermostat,suitable wiring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</si>
</sst>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1">
    <numFmt numFmtId="41" formatCode="_ * #,##0_ ;_ * \-#,##0_ ;_ * &quot;-&quot;_ ;_ @_ "/>
    <numFmt numFmtId="44" formatCode="_ &quot;₹&quot;\ * #,##0.00_ ;_ &quot;₹&quot;\ * \-#,##0.00_ ;_ &quot;₹&quot;\ * &quot;-&quot;??_ ;_ @_ "/>
    <numFmt numFmtId="43" formatCode="_ * #,##0.00_ ;_ * \-#,##0.00_ ;_ * &quot;-&quot;??_ ;_ @_ "/>
    <numFmt numFmtId="164" formatCode="_(&quot;$&quot;* #,##0_);_(&quot;$&quot;* \(#,##0\);_(&quot;$&quot;* &quot;-&quot;_);_(@_)"/>
    <numFmt numFmtId="165" formatCode="_(&quot;$&quot;* #,##0.00_);_(&quot;$&quot;* \(#,##0.00\);_(&quot;$&quot;* &quot;-&quot;??_);_(@_)"/>
    <numFmt numFmtId="166" formatCode="_(* #,##0.00_);_(* \(#,##0.00\);_(* &quot;-&quot;??_);_(@_)"/>
    <numFmt numFmtId="167" formatCode="_ * #,##0_ ;_ * \-#,##0_ ;_ * &quot;-&quot;??_ ;_ @_ "/>
    <numFmt numFmtId="168" formatCode="&quot;$&quot;#,##0;\(&quot;$&quot;#,##0\)"/>
    <numFmt numFmtId="169" formatCode="_(* #,##0_);_(* \(#,##0\);_(* &quot;-&quot;??_);_(@_)"/>
    <numFmt numFmtId="170" formatCode="[$-409]d/mmm/yy"/>
    <numFmt numFmtId="171" formatCode="0.0"/>
    <numFmt numFmtId="172" formatCode="General_)"/>
    <numFmt numFmtId="173" formatCode="_-* #,##0.00_-;_-* #,##0.00\-;_-* &quot;-&quot;??_-;_-@_-"/>
    <numFmt numFmtId="174" formatCode="_-* #,##0.00_-;\-* #,##0.00_-;_-* &quot;-&quot;??_-;_-@_-"/>
    <numFmt numFmtId="175" formatCode="#,##0.00;\(#,##0.00\)"/>
    <numFmt numFmtId="176" formatCode="#,##0.000_);\(#,##0.000\)"/>
    <numFmt numFmtId="177" formatCode="_(* #,##0.00_);_(* \(#,##0.00\);_(* \-??_);_(@_)"/>
    <numFmt numFmtId="178" formatCode="mm/dd/yy"/>
    <numFmt numFmtId="179" formatCode="[$-409]d\-mmm\-yy;@"/>
    <numFmt numFmtId="180" formatCode="#,##0;\(#,##0\)"/>
    <numFmt numFmtId="181" formatCode="&quot;$&quot;#."/>
    <numFmt numFmtId="182" formatCode="_-* #,##0.00\ _D_M_-;\-* #,##0.00\ _D_M_-;_-* &quot;-&quot;??\ _D_M_-;_-@_-"/>
    <numFmt numFmtId="183" formatCode="&quot;$&quot;#,##0.00;\(&quot;$&quot;#,##0.00\)"/>
    <numFmt numFmtId="184" formatCode="_(&quot;Rs.&quot;* #,##0_);_(&quot;Rs.&quot;* \(#,##0\);_(&quot;Rs.&quot;* &quot;-&quot;_);_(@_)"/>
    <numFmt numFmtId="185" formatCode="&quot;US$&quot;#,##0.00;&quot;(US$&quot;#,##0.00\)"/>
    <numFmt numFmtId="186" formatCode="_-&quot;$&quot;* #,##0.00_-;\-&quot;$&quot;* #,##0.00_-;_-&quot;$&quot;* &quot;-&quot;??_-;_-@_-"/>
    <numFmt numFmtId="187" formatCode="_-* #,##0_-;\-* #,##0_-;_-* &quot;-&quot;_-;_-@_-"/>
    <numFmt numFmtId="188" formatCode="&quot;Rs.&quot;#,##0.00_);\(&quot;Rs.&quot;#,##0.00\)"/>
    <numFmt numFmtId="189" formatCode="_-* #,##0\ _F_-;\-* #,##0\ _F_-;_-* &quot;-&quot;\ _F_-;_-@_-"/>
    <numFmt numFmtId="190" formatCode="0.00%\)"/>
    <numFmt numFmtId="191" formatCode="_-&quot;$&quot;* #,##0_-;\-&quot;$&quot;* #,##0_-;_-&quot;$&quot;* &quot;-&quot;_-;_-@_-"/>
    <numFmt numFmtId="192" formatCode="#,##0;\-#,##0;&quot;-&quot;"/>
    <numFmt numFmtId="193" formatCode="#,##0.00\ ;&quot; (&quot;#,##0.00\);&quot; -&quot;#\ ;@\ "/>
    <numFmt numFmtId="194" formatCode="_([$€-2]* #,##0.00_);_([$€-2]* \(#,##0.00\);_([$€-2]* &quot;-&quot;??_)"/>
    <numFmt numFmtId="195" formatCode="\(0.00%"/>
    <numFmt numFmtId="196" formatCode="_(* #,##0_);_(* \(#,##0\);_(* \-_);_(@_)"/>
    <numFmt numFmtId="197" formatCode="#,##0.0_);\(#,##0.0\)"/>
    <numFmt numFmtId="198" formatCode="#,##0.0000_);\(#,##0.0000\)"/>
    <numFmt numFmtId="199" formatCode="_ * #,##0_)\ &quot;$&quot;_ ;_ * \(#,##0\)\ &quot;$&quot;_ ;_ * &quot;-&quot;_)\ &quot;$&quot;_ ;_ @_ "/>
    <numFmt numFmtId="200" formatCode="\+0.00%\+"/>
    <numFmt numFmtId="201" formatCode="&quot;$&quot;#,##0.00"/>
    <numFmt numFmtId="202" formatCode="yyyy"/>
    <numFmt numFmtId="203" formatCode="#,##0.000"/>
    <numFmt numFmtId="204" formatCode="0.000"/>
    <numFmt numFmtId="205" formatCode="_ * #,##0.00_)\ &quot;$&quot;_ ;_ * \(#,##0.00\)\ &quot;$&quot;_ ;_ * &quot;-&quot;??_)\ &quot;$&quot;_ ;_ @_ "/>
    <numFmt numFmtId="206" formatCode="&quot;£&quot;#,##0_);\(&quot;£&quot;#,##0\)"/>
    <numFmt numFmtId="207" formatCode="#,##0.00_ "/>
    <numFmt numFmtId="208" formatCode="[$INR]\ #,##0.00_);\([$INR]\ #,##0.00\)"/>
    <numFmt numFmtId="209" formatCode="#,##0.0"/>
    <numFmt numFmtId="210" formatCode="_-* #,##0.00\ _F_-;\-* #,##0.00\ _F_-;_-* &quot;-&quot;??\ _F_-;_-@_-"/>
    <numFmt numFmtId="211" formatCode="#,##0."/>
    <numFmt numFmtId="212" formatCode="0###0"/>
    <numFmt numFmtId="213" formatCode="_(\$* #,##0.00_);_(\$* \(#,##0.00\);_(\$* \-??_);_(@_)"/>
    <numFmt numFmtId="214" formatCode="#."/>
    <numFmt numFmtId="215" formatCode="#,##0_);[Red]\(#,##0\);;@"/>
    <numFmt numFmtId="216" formatCode="&quot; &quot;#,##0.00&quot; &quot;;&quot; (&quot;#,##0.00&quot;)&quot;;&quot; -&quot;#&quot; &quot;;&quot; &quot;@&quot; &quot;"/>
    <numFmt numFmtId="217" formatCode="General\ ;[Red]\(General\)"/>
    <numFmt numFmtId="218" formatCode="0##0"/>
    <numFmt numFmtId="219" formatCode="&quot;₹&quot;\ #,##0.00"/>
    <numFmt numFmtId="220" formatCode="_(* #,##0.0_);_(* \(#,##0.0\);_(* &quot;-&quot;??_);_(@_)"/>
    <numFmt numFmtId="221" formatCode="0;[Red]0"/>
  </numFmts>
  <fonts count="166">
    <font>
      <sz val="11"/>
      <name val="Calibri"/>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name val="Calibri"/>
      <family val="2"/>
    </font>
    <font>
      <sz val="11"/>
      <color indexed="8"/>
      <name val="Calibri"/>
      <family val="2"/>
    </font>
    <font>
      <sz val="11"/>
      <color theme="1"/>
      <name val="Calibri"/>
      <family val="2"/>
    </font>
    <font>
      <b/>
      <sz val="11"/>
      <color theme="0"/>
      <name val="Aptos Narrow"/>
      <family val="2"/>
      <scheme val="minor"/>
    </font>
    <font>
      <sz val="10"/>
      <name val="Arial"/>
      <family val="2"/>
    </font>
    <font>
      <sz val="10"/>
      <color rgb="FF000000"/>
      <name val="Arial"/>
      <family val="2"/>
    </font>
    <font>
      <sz val="12"/>
      <color theme="1"/>
      <name val="Aptos Narrow"/>
      <family val="2"/>
      <scheme val="minor"/>
    </font>
    <font>
      <sz val="12"/>
      <name val="Arial"/>
      <family val="2"/>
    </font>
    <font>
      <sz val="10"/>
      <name val="Helv"/>
      <charset val="204"/>
    </font>
    <font>
      <b/>
      <sz val="12"/>
      <name val="Arial"/>
      <family val="2"/>
    </font>
    <font>
      <sz val="11"/>
      <color rgb="FF000000"/>
      <name val="Aptos Narrow"/>
      <family val="2"/>
      <scheme val="minor"/>
    </font>
    <font>
      <sz val="10"/>
      <color indexed="8"/>
      <name val="Arial"/>
      <family val="2"/>
    </font>
    <font>
      <sz val="12"/>
      <color indexed="8"/>
      <name val="Calibri"/>
      <family val="2"/>
    </font>
    <font>
      <sz val="10"/>
      <name val="Arial"/>
      <family val="2"/>
      <charset val="1"/>
    </font>
    <font>
      <sz val="10"/>
      <color rgb="FF000000"/>
      <name val="Times New Roman"/>
      <family val="1"/>
    </font>
    <font>
      <sz val="10"/>
      <name val="Helv"/>
      <family val="2"/>
    </font>
    <font>
      <b/>
      <sz val="11"/>
      <color theme="3"/>
      <name val="Aptos Narrow"/>
      <family val="2"/>
      <scheme val="minor"/>
    </font>
    <font>
      <sz val="11"/>
      <color rgb="FF006100"/>
      <name val="Aptos Narrow"/>
      <family val="2"/>
      <scheme val="minor"/>
    </font>
    <font>
      <b/>
      <sz val="11"/>
      <color rgb="FFFA7D00"/>
      <name val="Aptos Narrow"/>
      <family val="2"/>
      <scheme val="minor"/>
    </font>
    <font>
      <sz val="11"/>
      <color theme="0"/>
      <name val="Aptos Narrow"/>
      <family val="2"/>
      <scheme val="minor"/>
    </font>
    <font>
      <sz val="11"/>
      <color rgb="FF000000"/>
      <name val="Calibri"/>
      <family val="2"/>
    </font>
    <font>
      <sz val="11"/>
      <name val="Tahoma"/>
      <family val="2"/>
    </font>
    <font>
      <u/>
      <sz val="12"/>
      <color theme="10"/>
      <name val="Aptos Narrow"/>
      <family val="2"/>
      <scheme val="minor"/>
    </font>
    <font>
      <sz val="10"/>
      <name val="Helv"/>
      <charset val="134"/>
    </font>
    <font>
      <sz val="10"/>
      <color theme="1"/>
      <name val="Arial"/>
      <family val="2"/>
    </font>
    <font>
      <sz val="10"/>
      <name val="Courier"/>
      <family val="3"/>
    </font>
    <font>
      <sz val="11"/>
      <color indexed="9"/>
      <name val="Calibri"/>
      <family val="2"/>
    </font>
    <font>
      <sz val="14"/>
      <name val="Cordia New"/>
      <family val="2"/>
    </font>
    <font>
      <sz val="10"/>
      <name val="Helv"/>
    </font>
    <font>
      <b/>
      <sz val="18"/>
      <name val="Arial"/>
      <family val="2"/>
    </font>
    <font>
      <sz val="11"/>
      <color rgb="FF9C6500"/>
      <name val="Aptos Narrow"/>
      <family val="2"/>
      <scheme val="minor"/>
    </font>
    <font>
      <sz val="12"/>
      <name val="Arial"/>
      <family val="2"/>
      <charset val="134"/>
    </font>
    <font>
      <sz val="11"/>
      <color indexed="8"/>
      <name val="Calibri"/>
      <family val="2"/>
      <charset val="134"/>
    </font>
    <font>
      <sz val="12"/>
      <name val="Times New Roman"/>
      <family val="1"/>
    </font>
    <font>
      <b/>
      <sz val="12"/>
      <name val="Times New Roman"/>
      <family val="1"/>
    </font>
    <font>
      <sz val="10"/>
      <name val="Times New Roman"/>
      <family val="1"/>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2"/>
      <color indexed="8"/>
      <name val="Times New Roman"/>
      <family val="1"/>
    </font>
    <font>
      <sz val="11"/>
      <name val="Arial"/>
      <family val="2"/>
    </font>
    <font>
      <b/>
      <sz val="18"/>
      <color indexed="56"/>
      <name val="Cambria"/>
      <family val="1"/>
    </font>
    <font>
      <u/>
      <sz val="7.5"/>
      <color indexed="12"/>
      <name val="Arial"/>
      <family val="2"/>
    </font>
    <font>
      <u/>
      <sz val="10"/>
      <color indexed="12"/>
      <name val="Arial"/>
      <family val="2"/>
    </font>
    <font>
      <sz val="8"/>
      <name val="Arial"/>
      <family val="2"/>
    </font>
    <font>
      <sz val="11"/>
      <name val="Century Gothic"/>
      <family val="2"/>
    </font>
    <font>
      <sz val="10"/>
      <name val="Courier New"/>
      <family val="3"/>
    </font>
    <font>
      <b/>
      <sz val="1"/>
      <color indexed="8"/>
      <name val="Courier New"/>
      <family val="3"/>
    </font>
    <font>
      <sz val="7"/>
      <name val="Small Fonts"/>
      <family val="2"/>
    </font>
    <font>
      <sz val="1"/>
      <color indexed="8"/>
      <name val="Courier"/>
      <family val="3"/>
    </font>
    <font>
      <b/>
      <sz val="11"/>
      <name val="Times New Roman"/>
      <family val="1"/>
    </font>
    <font>
      <sz val="9"/>
      <name val="Times New Roman"/>
      <family val="1"/>
    </font>
    <font>
      <i/>
      <sz val="1"/>
      <color indexed="8"/>
      <name val="Courier"/>
      <family val="3"/>
    </font>
    <font>
      <sz val="12"/>
      <name val="바탕체"/>
      <charset val="129"/>
    </font>
    <font>
      <u/>
      <sz val="11"/>
      <color indexed="20"/>
      <name val="돋움"/>
      <charset val="129"/>
    </font>
    <font>
      <b/>
      <i/>
      <sz val="9"/>
      <name val="Times New Roman"/>
      <family val="1"/>
    </font>
    <font>
      <sz val="14"/>
      <name val="AngsanaUPC"/>
      <family val="1"/>
      <charset val="222"/>
    </font>
    <font>
      <sz val="10"/>
      <name val="Vogue"/>
      <charset val="134"/>
    </font>
    <font>
      <sz val="9"/>
      <name val="Arial"/>
      <family val="2"/>
    </font>
    <font>
      <sz val="10"/>
      <color indexed="16"/>
      <name val="MS Serif"/>
      <family val="1"/>
    </font>
    <font>
      <b/>
      <sz val="18"/>
      <name val="Times New Roman"/>
      <family val="1"/>
    </font>
    <font>
      <sz val="14"/>
      <name val="¾©"/>
      <charset val="128"/>
    </font>
    <font>
      <sz val="11"/>
      <name val="돋움"/>
      <charset val="129"/>
    </font>
    <font>
      <sz val="12"/>
      <name val="¾©"/>
      <charset val="128"/>
    </font>
    <font>
      <u/>
      <sz val="9"/>
      <color indexed="36"/>
      <name val="Arial"/>
      <family val="2"/>
    </font>
    <font>
      <sz val="12"/>
      <name val="¹ÙÅÁÃ¼"/>
      <charset val="129"/>
    </font>
    <font>
      <sz val="12"/>
      <name val="Tms Rmn"/>
      <charset val="134"/>
    </font>
    <font>
      <b/>
      <sz val="10"/>
      <name val="Arial CE"/>
      <charset val="238"/>
    </font>
    <font>
      <sz val="11"/>
      <name val="굴림체"/>
      <charset val="129"/>
    </font>
    <font>
      <sz val="10"/>
      <name val="MS Serif"/>
      <family val="1"/>
    </font>
    <font>
      <sz val="10"/>
      <name val="MS Sans Serif"/>
      <family val="2"/>
    </font>
    <font>
      <sz val="8"/>
      <name val="Helv"/>
      <charset val="134"/>
    </font>
    <font>
      <sz val="14"/>
      <name val="뼻뮝"/>
      <charset val="128"/>
    </font>
    <font>
      <b/>
      <sz val="8"/>
      <color indexed="8"/>
      <name val="Helv"/>
      <charset val="134"/>
    </font>
    <font>
      <sz val="12"/>
      <name val="뼻뮝"/>
      <charset val="129"/>
    </font>
    <font>
      <sz val="10"/>
      <color indexed="10"/>
      <name val="Arial"/>
      <family val="2"/>
    </font>
    <font>
      <sz val="14"/>
      <name val="–¾’©"/>
      <charset val="128"/>
    </font>
    <font>
      <sz val="11"/>
      <name val="Courier"/>
      <family val="3"/>
    </font>
    <font>
      <u/>
      <sz val="9"/>
      <color indexed="12"/>
      <name val="Arial"/>
      <family val="2"/>
    </font>
    <font>
      <i/>
      <sz val="9"/>
      <name val="Times New Roman"/>
      <family val="1"/>
    </font>
    <font>
      <b/>
      <u/>
      <sz val="13"/>
      <name val="굴림체"/>
      <charset val="129"/>
    </font>
    <font>
      <sz val="12"/>
      <name val="굴림체"/>
      <charset val="129"/>
    </font>
    <font>
      <u val="double"/>
      <sz val="14"/>
      <color indexed="8"/>
      <name val="Arial"/>
      <family val="2"/>
    </font>
    <font>
      <sz val="12"/>
      <name val="華康粗圓體"/>
      <charset val="136"/>
    </font>
    <font>
      <u/>
      <sz val="9.35"/>
      <color theme="10"/>
      <name val="Calibri"/>
      <family val="2"/>
    </font>
    <font>
      <sz val="10"/>
      <color theme="1"/>
      <name val="Gill Sans"/>
      <charset val="134"/>
    </font>
    <font>
      <sz val="14"/>
      <name val="Cordia New"/>
      <family val="2"/>
      <charset val="222"/>
    </font>
    <font>
      <b/>
      <sz val="9"/>
      <name val="Arial"/>
      <family val="2"/>
    </font>
    <font>
      <sz val="10"/>
      <name val="Century Gothic"/>
      <family val="2"/>
    </font>
    <font>
      <b/>
      <sz val="10"/>
      <name val="Century Gothic"/>
      <family val="2"/>
    </font>
    <font>
      <sz val="11"/>
      <color theme="1"/>
      <name val="Arial"/>
      <family val="2"/>
    </font>
    <font>
      <sz val="14"/>
      <name val="AngsanaUPC"/>
      <family val="1"/>
    </font>
    <font>
      <sz val="11"/>
      <name val="돋움"/>
    </font>
    <font>
      <sz val="10"/>
      <name val="Mangal"/>
      <family val="2"/>
    </font>
    <font>
      <sz val="9"/>
      <color theme="1"/>
      <name val="Verdana"/>
      <family val="2"/>
    </font>
    <font>
      <sz val="11"/>
      <color indexed="8"/>
      <name val="Arial Narrow"/>
      <family val="2"/>
    </font>
    <font>
      <b/>
      <u/>
      <sz val="11"/>
      <name val="Times New Roman"/>
      <family val="1"/>
    </font>
    <font>
      <sz val="1"/>
      <color indexed="16"/>
      <name val="Courier"/>
      <family val="3"/>
    </font>
    <font>
      <i/>
      <sz val="1"/>
      <color indexed="16"/>
      <name val="Courier"/>
      <family val="3"/>
    </font>
    <font>
      <b/>
      <sz val="1"/>
      <color indexed="16"/>
      <name val="Courier"/>
      <family val="3"/>
    </font>
    <font>
      <u/>
      <sz val="8.9"/>
      <color indexed="12"/>
      <name val="Arial"/>
      <family val="2"/>
    </font>
    <font>
      <b/>
      <i/>
      <sz val="16"/>
      <name val="Helv"/>
    </font>
    <font>
      <sz val="11"/>
      <color rgb="FF000000"/>
      <name val="Calibri"/>
      <family val="2"/>
      <charset val="204"/>
    </font>
    <font>
      <sz val="12"/>
      <name val="Arial MT"/>
    </font>
    <font>
      <sz val="10"/>
      <color indexed="8"/>
      <name val="MS Sans Serif"/>
      <family val="2"/>
      <charset val="1"/>
    </font>
    <font>
      <sz val="11"/>
      <color theme="1"/>
      <name val="VodafoneRg"/>
      <family val="2"/>
    </font>
    <font>
      <sz val="11"/>
      <color indexed="8"/>
      <name val="VodafoneRg"/>
    </font>
    <font>
      <sz val="11"/>
      <color indexed="63"/>
      <name val="Calibri"/>
      <family val="2"/>
      <charset val="1"/>
    </font>
    <font>
      <b/>
      <u/>
      <sz val="10"/>
      <color indexed="18"/>
      <name val="Century Gothic"/>
      <family val="2"/>
    </font>
    <font>
      <sz val="10"/>
      <name val="Arial"/>
      <family val="2"/>
      <charset val="204"/>
    </font>
    <font>
      <b/>
      <sz val="12"/>
      <color indexed="18"/>
      <name val="Times New Roman"/>
      <family val="1"/>
    </font>
    <font>
      <sz val="11"/>
      <color indexed="53"/>
      <name val="Calibri"/>
      <family val="2"/>
      <charset val="1"/>
    </font>
    <font>
      <b/>
      <sz val="18"/>
      <color indexed="56"/>
      <name val="Cambria"/>
      <family val="2"/>
    </font>
    <font>
      <b/>
      <i/>
      <sz val="12"/>
      <name val="Times New Roman"/>
      <family val="1"/>
    </font>
    <font>
      <sz val="10"/>
      <name val="Mangal"/>
      <family val="1"/>
    </font>
    <font>
      <sz val="11"/>
      <color theme="1"/>
      <name val="Aptos Narrow"/>
      <family val="2"/>
      <scheme val="minor"/>
    </font>
    <font>
      <sz val="10"/>
      <color rgb="FF000000"/>
      <name val="Arial"/>
      <family val="2"/>
    </font>
    <font>
      <sz val="10"/>
      <color indexed="8"/>
      <name val="Arial"/>
      <family val="2"/>
    </font>
    <font>
      <sz val="12"/>
      <color theme="1"/>
      <name val="Calibri"/>
      <family val="2"/>
    </font>
    <font>
      <b/>
      <sz val="12"/>
      <color theme="1"/>
      <name val="Calibri"/>
      <family val="2"/>
    </font>
    <font>
      <sz val="12"/>
      <color rgb="FFFF0000"/>
      <name val="Calibri"/>
      <family val="2"/>
    </font>
    <font>
      <sz val="12"/>
      <name val="Calibri"/>
      <family val="2"/>
    </font>
    <font>
      <b/>
      <sz val="12"/>
      <color theme="0"/>
      <name val="Calibri"/>
      <family val="2"/>
    </font>
    <font>
      <b/>
      <sz val="12"/>
      <name val="Calibri"/>
      <family val="2"/>
    </font>
    <font>
      <i/>
      <sz val="11"/>
      <color rgb="FF7F7F7F"/>
      <name val="Aptos Narrow"/>
      <family val="2"/>
      <scheme val="minor"/>
    </font>
    <font>
      <sz val="10"/>
      <name val="Arial"/>
      <family val="2"/>
    </font>
    <font>
      <b/>
      <sz val="12"/>
      <name val="Aptos Narrow"/>
      <family val="2"/>
      <scheme val="minor"/>
    </font>
    <font>
      <sz val="11"/>
      <color theme="1"/>
      <name val="Aptos Narrow"/>
      <family val="2"/>
      <scheme val="minor"/>
    </font>
    <font>
      <sz val="12"/>
      <name val="Aptos Narrow"/>
      <family val="2"/>
      <scheme val="minor"/>
    </font>
    <font>
      <b/>
      <u/>
      <sz val="12"/>
      <name val="Calibri"/>
      <family val="2"/>
    </font>
    <font>
      <b/>
      <sz val="14"/>
      <name val="Calibri"/>
      <family val="2"/>
    </font>
    <font>
      <sz val="12"/>
      <color theme="0"/>
      <name val="Calibri"/>
      <family val="2"/>
    </font>
    <font>
      <u/>
      <sz val="12"/>
      <name val="Calibri"/>
      <family val="2"/>
    </font>
    <font>
      <sz val="12"/>
      <name val="Trebuchet MS"/>
      <family val="2"/>
    </font>
    <font>
      <sz val="12"/>
      <color rgb="FFED0000"/>
      <name val="Calibri"/>
      <family val="2"/>
    </font>
    <font>
      <b/>
      <sz val="12"/>
      <color rgb="FFED0000"/>
      <name val="Calibri"/>
      <family val="2"/>
    </font>
    <font>
      <b/>
      <sz val="11"/>
      <name val="Calibri"/>
      <family val="2"/>
    </font>
    <font>
      <sz val="11"/>
      <name val="Calibri Light"/>
      <family val="2"/>
    </font>
    <font>
      <b/>
      <sz val="11"/>
      <color rgb="FFFF0000"/>
      <name val="Calibri"/>
      <family val="2"/>
    </font>
  </fonts>
  <fills count="94">
    <fill>
      <patternFill patternType="none"/>
    </fill>
    <fill>
      <patternFill patternType="gray125"/>
    </fill>
    <fill>
      <patternFill patternType="solid">
        <fgColor theme="0"/>
        <bgColor indexed="64"/>
      </patternFill>
    </fill>
    <fill>
      <patternFill patternType="solid">
        <fgColor indexed="27"/>
        <bgColor indexed="64"/>
      </patternFill>
    </fill>
    <fill>
      <patternFill patternType="solid">
        <fgColor indexed="42"/>
        <bgColor indexed="64"/>
      </patternFill>
    </fill>
    <fill>
      <patternFill patternType="solid">
        <fgColor indexed="62"/>
        <bgColor indexed="64"/>
      </patternFill>
    </fill>
    <fill>
      <patternFill patternType="solid">
        <fgColor rgb="FFC6EF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5" tint="0.79998168889431442"/>
        <bgColor indexed="65"/>
      </patternFill>
    </fill>
    <fill>
      <patternFill patternType="solid">
        <fgColor theme="6" tint="0.79998168889431442"/>
        <bgColor indexed="65"/>
      </patternFill>
    </fill>
    <fill>
      <patternFill patternType="solid">
        <fgColor theme="8" tint="0.79998168889431442"/>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indexed="22"/>
        <bgColor indexed="64"/>
      </patternFill>
    </fill>
    <fill>
      <patternFill patternType="solid">
        <fgColor indexed="46"/>
        <bgColor indexed="64"/>
      </patternFill>
    </fill>
    <fill>
      <patternFill patternType="solid">
        <fgColor indexed="10"/>
        <bgColor indexed="64"/>
      </patternFill>
    </fill>
    <fill>
      <patternFill patternType="solid">
        <fgColor indexed="53"/>
        <bgColor indexed="64"/>
      </patternFill>
    </fill>
    <fill>
      <patternFill patternType="solid">
        <fgColor indexed="31"/>
        <bgColor indexed="64"/>
      </patternFill>
    </fill>
    <fill>
      <patternFill patternType="solid">
        <fgColor indexed="45"/>
        <bgColor indexed="64"/>
      </patternFill>
    </fill>
    <fill>
      <patternFill patternType="solid">
        <fgColor indexed="47"/>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57"/>
        <bgColor indexed="64"/>
      </patternFill>
    </fill>
    <fill>
      <patternFill patternType="solid">
        <fgColor indexed="53"/>
      </patternFill>
    </fill>
    <fill>
      <patternFill patternType="solid">
        <fgColor indexed="22"/>
      </patternFill>
    </fill>
    <fill>
      <patternFill patternType="solid">
        <fgColor indexed="55"/>
        <bgColor indexed="64"/>
      </patternFill>
    </fill>
    <fill>
      <patternFill patternType="solid">
        <fgColor indexed="26"/>
        <bgColor indexed="64"/>
      </patternFill>
    </fill>
    <fill>
      <patternFill patternType="solid">
        <fgColor indexed="15"/>
        <bgColor indexed="64"/>
      </patternFill>
    </fill>
    <fill>
      <patternFill patternType="solid">
        <fgColor indexed="43"/>
        <bgColor indexed="64"/>
      </patternFill>
    </fill>
    <fill>
      <patternFill patternType="solid">
        <fgColor indexed="26"/>
      </patternFill>
    </fill>
    <fill>
      <patternFill patternType="solid">
        <fgColor indexed="9"/>
        <bgColor indexed="26"/>
      </patternFill>
    </fill>
    <fill>
      <patternFill patternType="gray0625"/>
    </fill>
    <fill>
      <patternFill patternType="solid">
        <fgColor indexed="13"/>
        <bgColor indexed="64"/>
      </patternFill>
    </fill>
    <fill>
      <patternFill patternType="solid">
        <fgColor theme="8" tint="0.39994506668294322"/>
        <bgColor indexed="64"/>
      </patternFill>
    </fill>
    <fill>
      <patternFill patternType="solid">
        <fgColor rgb="FFF2F2F2"/>
        <bgColor indexed="64"/>
      </patternFill>
    </fill>
    <fill>
      <patternFill patternType="solid">
        <fgColor rgb="FFC6EFCE"/>
        <bgColor indexed="64"/>
      </patternFill>
    </fill>
    <fill>
      <patternFill patternType="solid">
        <fgColor rgb="FFFFFFCC"/>
        <bgColor indexed="64"/>
      </patternFill>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lightGray">
        <fgColor indexed="13"/>
        <bgColor indexed="9"/>
      </patternFill>
    </fill>
    <fill>
      <patternFill patternType="solid">
        <fgColor indexed="43"/>
      </patternFill>
    </fill>
    <fill>
      <patternFill patternType="solid">
        <fgColor indexed="43"/>
        <bgColor indexed="26"/>
      </patternFill>
    </fill>
    <fill>
      <patternFill patternType="solid">
        <fgColor indexed="26"/>
        <bgColor indexed="9"/>
      </patternFill>
    </fill>
    <fill>
      <patternFill patternType="mediumGray">
        <fgColor indexed="22"/>
        <bgColor indexed="9"/>
      </patternFill>
    </fill>
    <fill>
      <patternFill patternType="solid">
        <fgColor theme="8" tint="0.79998168889431442"/>
        <bgColor indexed="64"/>
      </patternFill>
    </fill>
    <fill>
      <patternFill patternType="solid">
        <fgColor theme="0"/>
        <bgColor auto="1"/>
      </patternFill>
    </fill>
    <fill>
      <patternFill patternType="solid">
        <fgColor theme="3" tint="-0.249977111117893"/>
        <bgColor indexed="64"/>
      </patternFill>
    </fill>
    <fill>
      <patternFill patternType="solid">
        <fgColor theme="0"/>
        <bgColor rgb="FFFFFFFF"/>
      </patternFill>
    </fill>
    <fill>
      <patternFill patternType="solid">
        <fgColor rgb="FFFFFF00"/>
        <bgColor indexed="64"/>
      </patternFill>
    </fill>
  </fills>
  <borders count="39">
    <border>
      <left/>
      <right/>
      <top/>
      <bottom/>
      <diagonal/>
    </border>
    <border>
      <left/>
      <right/>
      <top style="medium">
        <color indexed="64"/>
      </top>
      <bottom style="medium">
        <color indexed="64"/>
      </bottom>
      <diagonal/>
    </border>
    <border>
      <left/>
      <right style="medium">
        <color indexed="64"/>
      </right>
      <top/>
      <bottom/>
      <diagonal/>
    </border>
    <border>
      <left/>
      <right/>
      <top style="medium">
        <color indexed="64"/>
      </top>
      <bottom/>
      <diagonal/>
    </border>
    <border>
      <left style="medium">
        <color auto="1"/>
      </left>
      <right style="medium">
        <color auto="1"/>
      </right>
      <top style="medium">
        <color auto="1"/>
      </top>
      <bottom style="medium">
        <color auto="1"/>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style="hair">
        <color indexed="64"/>
      </top>
      <bottom style="hair">
        <color indexed="64"/>
      </bottom>
      <diagonal/>
    </border>
    <border>
      <left style="thin">
        <color auto="1"/>
      </left>
      <right style="thin">
        <color auto="1"/>
      </right>
      <top/>
      <bottom style="hair">
        <color auto="1"/>
      </bottom>
      <diagonal/>
    </border>
    <border>
      <left style="medium">
        <color indexed="64"/>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8"/>
      </top>
      <bottom style="double">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8"/>
      </left>
      <right style="thin">
        <color indexed="8"/>
      </right>
      <top style="medium">
        <color indexed="8"/>
      </top>
      <bottom style="thin">
        <color indexed="8"/>
      </bottom>
      <diagonal/>
    </border>
    <border>
      <left/>
      <right/>
      <top style="thin">
        <color indexed="11"/>
      </top>
      <bottom/>
      <diagonal/>
    </border>
    <border>
      <left/>
      <right/>
      <top style="thin">
        <color indexed="11"/>
      </top>
      <bottom/>
      <diagonal/>
    </border>
    <border>
      <left/>
      <right style="thin">
        <color indexed="11"/>
      </right>
      <top style="thin">
        <color indexed="11"/>
      </top>
      <bottom/>
      <diagonal/>
    </border>
    <border>
      <left/>
      <right style="thin">
        <color auto="1"/>
      </right>
      <top style="thin">
        <color auto="1"/>
      </top>
      <bottom style="thin">
        <color auto="1"/>
      </bottom>
      <diagonal/>
    </border>
    <border>
      <left/>
      <right style="thin">
        <color indexed="11"/>
      </right>
      <top/>
      <bottom/>
      <diagonal/>
    </border>
    <border>
      <left style="thin">
        <color indexed="64"/>
      </left>
      <right style="thin">
        <color indexed="64"/>
      </right>
      <top/>
      <bottom/>
      <diagonal/>
    </border>
  </borders>
  <cellStyleXfs count="10630">
    <xf numFmtId="0" fontId="0" fillId="0" borderId="0"/>
    <xf numFmtId="43" fontId="16" fillId="0" borderId="0" applyFont="0" applyFill="0" applyBorder="0" applyAlignment="0" applyProtection="0"/>
    <xf numFmtId="0" fontId="17" fillId="0" borderId="0"/>
    <xf numFmtId="166" fontId="15" fillId="0" borderId="0" applyFont="0" applyFill="0" applyBorder="0" applyAlignment="0" applyProtection="0"/>
    <xf numFmtId="0" fontId="14" fillId="0" borderId="0"/>
    <xf numFmtId="43" fontId="14" fillId="0" borderId="0" applyFont="0" applyFill="0" applyBorder="0" applyAlignment="0" applyProtection="0"/>
    <xf numFmtId="43" fontId="14" fillId="0" borderId="0" applyFont="0" applyFill="0" applyBorder="0" applyAlignment="0" applyProtection="0"/>
    <xf numFmtId="0" fontId="13" fillId="0" borderId="0"/>
    <xf numFmtId="9"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xf numFmtId="0" fontId="12" fillId="0" borderId="0"/>
    <xf numFmtId="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168" fontId="20" fillId="0" borderId="0" applyFont="0" applyFill="0" applyBorder="0" applyAlignment="0" applyProtection="0"/>
    <xf numFmtId="43" fontId="21" fillId="0" borderId="0" applyFont="0" applyFill="0" applyBorder="0" applyAlignment="0" applyProtection="0"/>
    <xf numFmtId="43" fontId="20" fillId="0" borderId="0" applyFont="0" applyFill="0" applyBorder="0" applyAlignment="0" applyProtection="0"/>
    <xf numFmtId="170" fontId="21" fillId="0" borderId="0"/>
    <xf numFmtId="43" fontId="11" fillId="0" borderId="0" applyFont="0" applyFill="0" applyBorder="0" applyAlignment="0" applyProtection="0"/>
    <xf numFmtId="168" fontId="20" fillId="0" borderId="0" applyFont="0" applyFill="0" applyBorder="0" applyAlignment="0" applyProtection="0"/>
    <xf numFmtId="170" fontId="21" fillId="0" borderId="0"/>
    <xf numFmtId="43" fontId="2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22" fillId="0" borderId="0"/>
    <xf numFmtId="0" fontId="20" fillId="0" borderId="0"/>
    <xf numFmtId="43" fontId="10" fillId="0" borderId="0" applyFont="0" applyFill="0" applyBorder="0" applyAlignment="0" applyProtection="0"/>
    <xf numFmtId="0" fontId="10" fillId="0" borderId="0"/>
    <xf numFmtId="9" fontId="10" fillId="0" borderId="0" applyFont="0" applyFill="0" applyBorder="0" applyAlignment="0" applyProtection="0"/>
    <xf numFmtId="170" fontId="21" fillId="0" borderId="0"/>
    <xf numFmtId="0" fontId="10" fillId="0" borderId="0"/>
    <xf numFmtId="0" fontId="10" fillId="0" borderId="0"/>
    <xf numFmtId="0" fontId="27" fillId="0" borderId="0" applyNumberFormat="0" applyFill="0" applyBorder="0" applyProtection="0"/>
    <xf numFmtId="0" fontId="29" fillId="0" borderId="0" applyFill="0" applyBorder="0" applyAlignment="0" applyProtection="0"/>
    <xf numFmtId="166" fontId="10" fillId="0" borderId="0" applyFont="0" applyFill="0" applyBorder="0" applyAlignment="0" applyProtection="0"/>
    <xf numFmtId="0" fontId="27" fillId="0" borderId="0" applyNumberFormat="0" applyFill="0" applyBorder="0" applyProtection="0"/>
    <xf numFmtId="166" fontId="27" fillId="0" borderId="0" applyFont="0" applyFill="0" applyBorder="0" applyAlignment="0" applyProtection="0"/>
    <xf numFmtId="0" fontId="20" fillId="0" borderId="0"/>
    <xf numFmtId="0" fontId="20" fillId="0" borderId="0"/>
    <xf numFmtId="0" fontId="20" fillId="0" borderId="0"/>
    <xf numFmtId="166" fontId="20" fillId="0" borderId="0" applyFont="0" applyFill="0" applyBorder="0" applyAlignment="0" applyProtection="0"/>
    <xf numFmtId="43" fontId="20" fillId="0" borderId="0" applyFont="0" applyFill="0" applyBorder="0" applyAlignment="0" applyProtection="0"/>
    <xf numFmtId="0" fontId="10" fillId="0" borderId="0"/>
    <xf numFmtId="0" fontId="30" fillId="0" borderId="0"/>
    <xf numFmtId="0" fontId="20" fillId="0" borderId="0"/>
    <xf numFmtId="0" fontId="20" fillId="0" borderId="0"/>
    <xf numFmtId="0" fontId="20" fillId="0" borderId="0">
      <alignment vertical="center"/>
    </xf>
    <xf numFmtId="171" fontId="20" fillId="0" borderId="0" applyFont="0" applyFill="0" applyBorder="0" applyAlignment="0" applyProtection="0"/>
    <xf numFmtId="0" fontId="31" fillId="0" borderId="0"/>
    <xf numFmtId="0" fontId="17" fillId="0" borderId="0"/>
    <xf numFmtId="44" fontId="10" fillId="0" borderId="0" applyFont="0" applyFill="0" applyBorder="0" applyAlignment="0" applyProtection="0"/>
    <xf numFmtId="0" fontId="20" fillId="0" borderId="0"/>
    <xf numFmtId="0" fontId="9" fillId="0" borderId="0"/>
    <xf numFmtId="43" fontId="9" fillId="0" borderId="0" applyFont="0" applyFill="0" applyBorder="0" applyAlignment="0" applyProtection="0"/>
    <xf numFmtId="170" fontId="21" fillId="0" borderId="0"/>
    <xf numFmtId="170" fontId="21"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20" fillId="0" borderId="0"/>
    <xf numFmtId="43" fontId="20" fillId="0" borderId="0" applyFont="0" applyFill="0" applyBorder="0" applyAlignment="0" applyProtection="0"/>
    <xf numFmtId="43" fontId="36" fillId="0" borderId="0" applyFont="0" applyFill="0" applyBorder="0" applyAlignment="0" applyProtection="0"/>
    <xf numFmtId="0" fontId="36" fillId="0" borderId="0"/>
    <xf numFmtId="43" fontId="17" fillId="0" borderId="0" applyFont="0" applyFill="0" applyBorder="0" applyAlignment="0" applyProtection="0"/>
    <xf numFmtId="173" fontId="20" fillId="0" borderId="0" applyFont="0" applyFill="0" applyBorder="0" applyAlignment="0" applyProtection="0"/>
    <xf numFmtId="0" fontId="20" fillId="0" borderId="0"/>
    <xf numFmtId="43" fontId="21"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0" fontId="37" fillId="0" borderId="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9"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9" fillId="0" borderId="0"/>
    <xf numFmtId="0" fontId="20" fillId="0" borderId="0"/>
    <xf numFmtId="0" fontId="20" fillId="0" borderId="0"/>
    <xf numFmtId="0" fontId="20" fillId="0" borderId="0"/>
    <xf numFmtId="43" fontId="20" fillId="0" borderId="0" applyFont="0" applyFill="0" applyBorder="0" applyAlignment="0" applyProtection="0"/>
    <xf numFmtId="43" fontId="9" fillId="0" borderId="0" applyFont="0" applyFill="0" applyBorder="0" applyAlignment="0" applyProtection="0"/>
    <xf numFmtId="170" fontId="21" fillId="0" borderId="0"/>
    <xf numFmtId="43" fontId="21" fillId="0" borderId="0" applyFont="0" applyFill="0" applyBorder="0" applyAlignment="0" applyProtection="0"/>
    <xf numFmtId="0" fontId="22" fillId="0" borderId="0"/>
    <xf numFmtId="0" fontId="38" fillId="0" borderId="0" applyNumberForma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36" fillId="0" borderId="0" applyFont="0" applyFill="0" applyBorder="0" applyAlignment="0" applyProtection="0"/>
    <xf numFmtId="43" fontId="17" fillId="0" borderId="0" applyFont="0" applyFill="0" applyBorder="0" applyAlignment="0" applyProtection="0"/>
    <xf numFmtId="43" fontId="21"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1" fillId="0" borderId="0" applyFont="0" applyFill="0" applyBorder="0" applyAlignment="0" applyProtection="0"/>
    <xf numFmtId="0" fontId="22" fillId="0" borderId="0"/>
    <xf numFmtId="0" fontId="22" fillId="0" borderId="0"/>
    <xf numFmtId="0" fontId="39" fillId="0" borderId="0"/>
    <xf numFmtId="43" fontId="20" fillId="0" borderId="0" applyFont="0" applyFill="0" applyBorder="0" applyAlignment="0" applyProtection="0"/>
    <xf numFmtId="0" fontId="20" fillId="0" borderId="0"/>
    <xf numFmtId="0" fontId="36" fillId="0" borderId="0"/>
    <xf numFmtId="43" fontId="3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3" fontId="20" fillId="0" borderId="0" applyFont="0" applyFill="0" applyBorder="0" applyAlignment="0" applyProtection="0"/>
    <xf numFmtId="0" fontId="20" fillId="0" borderId="0"/>
    <xf numFmtId="173"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0" fontId="42" fillId="18" borderId="0" applyNumberFormat="0" applyBorder="0" applyAlignment="0" applyProtection="0"/>
    <xf numFmtId="0" fontId="20" fillId="0" borderId="0"/>
    <xf numFmtId="43" fontId="20" fillId="0" borderId="0" applyFont="0" applyFill="0" applyBorder="0" applyAlignment="0" applyProtection="0"/>
    <xf numFmtId="175" fontId="20" fillId="0" borderId="0" applyFont="0" applyFill="0" applyBorder="0" applyAlignment="0" applyProtection="0"/>
    <xf numFmtId="174" fontId="43"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42" fillId="19"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174"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4" fontId="43"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4" fontId="28"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0" fontId="22"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4" fontId="22" fillId="0" borderId="0" applyFont="0" applyFill="0" applyBorder="0" applyAlignment="0" applyProtection="0"/>
    <xf numFmtId="44" fontId="22"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20" fillId="0" borderId="0"/>
    <xf numFmtId="0" fontId="36" fillId="0" borderId="0"/>
    <xf numFmtId="0" fontId="9" fillId="0" borderId="0"/>
    <xf numFmtId="0" fontId="9" fillId="0" borderId="0"/>
    <xf numFmtId="0" fontId="20" fillId="0" borderId="0"/>
    <xf numFmtId="0" fontId="2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0" fillId="0" borderId="0"/>
    <xf numFmtId="0" fontId="20" fillId="0" borderId="0"/>
    <xf numFmtId="0" fontId="20" fillId="0" borderId="0"/>
    <xf numFmtId="0" fontId="9" fillId="0" borderId="0"/>
    <xf numFmtId="0" fontId="20" fillId="0" borderId="0"/>
    <xf numFmtId="0" fontId="9" fillId="0" borderId="0"/>
    <xf numFmtId="0" fontId="20" fillId="0" borderId="0"/>
    <xf numFmtId="0" fontId="17" fillId="0" borderId="0"/>
    <xf numFmtId="0" fontId="20" fillId="0" borderId="0"/>
    <xf numFmtId="0" fontId="17" fillId="0" borderId="0">
      <alignment vertical="center"/>
    </xf>
    <xf numFmtId="0" fontId="20" fillId="0" borderId="0"/>
    <xf numFmtId="0" fontId="9" fillId="0" borderId="0"/>
    <xf numFmtId="0" fontId="9" fillId="0" borderId="0"/>
    <xf numFmtId="0" fontId="20" fillId="0" borderId="0"/>
    <xf numFmtId="0" fontId="20" fillId="0" borderId="0"/>
    <xf numFmtId="0" fontId="20" fillId="0" borderId="0"/>
    <xf numFmtId="0" fontId="17" fillId="0" borderId="0"/>
    <xf numFmtId="0" fontId="9" fillId="0" borderId="0"/>
    <xf numFmtId="0" fontId="20" fillId="0" borderId="0"/>
    <xf numFmtId="0" fontId="43" fillId="0" borderId="0"/>
    <xf numFmtId="0" fontId="20" fillId="0" borderId="0"/>
    <xf numFmtId="0" fontId="22" fillId="0" borderId="0"/>
    <xf numFmtId="0" fontId="9" fillId="0" borderId="0"/>
    <xf numFmtId="0" fontId="43" fillId="0" borderId="0"/>
    <xf numFmtId="0" fontId="9" fillId="0" borderId="0"/>
    <xf numFmtId="0" fontId="22" fillId="0" borderId="0"/>
    <xf numFmtId="0" fontId="2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22" fillId="0" borderId="0" applyFont="0" applyFill="0" applyBorder="0" applyAlignment="0" applyProtection="0"/>
    <xf numFmtId="9" fontId="20" fillId="0" borderId="0" applyFont="0" applyFill="0" applyBorder="0" applyAlignment="0" applyProtection="0"/>
    <xf numFmtId="9" fontId="22" fillId="0" borderId="0" applyFont="0" applyFill="0" applyBorder="0" applyAlignment="0" applyProtection="0"/>
    <xf numFmtId="43" fontId="20" fillId="0" borderId="0" applyFont="0" applyFill="0" applyBorder="0" applyAlignment="0" applyProtection="0"/>
    <xf numFmtId="0" fontId="39" fillId="0" borderId="0"/>
    <xf numFmtId="43" fontId="20" fillId="0" borderId="0" applyFont="0" applyFill="0" applyBorder="0" applyAlignment="0" applyProtection="0"/>
    <xf numFmtId="0" fontId="24" fillId="0" borderId="0"/>
    <xf numFmtId="0" fontId="9" fillId="0" borderId="0"/>
    <xf numFmtId="0" fontId="20" fillId="0" borderId="0"/>
    <xf numFmtId="43" fontId="9" fillId="0" borderId="0" applyFont="0" applyFill="0" applyBorder="0" applyAlignment="0" applyProtection="0"/>
    <xf numFmtId="0" fontId="44" fillId="0" borderId="0"/>
    <xf numFmtId="0" fontId="20" fillId="0" borderId="0"/>
    <xf numFmtId="165" fontId="20" fillId="0" borderId="0" applyFont="0" applyFill="0" applyBorder="0" applyAlignment="0" applyProtection="0"/>
    <xf numFmtId="43" fontId="20"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17" fillId="0" borderId="0">
      <alignment vertical="top"/>
      <protection locked="0"/>
    </xf>
    <xf numFmtId="43" fontId="21"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48" fillId="0" borderId="0" applyFont="0" applyFill="0" applyBorder="0" applyAlignment="0" applyProtection="0">
      <alignment vertical="center"/>
    </xf>
    <xf numFmtId="43" fontId="9" fillId="0" borderId="0" applyFont="0" applyFill="0" applyBorder="0" applyAlignment="0" applyProtection="0"/>
    <xf numFmtId="0" fontId="46" fillId="7" borderId="0" applyNumberFormat="0" applyBorder="0" applyAlignment="0" applyProtection="0"/>
    <xf numFmtId="0" fontId="20" fillId="0" borderId="0">
      <alignment vertical="center"/>
    </xf>
    <xf numFmtId="0" fontId="9" fillId="0" borderId="0"/>
    <xf numFmtId="0" fontId="20" fillId="0" borderId="0">
      <alignment vertical="center"/>
    </xf>
    <xf numFmtId="0" fontId="20" fillId="0" borderId="0"/>
    <xf numFmtId="0" fontId="47" fillId="0" borderId="0">
      <alignment vertical="center"/>
    </xf>
    <xf numFmtId="9" fontId="21" fillId="0" borderId="0">
      <alignment vertical="top"/>
      <protection locked="0"/>
    </xf>
    <xf numFmtId="43" fontId="36" fillId="0" borderId="0">
      <alignment vertical="top"/>
      <protection locked="0"/>
    </xf>
    <xf numFmtId="0" fontId="44" fillId="0" borderId="0"/>
    <xf numFmtId="0" fontId="21" fillId="0" borderId="0">
      <protection locked="0"/>
    </xf>
    <xf numFmtId="0" fontId="21" fillId="0" borderId="0">
      <protection locked="0"/>
    </xf>
    <xf numFmtId="0" fontId="21" fillId="0" borderId="0">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1"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4" fillId="0" borderId="0"/>
    <xf numFmtId="0" fontId="80" fillId="0" borderId="0"/>
    <xf numFmtId="43" fontId="20"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43" fontId="20" fillId="0" borderId="0" applyFont="0" applyFill="0" applyBorder="0" applyAlignment="0" applyProtection="0"/>
    <xf numFmtId="0" fontId="39" fillId="0" borderId="0"/>
    <xf numFmtId="0" fontId="24" fillId="0" borderId="0"/>
    <xf numFmtId="0" fontId="24" fillId="0" borderId="0"/>
    <xf numFmtId="0" fontId="24" fillId="0" borderId="0"/>
    <xf numFmtId="0" fontId="24"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0" fillId="0" borderId="0"/>
    <xf numFmtId="0" fontId="20" fillId="0" borderId="0"/>
    <xf numFmtId="43" fontId="20" fillId="0" borderId="0" applyFont="0" applyFill="0" applyBorder="0" applyAlignment="0" applyProtection="0"/>
    <xf numFmtId="0" fontId="4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4"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4" fillId="0" borderId="0"/>
    <xf numFmtId="0" fontId="39" fillId="0" borderId="0"/>
    <xf numFmtId="0" fontId="39" fillId="0" borderId="0"/>
    <xf numFmtId="0" fontId="39" fillId="0" borderId="0"/>
    <xf numFmtId="0" fontId="39" fillId="0" borderId="0"/>
    <xf numFmtId="0" fontId="39" fillId="0" borderId="0"/>
    <xf numFmtId="0" fontId="24" fillId="0" borderId="0"/>
    <xf numFmtId="0" fontId="39" fillId="0" borderId="0"/>
    <xf numFmtId="0" fontId="39" fillId="0" borderId="0"/>
    <xf numFmtId="0" fontId="39" fillId="0" borderId="0"/>
    <xf numFmtId="0" fontId="24" fillId="0" borderId="0"/>
    <xf numFmtId="0" fontId="24" fillId="0" borderId="0"/>
    <xf numFmtId="0" fontId="39" fillId="0" borderId="0"/>
    <xf numFmtId="0" fontId="39" fillId="0" borderId="0"/>
    <xf numFmtId="0" fontId="39" fillId="0" borderId="0"/>
    <xf numFmtId="0" fontId="39" fillId="0" borderId="0"/>
    <xf numFmtId="0" fontId="39" fillId="0" borderId="0"/>
    <xf numFmtId="0" fontId="24" fillId="0" borderId="0"/>
    <xf numFmtId="0" fontId="39" fillId="0" borderId="0"/>
    <xf numFmtId="179" fontId="24" fillId="0" borderId="0"/>
    <xf numFmtId="0" fontId="39" fillId="0" borderId="0"/>
    <xf numFmtId="0" fontId="39" fillId="0" borderId="0"/>
    <xf numFmtId="0" fontId="39" fillId="0" borderId="0"/>
    <xf numFmtId="0" fontId="39" fillId="0" borderId="0"/>
    <xf numFmtId="0" fontId="39" fillId="0" borderId="0"/>
    <xf numFmtId="0" fontId="88" fillId="0" borderId="0" applyFont="0" applyFill="0" applyBorder="0" applyAlignment="0" applyProtection="0"/>
    <xf numFmtId="0" fontId="88" fillId="0" borderId="0" applyFont="0" applyFill="0" applyBorder="0" applyAlignment="0" applyProtection="0"/>
    <xf numFmtId="0" fontId="90" fillId="0" borderId="0"/>
    <xf numFmtId="0" fontId="51" fillId="0" borderId="0"/>
    <xf numFmtId="0" fontId="17" fillId="20" borderId="0" applyNumberFormat="0" applyBorder="0" applyAlignment="0" applyProtection="0"/>
    <xf numFmtId="0" fontId="17" fillId="21" borderId="0" applyNumberFormat="0" applyBorder="0" applyAlignment="0" applyProtection="0"/>
    <xf numFmtId="0" fontId="9" fillId="21" borderId="0" applyNumberFormat="0" applyBorder="0" applyAlignment="0" applyProtection="0"/>
    <xf numFmtId="0" fontId="17" fillId="4" borderId="0" applyNumberFormat="0" applyBorder="0" applyAlignment="0" applyProtection="0"/>
    <xf numFmtId="0" fontId="9" fillId="4" borderId="0" applyNumberFormat="0" applyBorder="0" applyAlignment="0" applyProtection="0"/>
    <xf numFmtId="0" fontId="17" fillId="17" borderId="0" applyNumberFormat="0" applyBorder="0" applyAlignment="0" applyProtection="0"/>
    <xf numFmtId="0" fontId="17" fillId="3"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17" fillId="17" borderId="0" applyNumberFormat="0" applyBorder="0" applyAlignment="0" applyProtection="0"/>
    <xf numFmtId="0" fontId="17" fillId="24" borderId="0" applyNumberFormat="0" applyBorder="0" applyAlignment="0" applyProtection="0"/>
    <xf numFmtId="0" fontId="17" fillId="27" borderId="0" applyNumberFormat="0" applyBorder="0" applyAlignment="0" applyProtection="0"/>
    <xf numFmtId="0" fontId="42" fillId="28" borderId="0" applyNumberFormat="0" applyBorder="0" applyAlignment="0" applyProtection="0"/>
    <xf numFmtId="0" fontId="42" fillId="25" borderId="0" applyNumberFormat="0" applyBorder="0" applyAlignment="0" applyProtection="0"/>
    <xf numFmtId="0" fontId="42" fillId="26" borderId="0" applyNumberFormat="0" applyBorder="0" applyAlignment="0" applyProtection="0"/>
    <xf numFmtId="0" fontId="42" fillId="29" borderId="0" applyNumberFormat="0" applyBorder="0" applyAlignment="0" applyProtection="0"/>
    <xf numFmtId="0" fontId="42" fillId="30" borderId="0" applyNumberFormat="0" applyBorder="0" applyAlignment="0" applyProtection="0"/>
    <xf numFmtId="0" fontId="35" fillId="43" borderId="0" applyNumberFormat="0" applyBorder="0" applyAlignment="0" applyProtection="0"/>
    <xf numFmtId="0" fontId="42" fillId="31" borderId="0" applyNumberFormat="0" applyBorder="0" applyAlignment="0" applyProtection="0"/>
    <xf numFmtId="0" fontId="35" fillId="31" borderId="0" applyNumberFormat="0" applyBorder="0" applyAlignment="0" applyProtection="0"/>
    <xf numFmtId="9" fontId="83" fillId="0" borderId="0"/>
    <xf numFmtId="0" fontId="20" fillId="0" borderId="0"/>
    <xf numFmtId="0" fontId="42" fillId="5" borderId="0" applyNumberFormat="0" applyBorder="0" applyAlignment="0" applyProtection="0"/>
    <xf numFmtId="0" fontId="42" fillId="18" borderId="0" applyNumberFormat="0" applyBorder="0" applyAlignment="0" applyProtection="0"/>
    <xf numFmtId="0" fontId="42" fillId="32" borderId="0" applyNumberFormat="0" applyBorder="0" applyAlignment="0" applyProtection="0"/>
    <xf numFmtId="0" fontId="42" fillId="29" borderId="0" applyNumberFormat="0" applyBorder="0" applyAlignment="0" applyProtection="0"/>
    <xf numFmtId="0" fontId="42" fillId="30" borderId="0" applyNumberFormat="0" applyBorder="0" applyAlignment="0" applyProtection="0"/>
    <xf numFmtId="0" fontId="42" fillId="19" borderId="0" applyNumberFormat="0" applyBorder="0" applyAlignment="0" applyProtection="0"/>
    <xf numFmtId="0" fontId="42" fillId="33" borderId="0" applyNumberFormat="0" applyBorder="0" applyAlignment="0" applyProtection="0"/>
    <xf numFmtId="198" fontId="83" fillId="0" borderId="0" applyFont="0" applyFill="0" applyBorder="0" applyAlignment="0" applyProtection="0"/>
    <xf numFmtId="0" fontId="83" fillId="0" borderId="0" applyFont="0" applyFill="0" applyBorder="0" applyAlignment="0" applyProtection="0"/>
    <xf numFmtId="0" fontId="84" fillId="0" borderId="0">
      <alignment horizontal="justify" vertical="top" wrapText="1"/>
    </xf>
    <xf numFmtId="0" fontId="39" fillId="0" borderId="0"/>
    <xf numFmtId="0" fontId="39" fillId="0" borderId="0"/>
    <xf numFmtId="0" fontId="20" fillId="0" borderId="0" applyFill="0" applyBorder="0">
      <alignment vertical="center"/>
    </xf>
    <xf numFmtId="172" fontId="51" fillId="0" borderId="0" applyFont="0" applyFill="0" applyBorder="0" applyAlignment="0" applyProtection="0"/>
    <xf numFmtId="0" fontId="83" fillId="0" borderId="0" applyFont="0" applyFill="0" applyBorder="0" applyAlignment="0" applyProtection="0"/>
    <xf numFmtId="172" fontId="51" fillId="0" borderId="6">
      <protection locked="0"/>
    </xf>
    <xf numFmtId="0" fontId="52" fillId="21" borderId="0" applyNumberFormat="0" applyBorder="0" applyAlignment="0" applyProtection="0"/>
    <xf numFmtId="0" fontId="93" fillId="0" borderId="0" applyNumberFormat="0" applyFill="0" applyBorder="0" applyAlignment="0" applyProtection="0"/>
    <xf numFmtId="0" fontId="92" fillId="0" borderId="0"/>
    <xf numFmtId="192" fontId="27" fillId="0" borderId="0" applyFill="0" applyBorder="0" applyAlignment="0"/>
    <xf numFmtId="172" fontId="78" fillId="0" borderId="0" applyFill="0" applyBorder="0" applyAlignment="0"/>
    <xf numFmtId="204" fontId="78" fillId="0" borderId="0" applyFill="0" applyBorder="0" applyAlignment="0"/>
    <xf numFmtId="197" fontId="73" fillId="0" borderId="0" applyFill="0" applyBorder="0" applyAlignment="0"/>
    <xf numFmtId="176" fontId="73" fillId="0" borderId="0" applyFill="0" applyBorder="0" applyAlignment="0"/>
    <xf numFmtId="202" fontId="20" fillId="0" borderId="0" applyFill="0" applyBorder="0" applyAlignment="0"/>
    <xf numFmtId="195" fontId="20" fillId="0" borderId="0" applyFill="0" applyBorder="0" applyAlignment="0"/>
    <xf numFmtId="172" fontId="78" fillId="0" borderId="0" applyFill="0" applyBorder="0" applyAlignment="0"/>
    <xf numFmtId="0" fontId="53" fillId="16" borderId="17" applyNumberFormat="0" applyAlignment="0" applyProtection="0"/>
    <xf numFmtId="0" fontId="53" fillId="34" borderId="17" applyNumberFormat="0" applyAlignment="0" applyProtection="0"/>
    <xf numFmtId="0" fontId="53" fillId="34" borderId="17" applyNumberFormat="0" applyAlignment="0" applyProtection="0"/>
    <xf numFmtId="0" fontId="34" fillId="44" borderId="14" applyNumberFormat="0" applyAlignment="0" applyProtection="0"/>
    <xf numFmtId="0" fontId="53" fillId="16" borderId="17" applyNumberFormat="0" applyAlignment="0" applyProtection="0"/>
    <xf numFmtId="0" fontId="53" fillId="16" borderId="17" applyNumberFormat="0" applyAlignment="0" applyProtection="0"/>
    <xf numFmtId="0" fontId="54" fillId="35" borderId="18" applyNumberFormat="0" applyAlignment="0" applyProtection="0"/>
    <xf numFmtId="0" fontId="19" fillId="9" borderId="15" applyNumberFormat="0" applyAlignment="0" applyProtection="0"/>
    <xf numFmtId="43" fontId="9" fillId="0" borderId="0" applyFont="0" applyFill="0" applyBorder="0" applyAlignment="0" applyProtection="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196" fontId="20" fillId="0" borderId="0" applyFill="0" applyBorder="0" applyAlignment="0" applyProtection="0"/>
    <xf numFmtId="202" fontId="20" fillId="0" borderId="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208" fontId="20" fillId="0" borderId="0" applyFont="0" applyFill="0" applyBorder="0" applyAlignment="0" applyProtection="0"/>
    <xf numFmtId="43" fontId="9" fillId="0" borderId="0" applyFont="0" applyFill="0" applyBorder="0" applyAlignment="0" applyProtection="0"/>
    <xf numFmtId="173" fontId="20" fillId="0" borderId="0" applyFont="0" applyFill="0" applyBorder="0" applyAlignment="0" applyProtection="0"/>
    <xf numFmtId="43" fontId="20" fillId="0" borderId="0" applyFont="0" applyFill="0" applyBorder="0" applyAlignment="0" applyProtection="0"/>
    <xf numFmtId="43" fontId="17" fillId="0" borderId="0">
      <alignment vertical="top"/>
      <protection locked="0"/>
    </xf>
    <xf numFmtId="43" fontId="17" fillId="0" borderId="0">
      <alignment vertical="top"/>
      <protection locked="0"/>
    </xf>
    <xf numFmtId="0" fontId="9" fillId="0" borderId="0" applyFont="0" applyFill="0" applyBorder="0" applyAlignment="0" applyProtection="0"/>
    <xf numFmtId="0" fontId="9" fillId="0" borderId="0" applyFont="0" applyFill="0" applyBorder="0" applyAlignment="0" applyProtection="0"/>
    <xf numFmtId="43" fontId="21"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4" fontId="17"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93" fontId="20" fillId="0" borderId="0" applyFill="0" applyBorder="0" applyAlignment="0" applyProtection="0"/>
    <xf numFmtId="177" fontId="20"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3" fontId="20" fillId="0" borderId="0" applyFont="0" applyFill="0" applyBorder="0" applyAlignment="0" applyProtection="0"/>
    <xf numFmtId="0" fontId="20" fillId="0" borderId="0" applyFont="0" applyFill="0" applyBorder="0" applyAlignment="0" applyProtection="0"/>
    <xf numFmtId="43" fontId="20" fillId="0" borderId="0" applyFont="0" applyFill="0" applyBorder="0" applyAlignment="0" applyProtection="0"/>
    <xf numFmtId="174" fontId="20" fillId="0" borderId="0" applyFont="0" applyFill="0" applyBorder="0" applyAlignment="0" applyProtection="0"/>
    <xf numFmtId="0" fontId="20" fillId="0" borderId="0" applyFont="0" applyFill="0" applyBorder="0" applyAlignment="0" applyProtection="0"/>
    <xf numFmtId="43" fontId="20" fillId="0" borderId="0" applyFont="0" applyFill="0" applyBorder="0" applyAlignment="0" applyProtection="0"/>
    <xf numFmtId="177" fontId="20" fillId="0" borderId="0" applyFill="0" applyBorder="0" applyAlignment="0" applyProtection="0"/>
    <xf numFmtId="173" fontId="20" fillId="0" borderId="0" applyFont="0" applyFill="0" applyBorder="0" applyAlignment="0" applyProtection="0"/>
    <xf numFmtId="0"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6" fillId="0" borderId="0">
      <alignment vertical="top"/>
      <protection locked="0"/>
    </xf>
    <xf numFmtId="43" fontId="20" fillId="0" borderId="0" applyFont="0" applyFill="0" applyBorder="0" applyAlignment="0" applyProtection="0"/>
    <xf numFmtId="0" fontId="17" fillId="0" borderId="0" applyFont="0" applyFill="0" applyBorder="0" applyAlignment="0" applyProtection="0"/>
    <xf numFmtId="0"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168" fontId="20" fillId="0" borderId="0" applyFont="0" applyFill="0" applyBorder="0" applyAlignment="0" applyProtection="0"/>
    <xf numFmtId="43" fontId="9" fillId="0" borderId="0" applyFont="0" applyFill="0" applyBorder="0" applyAlignment="0" applyProtection="0"/>
    <xf numFmtId="209" fontId="20" fillId="0" borderId="0" applyFont="0" applyFill="0" applyBorder="0" applyAlignment="0" applyProtection="0"/>
    <xf numFmtId="43" fontId="20" fillId="0" borderId="0" applyFont="0" applyFill="0" applyBorder="0" applyAlignment="0" applyProtection="0"/>
    <xf numFmtId="40" fontId="9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17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174" fontId="9" fillId="0" borderId="0" applyFont="0" applyFill="0" applyBorder="0" applyAlignment="0" applyProtection="0"/>
    <xf numFmtId="43" fontId="9" fillId="0" borderId="0" applyFont="0" applyFill="0" applyBorder="0" applyAlignment="0" applyProtection="0"/>
    <xf numFmtId="174" fontId="20" fillId="0" borderId="0" applyFont="0" applyFill="0" applyBorder="0" applyAlignment="0" applyProtection="0"/>
    <xf numFmtId="43" fontId="20" fillId="0" borderId="0">
      <alignment vertical="top"/>
      <protection locked="0"/>
    </xf>
    <xf numFmtId="0" fontId="20" fillId="0" borderId="0" applyFont="0" applyFill="0" applyBorder="0" applyAlignment="0" applyProtection="0"/>
    <xf numFmtId="43" fontId="48" fillId="0" borderId="0" applyFont="0" applyFill="0" applyBorder="0" applyAlignment="0" applyProtection="0">
      <alignment vertical="center"/>
    </xf>
    <xf numFmtId="43" fontId="48" fillId="0" borderId="0" applyFont="0" applyFill="0" applyBorder="0" applyAlignment="0" applyProtection="0">
      <alignment vertical="center"/>
    </xf>
    <xf numFmtId="177" fontId="20" fillId="0" borderId="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164" fontId="3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17" fillId="0" borderId="0" applyFont="0" applyFill="0" applyBorder="0" applyAlignment="0" applyProtection="0"/>
    <xf numFmtId="43" fontId="20"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43" fontId="3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7" fontId="20" fillId="0" borderId="0" applyFill="0" applyBorder="0" applyAlignment="0" applyProtection="0"/>
    <xf numFmtId="0" fontId="24" fillId="0" borderId="0" applyFont="0" applyFill="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173" fontId="20" fillId="0" borderId="0" applyFont="0" applyFill="0" applyBorder="0" applyAlignment="0" applyProtection="0"/>
    <xf numFmtId="173" fontId="20" fillId="0" borderId="0" applyFont="0" applyFill="0" applyBorder="0" applyAlignment="0" applyProtection="0"/>
    <xf numFmtId="173" fontId="20" fillId="0" borderId="0" applyFont="0" applyFill="0" applyBorder="0" applyAlignment="0" applyProtection="0"/>
    <xf numFmtId="17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82"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80" fontId="51" fillId="0" borderId="0"/>
    <xf numFmtId="211" fontId="74" fillId="0" borderId="0">
      <protection locked="0"/>
    </xf>
    <xf numFmtId="0" fontId="96" fillId="0" borderId="0" applyNumberFormat="0" applyAlignment="0">
      <alignment horizontal="left"/>
    </xf>
    <xf numFmtId="172" fontId="104" fillId="0" borderId="9" applyNumberFormat="0" applyBorder="0" applyAlignment="0" applyProtection="0">
      <protection locked="0"/>
    </xf>
    <xf numFmtId="172" fontId="20" fillId="0" borderId="0" applyFill="0" applyBorder="0" applyAlignment="0" applyProtection="0"/>
    <xf numFmtId="165" fontId="20" fillId="0" borderId="0" applyFont="0" applyFill="0" applyBorder="0" applyAlignment="0" applyProtection="0"/>
    <xf numFmtId="184" fontId="20" fillId="0" borderId="0" applyFont="0" applyFill="0" applyBorder="0" applyAlignment="0" applyProtection="0"/>
    <xf numFmtId="165" fontId="20" fillId="0" borderId="0" applyFont="0" applyFill="0" applyBorder="0" applyAlignment="0" applyProtection="0"/>
    <xf numFmtId="44" fontId="22" fillId="0" borderId="0" applyFont="0" applyFill="0" applyBorder="0" applyAlignment="0" applyProtection="0"/>
    <xf numFmtId="165" fontId="20" fillId="0" borderId="0" applyFont="0" applyFill="0" applyBorder="0" applyAlignment="0" applyProtection="0"/>
    <xf numFmtId="181" fontId="74" fillId="0" borderId="0">
      <protection locked="0"/>
    </xf>
    <xf numFmtId="183" fontId="51" fillId="0" borderId="0"/>
    <xf numFmtId="0" fontId="23" fillId="0" borderId="0" applyProtection="0"/>
    <xf numFmtId="14" fontId="27" fillId="0" borderId="0" applyFill="0" applyBorder="0" applyAlignment="0"/>
    <xf numFmtId="0" fontId="23" fillId="0" borderId="0" applyProtection="0"/>
    <xf numFmtId="185" fontId="20" fillId="0" borderId="19">
      <alignment vertical="center"/>
    </xf>
    <xf numFmtId="168" fontId="51" fillId="0" borderId="0"/>
    <xf numFmtId="202" fontId="20" fillId="0" borderId="0" applyFill="0" applyBorder="0" applyAlignment="0"/>
    <xf numFmtId="172" fontId="78" fillId="0" borderId="0" applyFill="0" applyBorder="0" applyAlignment="0"/>
    <xf numFmtId="202" fontId="20" fillId="0" borderId="0" applyFill="0" applyBorder="0" applyAlignment="0"/>
    <xf numFmtId="195" fontId="20" fillId="0" borderId="0" applyFill="0" applyBorder="0" applyAlignment="0"/>
    <xf numFmtId="172" fontId="78" fillId="0" borderId="0" applyFill="0" applyBorder="0" applyAlignment="0"/>
    <xf numFmtId="0" fontId="86" fillId="0" borderId="0" applyNumberFormat="0" applyAlignment="0">
      <alignment horizontal="left"/>
    </xf>
    <xf numFmtId="194" fontId="20" fillId="0" borderId="0" applyFont="0" applyFill="0" applyBorder="0" applyAlignment="0" applyProtection="0"/>
    <xf numFmtId="194" fontId="20" fillId="0" borderId="0" applyFont="0" applyFill="0" applyBorder="0" applyAlignment="0" applyProtection="0"/>
    <xf numFmtId="194" fontId="24" fillId="0" borderId="0" applyFont="0" applyFill="0" applyBorder="0" applyAlignment="0" applyProtection="0"/>
    <xf numFmtId="194" fontId="20" fillId="0" borderId="0" applyFont="0" applyFill="0" applyBorder="0" applyAlignment="0" applyProtection="0"/>
    <xf numFmtId="0" fontId="20" fillId="0" borderId="0"/>
    <xf numFmtId="0" fontId="20" fillId="0" borderId="0"/>
    <xf numFmtId="0" fontId="55" fillId="0" borderId="0" applyNumberFormat="0" applyFill="0" applyBorder="0" applyAlignment="0" applyProtection="0"/>
    <xf numFmtId="0" fontId="76" fillId="0" borderId="0">
      <protection locked="0"/>
    </xf>
    <xf numFmtId="0" fontId="76" fillId="0" borderId="0">
      <protection locked="0"/>
    </xf>
    <xf numFmtId="0" fontId="79" fillId="0" borderId="0">
      <protection locked="0"/>
    </xf>
    <xf numFmtId="0" fontId="76" fillId="0" borderId="0">
      <protection locked="0"/>
    </xf>
    <xf numFmtId="0" fontId="76" fillId="0" borderId="0">
      <protection locked="0"/>
    </xf>
    <xf numFmtId="0" fontId="76" fillId="0" borderId="0">
      <protection locked="0"/>
    </xf>
    <xf numFmtId="0" fontId="79" fillId="0" borderId="0">
      <protection locked="0"/>
    </xf>
    <xf numFmtId="2" fontId="23" fillId="0" borderId="0" applyProtection="0"/>
    <xf numFmtId="0" fontId="51" fillId="0" borderId="2" applyNumberFormat="0" applyFill="0" applyBorder="0" applyAlignment="0" applyProtection="0">
      <protection locked="0"/>
    </xf>
    <xf numFmtId="209" fontId="102" fillId="0" borderId="8">
      <alignment horizontal="right"/>
    </xf>
    <xf numFmtId="0" fontId="56" fillId="4" borderId="0" applyNumberFormat="0" applyBorder="0" applyAlignment="0" applyProtection="0"/>
    <xf numFmtId="0" fontId="33" fillId="45" borderId="0" applyNumberFormat="0" applyBorder="0" applyAlignment="0" applyProtection="0"/>
    <xf numFmtId="38" fontId="71" fillId="16" borderId="0" applyNumberFormat="0" applyBorder="0" applyAlignment="0" applyProtection="0"/>
    <xf numFmtId="0" fontId="25" fillId="0" borderId="1" applyNumberFormat="0" applyAlignment="0" applyProtection="0">
      <alignment horizontal="left" vertical="center"/>
    </xf>
    <xf numFmtId="0" fontId="25" fillId="0" borderId="11">
      <alignment horizontal="left" vertical="center"/>
    </xf>
    <xf numFmtId="0" fontId="57" fillId="0" borderId="20" applyNumberFormat="0" applyFill="0" applyAlignment="0" applyProtection="0"/>
    <xf numFmtId="0" fontId="58" fillId="0" borderId="21" applyNumberFormat="0" applyFill="0" applyAlignment="0" applyProtection="0"/>
    <xf numFmtId="0" fontId="59" fillId="0" borderId="22" applyNumberFormat="0" applyFill="0" applyAlignment="0" applyProtection="0"/>
    <xf numFmtId="0" fontId="59" fillId="0" borderId="0" applyNumberFormat="0" applyFill="0" applyBorder="0" applyAlignment="0" applyProtection="0"/>
    <xf numFmtId="0" fontId="32" fillId="0" borderId="0" applyNumberFormat="0" applyFill="0" applyBorder="0" applyAlignment="0" applyProtection="0"/>
    <xf numFmtId="0" fontId="45" fillId="0" borderId="0" applyProtection="0"/>
    <xf numFmtId="0" fontId="25" fillId="0" borderId="0" applyProtection="0"/>
    <xf numFmtId="0" fontId="69" fillId="0" borderId="0" applyNumberFormat="0" applyFill="0" applyBorder="0" applyAlignment="0" applyProtection="0">
      <alignment vertical="top"/>
      <protection locked="0"/>
    </xf>
    <xf numFmtId="0" fontId="111" fillId="0" borderId="0" applyNumberFormat="0" applyFill="0" applyBorder="0" applyAlignment="0" applyProtection="0">
      <alignment vertical="top"/>
      <protection locked="0"/>
    </xf>
    <xf numFmtId="0" fontId="70" fillId="0" borderId="0" applyNumberFormat="0" applyFill="0" applyBorder="0" applyAlignment="0" applyProtection="0">
      <alignment vertical="top"/>
      <protection locked="0"/>
    </xf>
    <xf numFmtId="0" fontId="105" fillId="0" borderId="0" applyNumberFormat="0" applyFill="0" applyBorder="0" applyAlignment="0" applyProtection="0">
      <alignment vertical="top"/>
      <protection locked="0"/>
    </xf>
    <xf numFmtId="188" fontId="20" fillId="0" borderId="0" applyProtection="0">
      <alignment horizontal="center"/>
    </xf>
    <xf numFmtId="10" fontId="71" fillId="36" borderId="13" applyNumberFormat="0" applyBorder="0" applyAlignment="0" applyProtection="0"/>
    <xf numFmtId="0" fontId="60" fillId="23" borderId="17" applyNumberFormat="0" applyAlignment="0" applyProtection="0"/>
    <xf numFmtId="0" fontId="60" fillId="22"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3" borderId="17" applyNumberFormat="0" applyAlignment="0" applyProtection="0"/>
    <xf numFmtId="202" fontId="20" fillId="0" borderId="0" applyFill="0" applyBorder="0" applyAlignment="0"/>
    <xf numFmtId="172" fontId="78" fillId="0" borderId="0" applyFill="0" applyBorder="0" applyAlignment="0"/>
    <xf numFmtId="202" fontId="20" fillId="0" borderId="0" applyFill="0" applyBorder="0" applyAlignment="0"/>
    <xf numFmtId="195" fontId="20" fillId="0" borderId="0" applyFill="0" applyBorder="0" applyAlignment="0"/>
    <xf numFmtId="172" fontId="78" fillId="0" borderId="0" applyFill="0" applyBorder="0" applyAlignment="0"/>
    <xf numFmtId="0" fontId="61" fillId="0" borderId="23" applyNumberFormat="0" applyFill="0" applyAlignment="0" applyProtection="0"/>
    <xf numFmtId="172" fontId="85" fillId="37" borderId="0"/>
    <xf numFmtId="189" fontId="20" fillId="0" borderId="0" applyFont="0" applyFill="0" applyBorder="0" applyAlignment="0" applyProtection="0"/>
    <xf numFmtId="210" fontId="20" fillId="0" borderId="0" applyFont="0" applyFill="0" applyBorder="0" applyAlignment="0" applyProtection="0"/>
    <xf numFmtId="199" fontId="20" fillId="0" borderId="0" applyFont="0" applyFill="0" applyBorder="0" applyAlignment="0" applyProtection="0"/>
    <xf numFmtId="205" fontId="20" fillId="0" borderId="0" applyFont="0" applyFill="0" applyBorder="0" applyAlignment="0" applyProtection="0"/>
    <xf numFmtId="0" fontId="62" fillId="38" borderId="0" applyNumberFormat="0" applyBorder="0" applyAlignment="0" applyProtection="0"/>
    <xf numFmtId="0" fontId="37" fillId="0" borderId="0">
      <alignment horizontal="justify" vertical="top" wrapText="1"/>
    </xf>
    <xf numFmtId="37" fontId="75" fillId="0" borderId="0"/>
    <xf numFmtId="0" fontId="20" fillId="0" borderId="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 fillId="0" borderId="0"/>
    <xf numFmtId="0" fontId="22" fillId="0" borderId="0"/>
    <xf numFmtId="0" fontId="20" fillId="0" borderId="0"/>
    <xf numFmtId="0" fontId="9" fillId="0" borderId="0"/>
    <xf numFmtId="0" fontId="22" fillId="0" borderId="0"/>
    <xf numFmtId="0" fontId="9" fillId="0" borderId="0"/>
    <xf numFmtId="0" fontId="20" fillId="0" borderId="0"/>
    <xf numFmtId="0" fontId="22" fillId="0" borderId="0"/>
    <xf numFmtId="0" fontId="9" fillId="0" borderId="0"/>
    <xf numFmtId="0" fontId="20" fillId="0" borderId="0"/>
    <xf numFmtId="0" fontId="9" fillId="0" borderId="0"/>
    <xf numFmtId="0" fontId="20" fillId="0" borderId="0"/>
    <xf numFmtId="0" fontId="20" fillId="0" borderId="0"/>
    <xf numFmtId="0" fontId="9" fillId="0" borderId="0"/>
    <xf numFmtId="0" fontId="20" fillId="0" borderId="0"/>
    <xf numFmtId="0" fontId="20" fillId="0" borderId="0"/>
    <xf numFmtId="0" fontId="20" fillId="0" borderId="0"/>
    <xf numFmtId="191" fontId="20" fillId="0" borderId="0"/>
    <xf numFmtId="0" fontId="20" fillId="0" borderId="0"/>
    <xf numFmtId="0" fontId="51" fillId="0" borderId="0" applyNumberFormat="0" applyFill="0" applyBorder="0" applyProtection="0">
      <alignment vertical="top" wrapText="1"/>
    </xf>
    <xf numFmtId="0" fontId="20" fillId="0" borderId="0"/>
    <xf numFmtId="0" fontId="20" fillId="0" borderId="0"/>
    <xf numFmtId="0" fontId="36"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 fillId="0" borderId="0"/>
    <xf numFmtId="179" fontId="9" fillId="0" borderId="0"/>
    <xf numFmtId="179" fontId="9" fillId="0" borderId="0"/>
    <xf numFmtId="0" fontId="84" fillId="0" borderId="0"/>
    <xf numFmtId="0" fontId="20" fillId="0" borderId="0"/>
    <xf numFmtId="0" fontId="9" fillId="0" borderId="0"/>
    <xf numFmtId="0" fontId="9" fillId="0" borderId="0"/>
    <xf numFmtId="0" fontId="112" fillId="0" borderId="0"/>
    <xf numFmtId="0" fontId="20" fillId="0" borderId="0"/>
    <xf numFmtId="0" fontId="20" fillId="0" borderId="0"/>
    <xf numFmtId="0" fontId="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0" fillId="0" borderId="0"/>
    <xf numFmtId="0" fontId="9" fillId="0" borderId="0"/>
    <xf numFmtId="0" fontId="9" fillId="0" borderId="0"/>
    <xf numFmtId="0" fontId="9" fillId="0" borderId="0"/>
    <xf numFmtId="0" fontId="9" fillId="0" borderId="0"/>
    <xf numFmtId="0" fontId="9" fillId="0" borderId="0"/>
    <xf numFmtId="0" fontId="9" fillId="0" borderId="0"/>
    <xf numFmtId="0" fontId="20" fillId="0" borderId="0"/>
    <xf numFmtId="0" fontId="9" fillId="0" borderId="0"/>
    <xf numFmtId="0" fontId="20" fillId="0" borderId="0"/>
    <xf numFmtId="0" fontId="20" fillId="0" borderId="0"/>
    <xf numFmtId="0" fontId="9" fillId="0" borderId="0"/>
    <xf numFmtId="0" fontId="20" fillId="0" borderId="0"/>
    <xf numFmtId="0" fontId="20" fillId="0" borderId="0"/>
    <xf numFmtId="0" fontId="20" fillId="0" borderId="0"/>
    <xf numFmtId="0" fontId="36" fillId="0" borderId="0"/>
    <xf numFmtId="0" fontId="112" fillId="0" borderId="0"/>
    <xf numFmtId="0" fontId="20" fillId="0" borderId="0" applyNumberFormat="0" applyFont="0" applyFill="0" applyBorder="0" applyAlignment="0" applyProtection="0">
      <alignment vertical="top"/>
    </xf>
    <xf numFmtId="0" fontId="9" fillId="0" borderId="0"/>
    <xf numFmtId="0" fontId="20" fillId="0" borderId="0"/>
    <xf numFmtId="0" fontId="20" fillId="0" borderId="0"/>
    <xf numFmtId="0" fontId="20" fillId="0" borderId="0"/>
    <xf numFmtId="0" fontId="20" fillId="0" borderId="0"/>
    <xf numFmtId="0" fontId="20" fillId="0" borderId="0"/>
    <xf numFmtId="0" fontId="41" fillId="0" borderId="0"/>
    <xf numFmtId="0" fontId="20" fillId="0" borderId="0"/>
    <xf numFmtId="0" fontId="9" fillId="0" borderId="0"/>
    <xf numFmtId="0" fontId="9" fillId="0" borderId="0"/>
    <xf numFmtId="0" fontId="9" fillId="0" borderId="0"/>
    <xf numFmtId="0" fontId="20" fillId="36" borderId="24" applyNumberFormat="0" applyFont="0" applyAlignment="0" applyProtection="0"/>
    <xf numFmtId="0" fontId="20" fillId="39" borderId="24" applyNumberFormat="0" applyFont="0" applyAlignment="0" applyProtection="0"/>
    <xf numFmtId="0" fontId="20" fillId="39" borderId="24" applyNumberFormat="0" applyFont="0" applyAlignment="0" applyProtection="0"/>
    <xf numFmtId="0" fontId="20" fillId="46" borderId="16" applyNumberFormat="0" applyFont="0" applyAlignment="0" applyProtection="0"/>
    <xf numFmtId="0" fontId="20" fillId="36" borderId="24" applyNumberFormat="0" applyFont="0" applyAlignment="0" applyProtection="0"/>
    <xf numFmtId="0" fontId="20" fillId="36" borderId="24" applyNumberFormat="0" applyFont="0" applyAlignment="0" applyProtection="0"/>
    <xf numFmtId="40" fontId="103" fillId="0" borderId="0" applyFont="0" applyFill="0" applyBorder="0" applyAlignment="0" applyProtection="0"/>
    <xf numFmtId="38" fontId="103" fillId="0" borderId="0" applyFont="0" applyFill="0" applyBorder="0" applyAlignment="0" applyProtection="0"/>
    <xf numFmtId="0" fontId="63" fillId="16" borderId="25" applyNumberFormat="0" applyAlignment="0" applyProtection="0"/>
    <xf numFmtId="0" fontId="63" fillId="34" borderId="25" applyNumberFormat="0" applyAlignment="0" applyProtection="0"/>
    <xf numFmtId="0" fontId="63" fillId="34" borderId="25" applyNumberFormat="0" applyAlignment="0" applyProtection="0"/>
    <xf numFmtId="0" fontId="63" fillId="16" borderId="25" applyNumberFormat="0" applyAlignment="0" applyProtection="0"/>
    <xf numFmtId="0" fontId="63" fillId="16" borderId="25" applyNumberFormat="0" applyAlignment="0" applyProtection="0"/>
    <xf numFmtId="0" fontId="66" fillId="40" borderId="0"/>
    <xf numFmtId="176" fontId="20" fillId="0" borderId="0" applyFill="0" applyBorder="0" applyAlignment="0" applyProtection="0"/>
    <xf numFmtId="203" fontId="20" fillId="0" borderId="0" applyFill="0" applyBorder="0" applyAlignment="0" applyProtection="0"/>
    <xf numFmtId="10"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20" fillId="0" borderId="0" applyFont="0" applyFill="0" applyBorder="0" applyAlignment="0" applyProtection="0"/>
    <xf numFmtId="9" fontId="22" fillId="0" borderId="0" applyFont="0" applyFill="0" applyBorder="0" applyAlignment="0" applyProtection="0"/>
    <xf numFmtId="0" fontId="94" fillId="0" borderId="0" applyFont="0"/>
    <xf numFmtId="206" fontId="67" fillId="37" borderId="0"/>
    <xf numFmtId="202" fontId="20" fillId="0" borderId="0" applyFill="0" applyBorder="0" applyAlignment="0"/>
    <xf numFmtId="172" fontId="78" fillId="0" borderId="0" applyFill="0" applyBorder="0" applyAlignment="0"/>
    <xf numFmtId="202" fontId="20" fillId="0" borderId="0" applyFill="0" applyBorder="0" applyAlignment="0"/>
    <xf numFmtId="195" fontId="20" fillId="0" borderId="0" applyFill="0" applyBorder="0" applyAlignment="0"/>
    <xf numFmtId="172" fontId="78" fillId="0" borderId="0" applyFill="0" applyBorder="0" applyAlignment="0"/>
    <xf numFmtId="0" fontId="78" fillId="0" borderId="0">
      <alignment horizontal="left" vertical="top"/>
    </xf>
    <xf numFmtId="0" fontId="82" fillId="0" borderId="0">
      <alignment horizontal="left" vertical="top"/>
    </xf>
    <xf numFmtId="0" fontId="106" fillId="0" borderId="0">
      <alignment horizontal="left" vertical="top"/>
    </xf>
    <xf numFmtId="0" fontId="50" fillId="41" borderId="12">
      <alignment horizontal="left"/>
    </xf>
    <xf numFmtId="0" fontId="87" fillId="1" borderId="0">
      <alignment horizontal="center" vertical="center"/>
    </xf>
    <xf numFmtId="0" fontId="87" fillId="1" borderId="4">
      <alignment horizontal="centerContinuous" vertical="center"/>
    </xf>
    <xf numFmtId="0" fontId="77" fillId="41" borderId="13">
      <alignment horizontal="left" vertical="center"/>
    </xf>
    <xf numFmtId="0" fontId="78" fillId="0" borderId="0">
      <alignment horizontal="left" vertical="top"/>
    </xf>
    <xf numFmtId="201" fontId="78" fillId="0" borderId="0">
      <alignment horizontal="right" vertical="top"/>
    </xf>
    <xf numFmtId="0" fontId="82" fillId="0" borderId="0">
      <alignment horizontal="centerContinuous" vertical="top"/>
    </xf>
    <xf numFmtId="178" fontId="98" fillId="0" borderId="0" applyNumberFormat="0" applyFill="0" applyBorder="0" applyAlignment="0" applyProtection="0">
      <alignment horizontal="left"/>
    </xf>
    <xf numFmtId="0" fontId="91" fillId="0" borderId="0" applyNumberFormat="0" applyFill="0" applyBorder="0" applyAlignment="0" applyProtection="0">
      <alignment vertical="top"/>
      <protection locked="0"/>
    </xf>
    <xf numFmtId="1" fontId="51" fillId="0" borderId="0" applyBorder="0">
      <alignment horizontal="left" vertical="top" wrapText="1"/>
    </xf>
    <xf numFmtId="0" fontId="97" fillId="0" borderId="0"/>
    <xf numFmtId="0" fontId="39" fillId="0" borderId="0"/>
    <xf numFmtId="43" fontId="36" fillId="0" borderId="0">
      <alignment vertical="top"/>
      <protection locked="0"/>
    </xf>
    <xf numFmtId="0" fontId="24" fillId="0" borderId="0"/>
    <xf numFmtId="0" fontId="39" fillId="0" borderId="0"/>
    <xf numFmtId="0" fontId="9" fillId="0" borderId="0"/>
    <xf numFmtId="0" fontId="39" fillId="0" borderId="0"/>
    <xf numFmtId="0" fontId="39" fillId="0" borderId="0"/>
    <xf numFmtId="43" fontId="20" fillId="0" borderId="0" applyFont="0" applyFill="0" applyBorder="0" applyAlignment="0" applyProtection="0"/>
    <xf numFmtId="40" fontId="100" fillId="0" borderId="0" applyBorder="0">
      <alignment horizontal="right"/>
    </xf>
    <xf numFmtId="49" fontId="27" fillId="0" borderId="0" applyFill="0" applyBorder="0" applyAlignment="0"/>
    <xf numFmtId="200" fontId="20" fillId="0" borderId="0" applyFill="0" applyBorder="0" applyAlignment="0"/>
    <xf numFmtId="190" fontId="20" fillId="0" borderId="0" applyFill="0" applyBorder="0" applyAlignment="0"/>
    <xf numFmtId="40" fontId="77" fillId="0" borderId="0"/>
    <xf numFmtId="0" fontId="107" fillId="0" borderId="0" applyFill="0" applyBorder="0" applyProtection="0">
      <alignment horizontal="centerContinuous" vertical="center"/>
    </xf>
    <xf numFmtId="0" fontId="108" fillId="0" borderId="0" applyFill="0" applyBorder="0" applyProtection="0">
      <alignment horizontal="center" vertical="center"/>
    </xf>
    <xf numFmtId="0" fontId="68" fillId="0" borderId="0" applyNumberFormat="0" applyFill="0" applyBorder="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187" fontId="20" fillId="0" borderId="0" applyFont="0" applyFill="0" applyBorder="0" applyAlignment="0" applyProtection="0"/>
    <xf numFmtId="174" fontId="20" fillId="0" borderId="0" applyFont="0" applyFill="0" applyBorder="0" applyAlignment="0" applyProtection="0"/>
    <xf numFmtId="191" fontId="20" fillId="0" borderId="0" applyFont="0" applyFill="0" applyBorder="0" applyAlignment="0" applyProtection="0"/>
    <xf numFmtId="186" fontId="20" fillId="0" borderId="0" applyFont="0" applyFill="0" applyBorder="0" applyAlignment="0" applyProtection="0"/>
    <xf numFmtId="49" fontId="109" fillId="42" borderId="0">
      <alignment horizontal="left"/>
    </xf>
    <xf numFmtId="0" fontId="65" fillId="0" borderId="0" applyNumberFormat="0" applyFill="0" applyBorder="0" applyAlignment="0" applyProtection="0"/>
    <xf numFmtId="0" fontId="81" fillId="0" borderId="0" applyNumberFormat="0" applyFill="0" applyBorder="0" applyAlignment="0" applyProtection="0">
      <alignment vertical="top"/>
      <protection locked="0"/>
    </xf>
    <xf numFmtId="0" fontId="99" fillId="0" borderId="0" applyFont="0" applyFill="0" applyBorder="0" applyAlignment="0" applyProtection="0"/>
    <xf numFmtId="9" fontId="95" fillId="0" borderId="0" applyFill="0" applyBorder="0" applyProtection="0">
      <alignment horizontal="right"/>
    </xf>
    <xf numFmtId="10" fontId="95" fillId="0" borderId="0" applyFill="0" applyBorder="0" applyProtection="0">
      <alignment horizontal="right"/>
    </xf>
    <xf numFmtId="9" fontId="20" fillId="0" borderId="0" applyFont="0" applyFill="0" applyBorder="0" applyAlignment="0" applyProtection="0"/>
    <xf numFmtId="0" fontId="101" fillId="0" borderId="0"/>
    <xf numFmtId="164" fontId="72" fillId="0" borderId="0" applyFont="0" applyFill="0" applyBorder="0" applyAlignment="0" applyProtection="0"/>
    <xf numFmtId="164" fontId="72" fillId="0" borderId="0" applyFont="0" applyFill="0" applyBorder="0" applyAlignment="0" applyProtection="0"/>
    <xf numFmtId="187" fontId="89" fillId="0" borderId="0" applyFont="0" applyFill="0" applyBorder="0" applyAlignment="0" applyProtection="0">
      <alignment vertical="center"/>
    </xf>
    <xf numFmtId="41" fontId="72" fillId="0" borderId="0" applyFont="0" applyFill="0" applyBorder="0" applyAlignment="0" applyProtection="0"/>
    <xf numFmtId="41" fontId="72" fillId="0" borderId="0" applyFont="0" applyFill="0" applyBorder="0" applyAlignment="0" applyProtection="0"/>
    <xf numFmtId="0" fontId="39" fillId="0" borderId="0"/>
    <xf numFmtId="0" fontId="80" fillId="0" borderId="0" applyFont="0" applyFill="0" applyBorder="0" applyAlignment="0" applyProtection="0"/>
    <xf numFmtId="207" fontId="95" fillId="0" borderId="0" applyFill="0" applyBorder="0" applyProtection="0">
      <alignment horizontal="right"/>
    </xf>
    <xf numFmtId="0" fontId="80" fillId="0" borderId="0" applyFont="0" applyFill="0" applyBorder="0" applyAlignment="0" applyProtection="0"/>
    <xf numFmtId="0" fontId="20" fillId="0" borderId="0" applyFill="0" applyBorder="0" applyAlignment="0" applyProtection="0"/>
    <xf numFmtId="0" fontId="20" fillId="0" borderId="0" applyFill="0" applyBorder="0" applyAlignment="0" applyProtection="0"/>
    <xf numFmtId="0" fontId="20" fillId="0" borderId="0"/>
    <xf numFmtId="0" fontId="89" fillId="0" borderId="0">
      <alignment vertical="center"/>
    </xf>
    <xf numFmtId="0" fontId="80" fillId="0" borderId="0"/>
    <xf numFmtId="0" fontId="110" fillId="0" borderId="0"/>
    <xf numFmtId="0" fontId="20" fillId="0" borderId="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17" fillId="0" borderId="0">
      <alignment vertical="top"/>
      <protection locked="0"/>
    </xf>
    <xf numFmtId="43" fontId="17" fillId="0" borderId="0">
      <alignment vertical="top"/>
      <protection locked="0"/>
    </xf>
    <xf numFmtId="43" fontId="21"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6"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48" fillId="0" borderId="0" applyFont="0" applyFill="0" applyBorder="0" applyAlignment="0" applyProtection="0">
      <alignment vertical="center"/>
    </xf>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4" fontId="22" fillId="0" borderId="0" applyFont="0" applyFill="0" applyBorder="0" applyAlignment="0" applyProtection="0"/>
    <xf numFmtId="173" fontId="20"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48"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6" fillId="0" borderId="0">
      <alignment vertical="top"/>
      <protection locked="0"/>
    </xf>
    <xf numFmtId="43" fontId="20"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36" fillId="0" borderId="0">
      <alignment vertical="top"/>
      <protection locked="0"/>
    </xf>
    <xf numFmtId="43" fontId="21" fillId="0" borderId="0">
      <alignment vertical="top"/>
      <protection locked="0"/>
    </xf>
    <xf numFmtId="43" fontId="17" fillId="0" borderId="0">
      <alignment vertical="top"/>
      <protection locked="0"/>
    </xf>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8"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36" fillId="0" borderId="0">
      <alignment vertical="top"/>
      <protection locked="0"/>
    </xf>
    <xf numFmtId="43" fontId="20" fillId="0" borderId="0" applyFont="0" applyFill="0" applyBorder="0" applyAlignment="0" applyProtection="0"/>
    <xf numFmtId="43" fontId="9"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0" fontId="24" fillId="0" borderId="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1"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1"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0" fontId="9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36" fillId="0" borderId="0" applyFont="0" applyFill="0" applyBorder="0" applyAlignment="0" applyProtection="0"/>
    <xf numFmtId="43" fontId="20"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96" fillId="0" borderId="0" applyNumberFormat="0" applyAlignment="0">
      <alignment horizontal="left"/>
    </xf>
    <xf numFmtId="172" fontId="104" fillId="0" borderId="9" applyNumberFormat="0" applyBorder="0" applyAlignment="0" applyProtection="0">
      <protection locked="0"/>
    </xf>
    <xf numFmtId="44" fontId="22" fillId="0" borderId="0" applyFont="0" applyFill="0" applyBorder="0" applyAlignment="0" applyProtection="0"/>
    <xf numFmtId="0" fontId="86" fillId="0" borderId="0" applyNumberFormat="0" applyAlignment="0">
      <alignment horizontal="left"/>
    </xf>
    <xf numFmtId="0" fontId="76" fillId="0" borderId="0">
      <protection locked="0"/>
    </xf>
    <xf numFmtId="0" fontId="76" fillId="0" borderId="0">
      <protection locked="0"/>
    </xf>
    <xf numFmtId="0" fontId="79" fillId="0" borderId="0">
      <protection locked="0"/>
    </xf>
    <xf numFmtId="0" fontId="76" fillId="0" borderId="0">
      <protection locked="0"/>
    </xf>
    <xf numFmtId="0" fontId="76" fillId="0" borderId="0">
      <protection locked="0"/>
    </xf>
    <xf numFmtId="0" fontId="76" fillId="0" borderId="0">
      <protection locked="0"/>
    </xf>
    <xf numFmtId="0" fontId="79" fillId="0" borderId="0">
      <protection locked="0"/>
    </xf>
    <xf numFmtId="37" fontId="75" fillId="0" borderId="0"/>
    <xf numFmtId="43" fontId="20"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0" fontId="20"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17" fillId="0" borderId="0">
      <alignment vertical="top"/>
      <protection locked="0"/>
    </xf>
    <xf numFmtId="43" fontId="17" fillId="0" borderId="0">
      <alignment vertical="top"/>
      <protection locked="0"/>
    </xf>
    <xf numFmtId="43" fontId="21"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6"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48" fillId="0" borderId="0" applyFont="0" applyFill="0" applyBorder="0" applyAlignment="0" applyProtection="0">
      <alignment vertical="center"/>
    </xf>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2" fillId="0" borderId="0" applyFont="0" applyFill="0" applyBorder="0" applyAlignment="0" applyProtection="0"/>
    <xf numFmtId="43" fontId="3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4"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0" fillId="0" borderId="0" applyFont="0" applyFill="0" applyBorder="0" applyAlignment="0" applyProtection="0"/>
    <xf numFmtId="0" fontId="20" fillId="0" borderId="0"/>
    <xf numFmtId="0" fontId="9" fillId="0" borderId="0"/>
    <xf numFmtId="43" fontId="20" fillId="0" borderId="0" applyFont="0" applyFill="0" applyBorder="0" applyAlignment="0" applyProtection="0"/>
    <xf numFmtId="43" fontId="2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21" fillId="0" borderId="0"/>
    <xf numFmtId="0" fontId="22" fillId="0" borderId="0"/>
    <xf numFmtId="0" fontId="9" fillId="0" borderId="0"/>
    <xf numFmtId="0" fontId="113" fillId="0" borderId="0"/>
    <xf numFmtId="0" fontId="22" fillId="0" borderId="0"/>
    <xf numFmtId="0" fontId="20" fillId="0" borderId="0"/>
    <xf numFmtId="0" fontId="113" fillId="0" borderId="0"/>
    <xf numFmtId="0" fontId="9" fillId="0" borderId="0"/>
    <xf numFmtId="0" fontId="9" fillId="0" borderId="0"/>
    <xf numFmtId="0" fontId="17"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165" fontId="9" fillId="0" borderId="0" applyFont="0" applyFill="0" applyBorder="0" applyAlignment="0" applyProtection="0"/>
    <xf numFmtId="44"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48"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6" fillId="0" borderId="0">
      <alignment vertical="top"/>
      <protection locked="0"/>
    </xf>
    <xf numFmtId="43" fontId="20"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36" fillId="0" borderId="0">
      <alignment vertical="top"/>
      <protection locked="0"/>
    </xf>
    <xf numFmtId="43" fontId="21" fillId="0" borderId="0">
      <alignment vertical="top"/>
      <protection locked="0"/>
    </xf>
    <xf numFmtId="43" fontId="17" fillId="0" borderId="0">
      <alignment vertical="top"/>
      <protection locked="0"/>
    </xf>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8"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175" fontId="20" fillId="0" borderId="0" applyFont="0" applyFill="0" applyBorder="0" applyAlignment="0" applyProtection="0"/>
    <xf numFmtId="174" fontId="113" fillId="0" borderId="0" applyFont="0" applyFill="0" applyBorder="0" applyAlignment="0" applyProtection="0"/>
    <xf numFmtId="174" fontId="28" fillId="0" borderId="0" applyFont="0" applyFill="0" applyBorder="0" applyAlignment="0" applyProtection="0"/>
    <xf numFmtId="43" fontId="20" fillId="0" borderId="0" applyFont="0" applyFill="0" applyBorder="0" applyAlignment="0" applyProtection="0"/>
    <xf numFmtId="174" fontId="1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36" fillId="0" borderId="0">
      <alignment vertical="top"/>
      <protection locked="0"/>
    </xf>
    <xf numFmtId="43" fontId="20" fillId="0" borderId="0" applyFont="0" applyFill="0" applyBorder="0" applyAlignment="0" applyProtection="0"/>
    <xf numFmtId="43" fontId="9"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0" fillId="0" borderId="0" applyFont="0" applyFill="0" applyBorder="0" applyAlignment="0" applyProtection="0"/>
    <xf numFmtId="0" fontId="20"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20"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174" fontId="43"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4" fontId="43"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4" fontId="22"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3" fillId="0" borderId="0"/>
    <xf numFmtId="0" fontId="9" fillId="0" borderId="0"/>
    <xf numFmtId="0" fontId="4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20" fillId="0" borderId="0" applyFont="0" applyFill="0" applyBorder="0" applyAlignment="0" applyProtection="0"/>
    <xf numFmtId="43" fontId="20"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20" fillId="0" borderId="0"/>
    <xf numFmtId="0" fontId="26" fillId="0" borderId="0"/>
    <xf numFmtId="0" fontId="31" fillId="0" borderId="0"/>
    <xf numFmtId="0" fontId="9" fillId="0" borderId="0"/>
    <xf numFmtId="43" fontId="36" fillId="0" borderId="0" applyFont="0" applyFill="0" applyBorder="0" applyAlignment="0" applyProtection="0"/>
    <xf numFmtId="43" fontId="17" fillId="0" borderId="0" applyFont="0" applyFill="0" applyBorder="0" applyAlignment="0" applyProtection="0"/>
    <xf numFmtId="0" fontId="22" fillId="0" borderId="0"/>
    <xf numFmtId="174" fontId="28" fillId="0" borderId="0" applyFont="0" applyFill="0" applyBorder="0" applyAlignment="0" applyProtection="0"/>
    <xf numFmtId="0" fontId="9" fillId="0" borderId="0"/>
    <xf numFmtId="9" fontId="22" fillId="0" borderId="0" applyFont="0" applyFill="0" applyBorder="0" applyAlignment="0" applyProtection="0"/>
    <xf numFmtId="179" fontId="9" fillId="0" borderId="0"/>
    <xf numFmtId="0" fontId="22" fillId="0" borderId="0"/>
    <xf numFmtId="43" fontId="20" fillId="0" borderId="0" applyFont="0" applyFill="0" applyBorder="0" applyAlignment="0" applyProtection="0"/>
    <xf numFmtId="0" fontId="9" fillId="0" borderId="0"/>
    <xf numFmtId="0" fontId="77" fillId="41" borderId="13">
      <alignment horizontal="lef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60" fillId="23" borderId="17" applyNumberFormat="0" applyAlignment="0" applyProtection="0"/>
    <xf numFmtId="0" fontId="9" fillId="0" borderId="0" applyFont="0" applyFill="0" applyBorder="0" applyAlignment="0" applyProtection="0"/>
    <xf numFmtId="43" fontId="9"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4" borderId="0" applyNumberFormat="0" applyBorder="0" applyAlignment="0" applyProtection="0"/>
    <xf numFmtId="179" fontId="9" fillId="0" borderId="0"/>
    <xf numFmtId="10" fontId="71" fillId="36" borderId="13" applyNumberFormat="0" applyBorder="0" applyAlignment="0" applyProtection="0"/>
    <xf numFmtId="0" fontId="9" fillId="0" borderId="0"/>
    <xf numFmtId="0" fontId="9" fillId="0" borderId="0"/>
    <xf numFmtId="0" fontId="9" fillId="0" borderId="0"/>
    <xf numFmtId="43" fontId="20" fillId="0" borderId="0" applyFont="0" applyFill="0" applyBorder="0" applyAlignment="0" applyProtection="0"/>
    <xf numFmtId="0" fontId="9" fillId="0" borderId="0"/>
    <xf numFmtId="0" fontId="9" fillId="21" borderId="0" applyNumberFormat="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9" fontId="118" fillId="0" borderId="0"/>
    <xf numFmtId="0" fontId="53" fillId="16" borderId="17" applyNumberFormat="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5" fillId="0" borderId="11">
      <alignment horizontal="left" vertical="center"/>
    </xf>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174" fontId="9" fillId="0" borderId="0" applyFont="0" applyFill="0" applyBorder="0" applyAlignment="0" applyProtection="0"/>
    <xf numFmtId="0" fontId="22" fillId="0" borderId="0"/>
    <xf numFmtId="0" fontId="9" fillId="0" borderId="0"/>
    <xf numFmtId="43" fontId="9" fillId="0" borderId="0" applyFont="0" applyFill="0" applyBorder="0" applyAlignment="0" applyProtection="0"/>
    <xf numFmtId="43" fontId="22" fillId="0" borderId="0" applyFont="0" applyFill="0" applyBorder="0" applyAlignment="0" applyProtection="0"/>
    <xf numFmtId="0" fontId="9" fillId="0" borderId="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10" fontId="71" fillId="36" borderId="13"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0" fillId="36" borderId="24" applyNumberFormat="0" applyFont="0" applyAlignment="0" applyProtection="0"/>
    <xf numFmtId="0" fontId="63" fillId="16" borderId="25" applyNumberFormat="0" applyAlignment="0" applyProtection="0"/>
    <xf numFmtId="0" fontId="50" fillId="41" borderId="10">
      <alignment horizontal="left"/>
    </xf>
    <xf numFmtId="0" fontId="77" fillId="41" borderId="13">
      <alignment horizontal="left" vertical="center"/>
    </xf>
    <xf numFmtId="0" fontId="64" fillId="0" borderId="26" applyNumberFormat="0" applyFill="0" applyAlignment="0" applyProtection="0"/>
    <xf numFmtId="9" fontId="22" fillId="0" borderId="0" applyFont="0" applyFill="0" applyBorder="0" applyAlignment="0" applyProtection="0"/>
    <xf numFmtId="174" fontId="28"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44" fillId="0" borderId="0"/>
    <xf numFmtId="0" fontId="89" fillId="0" borderId="0"/>
    <xf numFmtId="0" fontId="119" fillId="0" borderId="0"/>
    <xf numFmtId="0" fontId="89" fillId="0" borderId="0"/>
    <xf numFmtId="0" fontId="119" fillId="0" borderId="0"/>
    <xf numFmtId="0" fontId="31" fillId="0" borderId="0"/>
    <xf numFmtId="0" fontId="44" fillId="0" borderId="0"/>
    <xf numFmtId="0" fontId="31" fillId="0" borderId="0"/>
    <xf numFmtId="0" fontId="44" fillId="0" borderId="0"/>
    <xf numFmtId="0" fontId="2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1" fillId="0" borderId="0"/>
    <xf numFmtId="0" fontId="44" fillId="0" borderId="0"/>
    <xf numFmtId="0" fontId="31" fillId="0" borderId="0"/>
    <xf numFmtId="0" fontId="44" fillId="0" borderId="0"/>
    <xf numFmtId="0" fontId="31" fillId="0" borderId="0"/>
    <xf numFmtId="0" fontId="44" fillId="0" borderId="0"/>
    <xf numFmtId="0" fontId="24" fillId="0" borderId="0"/>
    <xf numFmtId="0" fontId="44" fillId="0" borderId="0"/>
    <xf numFmtId="0" fontId="24" fillId="0" borderId="0"/>
    <xf numFmtId="0" fontId="44" fillId="0" borderId="0"/>
    <xf numFmtId="0" fontId="31" fillId="0" borderId="0"/>
    <xf numFmtId="0" fontId="44" fillId="0" borderId="0"/>
    <xf numFmtId="0" fontId="24" fillId="0" borderId="0"/>
    <xf numFmtId="0" fontId="44" fillId="0" borderId="0"/>
    <xf numFmtId="0" fontId="44" fillId="0" borderId="0"/>
    <xf numFmtId="0" fontId="24" fillId="0" borderId="0"/>
    <xf numFmtId="0" fontId="44" fillId="0" borderId="0"/>
    <xf numFmtId="0" fontId="31" fillId="0" borderId="0"/>
    <xf numFmtId="0" fontId="44" fillId="0" borderId="0"/>
    <xf numFmtId="0" fontId="24" fillId="0" borderId="0"/>
    <xf numFmtId="0" fontId="44" fillId="0" borderId="0"/>
    <xf numFmtId="0" fontId="31" fillId="0" borderId="0"/>
    <xf numFmtId="0" fontId="44" fillId="0" borderId="0"/>
    <xf numFmtId="0" fontId="31" fillId="0" borderId="0"/>
    <xf numFmtId="0" fontId="44" fillId="0" borderId="0"/>
    <xf numFmtId="0" fontId="31" fillId="0" borderId="0"/>
    <xf numFmtId="0" fontId="44" fillId="0" borderId="0"/>
    <xf numFmtId="0" fontId="31" fillId="0" borderId="0"/>
    <xf numFmtId="0" fontId="44" fillId="0" borderId="0"/>
    <xf numFmtId="0" fontId="24" fillId="0" borderId="0"/>
    <xf numFmtId="0" fontId="44" fillId="0" borderId="0"/>
    <xf numFmtId="0" fontId="44" fillId="0" borderId="0"/>
    <xf numFmtId="0" fontId="44" fillId="0" borderId="0"/>
    <xf numFmtId="0" fontId="24" fillId="0" borderId="0"/>
    <xf numFmtId="0" fontId="44" fillId="0" borderId="0"/>
    <xf numFmtId="0" fontId="31" fillId="0" borderId="0"/>
    <xf numFmtId="0" fontId="44" fillId="0" borderId="0"/>
    <xf numFmtId="0" fontId="44" fillId="0" borderId="0"/>
    <xf numFmtId="0" fontId="24" fillId="0" borderId="0"/>
    <xf numFmtId="0" fontId="44" fillId="0" borderId="0"/>
    <xf numFmtId="0" fontId="31" fillId="0" borderId="0"/>
    <xf numFmtId="0" fontId="31" fillId="0" borderId="0"/>
    <xf numFmtId="0" fontId="44" fillId="0" borderId="0"/>
    <xf numFmtId="0" fontId="44" fillId="0" borderId="0"/>
    <xf numFmtId="0" fontId="31" fillId="0" borderId="0"/>
    <xf numFmtId="0" fontId="44" fillId="0" borderId="0"/>
    <xf numFmtId="0" fontId="44" fillId="0" borderId="0"/>
    <xf numFmtId="0" fontId="44"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24" fillId="0" borderId="0"/>
    <xf numFmtId="0" fontId="44" fillId="0" borderId="0"/>
    <xf numFmtId="0" fontId="24" fillId="0" borderId="0"/>
    <xf numFmtId="0" fontId="44" fillId="0" borderId="0"/>
    <xf numFmtId="0" fontId="24" fillId="0" borderId="0"/>
    <xf numFmtId="0" fontId="44" fillId="0" borderId="0"/>
    <xf numFmtId="0" fontId="44"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31" fillId="0" borderId="0"/>
    <xf numFmtId="0" fontId="44" fillId="0" borderId="0"/>
    <xf numFmtId="0" fontId="31" fillId="0" borderId="0"/>
    <xf numFmtId="0" fontId="44" fillId="0" borderId="0"/>
    <xf numFmtId="0" fontId="24" fillId="0" borderId="0"/>
    <xf numFmtId="0" fontId="44" fillId="0" borderId="0"/>
    <xf numFmtId="0" fontId="24" fillId="0" borderId="0"/>
    <xf numFmtId="0" fontId="44" fillId="0" borderId="0"/>
    <xf numFmtId="0" fontId="44" fillId="0" borderId="0"/>
    <xf numFmtId="0" fontId="24" fillId="0" borderId="0"/>
    <xf numFmtId="0" fontId="44" fillId="0" borderId="0"/>
    <xf numFmtId="0" fontId="44"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44" fillId="0" borderId="0"/>
    <xf numFmtId="0" fontId="24" fillId="0" borderId="0"/>
    <xf numFmtId="0" fontId="44" fillId="0" borderId="0"/>
    <xf numFmtId="0" fontId="44" fillId="0" borderId="0"/>
    <xf numFmtId="0" fontId="44" fillId="0" borderId="0"/>
    <xf numFmtId="0" fontId="44" fillId="0" borderId="0"/>
    <xf numFmtId="0" fontId="24"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31" fillId="0" borderId="0"/>
    <xf numFmtId="0" fontId="44" fillId="0" borderId="0"/>
    <xf numFmtId="0" fontId="44" fillId="0" borderId="0"/>
    <xf numFmtId="0" fontId="44" fillId="0" borderId="0"/>
    <xf numFmtId="0" fontId="44" fillId="0" borderId="0"/>
    <xf numFmtId="0" fontId="24" fillId="0" borderId="0"/>
    <xf numFmtId="0" fontId="44" fillId="0" borderId="0"/>
    <xf numFmtId="0" fontId="31" fillId="0" borderId="0"/>
    <xf numFmtId="0" fontId="44" fillId="0" borderId="0"/>
    <xf numFmtId="0" fontId="24" fillId="0" borderId="0"/>
    <xf numFmtId="0" fontId="44" fillId="0" borderId="0"/>
    <xf numFmtId="0" fontId="24" fillId="0" borderId="0"/>
    <xf numFmtId="0" fontId="44" fillId="0" borderId="0"/>
    <xf numFmtId="0" fontId="31" fillId="0" borderId="0"/>
    <xf numFmtId="0" fontId="44" fillId="0" borderId="0"/>
    <xf numFmtId="0" fontId="44" fillId="0" borderId="0"/>
    <xf numFmtId="0" fontId="31" fillId="0" borderId="0"/>
    <xf numFmtId="0" fontId="44" fillId="0" borderId="0"/>
    <xf numFmtId="0" fontId="44" fillId="0" borderId="0"/>
    <xf numFmtId="0" fontId="44" fillId="0" borderId="0"/>
    <xf numFmtId="0" fontId="44" fillId="0" borderId="0"/>
    <xf numFmtId="0" fontId="31" fillId="0" borderId="0"/>
    <xf numFmtId="0" fontId="44" fillId="0" borderId="0"/>
    <xf numFmtId="0" fontId="44" fillId="0" borderId="0"/>
    <xf numFmtId="0" fontId="24" fillId="0" borderId="0"/>
    <xf numFmtId="0" fontId="44" fillId="0" borderId="0"/>
    <xf numFmtId="0" fontId="31" fillId="0" borderId="0"/>
    <xf numFmtId="0" fontId="44" fillId="0" borderId="0"/>
    <xf numFmtId="0" fontId="24" fillId="0" borderId="0"/>
    <xf numFmtId="0" fontId="44" fillId="0" borderId="0"/>
    <xf numFmtId="0" fontId="44" fillId="0" borderId="0"/>
    <xf numFmtId="0" fontId="24" fillId="0" borderId="0"/>
    <xf numFmtId="0" fontId="44" fillId="0" borderId="0"/>
    <xf numFmtId="0" fontId="31" fillId="0" borderId="0"/>
    <xf numFmtId="0" fontId="44" fillId="0" borderId="0"/>
    <xf numFmtId="0" fontId="44" fillId="0" borderId="0"/>
    <xf numFmtId="0" fontId="31" fillId="0" borderId="0"/>
    <xf numFmtId="0" fontId="44" fillId="0" borderId="0"/>
    <xf numFmtId="0" fontId="24" fillId="0" borderId="0"/>
    <xf numFmtId="0" fontId="44" fillId="0" borderId="0"/>
    <xf numFmtId="0" fontId="44" fillId="0" borderId="0"/>
    <xf numFmtId="0" fontId="31" fillId="0" borderId="0"/>
    <xf numFmtId="0" fontId="44"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44" fillId="0" borderId="0"/>
    <xf numFmtId="0" fontId="24" fillId="0" borderId="0"/>
    <xf numFmtId="0" fontId="44" fillId="0" borderId="0"/>
    <xf numFmtId="0" fontId="31" fillId="0" borderId="0"/>
    <xf numFmtId="0" fontId="44" fillId="0" borderId="0"/>
    <xf numFmtId="0" fontId="44" fillId="0" borderId="0"/>
    <xf numFmtId="0" fontId="31" fillId="0" borderId="0"/>
    <xf numFmtId="0" fontId="44" fillId="0" borderId="0"/>
    <xf numFmtId="0" fontId="24" fillId="0" borderId="0"/>
    <xf numFmtId="0" fontId="44" fillId="0" borderId="0"/>
    <xf numFmtId="0" fontId="44" fillId="0" borderId="0"/>
    <xf numFmtId="0" fontId="44" fillId="0" borderId="0"/>
    <xf numFmtId="0" fontId="24" fillId="0" borderId="0"/>
    <xf numFmtId="0" fontId="44" fillId="0" borderId="0"/>
    <xf numFmtId="0" fontId="31" fillId="0" borderId="0"/>
    <xf numFmtId="0" fontId="44" fillId="0" borderId="0"/>
    <xf numFmtId="0" fontId="31" fillId="0" borderId="0"/>
    <xf numFmtId="0" fontId="44" fillId="0" borderId="0"/>
    <xf numFmtId="0" fontId="31" fillId="0" borderId="0"/>
    <xf numFmtId="0" fontId="44" fillId="0" borderId="0"/>
    <xf numFmtId="0" fontId="44" fillId="0" borderId="0"/>
    <xf numFmtId="0" fontId="44" fillId="0" borderId="0"/>
    <xf numFmtId="0" fontId="24" fillId="0" borderId="0"/>
    <xf numFmtId="0" fontId="44" fillId="0" borderId="0"/>
    <xf numFmtId="0" fontId="31" fillId="0" borderId="0"/>
    <xf numFmtId="0" fontId="44" fillId="0" borderId="0"/>
    <xf numFmtId="0" fontId="24" fillId="0" borderId="0"/>
    <xf numFmtId="0" fontId="44"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4" fillId="0" borderId="0"/>
    <xf numFmtId="0" fontId="44" fillId="0" borderId="0"/>
    <xf numFmtId="0" fontId="24" fillId="0" borderId="0"/>
    <xf numFmtId="0" fontId="44"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31" fillId="0" borderId="0"/>
    <xf numFmtId="0" fontId="44" fillId="0" borderId="0"/>
    <xf numFmtId="0" fontId="24" fillId="0" borderId="0"/>
    <xf numFmtId="0" fontId="44" fillId="0" borderId="0"/>
    <xf numFmtId="0" fontId="24" fillId="0" borderId="0"/>
    <xf numFmtId="0" fontId="44"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44" fillId="0" borderId="0"/>
    <xf numFmtId="0" fontId="24" fillId="0" borderId="0"/>
    <xf numFmtId="0" fontId="44" fillId="0" borderId="0"/>
    <xf numFmtId="0" fontId="24" fillId="0" borderId="0"/>
    <xf numFmtId="0" fontId="44" fillId="0" borderId="0"/>
    <xf numFmtId="0" fontId="31" fillId="0" borderId="0"/>
    <xf numFmtId="0" fontId="44"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31" fillId="0" borderId="0"/>
    <xf numFmtId="0" fontId="44" fillId="0" borderId="0"/>
    <xf numFmtId="0" fontId="44" fillId="0" borderId="0"/>
    <xf numFmtId="0" fontId="24" fillId="0" borderId="0"/>
    <xf numFmtId="0" fontId="44" fillId="0" borderId="0"/>
    <xf numFmtId="0" fontId="31" fillId="0" borderId="0"/>
    <xf numFmtId="0" fontId="44" fillId="0" borderId="0"/>
    <xf numFmtId="0" fontId="24" fillId="0" borderId="0"/>
    <xf numFmtId="0" fontId="44" fillId="0" borderId="0"/>
    <xf numFmtId="0" fontId="24" fillId="0" borderId="0"/>
    <xf numFmtId="0" fontId="44" fillId="0" borderId="0"/>
    <xf numFmtId="0" fontId="44" fillId="0" borderId="0"/>
    <xf numFmtId="0" fontId="44" fillId="0" borderId="0"/>
    <xf numFmtId="0" fontId="31" fillId="0" borderId="0"/>
    <xf numFmtId="0" fontId="44" fillId="0" borderId="0"/>
    <xf numFmtId="0" fontId="24" fillId="0" borderId="0"/>
    <xf numFmtId="0" fontId="44" fillId="0" borderId="0"/>
    <xf numFmtId="0" fontId="119" fillId="0" borderId="0"/>
    <xf numFmtId="0" fontId="17" fillId="0" borderId="0"/>
    <xf numFmtId="0" fontId="119" fillId="0" borderId="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20"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21"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49" borderId="0" applyNumberFormat="0" applyBorder="0" applyAlignment="0" applyProtection="0"/>
    <xf numFmtId="0" fontId="9" fillId="11"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50"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4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9" fillId="12"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4"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1" borderId="0" applyNumberFormat="0" applyBorder="0" applyAlignment="0" applyProtection="0"/>
    <xf numFmtId="0" fontId="9" fillId="1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1"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17"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9" fillId="1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3"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6"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55"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23"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57"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24"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25"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0"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26"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62"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17"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24"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58"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27"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64"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42" fillId="66" borderId="0" applyNumberFormat="0" applyBorder="0" applyAlignment="0" applyProtection="0"/>
    <xf numFmtId="0" fontId="42" fillId="66"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66"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28" borderId="0" applyNumberFormat="0" applyBorder="0" applyAlignment="0" applyProtection="0"/>
    <xf numFmtId="0" fontId="42" fillId="66"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28"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6" borderId="0" applyNumberFormat="0" applyBorder="0" applyAlignment="0" applyProtection="0"/>
    <xf numFmtId="0" fontId="42" fillId="66"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66" borderId="0" applyNumberFormat="0" applyBorder="0" applyAlignment="0" applyProtection="0"/>
    <xf numFmtId="0" fontId="42" fillId="66"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66" borderId="0" applyNumberFormat="0" applyBorder="0" applyAlignment="0" applyProtection="0"/>
    <xf numFmtId="0" fontId="42" fillId="66"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66" borderId="0" applyNumberFormat="0" applyBorder="0" applyAlignment="0" applyProtection="0"/>
    <xf numFmtId="0" fontId="42" fillId="66"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66" borderId="0" applyNumberFormat="0" applyBorder="0" applyAlignment="0" applyProtection="0"/>
    <xf numFmtId="0" fontId="42" fillId="66"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66" borderId="0" applyNumberFormat="0" applyBorder="0" applyAlignment="0" applyProtection="0"/>
    <xf numFmtId="0" fontId="42" fillId="66"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66" borderId="0" applyNumberFormat="0" applyBorder="0" applyAlignment="0" applyProtection="0"/>
    <xf numFmtId="0" fontId="42" fillId="66"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60"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25" borderId="0" applyNumberFormat="0" applyBorder="0" applyAlignment="0" applyProtection="0"/>
    <xf numFmtId="0" fontId="42" fillId="60"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25"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62"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26" borderId="0" applyNumberFormat="0" applyBorder="0" applyAlignment="0" applyProtection="0"/>
    <xf numFmtId="0" fontId="42" fillId="62"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26"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68"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29" borderId="0" applyNumberFormat="0" applyBorder="0" applyAlignment="0" applyProtection="0"/>
    <xf numFmtId="0" fontId="42" fillId="68"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2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70" borderId="0" applyNumberFormat="0" applyBorder="0" applyAlignment="0" applyProtection="0"/>
    <xf numFmtId="0" fontId="42" fillId="7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70" borderId="0" applyNumberFormat="0" applyBorder="0" applyAlignment="0" applyProtection="0"/>
    <xf numFmtId="0" fontId="42" fillId="30" borderId="0" applyNumberFormat="0" applyBorder="0" applyAlignment="0" applyProtection="0"/>
    <xf numFmtId="0" fontId="35" fillId="14"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30" borderId="0" applyNumberFormat="0" applyBorder="0" applyAlignment="0" applyProtection="0"/>
    <xf numFmtId="0" fontId="42" fillId="70"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30"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0" borderId="0" applyNumberFormat="0" applyBorder="0" applyAlignment="0" applyProtection="0"/>
    <xf numFmtId="0" fontId="35" fillId="14"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0" borderId="0" applyNumberFormat="0" applyBorder="0" applyAlignment="0" applyProtection="0"/>
    <xf numFmtId="0" fontId="42" fillId="7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70" borderId="0" applyNumberFormat="0" applyBorder="0" applyAlignment="0" applyProtection="0"/>
    <xf numFmtId="0" fontId="42" fillId="7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70" borderId="0" applyNumberFormat="0" applyBorder="0" applyAlignment="0" applyProtection="0"/>
    <xf numFmtId="0" fontId="42" fillId="7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70" borderId="0" applyNumberFormat="0" applyBorder="0" applyAlignment="0" applyProtection="0"/>
    <xf numFmtId="0" fontId="42" fillId="7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70" borderId="0" applyNumberFormat="0" applyBorder="0" applyAlignment="0" applyProtection="0"/>
    <xf numFmtId="0" fontId="42" fillId="7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70" borderId="0" applyNumberFormat="0" applyBorder="0" applyAlignment="0" applyProtection="0"/>
    <xf numFmtId="0" fontId="42" fillId="7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70" borderId="0" applyNumberFormat="0" applyBorder="0" applyAlignment="0" applyProtection="0"/>
    <xf numFmtId="0" fontId="42" fillId="7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72" borderId="0" applyNumberFormat="0" applyBorder="0" applyAlignment="0" applyProtection="0"/>
    <xf numFmtId="0" fontId="42" fillId="72" borderId="0" applyNumberFormat="0" applyBorder="0" applyAlignment="0" applyProtection="0"/>
    <xf numFmtId="0" fontId="42" fillId="31" borderId="0" applyNumberFormat="0" applyBorder="0" applyAlignment="0" applyProtection="0"/>
    <xf numFmtId="0" fontId="42" fillId="31" borderId="0" applyNumberFormat="0" applyBorder="0" applyAlignment="0" applyProtection="0"/>
    <xf numFmtId="0" fontId="42" fillId="72" borderId="0" applyNumberFormat="0" applyBorder="0" applyAlignment="0" applyProtection="0"/>
    <xf numFmtId="0" fontId="42" fillId="31" borderId="0" applyNumberFormat="0" applyBorder="0" applyAlignment="0" applyProtection="0"/>
    <xf numFmtId="0" fontId="42" fillId="31"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31" borderId="0" applyNumberFormat="0" applyBorder="0" applyAlignment="0" applyProtection="0"/>
    <xf numFmtId="0" fontId="42" fillId="72"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31"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2" borderId="0" applyNumberFormat="0" applyBorder="0" applyAlignment="0" applyProtection="0"/>
    <xf numFmtId="0" fontId="35" fillId="15"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3" borderId="0" applyNumberFormat="0" applyBorder="0" applyAlignment="0" applyProtection="0"/>
    <xf numFmtId="0" fontId="42" fillId="72" borderId="0" applyNumberFormat="0" applyBorder="0" applyAlignment="0" applyProtection="0"/>
    <xf numFmtId="0" fontId="42" fillId="72" borderId="0" applyNumberFormat="0" applyBorder="0" applyAlignment="0" applyProtection="0"/>
    <xf numFmtId="0" fontId="42" fillId="31" borderId="0" applyNumberFormat="0" applyBorder="0" applyAlignment="0" applyProtection="0"/>
    <xf numFmtId="0" fontId="42" fillId="31" borderId="0" applyNumberFormat="0" applyBorder="0" applyAlignment="0" applyProtection="0"/>
    <xf numFmtId="0" fontId="42" fillId="72" borderId="0" applyNumberFormat="0" applyBorder="0" applyAlignment="0" applyProtection="0"/>
    <xf numFmtId="0" fontId="42" fillId="72" borderId="0" applyNumberFormat="0" applyBorder="0" applyAlignment="0" applyProtection="0"/>
    <xf numFmtId="0" fontId="42" fillId="31" borderId="0" applyNumberFormat="0" applyBorder="0" applyAlignment="0" applyProtection="0"/>
    <xf numFmtId="0" fontId="42" fillId="31" borderId="0" applyNumberFormat="0" applyBorder="0" applyAlignment="0" applyProtection="0"/>
    <xf numFmtId="0" fontId="42" fillId="72" borderId="0" applyNumberFormat="0" applyBorder="0" applyAlignment="0" applyProtection="0"/>
    <xf numFmtId="0" fontId="42" fillId="72" borderId="0" applyNumberFormat="0" applyBorder="0" applyAlignment="0" applyProtection="0"/>
    <xf numFmtId="0" fontId="42" fillId="31" borderId="0" applyNumberFormat="0" applyBorder="0" applyAlignment="0" applyProtection="0"/>
    <xf numFmtId="0" fontId="42" fillId="31" borderId="0" applyNumberFormat="0" applyBorder="0" applyAlignment="0" applyProtection="0"/>
    <xf numFmtId="0" fontId="42" fillId="72" borderId="0" applyNumberFormat="0" applyBorder="0" applyAlignment="0" applyProtection="0"/>
    <xf numFmtId="0" fontId="42" fillId="72" borderId="0" applyNumberFormat="0" applyBorder="0" applyAlignment="0" applyProtection="0"/>
    <xf numFmtId="0" fontId="42" fillId="31" borderId="0" applyNumberFormat="0" applyBorder="0" applyAlignment="0" applyProtection="0"/>
    <xf numFmtId="0" fontId="42" fillId="31" borderId="0" applyNumberFormat="0" applyBorder="0" applyAlignment="0" applyProtection="0"/>
    <xf numFmtId="0" fontId="42" fillId="72" borderId="0" applyNumberFormat="0" applyBorder="0" applyAlignment="0" applyProtection="0"/>
    <xf numFmtId="0" fontId="42" fillId="72" borderId="0" applyNumberFormat="0" applyBorder="0" applyAlignment="0" applyProtection="0"/>
    <xf numFmtId="0" fontId="42" fillId="31" borderId="0" applyNumberFormat="0" applyBorder="0" applyAlignment="0" applyProtection="0"/>
    <xf numFmtId="0" fontId="42" fillId="31" borderId="0" applyNumberFormat="0" applyBorder="0" applyAlignment="0" applyProtection="0"/>
    <xf numFmtId="0" fontId="42" fillId="72" borderId="0" applyNumberFormat="0" applyBorder="0" applyAlignment="0" applyProtection="0"/>
    <xf numFmtId="0" fontId="42" fillId="72" borderId="0" applyNumberFormat="0" applyBorder="0" applyAlignment="0" applyProtection="0"/>
    <xf numFmtId="0" fontId="42" fillId="31" borderId="0" applyNumberFormat="0" applyBorder="0" applyAlignment="0" applyProtection="0"/>
    <xf numFmtId="0" fontId="42" fillId="31" borderId="0" applyNumberFormat="0" applyBorder="0" applyAlignment="0" applyProtection="0"/>
    <xf numFmtId="0" fontId="42" fillId="72" borderId="0" applyNumberFormat="0" applyBorder="0" applyAlignment="0" applyProtection="0"/>
    <xf numFmtId="0" fontId="42" fillId="72" borderId="0" applyNumberFormat="0" applyBorder="0" applyAlignment="0" applyProtection="0"/>
    <xf numFmtId="0" fontId="42" fillId="31" borderId="0" applyNumberFormat="0" applyBorder="0" applyAlignment="0" applyProtection="0"/>
    <xf numFmtId="0" fontId="42" fillId="31" borderId="0" applyNumberFormat="0" applyBorder="0" applyAlignment="0" applyProtection="0"/>
    <xf numFmtId="0" fontId="42" fillId="74" borderId="0" applyNumberFormat="0" applyBorder="0" applyAlignment="0" applyProtection="0"/>
    <xf numFmtId="0" fontId="42" fillId="74" borderId="0" applyNumberFormat="0" applyBorder="0" applyAlignment="0" applyProtection="0"/>
    <xf numFmtId="0" fontId="42" fillId="5" borderId="0" applyNumberFormat="0" applyBorder="0" applyAlignment="0" applyProtection="0"/>
    <xf numFmtId="0" fontId="42" fillId="5" borderId="0" applyNumberFormat="0" applyBorder="0" applyAlignment="0" applyProtection="0"/>
    <xf numFmtId="0" fontId="42" fillId="74" borderId="0" applyNumberFormat="0" applyBorder="0" applyAlignment="0" applyProtection="0"/>
    <xf numFmtId="0" fontId="42" fillId="5" borderId="0" applyNumberFormat="0" applyBorder="0" applyAlignment="0" applyProtection="0"/>
    <xf numFmtId="0" fontId="42" fillId="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5" borderId="0" applyNumberFormat="0" applyBorder="0" applyAlignment="0" applyProtection="0"/>
    <xf numFmtId="0" fontId="42" fillId="74"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5" borderId="0" applyNumberFormat="0" applyBorder="0" applyAlignment="0" applyProtection="0"/>
    <xf numFmtId="0" fontId="42" fillId="74" borderId="0" applyNumberFormat="0" applyBorder="0" applyAlignment="0" applyProtection="0"/>
    <xf numFmtId="0" fontId="42" fillId="74" borderId="0" applyNumberFormat="0" applyBorder="0" applyAlignment="0" applyProtection="0"/>
    <xf numFmtId="0" fontId="42" fillId="5" borderId="0" applyNumberFormat="0" applyBorder="0" applyAlignment="0" applyProtection="0"/>
    <xf numFmtId="0" fontId="42" fillId="5" borderId="0" applyNumberFormat="0" applyBorder="0" applyAlignment="0" applyProtection="0"/>
    <xf numFmtId="0" fontId="42" fillId="74" borderId="0" applyNumberFormat="0" applyBorder="0" applyAlignment="0" applyProtection="0"/>
    <xf numFmtId="0" fontId="42" fillId="74" borderId="0" applyNumberFormat="0" applyBorder="0" applyAlignment="0" applyProtection="0"/>
    <xf numFmtId="0" fontId="42" fillId="5" borderId="0" applyNumberFormat="0" applyBorder="0" applyAlignment="0" applyProtection="0"/>
    <xf numFmtId="0" fontId="42" fillId="5" borderId="0" applyNumberFormat="0" applyBorder="0" applyAlignment="0" applyProtection="0"/>
    <xf numFmtId="0" fontId="42" fillId="74" borderId="0" applyNumberFormat="0" applyBorder="0" applyAlignment="0" applyProtection="0"/>
    <xf numFmtId="0" fontId="42" fillId="74" borderId="0" applyNumberFormat="0" applyBorder="0" applyAlignment="0" applyProtection="0"/>
    <xf numFmtId="0" fontId="42" fillId="5" borderId="0" applyNumberFormat="0" applyBorder="0" applyAlignment="0" applyProtection="0"/>
    <xf numFmtId="0" fontId="42" fillId="5" borderId="0" applyNumberFormat="0" applyBorder="0" applyAlignment="0" applyProtection="0"/>
    <xf numFmtId="0" fontId="42" fillId="74" borderId="0" applyNumberFormat="0" applyBorder="0" applyAlignment="0" applyProtection="0"/>
    <xf numFmtId="0" fontId="42" fillId="74" borderId="0" applyNumberFormat="0" applyBorder="0" applyAlignment="0" applyProtection="0"/>
    <xf numFmtId="0" fontId="42" fillId="5" borderId="0" applyNumberFormat="0" applyBorder="0" applyAlignment="0" applyProtection="0"/>
    <xf numFmtId="0" fontId="42" fillId="5" borderId="0" applyNumberFormat="0" applyBorder="0" applyAlignment="0" applyProtection="0"/>
    <xf numFmtId="0" fontId="42" fillId="74" borderId="0" applyNumberFormat="0" applyBorder="0" applyAlignment="0" applyProtection="0"/>
    <xf numFmtId="0" fontId="42" fillId="74" borderId="0" applyNumberFormat="0" applyBorder="0" applyAlignment="0" applyProtection="0"/>
    <xf numFmtId="0" fontId="42" fillId="5" borderId="0" applyNumberFormat="0" applyBorder="0" applyAlignment="0" applyProtection="0"/>
    <xf numFmtId="0" fontId="42" fillId="5" borderId="0" applyNumberFormat="0" applyBorder="0" applyAlignment="0" applyProtection="0"/>
    <xf numFmtId="0" fontId="42" fillId="74" borderId="0" applyNumberFormat="0" applyBorder="0" applyAlignment="0" applyProtection="0"/>
    <xf numFmtId="0" fontId="42" fillId="74" borderId="0" applyNumberFormat="0" applyBorder="0" applyAlignment="0" applyProtection="0"/>
    <xf numFmtId="0" fontId="42" fillId="5" borderId="0" applyNumberFormat="0" applyBorder="0" applyAlignment="0" applyProtection="0"/>
    <xf numFmtId="0" fontId="42" fillId="5" borderId="0" applyNumberFormat="0" applyBorder="0" applyAlignment="0" applyProtection="0"/>
    <xf numFmtId="0" fontId="42" fillId="74" borderId="0" applyNumberFormat="0" applyBorder="0" applyAlignment="0" applyProtection="0"/>
    <xf numFmtId="0" fontId="42" fillId="74" borderId="0" applyNumberFormat="0" applyBorder="0" applyAlignment="0" applyProtection="0"/>
    <xf numFmtId="0" fontId="42" fillId="5" borderId="0" applyNumberFormat="0" applyBorder="0" applyAlignment="0" applyProtection="0"/>
    <xf numFmtId="0" fontId="42" fillId="5" borderId="0" applyNumberFormat="0" applyBorder="0" applyAlignment="0" applyProtection="0"/>
    <xf numFmtId="0" fontId="42" fillId="76" borderId="0" applyNumberFormat="0" applyBorder="0" applyAlignment="0" applyProtection="0"/>
    <xf numFmtId="0" fontId="42" fillId="76"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76"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18" borderId="0" applyNumberFormat="0" applyBorder="0" applyAlignment="0" applyProtection="0"/>
    <xf numFmtId="0" fontId="42" fillId="76"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18"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7" borderId="0" applyNumberFormat="0" applyBorder="0" applyAlignment="0" applyProtection="0"/>
    <xf numFmtId="0" fontId="42" fillId="76" borderId="0" applyNumberFormat="0" applyBorder="0" applyAlignment="0" applyProtection="0"/>
    <xf numFmtId="0" fontId="42" fillId="76"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76" borderId="0" applyNumberFormat="0" applyBorder="0" applyAlignment="0" applyProtection="0"/>
    <xf numFmtId="0" fontId="42" fillId="76"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76" borderId="0" applyNumberFormat="0" applyBorder="0" applyAlignment="0" applyProtection="0"/>
    <xf numFmtId="0" fontId="42" fillId="76"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76" borderId="0" applyNumberFormat="0" applyBorder="0" applyAlignment="0" applyProtection="0"/>
    <xf numFmtId="0" fontId="42" fillId="76"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76" borderId="0" applyNumberFormat="0" applyBorder="0" applyAlignment="0" applyProtection="0"/>
    <xf numFmtId="0" fontId="42" fillId="76"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76" borderId="0" applyNumberFormat="0" applyBorder="0" applyAlignment="0" applyProtection="0"/>
    <xf numFmtId="0" fontId="42" fillId="76"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76" borderId="0" applyNumberFormat="0" applyBorder="0" applyAlignment="0" applyProtection="0"/>
    <xf numFmtId="0" fontId="42" fillId="76" borderId="0" applyNumberFormat="0" applyBorder="0" applyAlignment="0" applyProtection="0"/>
    <xf numFmtId="0" fontId="42" fillId="18" borderId="0" applyNumberFormat="0" applyBorder="0" applyAlignment="0" applyProtection="0"/>
    <xf numFmtId="0" fontId="42" fillId="18" borderId="0" applyNumberFormat="0" applyBorder="0" applyAlignment="0" applyProtection="0"/>
    <xf numFmtId="0" fontId="42" fillId="78" borderId="0" applyNumberFormat="0" applyBorder="0" applyAlignment="0" applyProtection="0"/>
    <xf numFmtId="0" fontId="42" fillId="78"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78"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32" borderId="0" applyNumberFormat="0" applyBorder="0" applyAlignment="0" applyProtection="0"/>
    <xf numFmtId="0" fontId="42" fillId="78"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32"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9" borderId="0" applyNumberFormat="0" applyBorder="0" applyAlignment="0" applyProtection="0"/>
    <xf numFmtId="0" fontId="42" fillId="78" borderId="0" applyNumberFormat="0" applyBorder="0" applyAlignment="0" applyProtection="0"/>
    <xf numFmtId="0" fontId="42" fillId="78"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78" borderId="0" applyNumberFormat="0" applyBorder="0" applyAlignment="0" applyProtection="0"/>
    <xf numFmtId="0" fontId="42" fillId="78"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78" borderId="0" applyNumberFormat="0" applyBorder="0" applyAlignment="0" applyProtection="0"/>
    <xf numFmtId="0" fontId="42" fillId="78"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78" borderId="0" applyNumberFormat="0" applyBorder="0" applyAlignment="0" applyProtection="0"/>
    <xf numFmtId="0" fontId="42" fillId="78"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78" borderId="0" applyNumberFormat="0" applyBorder="0" applyAlignment="0" applyProtection="0"/>
    <xf numFmtId="0" fontId="42" fillId="78"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78" borderId="0" applyNumberFormat="0" applyBorder="0" applyAlignment="0" applyProtection="0"/>
    <xf numFmtId="0" fontId="42" fillId="78"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78" borderId="0" applyNumberFormat="0" applyBorder="0" applyAlignment="0" applyProtection="0"/>
    <xf numFmtId="0" fontId="42" fillId="78"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68"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29" borderId="0" applyNumberFormat="0" applyBorder="0" applyAlignment="0" applyProtection="0"/>
    <xf numFmtId="0" fontId="42" fillId="68"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2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68" borderId="0" applyNumberFormat="0" applyBorder="0" applyAlignment="0" applyProtection="0"/>
    <xf numFmtId="0" fontId="42" fillId="68"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70" borderId="0" applyNumberFormat="0" applyBorder="0" applyAlignment="0" applyProtection="0"/>
    <xf numFmtId="0" fontId="42" fillId="7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7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30" borderId="0" applyNumberFormat="0" applyBorder="0" applyAlignment="0" applyProtection="0"/>
    <xf numFmtId="0" fontId="42" fillId="70"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30"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1" borderId="0" applyNumberFormat="0" applyBorder="0" applyAlignment="0" applyProtection="0"/>
    <xf numFmtId="0" fontId="42" fillId="70" borderId="0" applyNumberFormat="0" applyBorder="0" applyAlignment="0" applyProtection="0"/>
    <xf numFmtId="0" fontId="42" fillId="7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70" borderId="0" applyNumberFormat="0" applyBorder="0" applyAlignment="0" applyProtection="0"/>
    <xf numFmtId="0" fontId="42" fillId="7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70" borderId="0" applyNumberFormat="0" applyBorder="0" applyAlignment="0" applyProtection="0"/>
    <xf numFmtId="0" fontId="42" fillId="7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70" borderId="0" applyNumberFormat="0" applyBorder="0" applyAlignment="0" applyProtection="0"/>
    <xf numFmtId="0" fontId="42" fillId="7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70" borderId="0" applyNumberFormat="0" applyBorder="0" applyAlignment="0" applyProtection="0"/>
    <xf numFmtId="0" fontId="42" fillId="7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70" borderId="0" applyNumberFormat="0" applyBorder="0" applyAlignment="0" applyProtection="0"/>
    <xf numFmtId="0" fontId="42" fillId="7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70" borderId="0" applyNumberFormat="0" applyBorder="0" applyAlignment="0" applyProtection="0"/>
    <xf numFmtId="0" fontId="42" fillId="70" borderId="0" applyNumberFormat="0" applyBorder="0" applyAlignment="0" applyProtection="0"/>
    <xf numFmtId="0" fontId="42" fillId="30" borderId="0" applyNumberFormat="0" applyBorder="0" applyAlignment="0" applyProtection="0"/>
    <xf numFmtId="0" fontId="42" fillId="30"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33"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19" borderId="0" applyNumberFormat="0" applyBorder="0" applyAlignment="0" applyProtection="0"/>
    <xf numFmtId="0" fontId="42" fillId="33"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19"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80"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19" borderId="0" applyNumberFormat="0" applyBorder="0" applyAlignment="0" applyProtection="0"/>
    <xf numFmtId="0" fontId="42" fillId="1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49"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21" borderId="0" applyNumberFormat="0" applyBorder="0" applyAlignment="0" applyProtection="0"/>
    <xf numFmtId="0" fontId="52" fillId="49"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21"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21" borderId="0" applyNumberFormat="0" applyBorder="0" applyAlignment="0" applyProtection="0"/>
    <xf numFmtId="0" fontId="52" fillId="21" borderId="0" applyNumberFormat="0" applyBorder="0" applyAlignment="0" applyProtection="0"/>
    <xf numFmtId="0" fontId="53" fillId="34" borderId="17" applyNumberFormat="0" applyAlignment="0" applyProtection="0"/>
    <xf numFmtId="0" fontId="53" fillId="34" borderId="17" applyNumberFormat="0" applyAlignment="0" applyProtection="0"/>
    <xf numFmtId="0" fontId="53" fillId="16" borderId="17" applyNumberFormat="0" applyAlignment="0" applyProtection="0"/>
    <xf numFmtId="0" fontId="53" fillId="16" borderId="17" applyNumberFormat="0" applyAlignment="0" applyProtection="0"/>
    <xf numFmtId="0" fontId="53" fillId="34" borderId="17" applyNumberFormat="0" applyAlignment="0" applyProtection="0"/>
    <xf numFmtId="0" fontId="53" fillId="16" borderId="17" applyNumberFormat="0" applyAlignment="0" applyProtection="0"/>
    <xf numFmtId="0" fontId="53" fillId="16"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16" borderId="17" applyNumberFormat="0" applyAlignment="0" applyProtection="0"/>
    <xf numFmtId="0" fontId="53" fillId="34"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16"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34" borderId="17" applyNumberFormat="0" applyAlignment="0" applyProtection="0"/>
    <xf numFmtId="0" fontId="34" fillId="8" borderId="14"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34" borderId="17" applyNumberFormat="0" applyAlignment="0" applyProtection="0"/>
    <xf numFmtId="0" fontId="53" fillId="34" borderId="17" applyNumberFormat="0" applyAlignment="0" applyProtection="0"/>
    <xf numFmtId="0" fontId="53" fillId="16" borderId="17" applyNumberFormat="0" applyAlignment="0" applyProtection="0"/>
    <xf numFmtId="0" fontId="53" fillId="16" borderId="17" applyNumberFormat="0" applyAlignment="0" applyProtection="0"/>
    <xf numFmtId="0" fontId="53" fillId="34" borderId="17" applyNumberFormat="0" applyAlignment="0" applyProtection="0"/>
    <xf numFmtId="0" fontId="53" fillId="34" borderId="17" applyNumberFormat="0" applyAlignment="0" applyProtection="0"/>
    <xf numFmtId="0" fontId="53" fillId="16" borderId="17" applyNumberFormat="0" applyAlignment="0" applyProtection="0"/>
    <xf numFmtId="0" fontId="53" fillId="16" borderId="17" applyNumberFormat="0" applyAlignment="0" applyProtection="0"/>
    <xf numFmtId="0" fontId="53" fillId="34" borderId="17" applyNumberFormat="0" applyAlignment="0" applyProtection="0"/>
    <xf numFmtId="0" fontId="53" fillId="34" borderId="17" applyNumberFormat="0" applyAlignment="0" applyProtection="0"/>
    <xf numFmtId="0" fontId="53" fillId="16" borderId="17" applyNumberFormat="0" applyAlignment="0" applyProtection="0"/>
    <xf numFmtId="0" fontId="53" fillId="16" borderId="17" applyNumberFormat="0" applyAlignment="0" applyProtection="0"/>
    <xf numFmtId="0" fontId="53" fillId="34" borderId="17" applyNumberFormat="0" applyAlignment="0" applyProtection="0"/>
    <xf numFmtId="0" fontId="53" fillId="34" borderId="17" applyNumberFormat="0" applyAlignment="0" applyProtection="0"/>
    <xf numFmtId="0" fontId="53" fillId="16" borderId="17" applyNumberFormat="0" applyAlignment="0" applyProtection="0"/>
    <xf numFmtId="0" fontId="53" fillId="16" borderId="17" applyNumberFormat="0" applyAlignment="0" applyProtection="0"/>
    <xf numFmtId="0" fontId="53" fillId="34" borderId="17" applyNumberFormat="0" applyAlignment="0" applyProtection="0"/>
    <xf numFmtId="0" fontId="53" fillId="34" borderId="17" applyNumberFormat="0" applyAlignment="0" applyProtection="0"/>
    <xf numFmtId="0" fontId="53" fillId="16" borderId="17" applyNumberFormat="0" applyAlignment="0" applyProtection="0"/>
    <xf numFmtId="0" fontId="53" fillId="16" borderId="17" applyNumberFormat="0" applyAlignment="0" applyProtection="0"/>
    <xf numFmtId="0" fontId="53" fillId="34" borderId="17" applyNumberFormat="0" applyAlignment="0" applyProtection="0"/>
    <xf numFmtId="0" fontId="53" fillId="34" borderId="17" applyNumberFormat="0" applyAlignment="0" applyProtection="0"/>
    <xf numFmtId="0" fontId="53" fillId="16" borderId="17" applyNumberFormat="0" applyAlignment="0" applyProtection="0"/>
    <xf numFmtId="0" fontId="53" fillId="16" borderId="17" applyNumberFormat="0" applyAlignment="0" applyProtection="0"/>
    <xf numFmtId="0" fontId="53" fillId="34" borderId="17" applyNumberFormat="0" applyAlignment="0" applyProtection="0"/>
    <xf numFmtId="0" fontId="53" fillId="34" borderId="17" applyNumberFormat="0" applyAlignment="0" applyProtection="0"/>
    <xf numFmtId="0" fontId="53" fillId="16" borderId="17" applyNumberFormat="0" applyAlignment="0" applyProtection="0"/>
    <xf numFmtId="0" fontId="53" fillId="16" borderId="17" applyNumberFormat="0" applyAlignment="0" applyProtection="0"/>
    <xf numFmtId="0" fontId="54" fillId="82" borderId="18" applyNumberFormat="0" applyAlignment="0" applyProtection="0"/>
    <xf numFmtId="0" fontId="54" fillId="82" borderId="18" applyNumberFormat="0" applyAlignment="0" applyProtection="0"/>
    <xf numFmtId="0" fontId="54" fillId="35" borderId="18" applyNumberFormat="0" applyAlignment="0" applyProtection="0"/>
    <xf numFmtId="0" fontId="54" fillId="35" borderId="18" applyNumberFormat="0" applyAlignment="0" applyProtection="0"/>
    <xf numFmtId="0" fontId="54" fillId="82" borderId="18" applyNumberFormat="0" applyAlignment="0" applyProtection="0"/>
    <xf numFmtId="0" fontId="54" fillId="35" borderId="18" applyNumberFormat="0" applyAlignment="0" applyProtection="0"/>
    <xf numFmtId="0" fontId="54" fillId="35"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35" borderId="18" applyNumberFormat="0" applyAlignment="0" applyProtection="0"/>
    <xf numFmtId="0" fontId="54" fillId="82"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35"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3" borderId="18" applyNumberFormat="0" applyAlignment="0" applyProtection="0"/>
    <xf numFmtId="0" fontId="54" fillId="82" borderId="18" applyNumberFormat="0" applyAlignment="0" applyProtection="0"/>
    <xf numFmtId="0" fontId="54" fillId="35" borderId="18" applyNumberFormat="0" applyAlignment="0" applyProtection="0"/>
    <xf numFmtId="0" fontId="54" fillId="35" borderId="18" applyNumberFormat="0" applyAlignment="0" applyProtection="0"/>
    <xf numFmtId="0" fontId="54" fillId="82" borderId="18" applyNumberFormat="0" applyAlignment="0" applyProtection="0"/>
    <xf numFmtId="0" fontId="54" fillId="82" borderId="18" applyNumberFormat="0" applyAlignment="0" applyProtection="0"/>
    <xf numFmtId="0" fontId="54" fillId="35" borderId="18" applyNumberFormat="0" applyAlignment="0" applyProtection="0"/>
    <xf numFmtId="0" fontId="54" fillId="35" borderId="18" applyNumberFormat="0" applyAlignment="0" applyProtection="0"/>
    <xf numFmtId="0" fontId="54" fillId="82" borderId="18" applyNumberFormat="0" applyAlignment="0" applyProtection="0"/>
    <xf numFmtId="0" fontId="54" fillId="82" borderId="18" applyNumberFormat="0" applyAlignment="0" applyProtection="0"/>
    <xf numFmtId="0" fontId="54" fillId="35" borderId="18" applyNumberFormat="0" applyAlignment="0" applyProtection="0"/>
    <xf numFmtId="0" fontId="54" fillId="35" borderId="18" applyNumberFormat="0" applyAlignment="0" applyProtection="0"/>
    <xf numFmtId="0" fontId="54" fillId="82" borderId="18" applyNumberFormat="0" applyAlignment="0" applyProtection="0"/>
    <xf numFmtId="0" fontId="54" fillId="82" borderId="18" applyNumberFormat="0" applyAlignment="0" applyProtection="0"/>
    <xf numFmtId="0" fontId="54" fillId="35" borderId="18" applyNumberFormat="0" applyAlignment="0" applyProtection="0"/>
    <xf numFmtId="0" fontId="54" fillId="35" borderId="18" applyNumberFormat="0" applyAlignment="0" applyProtection="0"/>
    <xf numFmtId="0" fontId="54" fillId="82" borderId="18" applyNumberFormat="0" applyAlignment="0" applyProtection="0"/>
    <xf numFmtId="0" fontId="54" fillId="82" borderId="18" applyNumberFormat="0" applyAlignment="0" applyProtection="0"/>
    <xf numFmtId="0" fontId="54" fillId="35" borderId="18" applyNumberFormat="0" applyAlignment="0" applyProtection="0"/>
    <xf numFmtId="0" fontId="54" fillId="35" borderId="18" applyNumberFormat="0" applyAlignment="0" applyProtection="0"/>
    <xf numFmtId="0" fontId="54" fillId="82" borderId="18" applyNumberFormat="0" applyAlignment="0" applyProtection="0"/>
    <xf numFmtId="0" fontId="54" fillId="82" borderId="18" applyNumberFormat="0" applyAlignment="0" applyProtection="0"/>
    <xf numFmtId="0" fontId="54" fillId="35" borderId="18" applyNumberFormat="0" applyAlignment="0" applyProtection="0"/>
    <xf numFmtId="0" fontId="54" fillId="35" borderId="18" applyNumberFormat="0" applyAlignment="0" applyProtection="0"/>
    <xf numFmtId="0" fontId="54" fillId="82" borderId="18" applyNumberFormat="0" applyAlignment="0" applyProtection="0"/>
    <xf numFmtId="0" fontId="54" fillId="82" borderId="18" applyNumberFormat="0" applyAlignment="0" applyProtection="0"/>
    <xf numFmtId="0" fontId="54" fillId="35" borderId="18" applyNumberFormat="0" applyAlignment="0" applyProtection="0"/>
    <xf numFmtId="0" fontId="54" fillId="35" borderId="18" applyNumberFormat="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17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120" fillId="0" borderId="0" applyFill="0" applyBorder="0" applyAlignment="0" applyProtection="0"/>
    <xf numFmtId="174" fontId="9" fillId="0" borderId="0" applyFont="0" applyFill="0" applyBorder="0" applyAlignment="0" applyProtection="0"/>
    <xf numFmtId="193" fontId="20" fillId="0" borderId="0" applyFill="0" applyBorder="0" applyAlignment="0" applyProtection="0"/>
    <xf numFmtId="193" fontId="20" fillId="0" borderId="0" applyFill="0" applyBorder="0" applyAlignment="0" applyProtection="0"/>
    <xf numFmtId="193" fontId="20" fillId="0" borderId="0" applyFill="0" applyBorder="0" applyAlignment="0" applyProtection="0"/>
    <xf numFmtId="193" fontId="20" fillId="0" borderId="0" applyFill="0" applyBorder="0" applyAlignment="0" applyProtection="0"/>
    <xf numFmtId="193" fontId="20" fillId="0" borderId="0" applyFill="0" applyBorder="0" applyAlignment="0" applyProtection="0"/>
    <xf numFmtId="177" fontId="120" fillId="0" borderId="0" applyFill="0" applyBorder="0" applyAlignment="0" applyProtection="0"/>
    <xf numFmtId="177" fontId="120" fillId="0" borderId="0" applyFill="0" applyBorder="0" applyAlignment="0" applyProtection="0"/>
    <xf numFmtId="177" fontId="120" fillId="0" borderId="0" applyFill="0" applyBorder="0" applyAlignment="0" applyProtection="0"/>
    <xf numFmtId="177" fontId="120" fillId="0" borderId="0" applyFill="0" applyBorder="0" applyAlignment="0" applyProtection="0"/>
    <xf numFmtId="177" fontId="120" fillId="0" borderId="0" applyFill="0" applyBorder="0" applyAlignment="0" applyProtection="0"/>
    <xf numFmtId="43" fontId="17" fillId="0" borderId="0" applyFont="0" applyFill="0" applyBorder="0" applyAlignment="0" applyProtection="0"/>
    <xf numFmtId="0" fontId="120" fillId="0" borderId="0" applyFill="0" applyBorder="0" applyAlignment="0" applyProtection="0"/>
    <xf numFmtId="174" fontId="20" fillId="0" borderId="0" applyFont="0" applyFill="0" applyBorder="0" applyAlignment="0" applyProtection="0"/>
    <xf numFmtId="43" fontId="20" fillId="0" borderId="0" applyFont="0" applyFill="0" applyBorder="0" applyAlignment="0" applyProtection="0"/>
    <xf numFmtId="177" fontId="120" fillId="0" borderId="0" applyFill="0" applyBorder="0" applyAlignment="0" applyProtection="0"/>
    <xf numFmtId="43" fontId="20" fillId="0" borderId="0" applyFont="0" applyFill="0" applyBorder="0" applyAlignment="0" applyProtection="0"/>
    <xf numFmtId="177" fontId="120" fillId="0" borderId="0" applyFill="0" applyBorder="0" applyAlignment="0" applyProtection="0"/>
    <xf numFmtId="43" fontId="20" fillId="0" borderId="0" applyFont="0" applyFill="0" applyBorder="0" applyAlignment="0" applyProtection="0"/>
    <xf numFmtId="177" fontId="120" fillId="0" borderId="0" applyFill="0" applyBorder="0" applyAlignment="0" applyProtection="0"/>
    <xf numFmtId="177" fontId="120" fillId="0" borderId="0" applyFill="0" applyBorder="0" applyAlignment="0" applyProtection="0"/>
    <xf numFmtId="43" fontId="20" fillId="0" borderId="0" applyFont="0" applyFill="0" applyBorder="0" applyAlignment="0" applyProtection="0"/>
    <xf numFmtId="0" fontId="120" fillId="0" borderId="0" applyFill="0" applyBorder="0" applyAlignment="0" applyProtection="0"/>
    <xf numFmtId="0" fontId="120" fillId="0" borderId="0" applyFill="0" applyBorder="0" applyAlignment="0" applyProtection="0"/>
    <xf numFmtId="0" fontId="120" fillId="0" borderId="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3" fontId="20" fillId="0" borderId="0" applyFont="0" applyFill="0" applyBorder="0" applyAlignment="0" applyProtection="0"/>
    <xf numFmtId="177" fontId="120" fillId="0" borderId="0" applyFill="0" applyBorder="0" applyAlignment="0" applyProtection="0"/>
    <xf numFmtId="177" fontId="120" fillId="0" borderId="0" applyFill="0" applyBorder="0" applyAlignment="0" applyProtection="0"/>
    <xf numFmtId="193" fontId="20" fillId="0" borderId="0" applyFill="0" applyBorder="0" applyAlignment="0" applyProtection="0"/>
    <xf numFmtId="193" fontId="20" fillId="0" borderId="0" applyFill="0" applyBorder="0" applyAlignment="0" applyProtection="0"/>
    <xf numFmtId="193" fontId="20" fillId="0" borderId="0" applyFill="0" applyBorder="0" applyAlignment="0" applyProtection="0"/>
    <xf numFmtId="193" fontId="20" fillId="0" borderId="0" applyFill="0" applyBorder="0" applyAlignment="0" applyProtection="0"/>
    <xf numFmtId="193" fontId="20" fillId="0" borderId="0" applyFill="0" applyBorder="0" applyAlignment="0" applyProtection="0"/>
    <xf numFmtId="177" fontId="20" fillId="0" borderId="0" applyFill="0" applyBorder="0" applyAlignment="0" applyProtection="0"/>
    <xf numFmtId="43" fontId="12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120" fillId="0" borderId="0" applyFill="0" applyBorder="0" applyAlignment="0" applyProtection="0"/>
    <xf numFmtId="43" fontId="20" fillId="0" borderId="0" applyFont="0" applyFill="0" applyBorder="0" applyAlignment="0" applyProtection="0"/>
    <xf numFmtId="0" fontId="120" fillId="0" borderId="0" applyFill="0" applyBorder="0" applyAlignment="0" applyProtection="0"/>
    <xf numFmtId="0" fontId="120" fillId="0" borderId="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120"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1" fontId="20" fillId="0" borderId="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120" fillId="0" borderId="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120" fillId="0" borderId="0" applyFill="0" applyBorder="0" applyAlignment="0" applyProtection="0"/>
    <xf numFmtId="0" fontId="120" fillId="0" borderId="0" applyFill="0" applyBorder="0" applyAlignment="0" applyProtection="0"/>
    <xf numFmtId="0" fontId="120" fillId="0" borderId="0" applyFill="0" applyBorder="0" applyAlignment="0" applyProtection="0"/>
    <xf numFmtId="0" fontId="120" fillId="0" borderId="0" applyFill="0" applyBorder="0" applyAlignment="0" applyProtection="0"/>
    <xf numFmtId="0" fontId="120" fillId="0" borderId="0" applyFill="0" applyBorder="0" applyAlignment="0" applyProtection="0"/>
    <xf numFmtId="0" fontId="120" fillId="0" borderId="0" applyFill="0" applyBorder="0" applyAlignment="0" applyProtection="0"/>
    <xf numFmtId="0" fontId="120" fillId="0" borderId="0" applyFill="0" applyBorder="0" applyAlignment="0" applyProtection="0"/>
    <xf numFmtId="0" fontId="120" fillId="0" borderId="0" applyFill="0" applyBorder="0" applyAlignment="0" applyProtection="0"/>
    <xf numFmtId="0" fontId="120" fillId="0" borderId="0" applyFill="0" applyBorder="0" applyAlignment="0" applyProtection="0"/>
    <xf numFmtId="43" fontId="9" fillId="0" borderId="0" applyFont="0" applyFill="0" applyBorder="0" applyAlignment="0" applyProtection="0"/>
    <xf numFmtId="177" fontId="120" fillId="0" borderId="0" applyFill="0" applyBorder="0" applyAlignment="0" applyProtection="0"/>
    <xf numFmtId="177" fontId="120" fillId="0" borderId="0" applyFill="0" applyBorder="0" applyAlignment="0" applyProtection="0"/>
    <xf numFmtId="177" fontId="120" fillId="0" borderId="0" applyFill="0" applyBorder="0" applyAlignment="0" applyProtection="0"/>
    <xf numFmtId="177" fontId="120" fillId="0" borderId="0" applyFill="0" applyBorder="0" applyAlignment="0" applyProtection="0"/>
    <xf numFmtId="177" fontId="120" fillId="0" borderId="0" applyFill="0" applyBorder="0" applyAlignment="0" applyProtection="0"/>
    <xf numFmtId="43" fontId="20" fillId="0" borderId="0" applyFont="0" applyFill="0" applyBorder="0" applyAlignment="0" applyProtection="0"/>
    <xf numFmtId="177" fontId="120" fillId="0" borderId="0" applyFill="0" applyBorder="0" applyAlignment="0" applyProtection="0"/>
    <xf numFmtId="177" fontId="120" fillId="0" borderId="0" applyFill="0" applyBorder="0" applyAlignment="0" applyProtection="0"/>
    <xf numFmtId="177" fontId="120" fillId="0" borderId="0" applyFill="0" applyBorder="0" applyAlignment="0" applyProtection="0"/>
    <xf numFmtId="177" fontId="120" fillId="0" borderId="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7" fontId="120" fillId="0" borderId="0" applyFill="0" applyBorder="0" applyAlignment="0" applyProtection="0"/>
    <xf numFmtId="177" fontId="120" fillId="0" borderId="0" applyFill="0" applyBorder="0" applyAlignment="0" applyProtection="0"/>
    <xf numFmtId="177" fontId="120" fillId="0" borderId="0" applyFill="0" applyBorder="0" applyAlignment="0" applyProtection="0"/>
    <xf numFmtId="43" fontId="20" fillId="0" borderId="0" applyFont="0" applyFill="0" applyBorder="0" applyAlignment="0" applyProtection="0"/>
    <xf numFmtId="177" fontId="120" fillId="0" borderId="0" applyFill="0" applyBorder="0" applyAlignment="0" applyProtection="0"/>
    <xf numFmtId="177" fontId="120" fillId="0" borderId="0" applyFill="0" applyBorder="0" applyAlignment="0" applyProtection="0"/>
    <xf numFmtId="43" fontId="20" fillId="0" borderId="0" applyFont="0" applyFill="0" applyBorder="0" applyAlignment="0" applyProtection="0"/>
    <xf numFmtId="177" fontId="20" fillId="0" borderId="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120" fillId="0" borderId="0" applyFill="0" applyBorder="0" applyAlignment="0" applyProtection="0"/>
    <xf numFmtId="0" fontId="120" fillId="0" borderId="0" applyFill="0" applyBorder="0" applyAlignment="0" applyProtection="0"/>
    <xf numFmtId="0" fontId="120" fillId="0" borderId="0" applyFill="0" applyBorder="0" applyAlignment="0" applyProtection="0"/>
    <xf numFmtId="0" fontId="120" fillId="0" borderId="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1" fillId="0" borderId="0" applyFont="0" applyFill="0" applyBorder="0" applyAlignment="0" applyProtection="0"/>
    <xf numFmtId="43" fontId="12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2" fillId="0" borderId="0" applyFont="0" applyFill="0" applyBorder="0" applyAlignment="0" applyProtection="0"/>
    <xf numFmtId="43" fontId="1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212" fontId="123" fillId="84" borderId="0" applyFill="0">
      <alignment horizontal="left" vertical="top"/>
      <protection locked="0"/>
    </xf>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213" fontId="24" fillId="0" borderId="0" applyFill="0" applyBorder="0" applyAlignment="0" applyProtection="0"/>
    <xf numFmtId="165" fontId="20" fillId="0" borderId="0" applyFont="0" applyFill="0" applyBorder="0" applyAlignment="0" applyProtection="0"/>
    <xf numFmtId="165" fontId="17" fillId="0" borderId="0" applyFont="0" applyFill="0" applyBorder="0" applyAlignment="0" applyProtection="0"/>
    <xf numFmtId="165" fontId="20" fillId="0" borderId="0" applyFont="0" applyFill="0" applyBorder="0" applyAlignment="0" applyProtection="0"/>
    <xf numFmtId="165" fontId="17" fillId="0" borderId="0" applyFont="0" applyFill="0" applyBorder="0" applyAlignment="0" applyProtection="0"/>
    <xf numFmtId="165" fontId="20" fillId="0" borderId="0" applyFont="0" applyFill="0" applyBorder="0" applyAlignment="0" applyProtection="0"/>
    <xf numFmtId="165" fontId="17"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214" fontId="124" fillId="0" borderId="0">
      <protection locked="0"/>
    </xf>
    <xf numFmtId="215" fontId="120" fillId="0" borderId="0" applyFill="0" applyBorder="0">
      <alignment horizontal="left" vertical="top" wrapText="1"/>
      <protection locked="0"/>
    </xf>
    <xf numFmtId="215" fontId="20" fillId="0" borderId="0" applyFont="0" applyFill="0" applyBorder="0">
      <alignment horizontal="left" vertical="top" wrapText="1"/>
      <protection locked="0"/>
    </xf>
    <xf numFmtId="215" fontId="115" fillId="0" borderId="0" applyFont="0" applyFill="0" applyBorder="0">
      <alignment horizontal="left" vertical="top" wrapText="1"/>
      <protection locked="0"/>
    </xf>
    <xf numFmtId="216" fontId="117" fillId="0" borderId="0"/>
    <xf numFmtId="0" fontId="52" fillId="50" borderId="0" applyNumberFormat="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214" fontId="124" fillId="0" borderId="0">
      <protection locked="0"/>
    </xf>
    <xf numFmtId="214" fontId="124" fillId="0" borderId="0">
      <protection locked="0"/>
    </xf>
    <xf numFmtId="214" fontId="125" fillId="0" borderId="0">
      <protection locked="0"/>
    </xf>
    <xf numFmtId="214" fontId="124" fillId="0" borderId="0">
      <protection locked="0"/>
    </xf>
    <xf numFmtId="214" fontId="124" fillId="0" borderId="0">
      <protection locked="0"/>
    </xf>
    <xf numFmtId="214" fontId="124" fillId="0" borderId="0">
      <protection locked="0"/>
    </xf>
    <xf numFmtId="214" fontId="125" fillId="0" borderId="0">
      <protection locked="0"/>
    </xf>
    <xf numFmtId="214" fontId="124" fillId="0" borderId="0">
      <protection locked="0"/>
    </xf>
    <xf numFmtId="217" fontId="115" fillId="0" borderId="0" applyFont="0">
      <alignment horizontal="left"/>
      <protection locked="0"/>
    </xf>
    <xf numFmtId="217" fontId="20" fillId="0" borderId="0" applyFont="0">
      <alignment horizontal="left"/>
      <protection locked="0"/>
    </xf>
    <xf numFmtId="0" fontId="56" fillId="51" borderId="0" applyNumberFormat="0" applyBorder="0" applyAlignment="0" applyProtection="0"/>
    <xf numFmtId="0" fontId="56" fillId="51" borderId="0" applyNumberFormat="0" applyBorder="0" applyAlignment="0" applyProtection="0"/>
    <xf numFmtId="0" fontId="56" fillId="4" borderId="0" applyNumberFormat="0" applyBorder="0" applyAlignment="0" applyProtection="0"/>
    <xf numFmtId="0" fontId="56" fillId="4" borderId="0" applyNumberFormat="0" applyBorder="0" applyAlignment="0" applyProtection="0"/>
    <xf numFmtId="0" fontId="56" fillId="51" borderId="0" applyNumberFormat="0" applyBorder="0" applyAlignment="0" applyProtection="0"/>
    <xf numFmtId="0" fontId="56" fillId="4" borderId="0" applyNumberFormat="0" applyBorder="0" applyAlignment="0" applyProtection="0"/>
    <xf numFmtId="0" fontId="56" fillId="4"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4" borderId="0" applyNumberFormat="0" applyBorder="0" applyAlignment="0" applyProtection="0"/>
    <xf numFmtId="0" fontId="56" fillId="51"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4"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1" borderId="0" applyNumberFormat="0" applyBorder="0" applyAlignment="0" applyProtection="0"/>
    <xf numFmtId="0" fontId="33" fillId="6"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4" borderId="0" applyNumberFormat="0" applyBorder="0" applyAlignment="0" applyProtection="0"/>
    <xf numFmtId="0" fontId="56" fillId="4"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4" borderId="0" applyNumberFormat="0" applyBorder="0" applyAlignment="0" applyProtection="0"/>
    <xf numFmtId="0" fontId="56" fillId="4"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4" borderId="0" applyNumberFormat="0" applyBorder="0" applyAlignment="0" applyProtection="0"/>
    <xf numFmtId="0" fontId="56" fillId="4"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4" borderId="0" applyNumberFormat="0" applyBorder="0" applyAlignment="0" applyProtection="0"/>
    <xf numFmtId="0" fontId="56" fillId="4"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4" borderId="0" applyNumberFormat="0" applyBorder="0" applyAlignment="0" applyProtection="0"/>
    <xf numFmtId="0" fontId="56" fillId="4"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4" borderId="0" applyNumberFormat="0" applyBorder="0" applyAlignment="0" applyProtection="0"/>
    <xf numFmtId="0" fontId="56" fillId="4"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6" fillId="4" borderId="0" applyNumberFormat="0" applyBorder="0" applyAlignment="0" applyProtection="0"/>
    <xf numFmtId="0" fontId="56" fillId="4" borderId="0" applyNumberFormat="0" applyBorder="0" applyAlignment="0" applyProtection="0"/>
    <xf numFmtId="0" fontId="71" fillId="16" borderId="0" applyNumberFormat="0" applyBorder="0" applyAlignment="0" applyProtection="0"/>
    <xf numFmtId="212" fontId="116" fillId="0" borderId="0">
      <alignment horizontal="left"/>
    </xf>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8" fillId="0" borderId="21" applyNumberFormat="0" applyFill="0" applyAlignment="0" applyProtection="0"/>
    <xf numFmtId="0" fontId="58" fillId="0" borderId="21" applyNumberFormat="0" applyFill="0" applyAlignment="0" applyProtection="0"/>
    <xf numFmtId="0" fontId="58" fillId="0" borderId="21" applyNumberFormat="0" applyFill="0" applyAlignment="0" applyProtection="0"/>
    <xf numFmtId="0" fontId="58" fillId="0" borderId="21" applyNumberFormat="0" applyFill="0" applyAlignment="0" applyProtection="0"/>
    <xf numFmtId="0" fontId="58" fillId="0" borderId="21" applyNumberFormat="0" applyFill="0" applyAlignment="0" applyProtection="0"/>
    <xf numFmtId="0" fontId="58" fillId="0" borderId="21" applyNumberFormat="0" applyFill="0" applyAlignment="0" applyProtection="0"/>
    <xf numFmtId="0" fontId="58" fillId="0" borderId="21" applyNumberFormat="0" applyFill="0" applyAlignment="0" applyProtection="0"/>
    <xf numFmtId="0" fontId="58" fillId="0" borderId="21" applyNumberFormat="0" applyFill="0" applyAlignment="0" applyProtection="0"/>
    <xf numFmtId="0" fontId="58" fillId="0" borderId="21" applyNumberFormat="0" applyFill="0" applyAlignment="0" applyProtection="0"/>
    <xf numFmtId="0" fontId="58" fillId="0" borderId="21" applyNumberFormat="0" applyFill="0" applyAlignment="0" applyProtection="0"/>
    <xf numFmtId="0" fontId="58" fillId="0" borderId="21" applyNumberFormat="0" applyFill="0" applyAlignment="0" applyProtection="0"/>
    <xf numFmtId="0" fontId="58" fillId="0" borderId="21" applyNumberFormat="0" applyFill="0" applyAlignment="0" applyProtection="0"/>
    <xf numFmtId="0" fontId="58" fillId="0" borderId="21" applyNumberFormat="0" applyFill="0" applyAlignment="0" applyProtection="0"/>
    <xf numFmtId="0" fontId="58" fillId="0" borderId="21" applyNumberFormat="0" applyFill="0" applyAlignment="0" applyProtection="0"/>
    <xf numFmtId="0" fontId="58" fillId="0" borderId="21" applyNumberFormat="0" applyFill="0" applyAlignment="0" applyProtection="0"/>
    <xf numFmtId="0" fontId="58" fillId="0" borderId="21" applyNumberFormat="0" applyFill="0" applyAlignment="0" applyProtection="0"/>
    <xf numFmtId="0" fontId="58" fillId="0" borderId="21" applyNumberFormat="0" applyFill="0" applyAlignment="0" applyProtection="0"/>
    <xf numFmtId="0" fontId="58" fillId="0" borderId="21"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214" fontId="126" fillId="0" borderId="0">
      <protection locked="0"/>
    </xf>
    <xf numFmtId="214" fontId="126" fillId="0" borderId="0">
      <protection locked="0"/>
    </xf>
    <xf numFmtId="0" fontId="70" fillId="0" borderId="0" applyNumberFormat="0" applyFill="0" applyBorder="0" applyAlignment="0" applyProtection="0">
      <alignment vertical="top"/>
      <protection locked="0"/>
    </xf>
    <xf numFmtId="0" fontId="127" fillId="0" borderId="0" applyNumberFormat="0" applyFill="0" applyBorder="0" applyAlignment="0" applyProtection="0">
      <alignment vertical="top"/>
      <protection locked="0"/>
    </xf>
    <xf numFmtId="0" fontId="71" fillId="36" borderId="13" applyNumberFormat="0" applyBorder="0" applyAlignment="0" applyProtection="0"/>
    <xf numFmtId="0" fontId="60" fillId="22"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3"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23" borderId="17" applyNumberFormat="0" applyAlignment="0" applyProtection="0"/>
    <xf numFmtId="0" fontId="60" fillId="22"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23"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57"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3" borderId="17" applyNumberFormat="0" applyAlignment="0" applyProtection="0"/>
    <xf numFmtId="0" fontId="60" fillId="22" borderId="17" applyNumberFormat="0" applyAlignment="0" applyProtection="0"/>
    <xf numFmtId="0" fontId="60" fillId="22" borderId="17" applyNumberFormat="0" applyAlignment="0" applyProtection="0"/>
    <xf numFmtId="0" fontId="60" fillId="22" borderId="17" applyNumberFormat="0" applyAlignment="0" applyProtection="0"/>
    <xf numFmtId="0" fontId="60" fillId="22" borderId="17" applyNumberFormat="0" applyAlignment="0" applyProtection="0"/>
    <xf numFmtId="0" fontId="60" fillId="22" borderId="17" applyNumberFormat="0" applyAlignment="0" applyProtection="0"/>
    <xf numFmtId="0" fontId="60" fillId="22"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3" borderId="17" applyNumberFormat="0" applyAlignment="0" applyProtection="0"/>
    <xf numFmtId="0" fontId="60" fillId="22" borderId="17" applyNumberFormat="0" applyAlignment="0" applyProtection="0"/>
    <xf numFmtId="0" fontId="60" fillId="22" borderId="17" applyNumberFormat="0" applyAlignment="0" applyProtection="0"/>
    <xf numFmtId="0" fontId="60" fillId="22" borderId="17" applyNumberFormat="0" applyAlignment="0" applyProtection="0"/>
    <xf numFmtId="0" fontId="60" fillId="22" borderId="17" applyNumberFormat="0" applyAlignment="0" applyProtection="0"/>
    <xf numFmtId="0" fontId="60" fillId="22" borderId="17" applyNumberFormat="0" applyAlignment="0" applyProtection="0"/>
    <xf numFmtId="0" fontId="60" fillId="22" borderId="17" applyNumberFormat="0" applyAlignment="0" applyProtection="0"/>
    <xf numFmtId="0" fontId="60" fillId="22"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3" borderId="17" applyNumberFormat="0" applyAlignment="0" applyProtection="0"/>
    <xf numFmtId="0" fontId="60" fillId="22"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3" borderId="17" applyNumberFormat="0" applyAlignment="0" applyProtection="0"/>
    <xf numFmtId="0" fontId="60" fillId="22"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3" borderId="17" applyNumberFormat="0" applyAlignment="0" applyProtection="0"/>
    <xf numFmtId="0" fontId="60" fillId="22"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3" borderId="17" applyNumberFormat="0" applyAlignment="0" applyProtection="0"/>
    <xf numFmtId="0" fontId="60" fillId="22"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3" borderId="17" applyNumberFormat="0" applyAlignment="0" applyProtection="0"/>
    <xf numFmtId="0" fontId="60" fillId="22" borderId="17" applyNumberFormat="0" applyAlignment="0" applyProtection="0"/>
    <xf numFmtId="0" fontId="60" fillId="22" borderId="17" applyNumberFormat="0" applyAlignment="0" applyProtection="0"/>
    <xf numFmtId="0" fontId="60" fillId="23" borderId="17" applyNumberFormat="0" applyAlignment="0" applyProtection="0"/>
    <xf numFmtId="0" fontId="60" fillId="23" borderId="17" applyNumberFormat="0" applyAlignment="0" applyProtection="0"/>
    <xf numFmtId="0" fontId="20" fillId="0" borderId="0"/>
    <xf numFmtId="212" fontId="115" fillId="0" borderId="0" applyFont="0">
      <alignment horizontal="left"/>
    </xf>
    <xf numFmtId="212" fontId="20" fillId="0" borderId="0" applyFont="0">
      <alignment horizontal="left"/>
    </xf>
    <xf numFmtId="212" fontId="115" fillId="0" borderId="0" applyFont="0" applyFill="0" applyBorder="0">
      <alignment horizontal="left"/>
    </xf>
    <xf numFmtId="212" fontId="20" fillId="0" borderId="0" applyFont="0" applyFill="0" applyBorder="0">
      <alignment horizontal="left"/>
    </xf>
    <xf numFmtId="40" fontId="71" fillId="0" borderId="0" applyFont="0">
      <protection locked="0"/>
    </xf>
    <xf numFmtId="40" fontId="20" fillId="0" borderId="0" applyFont="0">
      <protection locked="0"/>
    </xf>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0" fontId="61" fillId="0" borderId="23" applyNumberFormat="0" applyFill="0" applyAlignment="0" applyProtection="0"/>
    <xf numFmtId="212" fontId="115" fillId="0" borderId="0" applyFont="0" applyFill="0" applyBorder="0">
      <alignment horizontal="left"/>
    </xf>
    <xf numFmtId="212" fontId="20" fillId="0" borderId="0" applyFont="0" applyFill="0" applyBorder="0">
      <alignment horizontal="left"/>
    </xf>
    <xf numFmtId="212" fontId="115" fillId="0" borderId="0" applyFont="0" applyFill="0" applyBorder="0">
      <alignment horizontal="left"/>
    </xf>
    <xf numFmtId="212" fontId="20" fillId="0" borderId="0" applyFont="0" applyFill="0" applyBorder="0">
      <alignment horizontal="left"/>
    </xf>
    <xf numFmtId="215" fontId="114" fillId="0" borderId="0">
      <alignment horizontal="left" vertical="top"/>
      <protection locked="0"/>
    </xf>
    <xf numFmtId="215" fontId="71" fillId="0" borderId="0" applyFont="0"/>
    <xf numFmtId="215" fontId="20" fillId="0" borderId="0" applyFont="0"/>
    <xf numFmtId="212" fontId="115" fillId="0" borderId="0" applyFont="0" applyFill="0" applyBorder="0">
      <alignment horizontal="left"/>
    </xf>
    <xf numFmtId="212" fontId="20" fillId="0" borderId="0" applyFont="0" applyFill="0" applyBorder="0">
      <alignment horizontal="left"/>
    </xf>
    <xf numFmtId="212" fontId="115" fillId="0" borderId="0" applyFont="0">
      <alignment horizontal="left"/>
    </xf>
    <xf numFmtId="212" fontId="20" fillId="0" borderId="0" applyFont="0">
      <alignment horizontal="left"/>
    </xf>
    <xf numFmtId="0" fontId="62" fillId="85" borderId="0" applyNumberFormat="0" applyBorder="0" applyAlignment="0" applyProtection="0"/>
    <xf numFmtId="0" fontId="62" fillId="85" borderId="0" applyNumberFormat="0" applyBorder="0" applyAlignment="0" applyProtection="0"/>
    <xf numFmtId="0" fontId="62" fillId="38" borderId="0" applyNumberFormat="0" applyBorder="0" applyAlignment="0" applyProtection="0"/>
    <xf numFmtId="0" fontId="62" fillId="38" borderId="0" applyNumberFormat="0" applyBorder="0" applyAlignment="0" applyProtection="0"/>
    <xf numFmtId="0" fontId="62" fillId="85" borderId="0" applyNumberFormat="0" applyBorder="0" applyAlignment="0" applyProtection="0"/>
    <xf numFmtId="0" fontId="62" fillId="38" borderId="0" applyNumberFormat="0" applyBorder="0" applyAlignment="0" applyProtection="0"/>
    <xf numFmtId="0" fontId="62" fillId="38"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38" borderId="0" applyNumberFormat="0" applyBorder="0" applyAlignment="0" applyProtection="0"/>
    <xf numFmtId="0" fontId="62" fillId="85"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38"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6" borderId="0" applyNumberFormat="0" applyBorder="0" applyAlignment="0" applyProtection="0"/>
    <xf numFmtId="0" fontId="62" fillId="85" borderId="0" applyNumberFormat="0" applyBorder="0" applyAlignment="0" applyProtection="0"/>
    <xf numFmtId="0" fontId="62" fillId="85" borderId="0" applyNumberFormat="0" applyBorder="0" applyAlignment="0" applyProtection="0"/>
    <xf numFmtId="0" fontId="62" fillId="38" borderId="0" applyNumberFormat="0" applyBorder="0" applyAlignment="0" applyProtection="0"/>
    <xf numFmtId="0" fontId="62" fillId="38" borderId="0" applyNumberFormat="0" applyBorder="0" applyAlignment="0" applyProtection="0"/>
    <xf numFmtId="0" fontId="62" fillId="85" borderId="0" applyNumberFormat="0" applyBorder="0" applyAlignment="0" applyProtection="0"/>
    <xf numFmtId="0" fontId="62" fillId="85" borderId="0" applyNumberFormat="0" applyBorder="0" applyAlignment="0" applyProtection="0"/>
    <xf numFmtId="0" fontId="62" fillId="38" borderId="0" applyNumberFormat="0" applyBorder="0" applyAlignment="0" applyProtection="0"/>
    <xf numFmtId="0" fontId="62" fillId="38" borderId="0" applyNumberFormat="0" applyBorder="0" applyAlignment="0" applyProtection="0"/>
    <xf numFmtId="0" fontId="62" fillId="85" borderId="0" applyNumberFormat="0" applyBorder="0" applyAlignment="0" applyProtection="0"/>
    <xf numFmtId="0" fontId="62" fillId="85" borderId="0" applyNumberFormat="0" applyBorder="0" applyAlignment="0" applyProtection="0"/>
    <xf numFmtId="0" fontId="62" fillId="38" borderId="0" applyNumberFormat="0" applyBorder="0" applyAlignment="0" applyProtection="0"/>
    <xf numFmtId="0" fontId="62" fillId="38" borderId="0" applyNumberFormat="0" applyBorder="0" applyAlignment="0" applyProtection="0"/>
    <xf numFmtId="0" fontId="62" fillId="85" borderId="0" applyNumberFormat="0" applyBorder="0" applyAlignment="0" applyProtection="0"/>
    <xf numFmtId="0" fontId="62" fillId="85" borderId="0" applyNumberFormat="0" applyBorder="0" applyAlignment="0" applyProtection="0"/>
    <xf numFmtId="0" fontId="62" fillId="38" borderId="0" applyNumberFormat="0" applyBorder="0" applyAlignment="0" applyProtection="0"/>
    <xf numFmtId="0" fontId="62" fillId="38" borderId="0" applyNumberFormat="0" applyBorder="0" applyAlignment="0" applyProtection="0"/>
    <xf numFmtId="0" fontId="62" fillId="85" borderId="0" applyNumberFormat="0" applyBorder="0" applyAlignment="0" applyProtection="0"/>
    <xf numFmtId="0" fontId="62" fillId="85" borderId="0" applyNumberFormat="0" applyBorder="0" applyAlignment="0" applyProtection="0"/>
    <xf numFmtId="0" fontId="62" fillId="38" borderId="0" applyNumberFormat="0" applyBorder="0" applyAlignment="0" applyProtection="0"/>
    <xf numFmtId="0" fontId="62" fillId="38" borderId="0" applyNumberFormat="0" applyBorder="0" applyAlignment="0" applyProtection="0"/>
    <xf numFmtId="0" fontId="62" fillId="85" borderId="0" applyNumberFormat="0" applyBorder="0" applyAlignment="0" applyProtection="0"/>
    <xf numFmtId="0" fontId="62" fillId="85" borderId="0" applyNumberFormat="0" applyBorder="0" applyAlignment="0" applyProtection="0"/>
    <xf numFmtId="0" fontId="62" fillId="38" borderId="0" applyNumberFormat="0" applyBorder="0" applyAlignment="0" applyProtection="0"/>
    <xf numFmtId="0" fontId="62" fillId="38" borderId="0" applyNumberFormat="0" applyBorder="0" applyAlignment="0" applyProtection="0"/>
    <xf numFmtId="0" fontId="62" fillId="85" borderId="0" applyNumberFormat="0" applyBorder="0" applyAlignment="0" applyProtection="0"/>
    <xf numFmtId="0" fontId="62" fillId="85" borderId="0" applyNumberFormat="0" applyBorder="0" applyAlignment="0" applyProtection="0"/>
    <xf numFmtId="0" fontId="62" fillId="38" borderId="0" applyNumberFormat="0" applyBorder="0" applyAlignment="0" applyProtection="0"/>
    <xf numFmtId="0" fontId="62" fillId="38" borderId="0" applyNumberFormat="0" applyBorder="0" applyAlignment="0" applyProtection="0"/>
    <xf numFmtId="0" fontId="20" fillId="0" borderId="0"/>
    <xf numFmtId="0" fontId="128" fillId="0" borderId="0"/>
    <xf numFmtId="0" fontId="44" fillId="0" borderId="0"/>
    <xf numFmtId="0" fontId="20" fillId="0" borderId="0"/>
    <xf numFmtId="0" fontId="20" fillId="0" borderId="0"/>
    <xf numFmtId="0" fontId="20" fillId="0" borderId="0"/>
    <xf numFmtId="0" fontId="20" fillId="0" borderId="0"/>
    <xf numFmtId="0" fontId="9" fillId="0" borderId="0"/>
    <xf numFmtId="0" fontId="30" fillId="0" borderId="0"/>
    <xf numFmtId="0" fontId="9" fillId="0" borderId="0"/>
    <xf numFmtId="0" fontId="17" fillId="0" borderId="0"/>
    <xf numFmtId="0" fontId="9" fillId="0" borderId="0"/>
    <xf numFmtId="0" fontId="20" fillId="0" borderId="0"/>
    <xf numFmtId="0" fontId="20" fillId="0" borderId="0"/>
    <xf numFmtId="0" fontId="17" fillId="0" borderId="0"/>
    <xf numFmtId="0" fontId="20" fillId="0" borderId="0"/>
    <xf numFmtId="0" fontId="20" fillId="0" borderId="0"/>
    <xf numFmtId="0" fontId="20" fillId="0" borderId="0"/>
    <xf numFmtId="0" fontId="20" fillId="0" borderId="0"/>
    <xf numFmtId="0" fontId="9" fillId="0" borderId="0"/>
    <xf numFmtId="0" fontId="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0" fillId="0" borderId="0"/>
    <xf numFmtId="0" fontId="29" fillId="0" borderId="0"/>
    <xf numFmtId="0" fontId="29" fillId="0" borderId="0"/>
    <xf numFmtId="0" fontId="29" fillId="0" borderId="0"/>
    <xf numFmtId="0" fontId="29" fillId="0" borderId="0"/>
    <xf numFmtId="0" fontId="20" fillId="0" borderId="0"/>
    <xf numFmtId="0" fontId="20" fillId="0" borderId="0"/>
    <xf numFmtId="0" fontId="2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0" fillId="0" borderId="0"/>
    <xf numFmtId="0" fontId="9" fillId="0" borderId="0"/>
    <xf numFmtId="0" fontId="20" fillId="0" borderId="0"/>
    <xf numFmtId="0" fontId="20" fillId="0" borderId="0"/>
    <xf numFmtId="0" fontId="9" fillId="0" borderId="0"/>
    <xf numFmtId="0" fontId="17" fillId="0" borderId="0"/>
    <xf numFmtId="0" fontId="17" fillId="0" borderId="0"/>
    <xf numFmtId="0" fontId="20" fillId="0" borderId="0"/>
    <xf numFmtId="0" fontId="20" fillId="0" borderId="0"/>
    <xf numFmtId="0" fontId="9" fillId="0" borderId="0"/>
    <xf numFmtId="0" fontId="9" fillId="0" borderId="0"/>
    <xf numFmtId="0" fontId="17" fillId="0" borderId="0"/>
    <xf numFmtId="0" fontId="17" fillId="0" borderId="0"/>
    <xf numFmtId="0" fontId="9" fillId="0" borderId="0"/>
    <xf numFmtId="0" fontId="20" fillId="0" borderId="0"/>
    <xf numFmtId="0" fontId="20" fillId="0" borderId="0"/>
    <xf numFmtId="0" fontId="20" fillId="0" borderId="0"/>
    <xf numFmtId="0" fontId="9" fillId="0" borderId="0"/>
    <xf numFmtId="0" fontId="17" fillId="0" borderId="0"/>
    <xf numFmtId="0" fontId="17" fillId="0" borderId="0"/>
    <xf numFmtId="0" fontId="9" fillId="0" borderId="0"/>
    <xf numFmtId="0" fontId="97" fillId="0" borderId="0"/>
    <xf numFmtId="0" fontId="97" fillId="0" borderId="0"/>
    <xf numFmtId="0" fontId="20" fillId="0" borderId="0"/>
    <xf numFmtId="0" fontId="20" fillId="0" borderId="0"/>
    <xf numFmtId="0" fontId="20" fillId="0" borderId="0"/>
    <xf numFmtId="0" fontId="9" fillId="0" borderId="0"/>
    <xf numFmtId="0" fontId="17" fillId="0" borderId="0"/>
    <xf numFmtId="0" fontId="17" fillId="0" borderId="0"/>
    <xf numFmtId="0" fontId="9" fillId="0" borderId="0"/>
    <xf numFmtId="0" fontId="20" fillId="0" borderId="0"/>
    <xf numFmtId="0" fontId="9" fillId="0" borderId="0"/>
    <xf numFmtId="0" fontId="17" fillId="0" borderId="0"/>
    <xf numFmtId="0" fontId="17" fillId="0" borderId="0"/>
    <xf numFmtId="0" fontId="9" fillId="0" borderId="0"/>
    <xf numFmtId="0" fontId="20" fillId="0" borderId="0"/>
    <xf numFmtId="0" fontId="17" fillId="0" borderId="0"/>
    <xf numFmtId="0" fontId="9" fillId="0" borderId="0"/>
    <xf numFmtId="0" fontId="17" fillId="0" borderId="0"/>
    <xf numFmtId="0" fontId="9" fillId="0" borderId="0"/>
    <xf numFmtId="0" fontId="9" fillId="0" borderId="0"/>
    <xf numFmtId="0" fontId="17" fillId="0" borderId="0"/>
    <xf numFmtId="0" fontId="17" fillId="0" borderId="0"/>
    <xf numFmtId="0" fontId="9" fillId="0" borderId="0"/>
    <xf numFmtId="0" fontId="9" fillId="0" borderId="0"/>
    <xf numFmtId="0" fontId="17" fillId="0" borderId="0"/>
    <xf numFmtId="0" fontId="17" fillId="0" borderId="0"/>
    <xf numFmtId="0" fontId="9" fillId="0" borderId="0"/>
    <xf numFmtId="0" fontId="9" fillId="0" borderId="0"/>
    <xf numFmtId="0" fontId="17" fillId="0" borderId="0"/>
    <xf numFmtId="0" fontId="17" fillId="0" borderId="0"/>
    <xf numFmtId="0" fontId="9" fillId="0" borderId="0"/>
    <xf numFmtId="0" fontId="20" fillId="0" borderId="0"/>
    <xf numFmtId="0" fontId="20" fillId="0" borderId="0"/>
    <xf numFmtId="0" fontId="20" fillId="0" borderId="0"/>
    <xf numFmtId="0" fontId="20" fillId="0" borderId="0"/>
    <xf numFmtId="0" fontId="29" fillId="0" borderId="0"/>
    <xf numFmtId="0" fontId="20" fillId="0" borderId="0"/>
    <xf numFmtId="0" fontId="20" fillId="0" borderId="0"/>
    <xf numFmtId="0" fontId="29" fillId="0" borderId="0"/>
    <xf numFmtId="0" fontId="20" fillId="0" borderId="0"/>
    <xf numFmtId="0" fontId="29" fillId="0" borderId="0"/>
    <xf numFmtId="0" fontId="29" fillId="0" borderId="0"/>
    <xf numFmtId="0" fontId="20" fillId="0" borderId="0"/>
    <xf numFmtId="0" fontId="29" fillId="0" borderId="0"/>
    <xf numFmtId="0" fontId="29" fillId="0" borderId="0"/>
    <xf numFmtId="0" fontId="1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7" fillId="0" borderId="0"/>
    <xf numFmtId="0" fontId="20" fillId="0" borderId="0"/>
    <xf numFmtId="172" fontId="41" fillId="0" borderId="0"/>
    <xf numFmtId="0" fontId="29" fillId="0" borderId="0"/>
    <xf numFmtId="0" fontId="20" fillId="0" borderId="0"/>
    <xf numFmtId="0" fontId="29" fillId="0" borderId="0"/>
    <xf numFmtId="0" fontId="29" fillId="0" borderId="0"/>
    <xf numFmtId="0" fontId="29" fillId="0" borderId="0"/>
    <xf numFmtId="172" fontId="41" fillId="0" borderId="0"/>
    <xf numFmtId="0" fontId="9" fillId="0" borderId="0"/>
    <xf numFmtId="0" fontId="9" fillId="0" borderId="0"/>
    <xf numFmtId="172" fontId="41" fillId="0" borderId="0"/>
    <xf numFmtId="172" fontId="41" fillId="0" borderId="0"/>
    <xf numFmtId="0" fontId="20" fillId="0" borderId="0"/>
    <xf numFmtId="0" fontId="20" fillId="0" borderId="0"/>
    <xf numFmtId="0" fontId="20" fillId="0" borderId="0"/>
    <xf numFmtId="0" fontId="29" fillId="0" borderId="0"/>
    <xf numFmtId="0" fontId="9" fillId="0" borderId="0"/>
    <xf numFmtId="0" fontId="9" fillId="0" borderId="0"/>
    <xf numFmtId="0" fontId="29" fillId="0" borderId="0"/>
    <xf numFmtId="0" fontId="29" fillId="0" borderId="0"/>
    <xf numFmtId="0" fontId="29" fillId="0" borderId="0"/>
    <xf numFmtId="0" fontId="29" fillId="0" borderId="0"/>
    <xf numFmtId="0" fontId="29" fillId="0" borderId="0"/>
    <xf numFmtId="172" fontId="41" fillId="0" borderId="0"/>
    <xf numFmtId="172" fontId="41" fillId="0" borderId="0"/>
    <xf numFmtId="0" fontId="17" fillId="0" borderId="0"/>
    <xf numFmtId="172" fontId="41" fillId="0" borderId="0"/>
    <xf numFmtId="172" fontId="41" fillId="0" borderId="0"/>
    <xf numFmtId="172" fontId="41" fillId="0" borderId="0"/>
    <xf numFmtId="0" fontId="20" fillId="0" borderId="0"/>
    <xf numFmtId="0" fontId="9" fillId="0" borderId="0"/>
    <xf numFmtId="0" fontId="20" fillId="0" borderId="0"/>
    <xf numFmtId="0" fontId="9" fillId="0" borderId="0"/>
    <xf numFmtId="0" fontId="9" fillId="0" borderId="0"/>
    <xf numFmtId="172" fontId="41" fillId="0" borderId="0"/>
    <xf numFmtId="0" fontId="130" fillId="0" borderId="0"/>
    <xf numFmtId="0" fontId="49" fillId="0" borderId="0"/>
    <xf numFmtId="2" fontId="20" fillId="0" borderId="0" applyFill="0">
      <alignment horizont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 fillId="0" borderId="0"/>
    <xf numFmtId="0" fontId="17" fillId="0" borderId="0"/>
    <xf numFmtId="0" fontId="17" fillId="0" borderId="0"/>
    <xf numFmtId="0" fontId="9" fillId="0" borderId="0"/>
    <xf numFmtId="0" fontId="20" fillId="0" borderId="0"/>
    <xf numFmtId="0" fontId="20" fillId="0" borderId="0"/>
    <xf numFmtId="0" fontId="20" fillId="0" borderId="0"/>
    <xf numFmtId="0" fontId="20" fillId="0" borderId="0"/>
    <xf numFmtId="0" fontId="18" fillId="0" borderId="0"/>
    <xf numFmtId="0" fontId="20" fillId="0" borderId="0"/>
    <xf numFmtId="0" fontId="20" fillId="0" borderId="0"/>
    <xf numFmtId="0" fontId="20" fillId="0" borderId="0"/>
    <xf numFmtId="0" fontId="121" fillId="0" borderId="0"/>
    <xf numFmtId="0" fontId="121" fillId="0" borderId="0"/>
    <xf numFmtId="0" fontId="20" fillId="0" borderId="0"/>
    <xf numFmtId="0" fontId="20" fillId="0" borderId="0"/>
    <xf numFmtId="0" fontId="20" fillId="0" borderId="0"/>
    <xf numFmtId="0" fontId="20" fillId="0" borderId="0"/>
    <xf numFmtId="0" fontId="9" fillId="0" borderId="0"/>
    <xf numFmtId="0" fontId="17" fillId="0" borderId="0"/>
    <xf numFmtId="0" fontId="17" fillId="0" borderId="0"/>
    <xf numFmtId="0" fontId="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7" fillId="0" borderId="0"/>
    <xf numFmtId="0" fontId="9" fillId="0" borderId="0"/>
    <xf numFmtId="0" fontId="20" fillId="0" borderId="0"/>
    <xf numFmtId="0" fontId="17" fillId="0" borderId="0"/>
    <xf numFmtId="0" fontId="9" fillId="0" borderId="0"/>
    <xf numFmtId="0" fontId="29" fillId="0" borderId="0"/>
    <xf numFmtId="0" fontId="29" fillId="0" borderId="0"/>
    <xf numFmtId="0" fontId="29" fillId="0" borderId="0"/>
    <xf numFmtId="0" fontId="29" fillId="0" borderId="0"/>
    <xf numFmtId="0" fontId="29" fillId="0" borderId="0"/>
    <xf numFmtId="0" fontId="20" fillId="0" borderId="0"/>
    <xf numFmtId="0" fontId="17" fillId="0" borderId="0"/>
    <xf numFmtId="0" fontId="9" fillId="0" borderId="0"/>
    <xf numFmtId="0" fontId="20" fillId="0" borderId="0"/>
    <xf numFmtId="0" fontId="17" fillId="0" borderId="0"/>
    <xf numFmtId="0" fontId="9" fillId="0" borderId="0"/>
    <xf numFmtId="0" fontId="17" fillId="0" borderId="0"/>
    <xf numFmtId="0" fontId="9" fillId="0" borderId="0"/>
    <xf numFmtId="0" fontId="20" fillId="0" borderId="0"/>
    <xf numFmtId="0" fontId="17" fillId="0" borderId="0"/>
    <xf numFmtId="0" fontId="9" fillId="0" borderId="0"/>
    <xf numFmtId="0" fontId="17" fillId="0" borderId="0"/>
    <xf numFmtId="0" fontId="9" fillId="0" borderId="0"/>
    <xf numFmtId="0" fontId="17" fillId="0" borderId="0"/>
    <xf numFmtId="0" fontId="9" fillId="0" borderId="0"/>
    <xf numFmtId="0" fontId="17" fillId="0" borderId="0"/>
    <xf numFmtId="0" fontId="9" fillId="0" borderId="0"/>
    <xf numFmtId="0" fontId="17" fillId="0" borderId="0"/>
    <xf numFmtId="0" fontId="9" fillId="0" borderId="0"/>
    <xf numFmtId="0" fontId="17" fillId="0" borderId="0"/>
    <xf numFmtId="0" fontId="9" fillId="0" borderId="0"/>
    <xf numFmtId="0" fontId="17" fillId="0" borderId="0"/>
    <xf numFmtId="0" fontId="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20" fillId="0" borderId="0"/>
    <xf numFmtId="0" fontId="20" fillId="0" borderId="0"/>
    <xf numFmtId="0" fontId="20"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29" fillId="0" borderId="0"/>
    <xf numFmtId="0" fontId="29" fillId="0" borderId="0"/>
    <xf numFmtId="0" fontId="29" fillId="0" borderId="0"/>
    <xf numFmtId="0" fontId="29" fillId="0" borderId="0"/>
    <xf numFmtId="0" fontId="9" fillId="0" borderId="0"/>
    <xf numFmtId="0" fontId="17" fillId="0" borderId="0"/>
    <xf numFmtId="0" fontId="9" fillId="0" borderId="0"/>
    <xf numFmtId="0" fontId="17" fillId="0" borderId="0"/>
    <xf numFmtId="0" fontId="9" fillId="0" borderId="0"/>
    <xf numFmtId="0" fontId="17" fillId="0" borderId="0"/>
    <xf numFmtId="0" fontId="9" fillId="0" borderId="0"/>
    <xf numFmtId="0" fontId="17" fillId="0" borderId="0"/>
    <xf numFmtId="0" fontId="9" fillId="0" borderId="0"/>
    <xf numFmtId="0" fontId="17" fillId="0" borderId="0"/>
    <xf numFmtId="0" fontId="9" fillId="0" borderId="0"/>
    <xf numFmtId="0" fontId="17" fillId="0" borderId="0"/>
    <xf numFmtId="0" fontId="9" fillId="0" borderId="0"/>
    <xf numFmtId="0" fontId="17" fillId="0" borderId="0"/>
    <xf numFmtId="0" fontId="9" fillId="0" borderId="0"/>
    <xf numFmtId="0" fontId="17" fillId="0" borderId="0"/>
    <xf numFmtId="0" fontId="17" fillId="0" borderId="0"/>
    <xf numFmtId="0" fontId="29" fillId="0" borderId="0"/>
    <xf numFmtId="0" fontId="29" fillId="0" borderId="0"/>
    <xf numFmtId="0" fontId="29" fillId="0" borderId="0"/>
    <xf numFmtId="0" fontId="29" fillId="0" borderId="0"/>
    <xf numFmtId="0" fontId="29" fillId="0" borderId="0"/>
    <xf numFmtId="0" fontId="72" fillId="0" borderId="0"/>
    <xf numFmtId="0" fontId="20" fillId="0" borderId="0"/>
    <xf numFmtId="0" fontId="20" fillId="0" borderId="0"/>
    <xf numFmtId="0" fontId="20" fillId="0" borderId="0"/>
    <xf numFmtId="0" fontId="29" fillId="0" borderId="0"/>
    <xf numFmtId="0" fontId="29" fillId="0" borderId="0"/>
    <xf numFmtId="0" fontId="29" fillId="0" borderId="0"/>
    <xf numFmtId="0" fontId="29" fillId="0" borderId="0"/>
    <xf numFmtId="0" fontId="20" fillId="0" borderId="0"/>
    <xf numFmtId="0" fontId="20" fillId="0" borderId="0"/>
    <xf numFmtId="0" fontId="29" fillId="0" borderId="0"/>
    <xf numFmtId="0" fontId="29" fillId="0" borderId="0"/>
    <xf numFmtId="0" fontId="29" fillId="0" borderId="0"/>
    <xf numFmtId="0" fontId="9" fillId="0" borderId="0"/>
    <xf numFmtId="0" fontId="29" fillId="0" borderId="0"/>
    <xf numFmtId="0" fontId="29" fillId="0" borderId="0"/>
    <xf numFmtId="0" fontId="29" fillId="0" borderId="0"/>
    <xf numFmtId="0" fontId="17" fillId="0" borderId="0"/>
    <xf numFmtId="0" fontId="9" fillId="0" borderId="0"/>
    <xf numFmtId="0" fontId="17" fillId="0" borderId="0"/>
    <xf numFmtId="0" fontId="9" fillId="0" borderId="0"/>
    <xf numFmtId="0" fontId="20" fillId="0" borderId="0"/>
    <xf numFmtId="0" fontId="20" fillId="0" borderId="0"/>
    <xf numFmtId="0" fontId="9" fillId="0" borderId="0"/>
    <xf numFmtId="0" fontId="17" fillId="0" borderId="0"/>
    <xf numFmtId="0" fontId="20" fillId="0" borderId="0"/>
    <xf numFmtId="0" fontId="132" fillId="0" borderId="0"/>
    <xf numFmtId="0" fontId="133" fillId="0" borderId="0"/>
    <xf numFmtId="0" fontId="132" fillId="0" borderId="0"/>
    <xf numFmtId="0" fontId="20" fillId="0" borderId="0"/>
    <xf numFmtId="0" fontId="9" fillId="0" borderId="0"/>
    <xf numFmtId="0" fontId="9" fillId="0" borderId="0"/>
    <xf numFmtId="0" fontId="9" fillId="0" borderId="0"/>
    <xf numFmtId="0" fontId="17" fillId="0" borderId="0"/>
    <xf numFmtId="0" fontId="9" fillId="0" borderId="0"/>
    <xf numFmtId="0" fontId="17" fillId="0" borderId="0"/>
    <xf numFmtId="0" fontId="9" fillId="0" borderId="0"/>
    <xf numFmtId="0" fontId="17" fillId="0" borderId="0"/>
    <xf numFmtId="0" fontId="17" fillId="0" borderId="0"/>
    <xf numFmtId="0" fontId="9" fillId="0" borderId="0"/>
    <xf numFmtId="0" fontId="20" fillId="0" borderId="0"/>
    <xf numFmtId="0" fontId="9" fillId="0" borderId="0"/>
    <xf numFmtId="0" fontId="9" fillId="0" borderId="0"/>
    <xf numFmtId="0" fontId="9" fillId="0" borderId="0"/>
    <xf numFmtId="0" fontId="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7" fillId="0" borderId="0"/>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 fillId="0" borderId="0"/>
    <xf numFmtId="0" fontId="17" fillId="0" borderId="0"/>
    <xf numFmtId="0" fontId="17" fillId="0" borderId="0"/>
    <xf numFmtId="0" fontId="9" fillId="0" borderId="0"/>
    <xf numFmtId="0" fontId="20" fillId="0" borderId="0"/>
    <xf numFmtId="0" fontId="17" fillId="0" borderId="0"/>
    <xf numFmtId="0" fontId="20" fillId="0" borderId="0"/>
    <xf numFmtId="0" fontId="134" fillId="0" borderId="0"/>
    <xf numFmtId="0" fontId="24" fillId="0" borderId="0"/>
    <xf numFmtId="0" fontId="20" fillId="0" borderId="0"/>
    <xf numFmtId="0" fontId="9" fillId="0" borderId="0"/>
    <xf numFmtId="0" fontId="17" fillId="0" borderId="0"/>
    <xf numFmtId="0" fontId="17" fillId="0" borderId="0"/>
    <xf numFmtId="0" fontId="9" fillId="0" borderId="0"/>
    <xf numFmtId="0" fontId="20" fillId="0" borderId="0"/>
    <xf numFmtId="0" fontId="17" fillId="39" borderId="24" applyNumberFormat="0" applyFont="0" applyAlignment="0" applyProtection="0"/>
    <xf numFmtId="0" fontId="17" fillId="39" borderId="24" applyNumberFormat="0" applyFont="0" applyAlignment="0" applyProtection="0"/>
    <xf numFmtId="0" fontId="17" fillId="39" borderId="24" applyNumberFormat="0" applyFont="0" applyAlignment="0" applyProtection="0"/>
    <xf numFmtId="0" fontId="20" fillId="36" borderId="24" applyNumberFormat="0" applyFont="0" applyAlignment="0" applyProtection="0"/>
    <xf numFmtId="0" fontId="20" fillId="36" borderId="24" applyNumberFormat="0" applyFont="0" applyAlignment="0" applyProtection="0"/>
    <xf numFmtId="0" fontId="17" fillId="39" borderId="24" applyNumberFormat="0" applyFont="0" applyAlignment="0" applyProtection="0"/>
    <xf numFmtId="0" fontId="20" fillId="36" borderId="24" applyNumberFormat="0" applyFont="0" applyAlignment="0" applyProtection="0"/>
    <xf numFmtId="0" fontId="20" fillId="36" borderId="24" applyNumberFormat="0" applyFont="0" applyAlignment="0" applyProtection="0"/>
    <xf numFmtId="0" fontId="17" fillId="39" borderId="24" applyNumberFormat="0" applyFont="0" applyAlignment="0" applyProtection="0"/>
    <xf numFmtId="0" fontId="17" fillId="39" borderId="24" applyNumberFormat="0" applyFont="0" applyAlignment="0" applyProtection="0"/>
    <xf numFmtId="0" fontId="20" fillId="36" borderId="24" applyNumberFormat="0" applyFont="0" applyAlignment="0" applyProtection="0"/>
    <xf numFmtId="0" fontId="20" fillId="36" borderId="24" applyNumberFormat="0" applyFont="0" applyAlignment="0" applyProtection="0"/>
    <xf numFmtId="0" fontId="20" fillId="36" borderId="24" applyNumberFormat="0" applyFont="0" applyAlignment="0" applyProtection="0"/>
    <xf numFmtId="0" fontId="17" fillId="39" borderId="24" applyNumberFormat="0" applyFon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17" fillId="39" borderId="24" applyNumberFormat="0" applyFont="0" applyAlignment="0" applyProtection="0"/>
    <xf numFmtId="0" fontId="20" fillId="36" borderId="24" applyNumberFormat="0" applyFont="0" applyAlignment="0" applyProtection="0"/>
    <xf numFmtId="0" fontId="20" fillId="36" borderId="24" applyNumberFormat="0" applyFont="0" applyAlignment="0" applyProtection="0"/>
    <xf numFmtId="0" fontId="17" fillId="39" borderId="24" applyNumberFormat="0" applyFon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0" fillId="36" borderId="24" applyNumberFormat="0" applyFont="0" applyAlignment="0" applyProtection="0"/>
    <xf numFmtId="0" fontId="17" fillId="39" borderId="24" applyNumberFormat="0" applyFon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0" fillId="36" borderId="24" applyNumberFormat="0" applyFon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17" fillId="39" borderId="24" applyNumberFormat="0" applyFont="0" applyAlignment="0" applyProtection="0"/>
    <xf numFmtId="0" fontId="20" fillId="10" borderId="16" applyNumberFormat="0" applyFon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4" fillId="87" borderId="24" applyNumberFormat="0" applyAlignment="0" applyProtection="0"/>
    <xf numFmtId="0" fontId="20" fillId="39" borderId="24" applyNumberFormat="0" applyFont="0" applyAlignment="0" applyProtection="0"/>
    <xf numFmtId="0" fontId="17" fillId="39" borderId="24" applyNumberFormat="0" applyFont="0" applyAlignment="0" applyProtection="0"/>
    <xf numFmtId="0" fontId="17" fillId="39" borderId="24" applyNumberFormat="0" applyFont="0" applyAlignment="0" applyProtection="0"/>
    <xf numFmtId="0" fontId="20" fillId="36" borderId="24" applyNumberFormat="0" applyFont="0" applyAlignment="0" applyProtection="0"/>
    <xf numFmtId="0" fontId="20" fillId="36" borderId="24" applyNumberFormat="0" applyFont="0" applyAlignment="0" applyProtection="0"/>
    <xf numFmtId="0" fontId="17" fillId="39" borderId="24" applyNumberFormat="0" applyFont="0" applyAlignment="0" applyProtection="0"/>
    <xf numFmtId="0" fontId="20" fillId="36" borderId="24" applyNumberFormat="0" applyFont="0" applyAlignment="0" applyProtection="0"/>
    <xf numFmtId="0" fontId="20" fillId="36" borderId="24" applyNumberFormat="0" applyFont="0" applyAlignment="0" applyProtection="0"/>
    <xf numFmtId="0" fontId="17" fillId="39" borderId="24" applyNumberFormat="0" applyFont="0" applyAlignment="0" applyProtection="0"/>
    <xf numFmtId="0" fontId="20" fillId="39" borderId="24" applyNumberFormat="0" applyFont="0" applyAlignment="0" applyProtection="0"/>
    <xf numFmtId="0" fontId="17" fillId="39" borderId="24" applyNumberFormat="0" applyFont="0" applyAlignment="0" applyProtection="0"/>
    <xf numFmtId="0" fontId="17" fillId="39" borderId="24" applyNumberFormat="0" applyFont="0" applyAlignment="0" applyProtection="0"/>
    <xf numFmtId="0" fontId="20" fillId="36" borderId="24" applyNumberFormat="0" applyFont="0" applyAlignment="0" applyProtection="0"/>
    <xf numFmtId="0" fontId="20" fillId="36" borderId="24" applyNumberFormat="0" applyFont="0" applyAlignment="0" applyProtection="0"/>
    <xf numFmtId="0" fontId="17" fillId="39" borderId="24" applyNumberFormat="0" applyFont="0" applyAlignment="0" applyProtection="0"/>
    <xf numFmtId="0" fontId="20" fillId="36" borderId="24" applyNumberFormat="0" applyFont="0" applyAlignment="0" applyProtection="0"/>
    <xf numFmtId="0" fontId="20" fillId="36" borderId="24" applyNumberFormat="0" applyFont="0" applyAlignment="0" applyProtection="0"/>
    <xf numFmtId="0" fontId="17" fillId="39" borderId="24" applyNumberFormat="0" applyFont="0" applyAlignment="0" applyProtection="0"/>
    <xf numFmtId="0" fontId="20" fillId="39" borderId="24" applyNumberFormat="0" applyFont="0" applyAlignment="0" applyProtection="0"/>
    <xf numFmtId="0" fontId="17" fillId="39" borderId="24" applyNumberFormat="0" applyFont="0" applyAlignment="0" applyProtection="0"/>
    <xf numFmtId="0" fontId="17" fillId="39" borderId="24" applyNumberFormat="0" applyFont="0" applyAlignment="0" applyProtection="0"/>
    <xf numFmtId="0" fontId="20" fillId="36" borderId="24" applyNumberFormat="0" applyFont="0" applyAlignment="0" applyProtection="0"/>
    <xf numFmtId="0" fontId="20" fillId="36" borderId="24" applyNumberFormat="0" applyFont="0" applyAlignment="0" applyProtection="0"/>
    <xf numFmtId="0" fontId="17" fillId="39" borderId="24" applyNumberFormat="0" applyFont="0" applyAlignment="0" applyProtection="0"/>
    <xf numFmtId="0" fontId="20" fillId="36" borderId="24" applyNumberFormat="0" applyFont="0" applyAlignment="0" applyProtection="0"/>
    <xf numFmtId="0" fontId="20" fillId="36" borderId="24" applyNumberFormat="0" applyFont="0" applyAlignment="0" applyProtection="0"/>
    <xf numFmtId="0" fontId="17" fillId="39" borderId="24" applyNumberFormat="0" applyFont="0" applyAlignment="0" applyProtection="0"/>
    <xf numFmtId="0" fontId="17" fillId="39" borderId="24" applyNumberFormat="0" applyFont="0" applyAlignment="0" applyProtection="0"/>
    <xf numFmtId="0" fontId="17" fillId="39" borderId="24" applyNumberFormat="0" applyFont="0" applyAlignment="0" applyProtection="0"/>
    <xf numFmtId="0" fontId="17" fillId="39" borderId="24" applyNumberFormat="0" applyFont="0" applyAlignment="0" applyProtection="0"/>
    <xf numFmtId="0" fontId="20" fillId="36" borderId="24" applyNumberFormat="0" applyFont="0" applyAlignment="0" applyProtection="0"/>
    <xf numFmtId="0" fontId="20" fillId="36" borderId="24" applyNumberFormat="0" applyFont="0" applyAlignment="0" applyProtection="0"/>
    <xf numFmtId="0" fontId="17" fillId="39" borderId="24" applyNumberFormat="0" applyFont="0" applyAlignment="0" applyProtection="0"/>
    <xf numFmtId="0" fontId="20" fillId="36" borderId="24" applyNumberFormat="0" applyFont="0" applyAlignment="0" applyProtection="0"/>
    <xf numFmtId="0" fontId="20" fillId="36" borderId="24" applyNumberFormat="0" applyFont="0" applyAlignment="0" applyProtection="0"/>
    <xf numFmtId="0" fontId="17" fillId="39" borderId="24" applyNumberFormat="0" applyFont="0" applyAlignment="0" applyProtection="0"/>
    <xf numFmtId="0" fontId="17" fillId="39" borderId="24" applyNumberFormat="0" applyFont="0" applyAlignment="0" applyProtection="0"/>
    <xf numFmtId="0" fontId="17" fillId="39" borderId="24" applyNumberFormat="0" applyFont="0" applyAlignment="0" applyProtection="0"/>
    <xf numFmtId="0" fontId="20" fillId="36" borderId="24" applyNumberFormat="0" applyFont="0" applyAlignment="0" applyProtection="0"/>
    <xf numFmtId="0" fontId="20" fillId="36" borderId="24" applyNumberFormat="0" applyFont="0" applyAlignment="0" applyProtection="0"/>
    <xf numFmtId="0" fontId="17" fillId="39" borderId="24" applyNumberFormat="0" applyFont="0" applyAlignment="0" applyProtection="0"/>
    <xf numFmtId="0" fontId="20" fillId="36" borderId="24" applyNumberFormat="0" applyFont="0" applyAlignment="0" applyProtection="0"/>
    <xf numFmtId="0" fontId="20" fillId="36" borderId="24" applyNumberFormat="0" applyFont="0" applyAlignment="0" applyProtection="0"/>
    <xf numFmtId="0" fontId="17" fillId="39" borderId="24" applyNumberFormat="0" applyFont="0" applyAlignment="0" applyProtection="0"/>
    <xf numFmtId="0" fontId="17" fillId="39" borderId="24" applyNumberFormat="0" applyFont="0" applyAlignment="0" applyProtection="0"/>
    <xf numFmtId="0" fontId="17" fillId="39" borderId="24" applyNumberFormat="0" applyFont="0" applyAlignment="0" applyProtection="0"/>
    <xf numFmtId="0" fontId="20" fillId="36" borderId="24" applyNumberFormat="0" applyFont="0" applyAlignment="0" applyProtection="0"/>
    <xf numFmtId="0" fontId="20" fillId="36" borderId="24" applyNumberFormat="0" applyFont="0" applyAlignment="0" applyProtection="0"/>
    <xf numFmtId="0" fontId="17" fillId="39" borderId="24" applyNumberFormat="0" applyFont="0" applyAlignment="0" applyProtection="0"/>
    <xf numFmtId="0" fontId="20" fillId="36" borderId="24" applyNumberFormat="0" applyFont="0" applyAlignment="0" applyProtection="0"/>
    <xf numFmtId="0" fontId="20" fillId="36" borderId="24" applyNumberFormat="0" applyFont="0" applyAlignment="0" applyProtection="0"/>
    <xf numFmtId="0" fontId="17" fillId="39" borderId="24" applyNumberFormat="0" applyFont="0" applyAlignment="0" applyProtection="0"/>
    <xf numFmtId="0" fontId="17" fillId="39" borderId="24" applyNumberFormat="0" applyFont="0" applyAlignment="0" applyProtection="0"/>
    <xf numFmtId="0" fontId="17" fillId="39" borderId="24" applyNumberFormat="0" applyFont="0" applyAlignment="0" applyProtection="0"/>
    <xf numFmtId="0" fontId="20" fillId="36" borderId="24" applyNumberFormat="0" applyFont="0" applyAlignment="0" applyProtection="0"/>
    <xf numFmtId="0" fontId="20" fillId="36" borderId="24" applyNumberFormat="0" applyFont="0" applyAlignment="0" applyProtection="0"/>
    <xf numFmtId="0" fontId="17" fillId="39" borderId="24" applyNumberFormat="0" applyFont="0" applyAlignment="0" applyProtection="0"/>
    <xf numFmtId="0" fontId="20" fillId="36" borderId="24" applyNumberFormat="0" applyFont="0" applyAlignment="0" applyProtection="0"/>
    <xf numFmtId="0" fontId="20" fillId="36" borderId="24" applyNumberFormat="0" applyFont="0" applyAlignment="0" applyProtection="0"/>
    <xf numFmtId="217" fontId="71" fillId="0" borderId="0" applyFont="0">
      <protection locked="0"/>
    </xf>
    <xf numFmtId="217" fontId="20" fillId="0" borderId="0" applyFont="0">
      <protection locked="0"/>
    </xf>
    <xf numFmtId="0" fontId="63" fillId="34" borderId="25" applyNumberFormat="0" applyAlignment="0" applyProtection="0"/>
    <xf numFmtId="0" fontId="63" fillId="34" borderId="25" applyNumberFormat="0" applyAlignment="0" applyProtection="0"/>
    <xf numFmtId="0" fontId="63" fillId="16" borderId="25" applyNumberFormat="0" applyAlignment="0" applyProtection="0"/>
    <xf numFmtId="0" fontId="63" fillId="16" borderId="25" applyNumberFormat="0" applyAlignment="0" applyProtection="0"/>
    <xf numFmtId="0" fontId="63" fillId="34" borderId="25" applyNumberFormat="0" applyAlignment="0" applyProtection="0"/>
    <xf numFmtId="0" fontId="63" fillId="16" borderId="25" applyNumberFormat="0" applyAlignment="0" applyProtection="0"/>
    <xf numFmtId="0" fontId="63" fillId="16"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16" borderId="25" applyNumberFormat="0" applyAlignment="0" applyProtection="0"/>
    <xf numFmtId="0" fontId="63" fillId="34"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16"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81" borderId="25" applyNumberFormat="0" applyAlignment="0" applyProtection="0"/>
    <xf numFmtId="0" fontId="63" fillId="34" borderId="25" applyNumberFormat="0" applyAlignment="0" applyProtection="0"/>
    <xf numFmtId="0" fontId="63" fillId="34" borderId="25" applyNumberFormat="0" applyAlignment="0" applyProtection="0"/>
    <xf numFmtId="0" fontId="63" fillId="16" borderId="25" applyNumberFormat="0" applyAlignment="0" applyProtection="0"/>
    <xf numFmtId="0" fontId="63" fillId="16" borderId="25" applyNumberFormat="0" applyAlignment="0" applyProtection="0"/>
    <xf numFmtId="0" fontId="63" fillId="34" borderId="25" applyNumberFormat="0" applyAlignment="0" applyProtection="0"/>
    <xf numFmtId="0" fontId="63" fillId="34" borderId="25" applyNumberFormat="0" applyAlignment="0" applyProtection="0"/>
    <xf numFmtId="0" fontId="63" fillId="16" borderId="25" applyNumberFormat="0" applyAlignment="0" applyProtection="0"/>
    <xf numFmtId="0" fontId="63" fillId="16" borderId="25" applyNumberFormat="0" applyAlignment="0" applyProtection="0"/>
    <xf numFmtId="0" fontId="63" fillId="34" borderId="25" applyNumberFormat="0" applyAlignment="0" applyProtection="0"/>
    <xf numFmtId="0" fontId="63" fillId="34" borderId="25" applyNumberFormat="0" applyAlignment="0" applyProtection="0"/>
    <xf numFmtId="0" fontId="63" fillId="16" borderId="25" applyNumberFormat="0" applyAlignment="0" applyProtection="0"/>
    <xf numFmtId="0" fontId="63" fillId="16" borderId="25" applyNumberFormat="0" applyAlignment="0" applyProtection="0"/>
    <xf numFmtId="0" fontId="63" fillId="34" borderId="25" applyNumberFormat="0" applyAlignment="0" applyProtection="0"/>
    <xf numFmtId="0" fontId="63" fillId="34" borderId="25" applyNumberFormat="0" applyAlignment="0" applyProtection="0"/>
    <xf numFmtId="0" fontId="63" fillId="16" borderId="25" applyNumberFormat="0" applyAlignment="0" applyProtection="0"/>
    <xf numFmtId="0" fontId="63" fillId="16" borderId="25" applyNumberFormat="0" applyAlignment="0" applyProtection="0"/>
    <xf numFmtId="0" fontId="63" fillId="34" borderId="25" applyNumberFormat="0" applyAlignment="0" applyProtection="0"/>
    <xf numFmtId="0" fontId="63" fillId="34" borderId="25" applyNumberFormat="0" applyAlignment="0" applyProtection="0"/>
    <xf numFmtId="0" fontId="63" fillId="16" borderId="25" applyNumberFormat="0" applyAlignment="0" applyProtection="0"/>
    <xf numFmtId="0" fontId="63" fillId="16" borderId="25" applyNumberFormat="0" applyAlignment="0" applyProtection="0"/>
    <xf numFmtId="0" fontId="63" fillId="34" borderId="25" applyNumberFormat="0" applyAlignment="0" applyProtection="0"/>
    <xf numFmtId="0" fontId="63" fillId="34" borderId="25" applyNumberFormat="0" applyAlignment="0" applyProtection="0"/>
    <xf numFmtId="0" fontId="63" fillId="16" borderId="25" applyNumberFormat="0" applyAlignment="0" applyProtection="0"/>
    <xf numFmtId="0" fontId="63" fillId="16" borderId="25" applyNumberFormat="0" applyAlignment="0" applyProtection="0"/>
    <xf numFmtId="0" fontId="63" fillId="34" borderId="25" applyNumberFormat="0" applyAlignment="0" applyProtection="0"/>
    <xf numFmtId="0" fontId="63" fillId="34" borderId="25" applyNumberFormat="0" applyAlignment="0" applyProtection="0"/>
    <xf numFmtId="0" fontId="63" fillId="16" borderId="25" applyNumberFormat="0" applyAlignment="0" applyProtection="0"/>
    <xf numFmtId="0" fontId="63" fillId="16" borderId="25" applyNumberFormat="0" applyAlignment="0" applyProtection="0"/>
    <xf numFmtId="10" fontId="20" fillId="0" borderId="0" applyFont="0" applyFill="0" applyBorder="0" applyAlignment="0" applyProtection="0"/>
    <xf numFmtId="10" fontId="20" fillId="0" borderId="0" applyFont="0" applyFill="0" applyBorder="0" applyAlignment="0" applyProtection="0"/>
    <xf numFmtId="9" fontId="20"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7"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7"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7" fillId="0" borderId="0" applyFont="0" applyFill="0" applyBorder="0" applyAlignment="0" applyProtection="0"/>
    <xf numFmtId="9" fontId="20" fillId="0" borderId="0" applyFont="0" applyFill="0" applyBorder="0" applyAlignment="0" applyProtection="0"/>
    <xf numFmtId="9" fontId="17"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40" fontId="115" fillId="0" borderId="0" applyFont="0">
      <protection locked="0"/>
    </xf>
    <xf numFmtId="40" fontId="20" fillId="0" borderId="0" applyFont="0">
      <protection locked="0"/>
    </xf>
    <xf numFmtId="40" fontId="116" fillId="0" borderId="0" applyFont="0">
      <protection locked="0"/>
    </xf>
    <xf numFmtId="40" fontId="20" fillId="0" borderId="0" applyFont="0">
      <protection locked="0"/>
    </xf>
    <xf numFmtId="215" fontId="135" fillId="0" borderId="0" applyFont="0">
      <alignment horizontal="left"/>
    </xf>
    <xf numFmtId="215" fontId="20" fillId="0" borderId="0" applyFont="0">
      <alignment horizontal="left"/>
    </xf>
    <xf numFmtId="0" fontId="136" fillId="0" borderId="0"/>
    <xf numFmtId="0" fontId="136" fillId="0" borderId="0"/>
    <xf numFmtId="0" fontId="136" fillId="0" borderId="0"/>
    <xf numFmtId="0" fontId="136" fillId="0" borderId="0"/>
    <xf numFmtId="0" fontId="136" fillId="0" borderId="0"/>
    <xf numFmtId="0" fontId="20" fillId="0" borderId="0"/>
    <xf numFmtId="0" fontId="20" fillId="0" borderId="0"/>
    <xf numFmtId="0" fontId="20" fillId="0" borderId="0"/>
    <xf numFmtId="0" fontId="20" fillId="0" borderId="0"/>
    <xf numFmtId="0" fontId="20" fillId="0" borderId="0"/>
    <xf numFmtId="0" fontId="136" fillId="0" borderId="0"/>
    <xf numFmtId="0" fontId="136" fillId="0" borderId="0"/>
    <xf numFmtId="0" fontId="136" fillId="0" borderId="0"/>
    <xf numFmtId="0" fontId="136" fillId="0" borderId="0"/>
    <xf numFmtId="0" fontId="44" fillId="0" borderId="0"/>
    <xf numFmtId="0" fontId="24" fillId="0" borderId="0"/>
    <xf numFmtId="0" fontId="24" fillId="0" borderId="0"/>
    <xf numFmtId="0" fontId="136" fillId="0" borderId="0"/>
    <xf numFmtId="0" fontId="20" fillId="0" borderId="0"/>
    <xf numFmtId="0" fontId="20" fillId="0" borderId="0"/>
    <xf numFmtId="0" fontId="20" fillId="0" borderId="0"/>
    <xf numFmtId="0" fontId="20" fillId="0" borderId="0"/>
    <xf numFmtId="0" fontId="20" fillId="0" borderId="0"/>
    <xf numFmtId="0" fontId="44" fillId="0" borderId="0"/>
    <xf numFmtId="0" fontId="24" fillId="0" borderId="0"/>
    <xf numFmtId="0" fontId="44" fillId="0" borderId="0"/>
    <xf numFmtId="0" fontId="44" fillId="0" borderId="0"/>
    <xf numFmtId="0" fontId="136" fillId="0" borderId="0"/>
    <xf numFmtId="0" fontId="136" fillId="0" borderId="0"/>
    <xf numFmtId="0" fontId="136" fillId="0" borderId="0"/>
    <xf numFmtId="0" fontId="136" fillId="0" borderId="0"/>
    <xf numFmtId="0" fontId="24" fillId="0" borderId="0"/>
    <xf numFmtId="0" fontId="137" fillId="0" borderId="0" applyNumberFormat="0" applyProtection="0">
      <alignment wrapText="1"/>
      <protection locked="0"/>
    </xf>
    <xf numFmtId="215" fontId="115" fillId="0" borderId="0" applyFont="0">
      <protection locked="0"/>
    </xf>
    <xf numFmtId="215" fontId="20" fillId="0" borderId="0" applyFont="0">
      <protection locked="0"/>
    </xf>
    <xf numFmtId="215" fontId="115" fillId="0" borderId="0" applyFill="0" applyProtection="0">
      <protection locked="0"/>
    </xf>
    <xf numFmtId="212" fontId="85" fillId="88" borderId="0" applyNumberFormat="0" applyAlignment="0">
      <alignment horizontal="left" vertical="top"/>
    </xf>
    <xf numFmtId="0" fontId="138" fillId="0" borderId="0"/>
    <xf numFmtId="0" fontId="20" fillId="0" borderId="0"/>
    <xf numFmtId="0" fontId="139" fillId="0" borderId="0" applyNumberFormat="0" applyFill="0" applyBorder="0" applyAlignment="0" applyProtection="0"/>
    <xf numFmtId="0" fontId="1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1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1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139" fillId="0" borderId="0" applyNumberFormat="0" applyFill="0" applyBorder="0" applyAlignment="0" applyProtection="0"/>
    <xf numFmtId="0" fontId="1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212" fontId="140" fillId="0" borderId="3" applyNumberFormat="0" applyFill="0" applyProtection="0">
      <alignment horizontal="center"/>
    </xf>
    <xf numFmtId="0" fontId="140" fillId="0" borderId="3" applyNumberFormat="0" applyFill="0" applyProtection="0">
      <alignment horizontal="center"/>
    </xf>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215" fontId="116" fillId="0" borderId="0"/>
    <xf numFmtId="218" fontId="115" fillId="0" borderId="0" applyFill="0">
      <alignment horizontal="center"/>
    </xf>
    <xf numFmtId="215" fontId="115" fillId="0" borderId="0" applyFont="0">
      <alignment horizontal="center"/>
      <protection locked="0"/>
    </xf>
    <xf numFmtId="215" fontId="20" fillId="0" borderId="0" applyFont="0">
      <alignment horizontal="center"/>
      <protection locked="0"/>
    </xf>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22" fillId="0" borderId="0"/>
    <xf numFmtId="0" fontId="20" fillId="0" borderId="0"/>
    <xf numFmtId="43" fontId="28" fillId="0" borderId="0" applyFont="0" applyFill="0" applyBorder="0" applyAlignment="0" applyProtection="0"/>
    <xf numFmtId="0" fontId="20" fillId="0" borderId="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20" fillId="0" borderId="0"/>
    <xf numFmtId="0" fontId="9" fillId="0" borderId="0"/>
    <xf numFmtId="0" fontId="50" fillId="41" borderId="12">
      <alignment horizontal="left"/>
    </xf>
    <xf numFmtId="174" fontId="28" fillId="0" borderId="0" applyFont="0" applyFill="0" applyBorder="0" applyAlignment="0" applyProtection="0"/>
    <xf numFmtId="9" fontId="22" fillId="0" borderId="0" applyFont="0" applyFill="0" applyBorder="0" applyAlignment="0" applyProtection="0"/>
    <xf numFmtId="174" fontId="28" fillId="0" borderId="0" applyFont="0" applyFill="0" applyBorder="0" applyAlignment="0" applyProtection="0"/>
    <xf numFmtId="9" fontId="22" fillId="0" borderId="0" applyFont="0" applyFill="0" applyBorder="0" applyAlignment="0" applyProtection="0"/>
    <xf numFmtId="0" fontId="22" fillId="0" borderId="0"/>
    <xf numFmtId="9" fontId="22" fillId="0" borderId="0" applyFont="0" applyFill="0" applyBorder="0" applyAlignment="0" applyProtection="0"/>
    <xf numFmtId="0" fontId="53" fillId="34" borderId="17" applyNumberFormat="0" applyAlignment="0" applyProtection="0"/>
    <xf numFmtId="0" fontId="53" fillId="34" borderId="17" applyNumberFormat="0" applyAlignment="0" applyProtection="0"/>
    <xf numFmtId="0" fontId="53" fillId="16" borderId="17" applyNumberFormat="0" applyAlignment="0" applyProtection="0"/>
    <xf numFmtId="0" fontId="53" fillId="16" borderId="17" applyNumberFormat="0" applyAlignment="0" applyProtection="0"/>
    <xf numFmtId="0" fontId="53" fillId="34" borderId="17" applyNumberFormat="0" applyAlignment="0" applyProtection="0"/>
    <xf numFmtId="0" fontId="53" fillId="16" borderId="17" applyNumberFormat="0" applyAlignment="0" applyProtection="0"/>
    <xf numFmtId="0" fontId="53" fillId="16"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16" borderId="17" applyNumberFormat="0" applyAlignment="0" applyProtection="0"/>
    <xf numFmtId="0" fontId="53" fillId="34"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16"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34"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81" borderId="17" applyNumberFormat="0" applyAlignment="0" applyProtection="0"/>
    <xf numFmtId="0" fontId="53" fillId="34" borderId="17" applyNumberFormat="0" applyAlignment="0" applyProtection="0"/>
    <xf numFmtId="0" fontId="53" fillId="34" borderId="17" applyNumberFormat="0" applyAlignment="0" applyProtection="0"/>
    <xf numFmtId="0" fontId="53" fillId="16" borderId="17" applyNumberFormat="0" applyAlignment="0" applyProtection="0"/>
    <xf numFmtId="0" fontId="53" fillId="16" borderId="17" applyNumberFormat="0" applyAlignment="0" applyProtection="0"/>
    <xf numFmtId="0" fontId="53" fillId="34" borderId="17" applyNumberFormat="0" applyAlignment="0" applyProtection="0"/>
    <xf numFmtId="0" fontId="53" fillId="34" borderId="17" applyNumberFormat="0" applyAlignment="0" applyProtection="0"/>
    <xf numFmtId="0" fontId="53" fillId="16" borderId="17" applyNumberFormat="0" applyAlignment="0" applyProtection="0"/>
    <xf numFmtId="0" fontId="53" fillId="16" borderId="17" applyNumberFormat="0" applyAlignment="0" applyProtection="0"/>
    <xf numFmtId="0" fontId="53" fillId="34" borderId="17" applyNumberFormat="0" applyAlignment="0" applyProtection="0"/>
    <xf numFmtId="0" fontId="53" fillId="34" borderId="17" applyNumberFormat="0" applyAlignment="0" applyProtection="0"/>
    <xf numFmtId="0" fontId="53" fillId="16" borderId="17" applyNumberFormat="0" applyAlignment="0" applyProtection="0"/>
    <xf numFmtId="0" fontId="53" fillId="16" borderId="17" applyNumberFormat="0" applyAlignment="0" applyProtection="0"/>
    <xf numFmtId="0" fontId="53" fillId="34" borderId="17" applyNumberFormat="0" applyAlignment="0" applyProtection="0"/>
    <xf numFmtId="0" fontId="53" fillId="34" borderId="17" applyNumberFormat="0" applyAlignment="0" applyProtection="0"/>
    <xf numFmtId="0" fontId="53" fillId="16" borderId="17" applyNumberFormat="0" applyAlignment="0" applyProtection="0"/>
    <xf numFmtId="0" fontId="53" fillId="16" borderId="17" applyNumberFormat="0" applyAlignment="0" applyProtection="0"/>
    <xf numFmtId="0" fontId="53" fillId="34" borderId="17" applyNumberFormat="0" applyAlignment="0" applyProtection="0"/>
    <xf numFmtId="0" fontId="53" fillId="34" borderId="17" applyNumberFormat="0" applyAlignment="0" applyProtection="0"/>
    <xf numFmtId="0" fontId="53" fillId="16" borderId="17" applyNumberFormat="0" applyAlignment="0" applyProtection="0"/>
    <xf numFmtId="0" fontId="53" fillId="16" borderId="17" applyNumberFormat="0" applyAlignment="0" applyProtection="0"/>
    <xf numFmtId="0" fontId="53" fillId="34" borderId="17" applyNumberFormat="0" applyAlignment="0" applyProtection="0"/>
    <xf numFmtId="0" fontId="53" fillId="34" borderId="17" applyNumberFormat="0" applyAlignment="0" applyProtection="0"/>
    <xf numFmtId="0" fontId="53" fillId="16" borderId="17" applyNumberFormat="0" applyAlignment="0" applyProtection="0"/>
    <xf numFmtId="0" fontId="53" fillId="16" borderId="17" applyNumberFormat="0" applyAlignment="0" applyProtection="0"/>
    <xf numFmtId="0" fontId="53" fillId="34" borderId="17" applyNumberFormat="0" applyAlignment="0" applyProtection="0"/>
    <xf numFmtId="0" fontId="53" fillId="34" borderId="17" applyNumberFormat="0" applyAlignment="0" applyProtection="0"/>
    <xf numFmtId="0" fontId="53" fillId="16" borderId="17" applyNumberFormat="0" applyAlignment="0" applyProtection="0"/>
    <xf numFmtId="0" fontId="53" fillId="16" borderId="17" applyNumberFormat="0" applyAlignment="0" applyProtection="0"/>
    <xf numFmtId="0" fontId="71" fillId="36" borderId="13" applyNumberFormat="0" applyBorder="0" applyAlignment="0" applyProtection="0"/>
    <xf numFmtId="9" fontId="22" fillId="0" borderId="0" applyFont="0" applyFill="0" applyBorder="0" applyAlignment="0" applyProtection="0"/>
    <xf numFmtId="0" fontId="22" fillId="0" borderId="0"/>
    <xf numFmtId="174" fontId="28" fillId="0" borderId="0" applyFont="0" applyFill="0" applyBorder="0" applyAlignment="0" applyProtection="0"/>
    <xf numFmtId="174" fontId="28" fillId="0" borderId="0" applyFont="0" applyFill="0" applyBorder="0" applyAlignment="0" applyProtection="0"/>
    <xf numFmtId="0" fontId="22" fillId="0" borderId="0"/>
    <xf numFmtId="43" fontId="20"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4" fontId="22"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20" fillId="0" borderId="0" applyFont="0" applyFill="0" applyBorder="0" applyAlignment="0" applyProtection="0"/>
    <xf numFmtId="43" fontId="20"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17" fillId="0" borderId="0">
      <alignment vertical="top"/>
      <protection locked="0"/>
    </xf>
    <xf numFmtId="43" fontId="21"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48" fillId="0" borderId="0" applyFont="0" applyFill="0" applyBorder="0" applyAlignment="0" applyProtection="0">
      <alignment vertical="center"/>
    </xf>
    <xf numFmtId="43" fontId="9" fillId="0" borderId="0" applyFont="0" applyFill="0" applyBorder="0" applyAlignment="0" applyProtection="0"/>
    <xf numFmtId="0" fontId="9" fillId="0" borderId="0"/>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1"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9" fillId="21" borderId="0" applyNumberFormat="0" applyBorder="0" applyAlignment="0" applyProtection="0"/>
    <xf numFmtId="0" fontId="9" fillId="4" borderId="0" applyNumberFormat="0" applyBorder="0" applyAlignment="0" applyProtection="0"/>
    <xf numFmtId="0" fontId="53" fillId="34" borderId="17" applyNumberFormat="0" applyAlignment="0" applyProtection="0"/>
    <xf numFmtId="0" fontId="53" fillId="16" borderId="17" applyNumberFormat="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17" fillId="0" borderId="0">
      <alignment vertical="top"/>
      <protection locked="0"/>
    </xf>
    <xf numFmtId="43" fontId="17" fillId="0" borderId="0">
      <alignment vertical="top"/>
      <protection locked="0"/>
    </xf>
    <xf numFmtId="0" fontId="9" fillId="0" borderId="0" applyFont="0" applyFill="0" applyBorder="0" applyAlignment="0" applyProtection="0"/>
    <xf numFmtId="0" fontId="9" fillId="0" borderId="0" applyFont="0" applyFill="0" applyBorder="0" applyAlignment="0" applyProtection="0"/>
    <xf numFmtId="43" fontId="21"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6"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174" fontId="9"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48" fillId="0" borderId="0" applyFont="0" applyFill="0" applyBorder="0" applyAlignment="0" applyProtection="0">
      <alignment vertical="center"/>
    </xf>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4" fontId="22" fillId="0" borderId="0" applyFont="0" applyFill="0" applyBorder="0" applyAlignment="0" applyProtection="0"/>
    <xf numFmtId="0" fontId="59" fillId="0" borderId="22" applyNumberFormat="0" applyFill="0" applyAlignment="0" applyProtection="0"/>
    <xf numFmtId="0" fontId="60" fillId="22" borderId="17" applyNumberFormat="0" applyAlignment="0" applyProtection="0"/>
    <xf numFmtId="0" fontId="60" fillId="23" borderId="17" applyNumberForma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9" fontId="9" fillId="0" borderId="0"/>
    <xf numFmtId="179"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0" fillId="39" borderId="24" applyNumberFormat="0" applyFont="0" applyAlignment="0" applyProtection="0"/>
    <xf numFmtId="0" fontId="20" fillId="39" borderId="24" applyNumberFormat="0" applyFont="0" applyAlignment="0" applyProtection="0"/>
    <xf numFmtId="0" fontId="63" fillId="34" borderId="25" applyNumberFormat="0" applyAlignment="0" applyProtection="0"/>
    <xf numFmtId="0" fontId="63" fillId="16" borderId="25" applyNumberFormat="0" applyAlignment="0" applyProtection="0"/>
    <xf numFmtId="9" fontId="9" fillId="0" borderId="0" applyFont="0" applyFill="0" applyBorder="0" applyAlignment="0" applyProtection="0"/>
    <xf numFmtId="9" fontId="9" fillId="0" borderId="0" applyFont="0" applyFill="0" applyBorder="0" applyAlignment="0" applyProtection="0"/>
    <xf numFmtId="43" fontId="36" fillId="0" borderId="0">
      <alignment vertical="top"/>
      <protection locked="0"/>
    </xf>
    <xf numFmtId="0" fontId="9" fillId="0" borderId="0"/>
    <xf numFmtId="43" fontId="20" fillId="0" borderId="0" applyFont="0" applyFill="0" applyBorder="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41" fontId="72" fillId="0" borderId="0" applyFont="0" applyFill="0" applyBorder="0" applyAlignment="0" applyProtection="0"/>
    <xf numFmtId="41" fontId="72"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17" fillId="0" borderId="0">
      <alignment vertical="top"/>
      <protection locked="0"/>
    </xf>
    <xf numFmtId="43" fontId="17" fillId="0" borderId="0">
      <alignment vertical="top"/>
      <protection locked="0"/>
    </xf>
    <xf numFmtId="43" fontId="21"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6"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48" fillId="0" borderId="0" applyFont="0" applyFill="0" applyBorder="0" applyAlignment="0" applyProtection="0">
      <alignment vertical="center"/>
    </xf>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4" fontId="22"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48"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6" fillId="0" borderId="0">
      <alignment vertical="top"/>
      <protection locked="0"/>
    </xf>
    <xf numFmtId="43" fontId="20"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36" fillId="0" borderId="0">
      <alignment vertical="top"/>
      <protection locked="0"/>
    </xf>
    <xf numFmtId="43" fontId="21" fillId="0" borderId="0">
      <alignment vertical="top"/>
      <protection locked="0"/>
    </xf>
    <xf numFmtId="43" fontId="17" fillId="0" borderId="0">
      <alignment vertical="top"/>
      <protection locked="0"/>
    </xf>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8"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36" fillId="0" borderId="0">
      <alignment vertical="top"/>
      <protection locked="0"/>
    </xf>
    <xf numFmtId="43" fontId="20" fillId="0" borderId="0" applyFont="0" applyFill="0" applyBorder="0" applyAlignment="0" applyProtection="0"/>
    <xf numFmtId="43" fontId="9"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1"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1"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36" fillId="0" borderId="0" applyFont="0" applyFill="0" applyBorder="0" applyAlignment="0" applyProtection="0"/>
    <xf numFmtId="43" fontId="20"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4" fontId="22" fillId="0" borderId="0" applyFont="0" applyFill="0" applyBorder="0" applyAlignment="0" applyProtection="0"/>
    <xf numFmtId="43" fontId="20"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17" fillId="0" borderId="0">
      <alignment vertical="top"/>
      <protection locked="0"/>
    </xf>
    <xf numFmtId="43" fontId="17" fillId="0" borderId="0">
      <alignment vertical="top"/>
      <protection locked="0"/>
    </xf>
    <xf numFmtId="43" fontId="21"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6"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48" fillId="0" borderId="0" applyFont="0" applyFill="0" applyBorder="0" applyAlignment="0" applyProtection="0">
      <alignment vertical="center"/>
    </xf>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2" fillId="0" borderId="0" applyFont="0" applyFill="0" applyBorder="0" applyAlignment="0" applyProtection="0"/>
    <xf numFmtId="43" fontId="3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4"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0" fillId="0" borderId="0" applyFont="0" applyFill="0" applyBorder="0" applyAlignment="0" applyProtection="0"/>
    <xf numFmtId="0" fontId="9" fillId="0" borderId="0"/>
    <xf numFmtId="43" fontId="20" fillId="0" borderId="0" applyFont="0" applyFill="0" applyBorder="0" applyAlignment="0" applyProtection="0"/>
    <xf numFmtId="43" fontId="2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165" fontId="9" fillId="0" borderId="0" applyFont="0" applyFill="0" applyBorder="0" applyAlignment="0" applyProtection="0"/>
    <xf numFmtId="44"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48"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6" fillId="0" borderId="0">
      <alignment vertical="top"/>
      <protection locked="0"/>
    </xf>
    <xf numFmtId="43" fontId="20"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36" fillId="0" borderId="0">
      <alignment vertical="top"/>
      <protection locked="0"/>
    </xf>
    <xf numFmtId="43" fontId="21" fillId="0" borderId="0">
      <alignment vertical="top"/>
      <protection locked="0"/>
    </xf>
    <xf numFmtId="43" fontId="17" fillId="0" borderId="0">
      <alignment vertical="top"/>
      <protection locked="0"/>
    </xf>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8"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36" fillId="0" borderId="0">
      <alignment vertical="top"/>
      <protection locked="0"/>
    </xf>
    <xf numFmtId="43" fontId="20" fillId="0" borderId="0" applyFont="0" applyFill="0" applyBorder="0" applyAlignment="0" applyProtection="0"/>
    <xf numFmtId="43" fontId="9"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20"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174" fontId="43"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4" fontId="43"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4" fontId="22"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3" fillId="0" borderId="0"/>
    <xf numFmtId="0" fontId="9" fillId="0" borderId="0"/>
    <xf numFmtId="0" fontId="4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20" fillId="0" borderId="0" applyFont="0" applyFill="0" applyBorder="0" applyAlignment="0" applyProtection="0"/>
    <xf numFmtId="43" fontId="20"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36" fillId="0" borderId="0" applyFont="0" applyFill="0" applyBorder="0" applyAlignment="0" applyProtection="0"/>
    <xf numFmtId="43" fontId="17" fillId="0" borderId="0" applyFont="0" applyFill="0" applyBorder="0" applyAlignment="0" applyProtection="0"/>
    <xf numFmtId="0" fontId="9" fillId="0" borderId="0"/>
    <xf numFmtId="179" fontId="9" fillId="0" borderId="0"/>
    <xf numFmtId="43" fontId="2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4" borderId="0" applyNumberFormat="0" applyBorder="0" applyAlignment="0" applyProtection="0"/>
    <xf numFmtId="179" fontId="9" fillId="0" borderId="0"/>
    <xf numFmtId="0" fontId="9" fillId="0" borderId="0"/>
    <xf numFmtId="0" fontId="9" fillId="0" borderId="0"/>
    <xf numFmtId="0" fontId="9" fillId="0" borderId="0"/>
    <xf numFmtId="43" fontId="20" fillId="0" borderId="0" applyFont="0" applyFill="0" applyBorder="0" applyAlignment="0" applyProtection="0"/>
    <xf numFmtId="0" fontId="9" fillId="0" borderId="0"/>
    <xf numFmtId="0" fontId="9" fillId="21" borderId="0" applyNumberFormat="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174" fontId="9" fillId="0" borderId="0" applyFont="0" applyFill="0" applyBorder="0" applyAlignment="0" applyProtection="0"/>
    <xf numFmtId="0" fontId="9" fillId="0" borderId="0"/>
    <xf numFmtId="43" fontId="9" fillId="0" borderId="0" applyFont="0" applyFill="0" applyBorder="0" applyAlignment="0" applyProtection="0"/>
    <xf numFmtId="43" fontId="22" fillId="0" borderId="0" applyFont="0" applyFill="0" applyBorder="0" applyAlignment="0" applyProtection="0"/>
    <xf numFmtId="0" fontId="9" fillId="0" borderId="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53" fillId="16" borderId="17" applyNumberFormat="0" applyAlignment="0" applyProtection="0"/>
    <xf numFmtId="0" fontId="53" fillId="34" borderId="17" applyNumberFormat="0" applyAlignment="0" applyProtection="0"/>
    <xf numFmtId="0" fontId="53" fillId="81" borderId="17" applyNumberFormat="0" applyAlignment="0" applyProtection="0"/>
    <xf numFmtId="0" fontId="53" fillId="81" borderId="17" applyNumberFormat="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4" fontId="9"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1" fillId="0" borderId="0" applyFont="0" applyFill="0" applyBorder="0" applyAlignment="0" applyProtection="0"/>
    <xf numFmtId="43" fontId="12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2" fillId="0" borderId="0" applyFont="0" applyFill="0" applyBorder="0" applyAlignment="0" applyProtection="0"/>
    <xf numFmtId="43" fontId="1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43"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20" fillId="0" borderId="0"/>
    <xf numFmtId="0" fontId="9" fillId="0" borderId="0"/>
    <xf numFmtId="43" fontId="20"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4" fontId="22"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20" fillId="0" borderId="0" applyFont="0" applyFill="0" applyBorder="0" applyAlignment="0" applyProtection="0"/>
    <xf numFmtId="43" fontId="20"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17" fillId="0" borderId="0">
      <alignment vertical="top"/>
      <protection locked="0"/>
    </xf>
    <xf numFmtId="43" fontId="21"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48" fillId="0" borderId="0" applyFont="0" applyFill="0" applyBorder="0" applyAlignment="0" applyProtection="0">
      <alignment vertical="center"/>
    </xf>
    <xf numFmtId="43" fontId="9" fillId="0" borderId="0" applyFont="0" applyFill="0" applyBorder="0" applyAlignment="0" applyProtection="0"/>
    <xf numFmtId="0" fontId="9" fillId="0" borderId="0"/>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1"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9" fillId="21" borderId="0" applyNumberFormat="0" applyBorder="0" applyAlignment="0" applyProtection="0"/>
    <xf numFmtId="0" fontId="9" fillId="4" borderId="0" applyNumberFormat="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17" fillId="0" borderId="0">
      <alignment vertical="top"/>
      <protection locked="0"/>
    </xf>
    <xf numFmtId="43" fontId="17" fillId="0" borderId="0">
      <alignment vertical="top"/>
      <protection locked="0"/>
    </xf>
    <xf numFmtId="0" fontId="9" fillId="0" borderId="0" applyFont="0" applyFill="0" applyBorder="0" applyAlignment="0" applyProtection="0"/>
    <xf numFmtId="0" fontId="9" fillId="0" borderId="0" applyFont="0" applyFill="0" applyBorder="0" applyAlignment="0" applyProtection="0"/>
    <xf numFmtId="43" fontId="21"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6"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174" fontId="9"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48" fillId="0" borderId="0" applyFont="0" applyFill="0" applyBorder="0" applyAlignment="0" applyProtection="0">
      <alignment vertical="center"/>
    </xf>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4" fontId="22"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9" fontId="9" fillId="0" borderId="0"/>
    <xf numFmtId="179"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43" fontId="36" fillId="0" borderId="0">
      <alignment vertical="top"/>
      <protection locked="0"/>
    </xf>
    <xf numFmtId="0" fontId="9" fillId="0" borderId="0"/>
    <xf numFmtId="43" fontId="20"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17" fillId="0" borderId="0">
      <alignment vertical="top"/>
      <protection locked="0"/>
    </xf>
    <xf numFmtId="43" fontId="17" fillId="0" borderId="0">
      <alignment vertical="top"/>
      <protection locked="0"/>
    </xf>
    <xf numFmtId="43" fontId="21"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6"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48" fillId="0" borderId="0" applyFont="0" applyFill="0" applyBorder="0" applyAlignment="0" applyProtection="0">
      <alignment vertical="center"/>
    </xf>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4" fontId="22"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48"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6" fillId="0" borderId="0">
      <alignment vertical="top"/>
      <protection locked="0"/>
    </xf>
    <xf numFmtId="43" fontId="20"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36" fillId="0" borderId="0">
      <alignment vertical="top"/>
      <protection locked="0"/>
    </xf>
    <xf numFmtId="43" fontId="21" fillId="0" borderId="0">
      <alignment vertical="top"/>
      <protection locked="0"/>
    </xf>
    <xf numFmtId="43" fontId="17" fillId="0" borderId="0">
      <alignment vertical="top"/>
      <protection locked="0"/>
    </xf>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8"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36" fillId="0" borderId="0">
      <alignment vertical="top"/>
      <protection locked="0"/>
    </xf>
    <xf numFmtId="43" fontId="20" fillId="0" borderId="0" applyFont="0" applyFill="0" applyBorder="0" applyAlignment="0" applyProtection="0"/>
    <xf numFmtId="43" fontId="9"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1"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1"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36" fillId="0" borderId="0" applyFont="0" applyFill="0" applyBorder="0" applyAlignment="0" applyProtection="0"/>
    <xf numFmtId="43" fontId="20"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4" fontId="22" fillId="0" borderId="0" applyFont="0" applyFill="0" applyBorder="0" applyAlignment="0" applyProtection="0"/>
    <xf numFmtId="43" fontId="20"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17" fillId="0" borderId="0">
      <alignment vertical="top"/>
      <protection locked="0"/>
    </xf>
    <xf numFmtId="43" fontId="17" fillId="0" borderId="0">
      <alignment vertical="top"/>
      <protection locked="0"/>
    </xf>
    <xf numFmtId="43" fontId="21"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6"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48" fillId="0" borderId="0" applyFont="0" applyFill="0" applyBorder="0" applyAlignment="0" applyProtection="0">
      <alignment vertical="center"/>
    </xf>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2" fillId="0" borderId="0" applyFont="0" applyFill="0" applyBorder="0" applyAlignment="0" applyProtection="0"/>
    <xf numFmtId="43" fontId="3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4"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0" fillId="0" borderId="0" applyFont="0" applyFill="0" applyBorder="0" applyAlignment="0" applyProtection="0"/>
    <xf numFmtId="0" fontId="9" fillId="0" borderId="0"/>
    <xf numFmtId="43" fontId="20" fillId="0" borderId="0" applyFont="0" applyFill="0" applyBorder="0" applyAlignment="0" applyProtection="0"/>
    <xf numFmtId="43" fontId="2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165" fontId="9" fillId="0" borderId="0" applyFont="0" applyFill="0" applyBorder="0" applyAlignment="0" applyProtection="0"/>
    <xf numFmtId="44"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48"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6" fillId="0" borderId="0">
      <alignment vertical="top"/>
      <protection locked="0"/>
    </xf>
    <xf numFmtId="43" fontId="20"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36" fillId="0" borderId="0">
      <alignment vertical="top"/>
      <protection locked="0"/>
    </xf>
    <xf numFmtId="43" fontId="21" fillId="0" borderId="0">
      <alignment vertical="top"/>
      <protection locked="0"/>
    </xf>
    <xf numFmtId="43" fontId="17" fillId="0" borderId="0">
      <alignment vertical="top"/>
      <protection locked="0"/>
    </xf>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8"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36" fillId="0" borderId="0">
      <alignment vertical="top"/>
      <protection locked="0"/>
    </xf>
    <xf numFmtId="43" fontId="20" fillId="0" borderId="0" applyFont="0" applyFill="0" applyBorder="0" applyAlignment="0" applyProtection="0"/>
    <xf numFmtId="43" fontId="9"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20"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4" fontId="22"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20" fillId="0" borderId="0" applyFont="0" applyFill="0" applyBorder="0" applyAlignment="0" applyProtection="0"/>
    <xf numFmtId="43" fontId="20"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17" fillId="0" borderId="0" applyFont="0" applyFill="0" applyBorder="0" applyAlignment="0" applyProtection="0"/>
    <xf numFmtId="0" fontId="9" fillId="0" borderId="0"/>
    <xf numFmtId="179" fontId="9" fillId="0" borderId="0"/>
    <xf numFmtId="43" fontId="2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4" borderId="0" applyNumberFormat="0" applyBorder="0" applyAlignment="0" applyProtection="0"/>
    <xf numFmtId="179" fontId="9" fillId="0" borderId="0"/>
    <xf numFmtId="0" fontId="9" fillId="0" borderId="0"/>
    <xf numFmtId="0" fontId="9" fillId="0" borderId="0"/>
    <xf numFmtId="0" fontId="9" fillId="0" borderId="0"/>
    <xf numFmtId="43" fontId="20" fillId="0" borderId="0" applyFont="0" applyFill="0" applyBorder="0" applyAlignment="0" applyProtection="0"/>
    <xf numFmtId="0" fontId="9" fillId="0" borderId="0"/>
    <xf numFmtId="0" fontId="9" fillId="21" borderId="0" applyNumberFormat="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174" fontId="9" fillId="0" borderId="0" applyFont="0" applyFill="0" applyBorder="0" applyAlignment="0" applyProtection="0"/>
    <xf numFmtId="0" fontId="9" fillId="0" borderId="0"/>
    <xf numFmtId="43" fontId="9" fillId="0" borderId="0" applyFont="0" applyFill="0" applyBorder="0" applyAlignment="0" applyProtection="0"/>
    <xf numFmtId="43" fontId="22" fillId="0" borderId="0" applyFont="0" applyFill="0" applyBorder="0" applyAlignment="0" applyProtection="0"/>
    <xf numFmtId="0" fontId="9" fillId="0" borderId="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4" fontId="9"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1" fillId="0" borderId="0" applyFont="0" applyFill="0" applyBorder="0" applyAlignment="0" applyProtection="0"/>
    <xf numFmtId="43" fontId="12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2" fillId="0" borderId="0" applyFont="0" applyFill="0" applyBorder="0" applyAlignment="0" applyProtection="0"/>
    <xf numFmtId="43" fontId="1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43"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43" fontId="20"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4" fontId="22"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20" fillId="0" borderId="0" applyFont="0" applyFill="0" applyBorder="0" applyAlignment="0" applyProtection="0"/>
    <xf numFmtId="43" fontId="20"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17" fillId="0" borderId="0">
      <alignment vertical="top"/>
      <protection locked="0"/>
    </xf>
    <xf numFmtId="43" fontId="21"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48" fillId="0" borderId="0" applyFont="0" applyFill="0" applyBorder="0" applyAlignment="0" applyProtection="0">
      <alignment vertical="center"/>
    </xf>
    <xf numFmtId="43" fontId="9" fillId="0" borderId="0" applyFont="0" applyFill="0" applyBorder="0" applyAlignment="0" applyProtection="0"/>
    <xf numFmtId="0" fontId="9" fillId="0" borderId="0"/>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1"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9" fillId="21" borderId="0" applyNumberFormat="0" applyBorder="0" applyAlignment="0" applyProtection="0"/>
    <xf numFmtId="0" fontId="9" fillId="4" borderId="0" applyNumberFormat="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17" fillId="0" borderId="0">
      <alignment vertical="top"/>
      <protection locked="0"/>
    </xf>
    <xf numFmtId="43" fontId="17" fillId="0" borderId="0">
      <alignment vertical="top"/>
      <protection locked="0"/>
    </xf>
    <xf numFmtId="0" fontId="9" fillId="0" borderId="0" applyFont="0" applyFill="0" applyBorder="0" applyAlignment="0" applyProtection="0"/>
    <xf numFmtId="0" fontId="9" fillId="0" borderId="0" applyFont="0" applyFill="0" applyBorder="0" applyAlignment="0" applyProtection="0"/>
    <xf numFmtId="43" fontId="21"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6"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174" fontId="9"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48" fillId="0" borderId="0" applyFont="0" applyFill="0" applyBorder="0" applyAlignment="0" applyProtection="0">
      <alignment vertical="center"/>
    </xf>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4" fontId="22"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9" fontId="9" fillId="0" borderId="0"/>
    <xf numFmtId="179"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43" fontId="36" fillId="0" borderId="0">
      <alignment vertical="top"/>
      <protection locked="0"/>
    </xf>
    <xf numFmtId="0" fontId="9" fillId="0" borderId="0"/>
    <xf numFmtId="43" fontId="20"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17" fillId="0" borderId="0">
      <alignment vertical="top"/>
      <protection locked="0"/>
    </xf>
    <xf numFmtId="43" fontId="17" fillId="0" borderId="0">
      <alignment vertical="top"/>
      <protection locked="0"/>
    </xf>
    <xf numFmtId="43" fontId="21"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6"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48" fillId="0" borderId="0" applyFont="0" applyFill="0" applyBorder="0" applyAlignment="0" applyProtection="0">
      <alignment vertical="center"/>
    </xf>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4" fontId="22"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48"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6" fillId="0" borderId="0">
      <alignment vertical="top"/>
      <protection locked="0"/>
    </xf>
    <xf numFmtId="43" fontId="20"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36" fillId="0" borderId="0">
      <alignment vertical="top"/>
      <protection locked="0"/>
    </xf>
    <xf numFmtId="43" fontId="21" fillId="0" borderId="0">
      <alignment vertical="top"/>
      <protection locked="0"/>
    </xf>
    <xf numFmtId="43" fontId="17" fillId="0" borderId="0">
      <alignment vertical="top"/>
      <protection locked="0"/>
    </xf>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8"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36" fillId="0" borderId="0">
      <alignment vertical="top"/>
      <protection locked="0"/>
    </xf>
    <xf numFmtId="43" fontId="20" fillId="0" borderId="0" applyFont="0" applyFill="0" applyBorder="0" applyAlignment="0" applyProtection="0"/>
    <xf numFmtId="43" fontId="9"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1"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21"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36"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36" fillId="0" borderId="0" applyFont="0" applyFill="0" applyBorder="0" applyAlignment="0" applyProtection="0"/>
    <xf numFmtId="43" fontId="20"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4" fontId="22" fillId="0" borderId="0" applyFont="0" applyFill="0" applyBorder="0" applyAlignment="0" applyProtection="0"/>
    <xf numFmtId="43" fontId="20"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17" fillId="0" borderId="0">
      <alignment vertical="top"/>
      <protection locked="0"/>
    </xf>
    <xf numFmtId="43" fontId="17" fillId="0" borderId="0">
      <alignment vertical="top"/>
      <protection locked="0"/>
    </xf>
    <xf numFmtId="43" fontId="21"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6" fillId="0" borderId="0">
      <alignment vertical="top"/>
      <protection locked="0"/>
    </xf>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lignment vertical="top"/>
      <protection locked="0"/>
    </xf>
    <xf numFmtId="43" fontId="48" fillId="0" borderId="0" applyFont="0" applyFill="0" applyBorder="0" applyAlignment="0" applyProtection="0">
      <alignment vertical="center"/>
    </xf>
    <xf numFmtId="43" fontId="48"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2" fillId="0" borderId="0" applyFont="0" applyFill="0" applyBorder="0" applyAlignment="0" applyProtection="0"/>
    <xf numFmtId="43" fontId="36"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4" fontId="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0" fillId="0" borderId="0" applyFont="0" applyFill="0" applyBorder="0" applyAlignment="0" applyProtection="0"/>
    <xf numFmtId="0" fontId="9" fillId="0" borderId="0"/>
    <xf numFmtId="43" fontId="20" fillId="0" borderId="0" applyFont="0" applyFill="0" applyBorder="0" applyAlignment="0" applyProtection="0"/>
    <xf numFmtId="43" fontId="2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165" fontId="9" fillId="0" borderId="0" applyFont="0" applyFill="0" applyBorder="0" applyAlignment="0" applyProtection="0"/>
    <xf numFmtId="44" fontId="2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48"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6" fillId="0" borderId="0">
      <alignment vertical="top"/>
      <protection locked="0"/>
    </xf>
    <xf numFmtId="43" fontId="20" fillId="0" borderId="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36" fillId="0" borderId="0">
      <alignment vertical="top"/>
      <protection locked="0"/>
    </xf>
    <xf numFmtId="43" fontId="21" fillId="0" borderId="0">
      <alignment vertical="top"/>
      <protection locked="0"/>
    </xf>
    <xf numFmtId="43" fontId="17" fillId="0" borderId="0">
      <alignment vertical="top"/>
      <protection locked="0"/>
    </xf>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8"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7" fillId="0" borderId="0">
      <alignment vertical="top"/>
      <protection locked="0"/>
    </xf>
    <xf numFmtId="43" fontId="36" fillId="0" borderId="0">
      <alignment vertical="top"/>
      <protection locked="0"/>
    </xf>
    <xf numFmtId="43" fontId="20" fillId="0" borderId="0" applyFont="0" applyFill="0" applyBorder="0" applyAlignment="0" applyProtection="0"/>
    <xf numFmtId="43" fontId="9"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20"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4" fontId="22"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20" fillId="0" borderId="0" applyFont="0" applyFill="0" applyBorder="0" applyAlignment="0" applyProtection="0"/>
    <xf numFmtId="43" fontId="20"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36" fillId="0" borderId="0" applyFont="0" applyFill="0" applyBorder="0" applyAlignment="0" applyProtection="0"/>
    <xf numFmtId="43" fontId="17" fillId="0" borderId="0" applyFont="0" applyFill="0" applyBorder="0" applyAlignment="0" applyProtection="0"/>
    <xf numFmtId="0" fontId="9" fillId="0" borderId="0"/>
    <xf numFmtId="179" fontId="9" fillId="0" borderId="0"/>
    <xf numFmtId="43" fontId="2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4" borderId="0" applyNumberFormat="0" applyBorder="0" applyAlignment="0" applyProtection="0"/>
    <xf numFmtId="179" fontId="9" fillId="0" borderId="0"/>
    <xf numFmtId="0" fontId="9" fillId="0" borderId="0"/>
    <xf numFmtId="0" fontId="9" fillId="0" borderId="0"/>
    <xf numFmtId="0" fontId="9" fillId="0" borderId="0"/>
    <xf numFmtId="43" fontId="20" fillId="0" borderId="0" applyFont="0" applyFill="0" applyBorder="0" applyAlignment="0" applyProtection="0"/>
    <xf numFmtId="0" fontId="9" fillId="0" borderId="0"/>
    <xf numFmtId="0" fontId="9" fillId="21" borderId="0" applyNumberFormat="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174" fontId="9" fillId="0" borderId="0" applyFont="0" applyFill="0" applyBorder="0" applyAlignment="0" applyProtection="0"/>
    <xf numFmtId="0" fontId="9" fillId="0" borderId="0"/>
    <xf numFmtId="43" fontId="9" fillId="0" borderId="0" applyFont="0" applyFill="0" applyBorder="0" applyAlignment="0" applyProtection="0"/>
    <xf numFmtId="43" fontId="22" fillId="0" borderId="0" applyFont="0" applyFill="0" applyBorder="0" applyAlignment="0" applyProtection="0"/>
    <xf numFmtId="0" fontId="9" fillId="0" borderId="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4" fontId="9"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1" fillId="0" borderId="0" applyFont="0" applyFill="0" applyBorder="0" applyAlignment="0" applyProtection="0"/>
    <xf numFmtId="43" fontId="12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2" fillId="0" borderId="0" applyFont="0" applyFill="0" applyBorder="0" applyAlignment="0" applyProtection="0"/>
    <xf numFmtId="43" fontId="12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43"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7" fontId="136" fillId="0" borderId="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2" fillId="0" borderId="0"/>
    <xf numFmtId="43" fontId="22" fillId="0" borderId="0" applyFont="0" applyFill="0" applyBorder="0" applyAlignment="0" applyProtection="0"/>
    <xf numFmtId="43" fontId="20" fillId="0" borderId="0" applyFont="0" applyFill="0" applyBorder="0" applyAlignment="0" applyProtection="0">
      <alignment vertical="center"/>
    </xf>
    <xf numFmtId="0" fontId="9" fillId="0" borderId="0"/>
    <xf numFmtId="0" fontId="22" fillId="0" borderId="0"/>
    <xf numFmtId="43" fontId="22" fillId="0" borderId="0" applyFont="0" applyFill="0" applyBorder="0" applyAlignment="0" applyProtection="0"/>
    <xf numFmtId="0" fontId="9" fillId="0" borderId="0"/>
    <xf numFmtId="0" fontId="22" fillId="0" borderId="0"/>
    <xf numFmtId="0" fontId="9" fillId="0" borderId="0"/>
    <xf numFmtId="43" fontId="22" fillId="0" borderId="0" applyFont="0" applyFill="0" applyBorder="0" applyAlignment="0" applyProtection="0"/>
    <xf numFmtId="0" fontId="22" fillId="0" borderId="0"/>
    <xf numFmtId="43" fontId="22" fillId="0" borderId="0" applyFont="0" applyFill="0" applyBorder="0" applyAlignment="0" applyProtection="0"/>
    <xf numFmtId="0" fontId="22" fillId="0" borderId="0"/>
    <xf numFmtId="43" fontId="22" fillId="0" borderId="0" applyFont="0" applyFill="0" applyBorder="0" applyAlignment="0" applyProtection="0"/>
    <xf numFmtId="0" fontId="22" fillId="0" borderId="0"/>
    <xf numFmtId="43" fontId="22" fillId="0" borderId="0" applyFont="0" applyFill="0" applyBorder="0" applyAlignment="0" applyProtection="0"/>
    <xf numFmtId="0" fontId="22" fillId="0" borderId="0"/>
    <xf numFmtId="43" fontId="22" fillId="0" borderId="0" applyFont="0" applyFill="0" applyBorder="0" applyAlignment="0" applyProtection="0"/>
    <xf numFmtId="0" fontId="22" fillId="0" borderId="0"/>
    <xf numFmtId="43" fontId="22" fillId="0" borderId="0" applyFont="0" applyFill="0" applyBorder="0" applyAlignment="0" applyProtection="0"/>
    <xf numFmtId="0" fontId="9" fillId="0" borderId="0"/>
    <xf numFmtId="0" fontId="20" fillId="0" borderId="0"/>
    <xf numFmtId="0" fontId="20" fillId="0" borderId="0"/>
    <xf numFmtId="0" fontId="9" fillId="0" borderId="0"/>
    <xf numFmtId="0" fontId="63" fillId="16" borderId="25" applyNumberFormat="0" applyAlignment="0" applyProtection="0"/>
    <xf numFmtId="0" fontId="63" fillId="34" borderId="25" applyNumberFormat="0" applyAlignment="0" applyProtection="0"/>
    <xf numFmtId="0" fontId="63" fillId="34" borderId="25" applyNumberFormat="0" applyAlignment="0" applyProtection="0"/>
    <xf numFmtId="0" fontId="63" fillId="16" borderId="25" applyNumberFormat="0" applyAlignment="0" applyProtection="0"/>
    <xf numFmtId="0" fontId="63" fillId="16"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64" fillId="0" borderId="26" applyNumberFormat="0" applyFill="0" applyAlignment="0" applyProtection="0"/>
    <xf numFmtId="0" fontId="77" fillId="41" borderId="13">
      <alignment horizontal="left" vertical="center"/>
    </xf>
    <xf numFmtId="10" fontId="71" fillId="36" borderId="13" applyNumberFormat="0" applyBorder="0" applyAlignment="0" applyProtection="0"/>
    <xf numFmtId="0" fontId="50" fillId="41" borderId="12">
      <alignment horizontal="left"/>
    </xf>
    <xf numFmtId="0" fontId="20" fillId="0" borderId="0"/>
    <xf numFmtId="174" fontId="20" fillId="0" borderId="0" applyFont="0" applyFill="0" applyBorder="0" applyAlignment="0" applyProtection="0"/>
    <xf numFmtId="174" fontId="20" fillId="0" borderId="0" applyFont="0" applyFill="0" applyBorder="0" applyAlignment="0" applyProtection="0"/>
    <xf numFmtId="174" fontId="20" fillId="0" borderId="0" applyFont="0" applyFill="0" applyBorder="0" applyAlignment="0" applyProtection="0"/>
    <xf numFmtId="174" fontId="20" fillId="0" borderId="0" applyFont="0" applyFill="0" applyBorder="0" applyAlignment="0" applyProtection="0"/>
    <xf numFmtId="174" fontId="20" fillId="0" borderId="0" applyFont="0" applyFill="0" applyBorder="0" applyAlignment="0" applyProtection="0"/>
    <xf numFmtId="174" fontId="20" fillId="0" borderId="0" applyFont="0" applyFill="0" applyBorder="0" applyAlignment="0" applyProtection="0"/>
    <xf numFmtId="174" fontId="20" fillId="0" borderId="0" applyFont="0" applyFill="0" applyBorder="0" applyAlignment="0" applyProtection="0"/>
    <xf numFmtId="0" fontId="36" fillId="0" borderId="0"/>
    <xf numFmtId="219" fontId="141" fillId="0" borderId="0" applyFill="0" applyBorder="0" applyAlignment="0" applyProtection="0"/>
    <xf numFmtId="0" fontId="30" fillId="0" borderId="0"/>
    <xf numFmtId="0" fontId="22" fillId="0" borderId="0"/>
    <xf numFmtId="0" fontId="38" fillId="0" borderId="0" applyNumberFormat="0" applyFill="0" applyBorder="0" applyAlignment="0" applyProtection="0"/>
    <xf numFmtId="43" fontId="22" fillId="0" borderId="0" applyFont="0" applyFill="0" applyBorder="0" applyAlignment="0" applyProtection="0"/>
    <xf numFmtId="0" fontId="21" fillId="0" borderId="0"/>
    <xf numFmtId="43" fontId="9" fillId="0" borderId="0" applyFont="0" applyFill="0" applyBorder="0" applyAlignment="0" applyProtection="0"/>
    <xf numFmtId="0" fontId="24" fillId="0" borderId="0"/>
    <xf numFmtId="43" fontId="9" fillId="0" borderId="0" applyFont="0" applyFill="0" applyBorder="0" applyAlignment="0" applyProtection="0"/>
    <xf numFmtId="43" fontId="20" fillId="0" borderId="0" applyFont="0" applyFill="0" applyBorder="0" applyAlignment="0" applyProtection="0"/>
    <xf numFmtId="0" fontId="40" fillId="0" borderId="0"/>
    <xf numFmtId="43" fontId="9" fillId="0" borderId="0" applyFont="0" applyFill="0" applyBorder="0" applyAlignment="0" applyProtection="0"/>
    <xf numFmtId="0" fontId="20" fillId="0" borderId="0"/>
    <xf numFmtId="9" fontId="9" fillId="0" borderId="0" applyFont="0" applyFill="0" applyBorder="0" applyAlignment="0" applyProtection="0"/>
    <xf numFmtId="0" fontId="36" fillId="0" borderId="0"/>
    <xf numFmtId="170" fontId="2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42" fillId="0" borderId="0" applyFont="0" applyFill="0" applyBorder="0" applyAlignment="0" applyProtection="0"/>
    <xf numFmtId="0" fontId="142" fillId="0" borderId="0"/>
    <xf numFmtId="170" fontId="143" fillId="0" borderId="0"/>
    <xf numFmtId="0" fontId="9" fillId="0" borderId="0"/>
    <xf numFmtId="0" fontId="142" fillId="0" borderId="0"/>
    <xf numFmtId="43" fontId="9" fillId="0" borderId="0" applyFont="0" applyFill="0" applyBorder="0" applyAlignment="0" applyProtection="0"/>
    <xf numFmtId="0" fontId="144" fillId="0" borderId="0" applyNumberFormat="0" applyFill="0" applyBorder="0" applyProtection="0"/>
    <xf numFmtId="43" fontId="27" fillId="0" borderId="0" applyFont="0" applyFill="0" applyBorder="0" applyAlignment="0" applyProtection="0"/>
    <xf numFmtId="0" fontId="9" fillId="0" borderId="0"/>
    <xf numFmtId="0" fontId="8" fillId="0" borderId="0"/>
    <xf numFmtId="43" fontId="8"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6" fillId="0" borderId="0"/>
    <xf numFmtId="0" fontId="17" fillId="0" borderId="0"/>
    <xf numFmtId="0" fontId="20" fillId="0" borderId="0"/>
    <xf numFmtId="44" fontId="6" fillId="0" borderId="0" applyFont="0" applyFill="0" applyBorder="0" applyAlignment="0" applyProtection="0"/>
    <xf numFmtId="0" fontId="20" fillId="0" borderId="0"/>
    <xf numFmtId="166" fontId="20" fillId="0" borderId="0" applyFont="0" applyFill="0" applyBorder="0" applyAlignment="0" applyProtection="0"/>
    <xf numFmtId="0" fontId="20" fillId="0" borderId="0"/>
    <xf numFmtId="171" fontId="20" fillId="0" borderId="0" applyFont="0" applyFill="0" applyBorder="0" applyAlignment="0" applyProtection="0"/>
    <xf numFmtId="0" fontId="20" fillId="0" borderId="0">
      <alignment vertical="center"/>
    </xf>
    <xf numFmtId="171" fontId="20" fillId="0" borderId="0" applyFont="0" applyFill="0" applyBorder="0" applyAlignment="0" applyProtection="0"/>
    <xf numFmtId="166" fontId="6" fillId="0" borderId="0" applyFont="0" applyFill="0" applyBorder="0" applyAlignment="0" applyProtection="0"/>
    <xf numFmtId="43" fontId="6" fillId="0" borderId="0" applyFont="0" applyFill="0" applyBorder="0" applyAlignment="0" applyProtection="0"/>
    <xf numFmtId="0" fontId="27" fillId="0" borderId="0" applyNumberFormat="0" applyFill="0" applyBorder="0" applyProtection="0"/>
    <xf numFmtId="166" fontId="27" fillId="0" borderId="0" applyFont="0" applyFill="0" applyBorder="0" applyAlignment="0" applyProtection="0"/>
    <xf numFmtId="0" fontId="6" fillId="0" borderId="0"/>
    <xf numFmtId="0" fontId="29" fillId="0" borderId="0" applyFill="0" applyBorder="0" applyAlignment="0" applyProtection="0"/>
    <xf numFmtId="166" fontId="27" fillId="0" borderId="0" applyFont="0" applyFill="0" applyBorder="0" applyAlignment="0" applyProtection="0"/>
    <xf numFmtId="0" fontId="20" fillId="0" borderId="0"/>
    <xf numFmtId="0" fontId="20" fillId="0" borderId="0"/>
    <xf numFmtId="166" fontId="20" fillId="0" borderId="0" applyFont="0" applyFill="0" applyBorder="0" applyAlignment="0" applyProtection="0"/>
    <xf numFmtId="174" fontId="6" fillId="0" borderId="0" applyFont="0" applyFill="0" applyBorder="0" applyAlignment="0" applyProtection="0"/>
    <xf numFmtId="0" fontId="151" fillId="0" borderId="0" applyNumberFormat="0" applyFill="0" applyBorder="0" applyAlignment="0" applyProtection="0"/>
    <xf numFmtId="0" fontId="21" fillId="0" borderId="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21" fillId="0" borderId="0"/>
    <xf numFmtId="43" fontId="6" fillId="0" borderId="0" applyFont="0" applyFill="0" applyBorder="0" applyAlignment="0" applyProtection="0"/>
    <xf numFmtId="43" fontId="6" fillId="0" borderId="0" applyFont="0" applyFill="0" applyBorder="0" applyAlignment="0" applyProtection="0"/>
    <xf numFmtId="166" fontId="6" fillId="0" borderId="0" applyFont="0" applyFill="0" applyBorder="0" applyAlignment="0" applyProtection="0"/>
    <xf numFmtId="0" fontId="20" fillId="0" borderId="0"/>
    <xf numFmtId="0" fontId="152" fillId="0" borderId="0"/>
    <xf numFmtId="0" fontId="6" fillId="0" borderId="0"/>
    <xf numFmtId="43" fontId="6" fillId="0" borderId="0" applyFont="0" applyFill="0" applyBorder="0" applyAlignment="0" applyProtection="0"/>
    <xf numFmtId="0" fontId="6" fillId="0" borderId="0"/>
    <xf numFmtId="0" fontId="6" fillId="0" borderId="0"/>
    <xf numFmtId="166" fontId="6" fillId="0" borderId="0" applyFont="0" applyFill="0" applyBorder="0" applyAlignment="0" applyProtection="0"/>
    <xf numFmtId="0" fontId="6" fillId="0" borderId="0"/>
    <xf numFmtId="174" fontId="20" fillId="0" borderId="0" applyFont="0" applyFill="0" applyBorder="0" applyAlignment="0" applyProtection="0"/>
    <xf numFmtId="43" fontId="16" fillId="0" borderId="0" applyFont="0" applyFill="0" applyBorder="0" applyAlignment="0" applyProtection="0"/>
    <xf numFmtId="0" fontId="20" fillId="0" borderId="0"/>
    <xf numFmtId="0" fontId="20" fillId="0" borderId="0"/>
    <xf numFmtId="174" fontId="6" fillId="0" borderId="0" applyFont="0" applyFill="0" applyBorder="0" applyAlignment="0" applyProtection="0"/>
    <xf numFmtId="0" fontId="6" fillId="0" borderId="0"/>
    <xf numFmtId="43" fontId="6" fillId="0" borderId="0" applyFont="0" applyFill="0" applyBorder="0" applyAlignment="0" applyProtection="0"/>
    <xf numFmtId="43" fontId="20" fillId="0" borderId="0" applyFont="0" applyFill="0" applyBorder="0" applyAlignment="0" applyProtection="0"/>
    <xf numFmtId="9" fontId="20" fillId="0" borderId="0" applyFont="0" applyFill="0" applyBorder="0" applyAlignment="0" applyProtection="0"/>
    <xf numFmtId="0" fontId="5" fillId="0" borderId="0"/>
    <xf numFmtId="9" fontId="5" fillId="0" borderId="0" applyFont="0" applyFill="0" applyBorder="0" applyAlignment="0" applyProtection="0"/>
    <xf numFmtId="43" fontId="17" fillId="0" borderId="0" applyFont="0" applyFill="0" applyBorder="0" applyAlignment="0" applyProtection="0"/>
    <xf numFmtId="0" fontId="5" fillId="0" borderId="0"/>
    <xf numFmtId="9" fontId="20" fillId="0" borderId="0" applyFont="0" applyFill="0" applyBorder="0" applyAlignment="0" applyProtection="0"/>
    <xf numFmtId="0" fontId="5" fillId="0" borderId="0"/>
    <xf numFmtId="166" fontId="5" fillId="0" borderId="0" applyFont="0" applyFill="0" applyBorder="0" applyAlignment="0" applyProtection="0"/>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0" fontId="5" fillId="0" borderId="0"/>
    <xf numFmtId="166" fontId="5" fillId="0" borderId="0" applyFont="0" applyFill="0" applyBorder="0" applyAlignment="0" applyProtection="0"/>
    <xf numFmtId="0" fontId="5" fillId="0" borderId="0"/>
    <xf numFmtId="174" fontId="5" fillId="0" borderId="0" applyFont="0" applyFill="0" applyBorder="0" applyAlignment="0" applyProtection="0"/>
    <xf numFmtId="43" fontId="5" fillId="0" borderId="0" applyFont="0" applyFill="0" applyBorder="0" applyAlignment="0" applyProtection="0"/>
    <xf numFmtId="0" fontId="5" fillId="0" borderId="0"/>
    <xf numFmtId="44" fontId="5"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0" fontId="4" fillId="0" borderId="0"/>
    <xf numFmtId="9" fontId="4" fillId="0" borderId="0" applyFont="0" applyFill="0" applyBorder="0" applyAlignment="0" applyProtection="0"/>
    <xf numFmtId="166" fontId="17" fillId="0" borderId="0" applyFont="0" applyFill="0" applyBorder="0" applyAlignment="0" applyProtection="0"/>
    <xf numFmtId="0" fontId="4" fillId="0" borderId="0"/>
    <xf numFmtId="0" fontId="4" fillId="0" borderId="0"/>
    <xf numFmtId="166" fontId="4" fillId="0" borderId="0" applyFont="0" applyFill="0" applyBorder="0" applyAlignment="0" applyProtection="0"/>
    <xf numFmtId="166" fontId="4" fillId="0" borderId="0" applyFont="0" applyFill="0" applyBorder="0" applyAlignment="0" applyProtection="0"/>
    <xf numFmtId="0" fontId="4" fillId="0" borderId="0"/>
    <xf numFmtId="43" fontId="4" fillId="0" borderId="0" applyFont="0" applyFill="0" applyBorder="0" applyAlignment="0" applyProtection="0"/>
    <xf numFmtId="166" fontId="4" fillId="0" borderId="0" applyFont="0" applyFill="0" applyBorder="0" applyAlignment="0" applyProtection="0"/>
    <xf numFmtId="0" fontId="4" fillId="0" borderId="0"/>
    <xf numFmtId="0" fontId="31" fillId="0" borderId="0"/>
    <xf numFmtId="0" fontId="4" fillId="0" borderId="0"/>
    <xf numFmtId="166" fontId="4" fillId="0" borderId="0" applyFont="0" applyFill="0" applyBorder="0" applyAlignment="0" applyProtection="0"/>
    <xf numFmtId="0" fontId="4" fillId="0" borderId="0"/>
    <xf numFmtId="43" fontId="20" fillId="0" borderId="0" applyFont="0" applyFill="0" applyBorder="0" applyAlignment="0" applyProtection="0"/>
    <xf numFmtId="0" fontId="4" fillId="0" borderId="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166"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166" fontId="16" fillId="0" borderId="0" applyFont="0" applyFill="0" applyBorder="0" applyAlignment="0" applyProtection="0"/>
    <xf numFmtId="9" fontId="20"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154" fillId="0" borderId="0"/>
    <xf numFmtId="0" fontId="3" fillId="0" borderId="0"/>
    <xf numFmtId="166" fontId="3" fillId="0" borderId="0" applyFont="0" applyFill="0" applyBorder="0" applyAlignment="0" applyProtection="0"/>
    <xf numFmtId="166" fontId="20" fillId="0" borderId="0" applyFont="0" applyFill="0" applyBorder="0" applyAlignment="0" applyProtection="0"/>
    <xf numFmtId="0" fontId="3" fillId="0" borderId="0"/>
    <xf numFmtId="166" fontId="3" fillId="0" borderId="0" applyFont="0" applyFill="0" applyBorder="0" applyAlignment="0" applyProtection="0"/>
    <xf numFmtId="0" fontId="3" fillId="0" borderId="0"/>
    <xf numFmtId="0" fontId="3" fillId="0" borderId="0"/>
    <xf numFmtId="166" fontId="3" fillId="0" borderId="0" applyFont="0" applyFill="0" applyBorder="0" applyAlignment="0" applyProtection="0"/>
    <xf numFmtId="0" fontId="24" fillId="0" borderId="0"/>
    <xf numFmtId="0" fontId="3" fillId="0" borderId="0"/>
    <xf numFmtId="0" fontId="3" fillId="0" borderId="0"/>
    <xf numFmtId="174"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1" fontId="20"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166" fontId="3"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3" fillId="0" borderId="0" applyFont="0" applyFill="0" applyBorder="0" applyAlignment="0" applyProtection="0"/>
    <xf numFmtId="0" fontId="20" fillId="0" borderId="0"/>
    <xf numFmtId="0" fontId="3" fillId="0" borderId="0"/>
    <xf numFmtId="166" fontId="20" fillId="0" borderId="0" applyFont="0" applyFill="0" applyBorder="0" applyAlignment="0" applyProtection="0"/>
    <xf numFmtId="0" fontId="3" fillId="0" borderId="0"/>
    <xf numFmtId="0" fontId="3" fillId="0" borderId="0"/>
    <xf numFmtId="174" fontId="3" fillId="0" borderId="0" applyFont="0" applyFill="0" applyBorder="0" applyAlignment="0" applyProtection="0"/>
    <xf numFmtId="0" fontId="2" fillId="0" borderId="0"/>
    <xf numFmtId="166" fontId="1" fillId="0" borderId="0" applyFont="0" applyFill="0" applyBorder="0" applyAlignment="0" applyProtection="0"/>
    <xf numFmtId="0" fontId="1" fillId="0" borderId="0"/>
    <xf numFmtId="166" fontId="1" fillId="0" borderId="0" applyFont="0" applyFill="0" applyBorder="0" applyAlignment="0" applyProtection="0"/>
    <xf numFmtId="0" fontId="1" fillId="0" borderId="0"/>
    <xf numFmtId="166" fontId="1" fillId="0" borderId="0" applyFont="0" applyFill="0" applyBorder="0" applyAlignment="0" applyProtection="0"/>
    <xf numFmtId="0" fontId="1" fillId="0" borderId="0"/>
    <xf numFmtId="0" fontId="1" fillId="0" borderId="0"/>
    <xf numFmtId="166" fontId="1" fillId="0" borderId="0" applyFont="0" applyFill="0" applyBorder="0" applyAlignment="0" applyProtection="0"/>
    <xf numFmtId="174" fontId="1" fillId="0" borderId="0" applyFont="0" applyFill="0" applyBorder="0" applyAlignment="0" applyProtection="0"/>
    <xf numFmtId="166" fontId="1" fillId="0" borderId="0" applyFont="0" applyFill="0" applyBorder="0" applyAlignment="0" applyProtection="0"/>
    <xf numFmtId="0" fontId="1" fillId="0" borderId="0"/>
    <xf numFmtId="0" fontId="16" fillId="0" borderId="0"/>
    <xf numFmtId="0" fontId="20" fillId="0" borderId="0"/>
  </cellStyleXfs>
  <cellXfs count="236">
    <xf numFmtId="0" fontId="0" fillId="0" borderId="0" xfId="0"/>
    <xf numFmtId="49" fontId="148" fillId="90" borderId="27" xfId="10492" applyNumberFormat="1" applyFont="1" applyFill="1" applyBorder="1" applyAlignment="1">
      <alignment horizontal="left" vertical="center" wrapText="1"/>
    </xf>
    <xf numFmtId="49" fontId="148" fillId="90" borderId="32" xfId="10492" applyNumberFormat="1" applyFont="1" applyFill="1" applyBorder="1" applyAlignment="1">
      <alignment vertical="center" wrapText="1"/>
    </xf>
    <xf numFmtId="0" fontId="148" fillId="90" borderId="33" xfId="10492" applyNumberFormat="1" applyFont="1" applyFill="1" applyBorder="1" applyAlignment="1">
      <alignment vertical="center"/>
    </xf>
    <xf numFmtId="0" fontId="148" fillId="90" borderId="34" xfId="10492" applyNumberFormat="1" applyFont="1" applyFill="1" applyBorder="1" applyAlignment="1">
      <alignment vertical="center"/>
    </xf>
    <xf numFmtId="0" fontId="148" fillId="90" borderId="35" xfId="10492" applyNumberFormat="1" applyFont="1" applyFill="1" applyBorder="1" applyAlignment="1">
      <alignment vertical="center"/>
    </xf>
    <xf numFmtId="0" fontId="148" fillId="2" borderId="0" xfId="10492" applyFont="1" applyFill="1" applyAlignment="1">
      <alignment vertical="center"/>
    </xf>
    <xf numFmtId="167" fontId="153" fillId="89" borderId="13" xfId="10554" applyNumberFormat="1" applyFont="1" applyFill="1" applyBorder="1" applyAlignment="1" applyProtection="1">
      <alignment horizontal="center" vertical="center" wrapText="1"/>
    </xf>
    <xf numFmtId="0" fontId="148" fillId="2" borderId="0" xfId="10492" applyNumberFormat="1" applyFont="1" applyFill="1" applyBorder="1" applyAlignment="1">
      <alignment vertical="center"/>
    </xf>
    <xf numFmtId="0" fontId="148" fillId="2" borderId="37" xfId="10492" applyNumberFormat="1" applyFont="1" applyFill="1" applyBorder="1" applyAlignment="1">
      <alignment vertical="center"/>
    </xf>
    <xf numFmtId="0" fontId="148" fillId="90" borderId="0" xfId="10492" applyNumberFormat="1" applyFont="1" applyFill="1" applyBorder="1" applyAlignment="1">
      <alignment vertical="center"/>
    </xf>
    <xf numFmtId="0" fontId="148" fillId="90" borderId="37" xfId="10492" applyNumberFormat="1" applyFont="1" applyFill="1" applyBorder="1" applyAlignment="1">
      <alignment vertical="center"/>
    </xf>
    <xf numFmtId="0" fontId="150" fillId="2" borderId="13" xfId="10492" applyNumberFormat="1" applyFont="1" applyFill="1" applyBorder="1" applyAlignment="1">
      <alignment horizontal="center" vertical="center" wrapText="1"/>
    </xf>
    <xf numFmtId="172" fontId="150" fillId="2" borderId="13" xfId="10492" applyNumberFormat="1" applyFont="1" applyFill="1" applyBorder="1" applyAlignment="1">
      <alignment horizontal="left" vertical="center" wrapText="1"/>
    </xf>
    <xf numFmtId="0" fontId="150" fillId="2" borderId="13" xfId="10492" applyNumberFormat="1" applyFont="1" applyFill="1" applyBorder="1" applyAlignment="1">
      <alignment horizontal="left" vertical="center" wrapText="1"/>
    </xf>
    <xf numFmtId="49" fontId="150" fillId="2" borderId="13" xfId="10492" applyNumberFormat="1" applyFont="1" applyFill="1" applyBorder="1" applyAlignment="1">
      <alignment horizontal="center" vertical="center" wrapText="1"/>
    </xf>
    <xf numFmtId="0" fontId="150" fillId="2" borderId="13" xfId="10492" applyFont="1" applyFill="1" applyBorder="1" applyAlignment="1">
      <alignment horizontal="left" vertical="center" wrapText="1"/>
    </xf>
    <xf numFmtId="220" fontId="148" fillId="2" borderId="13" xfId="10495" applyNumberFormat="1" applyFont="1" applyFill="1" applyBorder="1" applyAlignment="1">
      <alignment vertical="center" wrapText="1"/>
    </xf>
    <xf numFmtId="0" fontId="148" fillId="2" borderId="13" xfId="10492" applyFont="1" applyFill="1" applyBorder="1" applyAlignment="1">
      <alignment horizontal="left" vertical="center" wrapText="1"/>
    </xf>
    <xf numFmtId="220" fontId="148" fillId="2" borderId="13" xfId="10495" applyNumberFormat="1" applyFont="1" applyFill="1" applyBorder="1" applyAlignment="1">
      <alignment horizontal="center" vertical="center" wrapText="1"/>
    </xf>
    <xf numFmtId="0" fontId="148" fillId="2" borderId="13" xfId="10492" applyFont="1" applyFill="1" applyBorder="1" applyAlignment="1">
      <alignment horizontal="center" vertical="center" wrapText="1"/>
    </xf>
    <xf numFmtId="0" fontId="148" fillId="2" borderId="13" xfId="10492" applyFont="1" applyFill="1" applyBorder="1" applyAlignment="1">
      <alignment horizontal="center" vertical="center"/>
    </xf>
    <xf numFmtId="0" fontId="148" fillId="2" borderId="13" xfId="10497" applyFont="1" applyFill="1" applyBorder="1" applyAlignment="1">
      <alignment horizontal="justify" vertical="center" wrapText="1"/>
    </xf>
    <xf numFmtId="0" fontId="148" fillId="2" borderId="0" xfId="10492" applyNumberFormat="1" applyFont="1" applyFill="1" applyAlignment="1">
      <alignment vertical="center"/>
    </xf>
    <xf numFmtId="220" fontId="148" fillId="2" borderId="13" xfId="10495" applyNumberFormat="1" applyFont="1" applyFill="1" applyBorder="1" applyAlignment="1">
      <alignment horizontal="left" vertical="center" wrapText="1"/>
    </xf>
    <xf numFmtId="220" fontId="149" fillId="91" borderId="13" xfId="10609" applyNumberFormat="1" applyFont="1" applyFill="1" applyBorder="1" applyAlignment="1">
      <alignment horizontal="right" vertical="center" wrapText="1"/>
    </xf>
    <xf numFmtId="221" fontId="149" fillId="91" borderId="13" xfId="10492" applyNumberFormat="1" applyFont="1" applyFill="1" applyBorder="1" applyAlignment="1">
      <alignment horizontal="left" vertical="center" wrapText="1"/>
    </xf>
    <xf numFmtId="0" fontId="158" fillId="91" borderId="0" xfId="10492" applyNumberFormat="1" applyFont="1" applyFill="1" applyAlignment="1">
      <alignment vertical="center"/>
    </xf>
    <xf numFmtId="0" fontId="158" fillId="91" borderId="0" xfId="10492" applyFont="1" applyFill="1" applyAlignment="1">
      <alignment vertical="center"/>
    </xf>
    <xf numFmtId="0" fontId="148" fillId="2" borderId="13" xfId="10492" applyNumberFormat="1" applyFont="1" applyFill="1" applyBorder="1" applyAlignment="1">
      <alignment vertical="center"/>
    </xf>
    <xf numFmtId="0" fontId="150" fillId="2" borderId="13" xfId="10492" applyFont="1" applyFill="1" applyBorder="1" applyAlignment="1">
      <alignment vertical="center" wrapText="1"/>
    </xf>
    <xf numFmtId="220" fontId="148" fillId="2" borderId="13" xfId="10609" applyNumberFormat="1" applyFont="1" applyFill="1" applyBorder="1" applyAlignment="1" applyProtection="1">
      <alignment horizontal="right" vertical="center" wrapText="1"/>
    </xf>
    <xf numFmtId="0" fontId="148" fillId="2" borderId="13" xfId="10610" applyFont="1" applyFill="1" applyBorder="1" applyAlignment="1">
      <alignment horizontal="left" vertical="center" wrapText="1"/>
    </xf>
    <xf numFmtId="0" fontId="150" fillId="2" borderId="13" xfId="10492" applyFont="1" applyFill="1" applyBorder="1" applyAlignment="1">
      <alignment horizontal="center" vertical="center" wrapText="1"/>
    </xf>
    <xf numFmtId="0" fontId="148" fillId="2" borderId="13" xfId="10492" applyFont="1" applyFill="1" applyBorder="1" applyAlignment="1">
      <alignment horizontal="justify" vertical="center" wrapText="1"/>
    </xf>
    <xf numFmtId="0" fontId="150" fillId="2" borderId="13" xfId="10492" applyFont="1" applyFill="1" applyBorder="1" applyAlignment="1">
      <alignment horizontal="justify" vertical="center" wrapText="1"/>
    </xf>
    <xf numFmtId="220" fontId="148" fillId="2" borderId="13" xfId="10609" applyNumberFormat="1" applyFont="1" applyFill="1" applyBorder="1" applyAlignment="1">
      <alignment horizontal="right" vertical="center" wrapText="1"/>
    </xf>
    <xf numFmtId="0" fontId="148" fillId="2" borderId="13" xfId="10610" applyFont="1" applyFill="1" applyBorder="1" applyAlignment="1">
      <alignment horizontal="justify" vertical="center" wrapText="1"/>
    </xf>
    <xf numFmtId="0" fontId="150" fillId="2" borderId="13" xfId="10498" applyFont="1" applyFill="1" applyBorder="1" applyAlignment="1">
      <alignment horizontal="left" vertical="center" wrapText="1"/>
    </xf>
    <xf numFmtId="172" fontId="148" fillId="2" borderId="13" xfId="10492" applyNumberFormat="1" applyFont="1" applyFill="1" applyBorder="1" applyAlignment="1">
      <alignment horizontal="left" vertical="center" wrapText="1"/>
    </xf>
    <xf numFmtId="0" fontId="150" fillId="2" borderId="13" xfId="10610" applyFont="1" applyFill="1" applyBorder="1" applyAlignment="1">
      <alignment horizontal="justify" vertical="center" wrapText="1"/>
    </xf>
    <xf numFmtId="220" fontId="148" fillId="2" borderId="13" xfId="10609" applyNumberFormat="1" applyFont="1" applyFill="1" applyBorder="1" applyAlignment="1" applyProtection="1">
      <alignment horizontal="center" vertical="center" wrapText="1"/>
    </xf>
    <xf numFmtId="0" fontId="145" fillId="0" borderId="0" xfId="10611" applyFont="1" applyAlignment="1">
      <alignment vertical="center" wrapText="1"/>
    </xf>
    <xf numFmtId="0" fontId="145" fillId="0" borderId="13" xfId="10611" applyFont="1" applyBorder="1" applyAlignment="1">
      <alignment vertical="center" wrapText="1"/>
    </xf>
    <xf numFmtId="0" fontId="148" fillId="0" borderId="13" xfId="10554" applyNumberFormat="1" applyFont="1" applyFill="1" applyBorder="1" applyAlignment="1">
      <alignment horizontal="center" vertical="center" wrapText="1"/>
    </xf>
    <xf numFmtId="0" fontId="148" fillId="2" borderId="0" xfId="10613" applyFont="1" applyFill="1" applyAlignment="1">
      <alignment vertical="center" wrapText="1"/>
    </xf>
    <xf numFmtId="0" fontId="148" fillId="2" borderId="13" xfId="10554" applyNumberFormat="1" applyFont="1" applyFill="1" applyBorder="1" applyAlignment="1">
      <alignment horizontal="center" vertical="center" wrapText="1"/>
    </xf>
    <xf numFmtId="0" fontId="148" fillId="2" borderId="13" xfId="44" applyFont="1" applyFill="1" applyBorder="1" applyAlignment="1">
      <alignment horizontal="center" vertical="center" wrapText="1"/>
    </xf>
    <xf numFmtId="0" fontId="155" fillId="2" borderId="13" xfId="10492" applyFont="1" applyFill="1" applyBorder="1" applyAlignment="1">
      <alignment horizontal="justify" vertical="center" wrapText="1"/>
    </xf>
    <xf numFmtId="0" fontId="148" fillId="2" borderId="13" xfId="10614" applyFont="1" applyFill="1" applyBorder="1" applyAlignment="1">
      <alignment horizontal="left" vertical="center" wrapText="1"/>
    </xf>
    <xf numFmtId="0" fontId="148" fillId="2" borderId="13" xfId="10614" applyFont="1" applyFill="1" applyBorder="1" applyAlignment="1">
      <alignment horizontal="justify" vertical="center" wrapText="1"/>
    </xf>
    <xf numFmtId="0" fontId="145" fillId="2" borderId="0" xfId="10613" applyFont="1" applyFill="1" applyAlignment="1">
      <alignment vertical="center" wrapText="1"/>
    </xf>
    <xf numFmtId="0" fontId="145" fillId="2" borderId="13" xfId="10613" applyFont="1" applyFill="1" applyBorder="1" applyAlignment="1">
      <alignment vertical="center" wrapText="1"/>
    </xf>
    <xf numFmtId="220" fontId="150" fillId="91" borderId="13" xfId="10609" applyNumberFormat="1" applyFont="1" applyFill="1" applyBorder="1" applyAlignment="1">
      <alignment horizontal="right" vertical="center" wrapText="1"/>
    </xf>
    <xf numFmtId="169" fontId="149" fillId="91" borderId="13" xfId="10607" applyNumberFormat="1" applyFont="1" applyFill="1" applyBorder="1" applyAlignment="1">
      <alignment horizontal="right" vertical="center" wrapText="1"/>
    </xf>
    <xf numFmtId="220" fontId="150" fillId="2" borderId="13" xfId="10609" applyNumberFormat="1" applyFont="1" applyFill="1" applyBorder="1" applyAlignment="1">
      <alignment horizontal="right" vertical="center" wrapText="1"/>
    </xf>
    <xf numFmtId="221" fontId="150" fillId="2" borderId="13" xfId="10492" applyNumberFormat="1" applyFont="1" applyFill="1" applyBorder="1" applyAlignment="1">
      <alignment horizontal="left" vertical="center" wrapText="1"/>
    </xf>
    <xf numFmtId="220" fontId="150" fillId="2" borderId="13" xfId="10609" applyNumberFormat="1" applyFont="1" applyFill="1" applyBorder="1" applyAlignment="1" applyProtection="1">
      <alignment horizontal="right" vertical="center" wrapText="1"/>
    </xf>
    <xf numFmtId="172" fontId="148" fillId="2" borderId="13" xfId="10492" applyNumberFormat="1" applyFont="1" applyFill="1" applyBorder="1" applyAlignment="1">
      <alignment horizontal="right" vertical="center"/>
    </xf>
    <xf numFmtId="0" fontId="148" fillId="2" borderId="13" xfId="10492" applyFont="1" applyFill="1" applyBorder="1" applyAlignment="1">
      <alignment vertical="center"/>
    </xf>
    <xf numFmtId="0" fontId="148" fillId="2" borderId="13" xfId="10492" applyFont="1" applyFill="1" applyBorder="1" applyAlignment="1">
      <alignment horizontal="right" vertical="center"/>
    </xf>
    <xf numFmtId="2" fontId="148" fillId="2" borderId="13" xfId="10492" applyNumberFormat="1" applyFont="1" applyFill="1" applyBorder="1" applyAlignment="1">
      <alignment horizontal="center" vertical="center"/>
    </xf>
    <xf numFmtId="0" fontId="150" fillId="2" borderId="13" xfId="10497" applyFont="1" applyFill="1" applyBorder="1" applyAlignment="1">
      <alignment horizontal="justify" vertical="center" wrapText="1"/>
    </xf>
    <xf numFmtId="169" fontId="150" fillId="0" borderId="7" xfId="10554" applyNumberFormat="1" applyFont="1" applyBorder="1" applyAlignment="1">
      <alignment horizontal="center" vertical="center" wrapText="1"/>
    </xf>
    <xf numFmtId="0" fontId="148" fillId="2" borderId="13" xfId="10492" quotePrefix="1" applyFont="1" applyFill="1" applyBorder="1" applyAlignment="1">
      <alignment horizontal="right" vertical="center" wrapText="1"/>
    </xf>
    <xf numFmtId="0" fontId="148" fillId="2" borderId="13" xfId="10492" quotePrefix="1" applyFont="1" applyFill="1" applyBorder="1" applyAlignment="1">
      <alignment horizontal="left" vertical="center" wrapText="1"/>
    </xf>
    <xf numFmtId="220" fontId="148" fillId="2" borderId="13" xfId="10495" applyNumberFormat="1" applyFont="1" applyFill="1" applyBorder="1" applyAlignment="1" applyProtection="1">
      <alignment horizontal="center" vertical="center" wrapText="1"/>
    </xf>
    <xf numFmtId="0" fontId="150" fillId="2" borderId="13" xfId="10492" applyFont="1" applyFill="1" applyBorder="1" applyAlignment="1">
      <alignment vertical="center"/>
    </xf>
    <xf numFmtId="0" fontId="148" fillId="2" borderId="13" xfId="10492" applyFont="1" applyFill="1" applyBorder="1" applyAlignment="1">
      <alignment vertical="center" wrapText="1"/>
    </xf>
    <xf numFmtId="1" fontId="150" fillId="2" borderId="13" xfId="48" applyNumberFormat="1" applyFont="1" applyFill="1" applyBorder="1" applyAlignment="1">
      <alignment horizontal="center" vertical="center"/>
    </xf>
    <xf numFmtId="0" fontId="150" fillId="0" borderId="13" xfId="44" applyFont="1" applyBorder="1" applyAlignment="1">
      <alignment horizontal="center" vertical="center" wrapText="1"/>
    </xf>
    <xf numFmtId="220" fontId="148" fillId="2" borderId="13" xfId="10609" applyNumberFormat="1" applyFont="1" applyFill="1" applyBorder="1" applyAlignment="1">
      <alignment vertical="center" wrapText="1"/>
    </xf>
    <xf numFmtId="220" fontId="148" fillId="2" borderId="5" xfId="10609" applyNumberFormat="1" applyFont="1" applyFill="1" applyBorder="1" applyAlignment="1">
      <alignment vertical="center" wrapText="1"/>
    </xf>
    <xf numFmtId="172" fontId="148" fillId="2" borderId="13" xfId="10492" applyNumberFormat="1" applyFont="1" applyFill="1" applyBorder="1" applyAlignment="1">
      <alignment horizontal="right" vertical="center" wrapText="1"/>
    </xf>
    <xf numFmtId="220" fontId="150" fillId="2" borderId="13" xfId="10609" applyNumberFormat="1" applyFont="1" applyFill="1" applyBorder="1" applyAlignment="1">
      <alignment horizontal="center" vertical="center" wrapText="1"/>
    </xf>
    <xf numFmtId="220" fontId="149" fillId="91" borderId="13" xfId="10609" applyNumberFormat="1" applyFont="1" applyFill="1" applyBorder="1" applyAlignment="1">
      <alignment horizontal="left" vertical="center" wrapText="1"/>
    </xf>
    <xf numFmtId="0" fontId="148" fillId="2" borderId="0" xfId="10492" applyNumberFormat="1" applyFont="1" applyFill="1" applyAlignment="1">
      <alignment horizontal="center" vertical="center"/>
    </xf>
    <xf numFmtId="0" fontId="148" fillId="0" borderId="13" xfId="44" applyFont="1" applyBorder="1" applyAlignment="1">
      <alignment horizontal="center" vertical="center" wrapText="1"/>
    </xf>
    <xf numFmtId="0" fontId="148" fillId="0" borderId="13" xfId="44" applyFont="1" applyBorder="1" applyAlignment="1">
      <alignment horizontal="left" vertical="center" wrapText="1"/>
    </xf>
    <xf numFmtId="0" fontId="150" fillId="0" borderId="13" xfId="44" applyFont="1" applyBorder="1" applyAlignment="1">
      <alignment horizontal="justify" vertical="center" wrapText="1"/>
    </xf>
    <xf numFmtId="0" fontId="146" fillId="0" borderId="0" xfId="10611" applyFont="1" applyAlignment="1">
      <alignment vertical="center" wrapText="1"/>
    </xf>
    <xf numFmtId="0" fontId="146" fillId="0" borderId="13" xfId="10611" applyFont="1" applyBorder="1" applyAlignment="1">
      <alignment vertical="center" wrapText="1"/>
    </xf>
    <xf numFmtId="0" fontId="148" fillId="0" borderId="13" xfId="44" applyFont="1" applyBorder="1" applyAlignment="1" applyProtection="1">
      <alignment horizontal="center" vertical="center" wrapText="1"/>
      <protection locked="0"/>
    </xf>
    <xf numFmtId="167" fontId="150" fillId="90" borderId="13" xfId="1" applyNumberFormat="1" applyFont="1" applyFill="1" applyBorder="1" applyAlignment="1">
      <alignment horizontal="center" vertical="center"/>
    </xf>
    <xf numFmtId="167" fontId="150" fillId="2" borderId="13" xfId="1" applyNumberFormat="1" applyFont="1" applyFill="1" applyBorder="1" applyAlignment="1">
      <alignment horizontal="center" vertical="center"/>
    </xf>
    <xf numFmtId="167" fontId="148" fillId="2" borderId="13" xfId="1" applyNumberFormat="1" applyFont="1" applyFill="1" applyBorder="1" applyAlignment="1">
      <alignment horizontal="center" vertical="center"/>
    </xf>
    <xf numFmtId="167" fontId="148" fillId="2" borderId="13" xfId="1" applyNumberFormat="1" applyFont="1" applyFill="1" applyBorder="1" applyAlignment="1">
      <alignment horizontal="left" vertical="center"/>
    </xf>
    <xf numFmtId="167" fontId="148" fillId="2" borderId="13" xfId="1" applyNumberFormat="1" applyFont="1" applyFill="1" applyBorder="1" applyAlignment="1">
      <alignment horizontal="center" vertical="center" wrapText="1"/>
    </xf>
    <xf numFmtId="167" fontId="148" fillId="2" borderId="13" xfId="1" applyNumberFormat="1" applyFont="1" applyFill="1" applyBorder="1" applyAlignment="1">
      <alignment horizontal="right" vertical="center" wrapText="1"/>
    </xf>
    <xf numFmtId="167" fontId="150" fillId="2" borderId="13" xfId="1" applyNumberFormat="1" applyFont="1" applyFill="1" applyBorder="1" applyAlignment="1">
      <alignment horizontal="center" vertical="center" wrapText="1"/>
    </xf>
    <xf numFmtId="167" fontId="150" fillId="2" borderId="13" xfId="1" applyNumberFormat="1" applyFont="1" applyFill="1" applyBorder="1" applyAlignment="1">
      <alignment horizontal="left" vertical="center" wrapText="1"/>
    </xf>
    <xf numFmtId="167" fontId="148" fillId="2" borderId="13" xfId="1" applyNumberFormat="1" applyFont="1" applyFill="1" applyBorder="1" applyAlignment="1">
      <alignment vertical="center"/>
    </xf>
    <xf numFmtId="167" fontId="148" fillId="2" borderId="13" xfId="1" applyNumberFormat="1" applyFont="1" applyFill="1" applyBorder="1" applyAlignment="1" applyProtection="1">
      <alignment horizontal="center" vertical="center" wrapText="1"/>
    </xf>
    <xf numFmtId="167" fontId="148" fillId="2" borderId="0" xfId="1" applyNumberFormat="1" applyFont="1" applyFill="1" applyAlignment="1">
      <alignment horizontal="center" vertical="center"/>
    </xf>
    <xf numFmtId="167" fontId="148" fillId="2" borderId="0" xfId="1" applyNumberFormat="1" applyFont="1" applyFill="1" applyAlignment="1">
      <alignment vertical="center"/>
    </xf>
    <xf numFmtId="167" fontId="149" fillId="91" borderId="13" xfId="1" applyNumberFormat="1" applyFont="1" applyFill="1" applyBorder="1" applyAlignment="1">
      <alignment horizontal="left" vertical="center" wrapText="1"/>
    </xf>
    <xf numFmtId="167" fontId="149" fillId="91" borderId="13" xfId="1" applyNumberFormat="1" applyFont="1" applyFill="1" applyBorder="1" applyAlignment="1">
      <alignment horizontal="right" vertical="center" wrapText="1"/>
    </xf>
    <xf numFmtId="167" fontId="148" fillId="2" borderId="13" xfId="1" applyNumberFormat="1" applyFont="1" applyFill="1" applyBorder="1" applyAlignment="1" applyProtection="1">
      <alignment vertical="center" wrapText="1"/>
    </xf>
    <xf numFmtId="167" fontId="148" fillId="2" borderId="13" xfId="1" applyNumberFormat="1" applyFont="1" applyFill="1" applyBorder="1" applyAlignment="1">
      <alignment vertical="center" wrapText="1"/>
    </xf>
    <xf numFmtId="167" fontId="148" fillId="92" borderId="13" xfId="1" applyNumberFormat="1" applyFont="1" applyFill="1" applyBorder="1" applyAlignment="1">
      <alignment horizontal="center" vertical="center" wrapText="1"/>
    </xf>
    <xf numFmtId="167" fontId="150" fillId="2" borderId="13" xfId="1" applyNumberFormat="1" applyFont="1" applyFill="1" applyBorder="1" applyAlignment="1" applyProtection="1">
      <alignment horizontal="center" vertical="center" wrapText="1"/>
    </xf>
    <xf numFmtId="167" fontId="150" fillId="91" borderId="13" xfId="1" applyNumberFormat="1" applyFont="1" applyFill="1" applyBorder="1" applyAlignment="1">
      <alignment horizontal="right" vertical="center" wrapText="1"/>
    </xf>
    <xf numFmtId="167" fontId="149" fillId="91" borderId="13" xfId="1" applyNumberFormat="1" applyFont="1" applyFill="1" applyBorder="1" applyAlignment="1">
      <alignment horizontal="center" vertical="center" wrapText="1"/>
    </xf>
    <xf numFmtId="167" fontId="148" fillId="90" borderId="13" xfId="1" applyNumberFormat="1" applyFont="1" applyFill="1" applyBorder="1" applyAlignment="1">
      <alignment horizontal="center" vertical="center"/>
    </xf>
    <xf numFmtId="167" fontId="155" fillId="2" borderId="13" xfId="1" applyNumberFormat="1" applyFont="1" applyFill="1" applyBorder="1" applyAlignment="1">
      <alignment horizontal="center" vertical="center" wrapText="1"/>
    </xf>
    <xf numFmtId="167" fontId="155" fillId="2" borderId="13" xfId="1" applyNumberFormat="1" applyFont="1" applyFill="1" applyBorder="1" applyAlignment="1" applyProtection="1">
      <alignment horizontal="center" vertical="center" wrapText="1"/>
    </xf>
    <xf numFmtId="167" fontId="153" fillId="2" borderId="13" xfId="1" applyNumberFormat="1" applyFont="1" applyFill="1" applyBorder="1" applyAlignment="1" applyProtection="1">
      <alignment horizontal="center" vertical="center" wrapText="1"/>
    </xf>
    <xf numFmtId="167" fontId="153" fillId="2" borderId="13" xfId="1" applyNumberFormat="1" applyFont="1" applyFill="1" applyBorder="1" applyAlignment="1">
      <alignment horizontal="center" vertical="center" wrapText="1"/>
    </xf>
    <xf numFmtId="167" fontId="153" fillId="2" borderId="13" xfId="1" applyNumberFormat="1" applyFont="1" applyFill="1" applyBorder="1" applyAlignment="1">
      <alignment horizontal="left" vertical="center" wrapText="1"/>
    </xf>
    <xf numFmtId="167" fontId="150" fillId="2" borderId="13" xfId="1" applyNumberFormat="1" applyFont="1" applyFill="1" applyBorder="1" applyAlignment="1">
      <alignment horizontal="right" vertical="center" wrapText="1"/>
    </xf>
    <xf numFmtId="167" fontId="148" fillId="2" borderId="13" xfId="1" applyNumberFormat="1" applyFont="1" applyFill="1" applyBorder="1" applyAlignment="1">
      <alignment horizontal="left" vertical="center" wrapText="1"/>
    </xf>
    <xf numFmtId="167" fontId="150" fillId="2" borderId="13" xfId="1" applyNumberFormat="1" applyFont="1" applyFill="1" applyBorder="1" applyAlignment="1">
      <alignment vertical="center"/>
    </xf>
    <xf numFmtId="167" fontId="148" fillId="2" borderId="27" xfId="1" applyNumberFormat="1" applyFont="1" applyFill="1" applyBorder="1" applyAlignment="1">
      <alignment horizontal="left" vertical="center" wrapText="1"/>
    </xf>
    <xf numFmtId="167" fontId="153" fillId="89" borderId="27" xfId="1" applyNumberFormat="1" applyFont="1" applyFill="1" applyBorder="1" applyAlignment="1" applyProtection="1">
      <alignment horizontal="left" vertical="center" wrapText="1"/>
    </xf>
    <xf numFmtId="167" fontId="148" fillId="2" borderId="27" xfId="1" applyNumberFormat="1" applyFont="1" applyFill="1" applyBorder="1" applyAlignment="1">
      <alignment vertical="center" wrapText="1"/>
    </xf>
    <xf numFmtId="167" fontId="148" fillId="2" borderId="27" xfId="1" applyNumberFormat="1" applyFont="1" applyFill="1" applyBorder="1" applyAlignment="1">
      <alignment horizontal="center" vertical="center"/>
    </xf>
    <xf numFmtId="167" fontId="148" fillId="2" borderId="27" xfId="1" applyNumberFormat="1" applyFont="1" applyFill="1" applyBorder="1" applyAlignment="1">
      <alignment vertical="center"/>
    </xf>
    <xf numFmtId="167" fontId="150" fillId="2" borderId="27" xfId="1" applyNumberFormat="1" applyFont="1" applyFill="1" applyBorder="1" applyAlignment="1">
      <alignment horizontal="center" vertical="center" wrapText="1"/>
    </xf>
    <xf numFmtId="167" fontId="153" fillId="89" borderId="27" xfId="1" applyNumberFormat="1" applyFont="1" applyFill="1" applyBorder="1" applyAlignment="1" applyProtection="1">
      <alignment horizontal="center" vertical="center" wrapText="1"/>
    </xf>
    <xf numFmtId="167" fontId="150" fillId="2" borderId="27" xfId="1" applyNumberFormat="1" applyFont="1" applyFill="1" applyBorder="1" applyAlignment="1">
      <alignment horizontal="left" vertical="center" wrapText="1"/>
    </xf>
    <xf numFmtId="167" fontId="148" fillId="2" borderId="27" xfId="1" applyNumberFormat="1" applyFont="1" applyFill="1" applyBorder="1" applyAlignment="1">
      <alignment horizontal="right" vertical="center"/>
    </xf>
    <xf numFmtId="167" fontId="150" fillId="2" borderId="27" xfId="1" applyNumberFormat="1" applyFont="1" applyFill="1" applyBorder="1" applyAlignment="1">
      <alignment horizontal="right" vertical="center"/>
    </xf>
    <xf numFmtId="167" fontId="150" fillId="2" borderId="27" xfId="1" applyNumberFormat="1" applyFont="1" applyFill="1" applyBorder="1" applyAlignment="1">
      <alignment horizontal="center" vertical="center"/>
    </xf>
    <xf numFmtId="167" fontId="150" fillId="2" borderId="27" xfId="1" applyNumberFormat="1" applyFont="1" applyFill="1" applyBorder="1" applyAlignment="1">
      <alignment horizontal="right" vertical="center" wrapText="1"/>
    </xf>
    <xf numFmtId="167" fontId="148" fillId="2" borderId="0" xfId="1" applyNumberFormat="1" applyFont="1" applyFill="1" applyBorder="1" applyAlignment="1">
      <alignment horizontal="center" vertical="center" wrapText="1"/>
    </xf>
    <xf numFmtId="167" fontId="153" fillId="89" borderId="13" xfId="1" applyNumberFormat="1" applyFont="1" applyFill="1" applyBorder="1" applyAlignment="1" applyProtection="1">
      <alignment horizontal="center" vertical="center" wrapText="1"/>
    </xf>
    <xf numFmtId="167" fontId="150" fillId="2" borderId="31" xfId="1" applyNumberFormat="1" applyFont="1" applyFill="1" applyBorder="1" applyAlignment="1">
      <alignment horizontal="center" vertical="center" wrapText="1"/>
    </xf>
    <xf numFmtId="167" fontId="150" fillId="91" borderId="13" xfId="1" applyNumberFormat="1" applyFont="1" applyFill="1" applyBorder="1" applyAlignment="1">
      <alignment horizontal="center" vertical="center" wrapText="1"/>
    </xf>
    <xf numFmtId="167" fontId="148" fillId="90" borderId="27" xfId="1" applyNumberFormat="1" applyFont="1" applyFill="1" applyBorder="1" applyAlignment="1">
      <alignment horizontal="center" vertical="center" wrapText="1"/>
    </xf>
    <xf numFmtId="167" fontId="148" fillId="90" borderId="27" xfId="1" applyNumberFormat="1" applyFont="1" applyFill="1" applyBorder="1" applyAlignment="1">
      <alignment vertical="center" wrapText="1"/>
    </xf>
    <xf numFmtId="167" fontId="148" fillId="2" borderId="13" xfId="1" applyNumberFormat="1" applyFont="1" applyFill="1" applyBorder="1" applyAlignment="1" applyProtection="1">
      <alignment horizontal="center" vertical="center" wrapText="1"/>
      <protection locked="0"/>
    </xf>
    <xf numFmtId="0" fontId="148" fillId="2" borderId="27" xfId="10492" applyFont="1" applyFill="1" applyBorder="1" applyAlignment="1">
      <alignment horizontal="right" vertical="center"/>
    </xf>
    <xf numFmtId="0" fontId="148" fillId="2" borderId="27" xfId="10497" applyFont="1" applyFill="1" applyBorder="1" applyAlignment="1">
      <alignment horizontal="justify" vertical="center" wrapText="1"/>
    </xf>
    <xf numFmtId="167" fontId="148" fillId="2" borderId="27" xfId="1" applyNumberFormat="1" applyFont="1" applyFill="1" applyBorder="1" applyAlignment="1" applyProtection="1">
      <alignment horizontal="center" vertical="center" wrapText="1"/>
    </xf>
    <xf numFmtId="167" fontId="150" fillId="90" borderId="27" xfId="1" applyNumberFormat="1" applyFont="1" applyFill="1" applyBorder="1" applyAlignment="1">
      <alignment horizontal="center" vertical="center"/>
    </xf>
    <xf numFmtId="167" fontId="148" fillId="2" borderId="27" xfId="1" applyNumberFormat="1" applyFont="1" applyFill="1" applyBorder="1" applyAlignment="1">
      <alignment horizontal="right" vertical="center" wrapText="1"/>
    </xf>
    <xf numFmtId="220" fontId="148" fillId="2" borderId="27" xfId="10609" applyNumberFormat="1" applyFont="1" applyFill="1" applyBorder="1" applyAlignment="1" applyProtection="1">
      <alignment horizontal="right" vertical="center" wrapText="1"/>
    </xf>
    <xf numFmtId="0" fontId="148" fillId="2" borderId="27" xfId="10610" applyFont="1" applyFill="1" applyBorder="1" applyAlignment="1">
      <alignment horizontal="left" vertical="center" wrapText="1"/>
    </xf>
    <xf numFmtId="167" fontId="148" fillId="2" borderId="27" xfId="1" applyNumberFormat="1" applyFont="1" applyFill="1" applyBorder="1" applyAlignment="1">
      <alignment horizontal="center" vertical="center" wrapText="1"/>
    </xf>
    <xf numFmtId="0" fontId="150" fillId="2" borderId="27" xfId="10492" applyNumberFormat="1" applyFont="1" applyFill="1" applyBorder="1" applyAlignment="1">
      <alignment horizontal="center" vertical="center" wrapText="1"/>
    </xf>
    <xf numFmtId="167" fontId="148" fillId="2" borderId="27" xfId="1" applyNumberFormat="1" applyFont="1" applyFill="1" applyBorder="1" applyAlignment="1" applyProtection="1">
      <alignment vertical="center" wrapText="1"/>
    </xf>
    <xf numFmtId="167" fontId="161" fillId="2" borderId="13" xfId="1" applyNumberFormat="1" applyFont="1" applyFill="1" applyBorder="1" applyAlignment="1">
      <alignment horizontal="right" vertical="center" wrapText="1"/>
    </xf>
    <xf numFmtId="0" fontId="148" fillId="2" borderId="27" xfId="10492" applyFont="1" applyFill="1" applyBorder="1" applyAlignment="1">
      <alignment horizontal="center" vertical="center"/>
    </xf>
    <xf numFmtId="0" fontId="163" fillId="0" borderId="27" xfId="44" applyFont="1" applyBorder="1" applyAlignment="1" applyProtection="1">
      <alignment vertical="center" wrapText="1"/>
      <protection locked="0"/>
    </xf>
    <xf numFmtId="0" fontId="16" fillId="0" borderId="27" xfId="44" applyFont="1" applyBorder="1" applyAlignment="1" applyProtection="1">
      <alignment vertical="center" wrapText="1"/>
      <protection locked="0"/>
    </xf>
    <xf numFmtId="0" fontId="163" fillId="0" borderId="38" xfId="44" applyFont="1" applyBorder="1" applyAlignment="1" applyProtection="1">
      <alignment vertical="center" wrapText="1"/>
      <protection locked="0"/>
    </xf>
    <xf numFmtId="0" fontId="164" fillId="40" borderId="7" xfId="5597" applyFont="1" applyFill="1" applyBorder="1" applyAlignment="1">
      <alignment horizontal="justify" vertical="center" wrapText="1"/>
    </xf>
    <xf numFmtId="0" fontId="147" fillId="0" borderId="27" xfId="44" applyFont="1" applyBorder="1" applyAlignment="1">
      <alignment horizontal="left" vertical="center" wrapText="1"/>
    </xf>
    <xf numFmtId="0" fontId="18" fillId="0" borderId="27" xfId="7763" applyFont="1" applyBorder="1" applyAlignment="1">
      <alignment horizontal="center" vertical="center" wrapText="1"/>
    </xf>
    <xf numFmtId="0" fontId="165" fillId="0" borderId="27" xfId="7763" applyFont="1" applyBorder="1" applyAlignment="1">
      <alignment horizontal="center" vertical="center" wrapText="1"/>
    </xf>
    <xf numFmtId="49" fontId="148" fillId="90" borderId="0" xfId="10492" applyNumberFormat="1" applyFont="1" applyFill="1" applyBorder="1" applyAlignment="1">
      <alignment vertical="center" wrapText="1"/>
    </xf>
    <xf numFmtId="167" fontId="153" fillId="89" borderId="27" xfId="10554" applyNumberFormat="1" applyFont="1" applyFill="1" applyBorder="1" applyAlignment="1" applyProtection="1">
      <alignment horizontal="center" vertical="center" wrapText="1"/>
    </xf>
    <xf numFmtId="172" fontId="150" fillId="2" borderId="27" xfId="10492" applyNumberFormat="1" applyFont="1" applyFill="1" applyBorder="1" applyAlignment="1">
      <alignment horizontal="left" vertical="center" wrapText="1"/>
    </xf>
    <xf numFmtId="0" fontId="150" fillId="2" borderId="31" xfId="10492" applyNumberFormat="1" applyFont="1" applyFill="1" applyBorder="1" applyAlignment="1">
      <alignment horizontal="left" vertical="center" wrapText="1"/>
    </xf>
    <xf numFmtId="0" fontId="150" fillId="2" borderId="31" xfId="10492" applyFont="1" applyFill="1" applyBorder="1" applyAlignment="1">
      <alignment vertical="center" wrapText="1"/>
    </xf>
    <xf numFmtId="0" fontId="148" fillId="2" borderId="31" xfId="10492" applyFont="1" applyFill="1" applyBorder="1" applyAlignment="1">
      <alignment horizontal="left" vertical="center" wrapText="1"/>
    </xf>
    <xf numFmtId="0" fontId="150" fillId="2" borderId="31" xfId="10492" applyFont="1" applyFill="1" applyBorder="1" applyAlignment="1">
      <alignment horizontal="left" vertical="center" wrapText="1"/>
    </xf>
    <xf numFmtId="0" fontId="148" fillId="2" borderId="31" xfId="10497" applyFont="1" applyFill="1" applyBorder="1" applyAlignment="1">
      <alignment horizontal="justify" vertical="center" wrapText="1"/>
    </xf>
    <xf numFmtId="220" fontId="148" fillId="2" borderId="31" xfId="10495" applyNumberFormat="1" applyFont="1" applyFill="1" applyBorder="1" applyAlignment="1">
      <alignment horizontal="left" vertical="center" wrapText="1"/>
    </xf>
    <xf numFmtId="221" fontId="149" fillId="91" borderId="27" xfId="10492" applyNumberFormat="1" applyFont="1" applyFill="1" applyBorder="1" applyAlignment="1">
      <alignment horizontal="left" vertical="center" wrapText="1"/>
    </xf>
    <xf numFmtId="0" fontId="148" fillId="2" borderId="31" xfId="10492" applyNumberFormat="1" applyFont="1" applyFill="1" applyBorder="1" applyAlignment="1">
      <alignment vertical="center"/>
    </xf>
    <xf numFmtId="172" fontId="150" fillId="2" borderId="31" xfId="10492" applyNumberFormat="1" applyFont="1" applyFill="1" applyBorder="1" applyAlignment="1">
      <alignment horizontal="left" vertical="center" wrapText="1"/>
    </xf>
    <xf numFmtId="0" fontId="148" fillId="2" borderId="31" xfId="10610" applyFont="1" applyFill="1" applyBorder="1" applyAlignment="1">
      <alignment horizontal="left" vertical="center" wrapText="1"/>
    </xf>
    <xf numFmtId="0" fontId="148" fillId="2" borderId="31" xfId="10492" applyFont="1" applyFill="1" applyBorder="1" applyAlignment="1">
      <alignment horizontal="justify" vertical="center" wrapText="1"/>
    </xf>
    <xf numFmtId="0" fontId="148" fillId="2" borderId="31" xfId="10610" applyFont="1" applyFill="1" applyBorder="1" applyAlignment="1">
      <alignment horizontal="justify" vertical="center" wrapText="1"/>
    </xf>
    <xf numFmtId="0" fontId="150" fillId="2" borderId="31" xfId="10498" applyFont="1" applyFill="1" applyBorder="1" applyAlignment="1">
      <alignment horizontal="left" vertical="center" wrapText="1"/>
    </xf>
    <xf numFmtId="172" fontId="148" fillId="2" borderId="31" xfId="10492" applyNumberFormat="1" applyFont="1" applyFill="1" applyBorder="1" applyAlignment="1">
      <alignment horizontal="left" vertical="center" wrapText="1"/>
    </xf>
    <xf numFmtId="0" fontId="150" fillId="2" borderId="31" xfId="10610" applyFont="1" applyFill="1" applyBorder="1" applyAlignment="1">
      <alignment horizontal="justify" vertical="center" wrapText="1"/>
    </xf>
    <xf numFmtId="172" fontId="148" fillId="2" borderId="27" xfId="10492" applyNumberFormat="1" applyFont="1" applyFill="1" applyBorder="1" applyAlignment="1">
      <alignment horizontal="left" vertical="center" wrapText="1"/>
    </xf>
    <xf numFmtId="0" fontId="155" fillId="2" borderId="31" xfId="10492" applyFont="1" applyFill="1" applyBorder="1" applyAlignment="1">
      <alignment horizontal="justify" vertical="center" wrapText="1"/>
    </xf>
    <xf numFmtId="0" fontId="148" fillId="2" borderId="31" xfId="10614" applyFont="1" applyFill="1" applyBorder="1" applyAlignment="1">
      <alignment horizontal="left" vertical="center" wrapText="1"/>
    </xf>
    <xf numFmtId="0" fontId="148" fillId="2" borderId="27" xfId="10614" applyFont="1" applyFill="1" applyBorder="1" applyAlignment="1">
      <alignment horizontal="justify" vertical="center" wrapText="1"/>
    </xf>
    <xf numFmtId="0" fontId="148" fillId="2" borderId="27" xfId="10492" applyFont="1" applyFill="1" applyBorder="1" applyAlignment="1">
      <alignment horizontal="left" vertical="center" wrapText="1"/>
    </xf>
    <xf numFmtId="0" fontId="148" fillId="2" borderId="27" xfId="10492" applyFont="1" applyFill="1" applyBorder="1" applyAlignment="1">
      <alignment horizontal="justify" vertical="center" wrapText="1"/>
    </xf>
    <xf numFmtId="0" fontId="150" fillId="2" borderId="27" xfId="10492" applyNumberFormat="1" applyFont="1" applyFill="1" applyBorder="1" applyAlignment="1">
      <alignment horizontal="left" vertical="center" wrapText="1"/>
    </xf>
    <xf numFmtId="169" fontId="149" fillId="91" borderId="27" xfId="10607" applyNumberFormat="1" applyFont="1" applyFill="1" applyBorder="1" applyAlignment="1">
      <alignment horizontal="right" vertical="center" wrapText="1"/>
    </xf>
    <xf numFmtId="221" fontId="150" fillId="2" borderId="31" xfId="10492" applyNumberFormat="1" applyFont="1" applyFill="1" applyBorder="1" applyAlignment="1">
      <alignment horizontal="left" vertical="center" wrapText="1"/>
    </xf>
    <xf numFmtId="220" fontId="149" fillId="91" borderId="27" xfId="10609" applyNumberFormat="1" applyFont="1" applyFill="1" applyBorder="1" applyAlignment="1">
      <alignment horizontal="right" vertical="center" wrapText="1"/>
    </xf>
    <xf numFmtId="0" fontId="164" fillId="40" borderId="38" xfId="5597" applyFont="1" applyFill="1" applyBorder="1" applyAlignment="1">
      <alignment horizontal="justify" vertical="center" wrapText="1"/>
    </xf>
    <xf numFmtId="0" fontId="150" fillId="2" borderId="31" xfId="10497" applyFont="1" applyFill="1" applyBorder="1" applyAlignment="1">
      <alignment horizontal="justify" vertical="center" wrapText="1"/>
    </xf>
    <xf numFmtId="0" fontId="150" fillId="2" borderId="31" xfId="10492" applyFont="1" applyFill="1" applyBorder="1" applyAlignment="1">
      <alignment vertical="center"/>
    </xf>
    <xf numFmtId="0" fontId="148" fillId="2" borderId="31" xfId="10492" applyFont="1" applyFill="1" applyBorder="1" applyAlignment="1">
      <alignment vertical="center"/>
    </xf>
    <xf numFmtId="0" fontId="148" fillId="2" borderId="31" xfId="10492" applyFont="1" applyFill="1" applyBorder="1" applyAlignment="1">
      <alignment vertical="center" wrapText="1"/>
    </xf>
    <xf numFmtId="220" fontId="149" fillId="91" borderId="27" xfId="10609" applyNumberFormat="1" applyFont="1" applyFill="1" applyBorder="1" applyAlignment="1">
      <alignment horizontal="left" vertical="center" wrapText="1"/>
    </xf>
    <xf numFmtId="221" fontId="150" fillId="2" borderId="27" xfId="10492" applyNumberFormat="1" applyFont="1" applyFill="1" applyBorder="1" applyAlignment="1">
      <alignment horizontal="left" vertical="center" wrapText="1"/>
    </xf>
    <xf numFmtId="0" fontId="148" fillId="0" borderId="27" xfId="44" applyFont="1" applyBorder="1" applyAlignment="1">
      <alignment horizontal="left" vertical="center" wrapText="1"/>
    </xf>
    <xf numFmtId="0" fontId="150" fillId="0" borderId="27" xfId="44" applyFont="1" applyBorder="1" applyAlignment="1">
      <alignment horizontal="justify" vertical="center" wrapText="1"/>
    </xf>
    <xf numFmtId="0" fontId="148" fillId="2" borderId="27" xfId="10492" applyNumberFormat="1" applyFont="1" applyFill="1" applyBorder="1" applyAlignment="1">
      <alignment vertical="center"/>
    </xf>
    <xf numFmtId="49" fontId="148" fillId="90" borderId="0" xfId="10492" applyNumberFormat="1" applyFont="1" applyFill="1" applyBorder="1" applyAlignment="1">
      <alignment horizontal="center" vertical="center" wrapText="1"/>
    </xf>
    <xf numFmtId="172" fontId="150" fillId="2" borderId="27" xfId="10492" applyNumberFormat="1" applyFont="1" applyFill="1" applyBorder="1" applyAlignment="1">
      <alignment horizontal="center" vertical="center" wrapText="1"/>
    </xf>
    <xf numFmtId="0" fontId="150" fillId="2" borderId="31" xfId="10492" applyNumberFormat="1" applyFont="1" applyFill="1" applyBorder="1" applyAlignment="1">
      <alignment horizontal="center" vertical="center" wrapText="1"/>
    </xf>
    <xf numFmtId="0" fontId="150" fillId="2" borderId="31" xfId="10492" applyFont="1" applyFill="1" applyBorder="1" applyAlignment="1">
      <alignment horizontal="center" vertical="center" wrapText="1"/>
    </xf>
    <xf numFmtId="0" fontId="148" fillId="2" borderId="31" xfId="10492" applyFont="1" applyFill="1" applyBorder="1" applyAlignment="1">
      <alignment horizontal="center" vertical="center" wrapText="1"/>
    </xf>
    <xf numFmtId="0" fontId="148" fillId="2" borderId="31" xfId="10497" applyFont="1" applyFill="1" applyBorder="1" applyAlignment="1">
      <alignment horizontal="center" vertical="center" wrapText="1"/>
    </xf>
    <xf numFmtId="220" fontId="148" fillId="2" borderId="31" xfId="10495" applyNumberFormat="1" applyFont="1" applyFill="1" applyBorder="1" applyAlignment="1">
      <alignment horizontal="center" vertical="center" wrapText="1"/>
    </xf>
    <xf numFmtId="221" fontId="149" fillId="91" borderId="27" xfId="10492" applyNumberFormat="1" applyFont="1" applyFill="1" applyBorder="1" applyAlignment="1">
      <alignment horizontal="center" vertical="center" wrapText="1"/>
    </xf>
    <xf numFmtId="0" fontId="148" fillId="2" borderId="31" xfId="10492" applyNumberFormat="1" applyFont="1" applyFill="1" applyBorder="1" applyAlignment="1">
      <alignment horizontal="center" vertical="center"/>
    </xf>
    <xf numFmtId="172" fontId="150" fillId="2" borderId="31" xfId="10492" applyNumberFormat="1" applyFont="1" applyFill="1" applyBorder="1" applyAlignment="1">
      <alignment horizontal="center" vertical="center" wrapText="1"/>
    </xf>
    <xf numFmtId="0" fontId="148" fillId="2" borderId="31" xfId="10610" applyFont="1" applyFill="1" applyBorder="1" applyAlignment="1">
      <alignment horizontal="center" vertical="center" wrapText="1"/>
    </xf>
    <xf numFmtId="0" fontId="150" fillId="2" borderId="31" xfId="10498" applyFont="1" applyFill="1" applyBorder="1" applyAlignment="1">
      <alignment horizontal="center" vertical="center" wrapText="1"/>
    </xf>
    <xf numFmtId="0" fontId="147" fillId="0" borderId="27" xfId="44" applyFont="1" applyBorder="1" applyAlignment="1">
      <alignment horizontal="center" vertical="center" wrapText="1"/>
    </xf>
    <xf numFmtId="172" fontId="148" fillId="2" borderId="31" xfId="10492" applyNumberFormat="1" applyFont="1" applyFill="1" applyBorder="1" applyAlignment="1">
      <alignment horizontal="center" vertical="center" wrapText="1"/>
    </xf>
    <xf numFmtId="0" fontId="150" fillId="2" borderId="31" xfId="10610" applyFont="1" applyFill="1" applyBorder="1" applyAlignment="1">
      <alignment horizontal="center" vertical="center" wrapText="1"/>
    </xf>
    <xf numFmtId="172" fontId="148" fillId="2" borderId="27" xfId="10492" applyNumberFormat="1" applyFont="1" applyFill="1" applyBorder="1" applyAlignment="1">
      <alignment horizontal="center" vertical="center" wrapText="1"/>
    </xf>
    <xf numFmtId="0" fontId="155" fillId="2" borderId="31" xfId="10492" applyFont="1" applyFill="1" applyBorder="1" applyAlignment="1">
      <alignment horizontal="center" vertical="center" wrapText="1"/>
    </xf>
    <xf numFmtId="0" fontId="148" fillId="2" borderId="31" xfId="10614" applyFont="1" applyFill="1" applyBorder="1" applyAlignment="1">
      <alignment horizontal="center" vertical="center" wrapText="1"/>
    </xf>
    <xf numFmtId="0" fontId="148" fillId="2" borderId="27" xfId="10614" applyFont="1" applyFill="1" applyBorder="1" applyAlignment="1">
      <alignment horizontal="center" vertical="center" wrapText="1"/>
    </xf>
    <xf numFmtId="0" fontId="148" fillId="2" borderId="27" xfId="10492" applyFont="1" applyFill="1" applyBorder="1" applyAlignment="1">
      <alignment horizontal="center" vertical="center" wrapText="1"/>
    </xf>
    <xf numFmtId="169" fontId="149" fillId="91" borderId="27" xfId="10607" applyNumberFormat="1" applyFont="1" applyFill="1" applyBorder="1" applyAlignment="1">
      <alignment horizontal="center" vertical="center" wrapText="1"/>
    </xf>
    <xf numFmtId="221" fontId="150" fillId="2" borderId="31" xfId="10492" applyNumberFormat="1" applyFont="1" applyFill="1" applyBorder="1" applyAlignment="1">
      <alignment horizontal="center" vertical="center" wrapText="1"/>
    </xf>
    <xf numFmtId="0" fontId="148" fillId="2" borderId="27" xfId="10497" applyFont="1" applyFill="1" applyBorder="1" applyAlignment="1">
      <alignment horizontal="center" vertical="center" wrapText="1"/>
    </xf>
    <xf numFmtId="0" fontId="150" fillId="2" borderId="27" xfId="10492" applyFont="1" applyFill="1" applyBorder="1" applyAlignment="1">
      <alignment horizontal="center" vertical="center" wrapText="1"/>
    </xf>
    <xf numFmtId="220" fontId="149" fillId="91" borderId="27" xfId="10609" applyNumberFormat="1" applyFont="1" applyFill="1" applyBorder="1" applyAlignment="1">
      <alignment horizontal="center" vertical="center" wrapText="1"/>
    </xf>
    <xf numFmtId="0" fontId="163" fillId="0" borderId="27" xfId="44" applyFont="1" applyBorder="1" applyAlignment="1" applyProtection="1">
      <alignment horizontal="center" vertical="center" wrapText="1"/>
      <protection locked="0"/>
    </xf>
    <xf numFmtId="0" fontId="16" fillId="0" borderId="27" xfId="44" applyFont="1" applyBorder="1" applyAlignment="1" applyProtection="1">
      <alignment horizontal="center" vertical="center" wrapText="1"/>
      <protection locked="0"/>
    </xf>
    <xf numFmtId="0" fontId="163" fillId="0" borderId="38" xfId="44" applyFont="1" applyBorder="1" applyAlignment="1" applyProtection="1">
      <alignment horizontal="center" vertical="center" wrapText="1"/>
      <protection locked="0"/>
    </xf>
    <xf numFmtId="0" fontId="164" fillId="40" borderId="38" xfId="5597" applyFont="1" applyFill="1" applyBorder="1" applyAlignment="1">
      <alignment horizontal="center" vertical="center" wrapText="1"/>
    </xf>
    <xf numFmtId="0" fontId="150" fillId="2" borderId="31" xfId="10497" applyFont="1" applyFill="1" applyBorder="1" applyAlignment="1">
      <alignment horizontal="center" vertical="center" wrapText="1"/>
    </xf>
    <xf numFmtId="0" fontId="150" fillId="2" borderId="31" xfId="10492" applyFont="1" applyFill="1" applyBorder="1" applyAlignment="1">
      <alignment horizontal="center" vertical="center"/>
    </xf>
    <xf numFmtId="0" fontId="148" fillId="2" borderId="31" xfId="10492" applyFont="1" applyFill="1" applyBorder="1" applyAlignment="1">
      <alignment horizontal="center" vertical="center"/>
    </xf>
    <xf numFmtId="221" fontId="150" fillId="2" borderId="27" xfId="10492" applyNumberFormat="1" applyFont="1" applyFill="1" applyBorder="1" applyAlignment="1">
      <alignment horizontal="center" vertical="center" wrapText="1"/>
    </xf>
    <xf numFmtId="0" fontId="148" fillId="0" borderId="27" xfId="44" applyFont="1" applyBorder="1" applyAlignment="1">
      <alignment horizontal="center" vertical="center" wrapText="1"/>
    </xf>
    <xf numFmtId="0" fontId="150" fillId="0" borderId="27" xfId="44" applyFont="1" applyBorder="1" applyAlignment="1">
      <alignment horizontal="center" vertical="center" wrapText="1"/>
    </xf>
    <xf numFmtId="0" fontId="148" fillId="2" borderId="27" xfId="10492" applyNumberFormat="1" applyFont="1" applyFill="1" applyBorder="1" applyAlignment="1">
      <alignment horizontal="center" vertical="center"/>
    </xf>
    <xf numFmtId="0" fontId="163" fillId="0" borderId="27" xfId="7763" applyFont="1" applyBorder="1" applyAlignment="1">
      <alignment horizontal="center" vertical="center" wrapText="1"/>
    </xf>
    <xf numFmtId="0" fontId="148" fillId="93" borderId="31" xfId="10610" applyFont="1" applyFill="1" applyBorder="1" applyAlignment="1">
      <alignment horizontal="center" vertical="center" wrapText="1"/>
    </xf>
    <xf numFmtId="0" fontId="148" fillId="93" borderId="27" xfId="10614" applyFont="1" applyFill="1" applyBorder="1" applyAlignment="1">
      <alignment horizontal="center" vertical="center" wrapText="1"/>
    </xf>
    <xf numFmtId="172" fontId="148" fillId="93" borderId="31" xfId="10492" applyNumberFormat="1" applyFont="1" applyFill="1" applyBorder="1" applyAlignment="1">
      <alignment horizontal="left" vertical="center" wrapText="1"/>
    </xf>
    <xf numFmtId="0" fontId="148" fillId="93" borderId="31" xfId="10497" applyFont="1" applyFill="1" applyBorder="1" applyAlignment="1">
      <alignment horizontal="center" vertical="center" wrapText="1"/>
    </xf>
    <xf numFmtId="0" fontId="148" fillId="93" borderId="31" xfId="10497" applyFont="1" applyFill="1" applyBorder="1" applyAlignment="1">
      <alignment horizontal="justify" vertical="center" wrapText="1"/>
    </xf>
    <xf numFmtId="0" fontId="148" fillId="93" borderId="31" xfId="10492" applyFont="1" applyFill="1" applyBorder="1" applyAlignment="1">
      <alignment horizontal="center" vertical="center" wrapText="1"/>
    </xf>
    <xf numFmtId="167" fontId="153" fillId="89" borderId="12" xfId="1" applyNumberFormat="1" applyFont="1" applyFill="1" applyBorder="1" applyAlignment="1" applyProtection="1">
      <alignment horizontal="center" vertical="center" wrapText="1"/>
    </xf>
    <xf numFmtId="167" fontId="153" fillId="89" borderId="36" xfId="1" applyNumberFormat="1" applyFont="1" applyFill="1" applyBorder="1" applyAlignment="1" applyProtection="1">
      <alignment horizontal="center" vertical="center" wrapText="1"/>
    </xf>
    <xf numFmtId="167" fontId="153" fillId="89" borderId="28" xfId="1" applyNumberFormat="1" applyFont="1" applyFill="1" applyBorder="1" applyAlignment="1" applyProtection="1">
      <alignment horizontal="center" vertical="center" wrapText="1"/>
    </xf>
    <xf numFmtId="167" fontId="153" fillId="89" borderId="29" xfId="1" applyNumberFormat="1" applyFont="1" applyFill="1" applyBorder="1" applyAlignment="1" applyProtection="1">
      <alignment horizontal="center" vertical="center" wrapText="1"/>
    </xf>
    <xf numFmtId="167" fontId="153" fillId="89" borderId="30" xfId="1" applyNumberFormat="1" applyFont="1" applyFill="1" applyBorder="1" applyAlignment="1" applyProtection="1">
      <alignment horizontal="center" vertical="center" wrapText="1"/>
    </xf>
  </cellXfs>
  <cellStyles count="10630">
    <cellStyle name=" 1" xfId="282" xr:uid="{00000000-0005-0000-0000-000000000000}"/>
    <cellStyle name=" 1 2" xfId="1531" xr:uid="{00000000-0005-0000-0000-000001000000}"/>
    <cellStyle name="??&amp;O?&amp;H?_x0008_??_x0007__x0001__x0001_" xfId="283" xr:uid="{00000000-0005-0000-0000-000002000000}"/>
    <cellStyle name="_036 - anchor" xfId="1532" xr:uid="{00000000-0005-0000-0000-000003000000}"/>
    <cellStyle name="_036 - anchor 2" xfId="1533" xr:uid="{00000000-0005-0000-0000-000004000000}"/>
    <cellStyle name="_053 - Tata akruti Center" xfId="1534" xr:uid="{00000000-0005-0000-0000-000005000000}"/>
    <cellStyle name="_053 - Tata akruti Center 2" xfId="1535" xr:uid="{00000000-0005-0000-0000-000006000000}"/>
    <cellStyle name="_200 Bar Inergen BOM - Pre-design " xfId="284" xr:uid="{00000000-0005-0000-0000-000007000000}"/>
    <cellStyle name="_200 Bar Inergen BOM - Pre-design  2" xfId="866" xr:uid="{00000000-0005-0000-0000-000008000000}"/>
    <cellStyle name="_200 Bar Inergen BOM - Pre-design  2 2" xfId="1143" xr:uid="{00000000-0005-0000-0000-000009000000}"/>
    <cellStyle name="_200 Bar Inergen BOM - Pre-design  2 2 2" xfId="6861" xr:uid="{00000000-0005-0000-0000-00000A000000}"/>
    <cellStyle name="_200 Bar Inergen BOM - Pre-design  2 2 2 2" xfId="9568" xr:uid="{00000000-0005-0000-0000-00000B000000}"/>
    <cellStyle name="_200 Bar Inergen BOM - Pre-design  2 2 3" xfId="8229" xr:uid="{00000000-0005-0000-0000-00000C000000}"/>
    <cellStyle name="_200 Bar Inergen BOM - Pre-design  2 3" xfId="6599" xr:uid="{00000000-0005-0000-0000-00000D000000}"/>
    <cellStyle name="_200 Bar Inergen BOM - Pre-design  2 3 2" xfId="9306" xr:uid="{00000000-0005-0000-0000-00000E000000}"/>
    <cellStyle name="_200 Bar Inergen BOM - Pre-design  2 4" xfId="7967" xr:uid="{00000000-0005-0000-0000-00000F000000}"/>
    <cellStyle name="_200 Bar Inergen BOM - Pre-design  3" xfId="1033" xr:uid="{00000000-0005-0000-0000-000010000000}"/>
    <cellStyle name="_200 Bar Inergen BOM - Pre-design  3 2" xfId="6764" xr:uid="{00000000-0005-0000-0000-000011000000}"/>
    <cellStyle name="_200 Bar Inergen BOM - Pre-design  3 2 2" xfId="9471" xr:uid="{00000000-0005-0000-0000-000012000000}"/>
    <cellStyle name="_200 Bar Inergen BOM - Pre-design  3 3" xfId="8132" xr:uid="{00000000-0005-0000-0000-000013000000}"/>
    <cellStyle name="_200 Bar Inergen BOM - Pre-design  4" xfId="6433" xr:uid="{00000000-0005-0000-0000-000014000000}"/>
    <cellStyle name="_200 Bar Inergen BOM - Pre-design  4 2" xfId="9152" xr:uid="{00000000-0005-0000-0000-000015000000}"/>
    <cellStyle name="_200 Bar Inergen BOM - Pre-design  5" xfId="7813" xr:uid="{00000000-0005-0000-0000-000016000000}"/>
    <cellStyle name="_AAI Kolkatta - 04.06.08 - mail" xfId="1536" xr:uid="{00000000-0005-0000-0000-000017000000}"/>
    <cellStyle name="_AAI Kolkatta - 04.06.08 - mail 2" xfId="1537" xr:uid="{00000000-0005-0000-0000-000018000000}"/>
    <cellStyle name="_AAI-Kolkatta -BOQ -04.06.08-Mail" xfId="1538" xr:uid="{00000000-0005-0000-0000-000019000000}"/>
    <cellStyle name="_AAI-Kolkatta -BOQ -04.06.08-Mail 2" xfId="1539" xr:uid="{00000000-0005-0000-0000-00001A000000}"/>
    <cellStyle name="_Abhimaani Vasathi Hotel - 25.09.07" xfId="1540" xr:uid="{00000000-0005-0000-0000-00001B000000}"/>
    <cellStyle name="_Abhimaani Vasathi Hotel - 25.09.07 2" xfId="1541" xr:uid="{00000000-0005-0000-0000-00001C000000}"/>
    <cellStyle name="_ABN AMRO - CHN 30.05.06 R5 Final" xfId="285" xr:uid="{00000000-0005-0000-0000-00001D000000}"/>
    <cellStyle name="_ABN AMRO - CHN 30.05.06 R5 Final 2" xfId="1542" xr:uid="{00000000-0005-0000-0000-00001E000000}"/>
    <cellStyle name="_ABN Amro@olympia R3 UP WO FT 30.5.06" xfId="286" xr:uid="{00000000-0005-0000-0000-00001F000000}"/>
    <cellStyle name="_ABN Amro@olympia R3 UP WO FT 30.5.06 2" xfId="1543" xr:uid="{00000000-0005-0000-0000-000020000000}"/>
    <cellStyle name="_ABN Amro@olympia UPWO FT R5 30.05.06" xfId="287" xr:uid="{00000000-0005-0000-0000-000021000000}"/>
    <cellStyle name="_ABN Amro@olympia UPWO FT R5 30.05.06 2" xfId="1544" xr:uid="{00000000-0005-0000-0000-000022000000}"/>
    <cellStyle name="_ABP ACS,AFS 02.09.06" xfId="288" xr:uid="{00000000-0005-0000-0000-000023000000}"/>
    <cellStyle name="_ABP ACS,AFS 02.09.06 2" xfId="1545" xr:uid="{00000000-0005-0000-0000-000024000000}"/>
    <cellStyle name="_Aditya Birla Data Center R1-12.07.06" xfId="289" xr:uid="{00000000-0005-0000-0000-000025000000}"/>
    <cellStyle name="_Aditya Birla Data Center R1-12.07.06 2" xfId="1546" xr:uid="{00000000-0005-0000-0000-000026000000}"/>
    <cellStyle name="_Aircel Lighting  Mail 5.5.06 (2)" xfId="1547" xr:uid="{00000000-0005-0000-0000-000027000000}"/>
    <cellStyle name="_Aircel Lighting  Mail 5.5.06 (2) 2" xfId="1548" xr:uid="{00000000-0005-0000-0000-000028000000}"/>
    <cellStyle name="_Aircel Lighting 4.5.06" xfId="1549" xr:uid="{00000000-0005-0000-0000-000029000000}"/>
    <cellStyle name="_Aircel Lighting 4.5.06 2" xfId="1550" xr:uid="{00000000-0005-0000-0000-00002A000000}"/>
    <cellStyle name="_Aircel Mail 28.4.06" xfId="1551" xr:uid="{00000000-0005-0000-0000-00002B000000}"/>
    <cellStyle name="_Aircel Mail 28.4.06 2" xfId="1552" xr:uid="{00000000-0005-0000-0000-00002C000000}"/>
    <cellStyle name="_Airtel PA &amp; Lighting 27.08.07" xfId="1553" xr:uid="{00000000-0005-0000-0000-00002D000000}"/>
    <cellStyle name="_Airtel PA &amp; Lighting 27.08.07 2" xfId="1554" xr:uid="{00000000-0005-0000-0000-00002E000000}"/>
    <cellStyle name="_Airtel Whietfield, Dual pop - 13.09.06, as per engg" xfId="1555" xr:uid="{00000000-0005-0000-0000-00002F000000}"/>
    <cellStyle name="_Airtel Whietfield, Dual pop - 13.09.06, as per engg 2" xfId="1556" xr:uid="{00000000-0005-0000-0000-000030000000}"/>
    <cellStyle name="_Alchemist Hospital - Chandigarh 15.05.06" xfId="290" xr:uid="{00000000-0005-0000-0000-000031000000}"/>
    <cellStyle name="_AP Mahesh bank CFAS,CCTV,WLD,ROR 03.11.06" xfId="1557" xr:uid="{00000000-0005-0000-0000-000032000000}"/>
    <cellStyle name="_AP Mahesh bank CFAS,CCTV,WLD,ROR 03.11.06 2" xfId="1558" xr:uid="{00000000-0005-0000-0000-000033000000}"/>
    <cellStyle name="_APEEJAY corporate technologies" xfId="1559" xr:uid="{00000000-0005-0000-0000-000034000000}"/>
    <cellStyle name="_APEEJAY corporate technologies 2" xfId="1560" xr:uid="{00000000-0005-0000-0000-000035000000}"/>
    <cellStyle name="_Apna Punjab homes FAS 27.09.06" xfId="291" xr:uid="{00000000-0005-0000-0000-000036000000}"/>
    <cellStyle name="_Apna Punjab homes FAS 27.09.06 2" xfId="1561" xr:uid="{00000000-0005-0000-0000-000037000000}"/>
    <cellStyle name="_Ascendas - AFAS, ACS &amp; EPABX - 14.11.06R5EST &amp; EXwork" xfId="1562" xr:uid="{00000000-0005-0000-0000-000038000000}"/>
    <cellStyle name="_Ascendas - AFAS, ACS &amp; EPABX - 14.11.06R5EST &amp; EXwork 2" xfId="1563" xr:uid="{00000000-0005-0000-0000-000039000000}"/>
    <cellStyle name="_Ascendas - PH II - BMS - 26.03.08" xfId="1564" xr:uid="{00000000-0005-0000-0000-00003A000000}"/>
    <cellStyle name="_Ascendas - PH II - BMS - 26.03.08 2" xfId="1565" xr:uid="{00000000-0005-0000-0000-00003B000000}"/>
    <cellStyle name="_Ascendas - PH3 - 07.11.07(ACS) - Spiltup" xfId="1566" xr:uid="{00000000-0005-0000-0000-00003C000000}"/>
    <cellStyle name="_Ascendas - PH3 - 07.11.07(ACS) - Spiltup 2" xfId="1567" xr:uid="{00000000-0005-0000-0000-00003D000000}"/>
    <cellStyle name="_Ascendas 14.9.06 R1" xfId="1568" xr:uid="{00000000-0005-0000-0000-00003E000000}"/>
    <cellStyle name="_Ascendas 14.9.06 R1 2" xfId="1569" xr:uid="{00000000-0005-0000-0000-00003F000000}"/>
    <cellStyle name="_ASCENDAS -18.08.06" xfId="1570" xr:uid="{00000000-0005-0000-0000-000040000000}"/>
    <cellStyle name="_ASCENDAS -18.08.06 2" xfId="1571" xr:uid="{00000000-0005-0000-0000-000041000000}"/>
    <cellStyle name="_Ascendas 21.9.06 R2" xfId="1572" xr:uid="{00000000-0005-0000-0000-000042000000}"/>
    <cellStyle name="_Ascendas 21.9.06 R2 2" xfId="1573" xr:uid="{00000000-0005-0000-0000-000043000000}"/>
    <cellStyle name="_aurdra Engg - Afas &amp; Pa - 24.05.06" xfId="1574" xr:uid="{00000000-0005-0000-0000-000044000000}"/>
    <cellStyle name="_aurdra Engg - Afas &amp; Pa - 24.05.06 2" xfId="1575" xr:uid="{00000000-0005-0000-0000-000045000000}"/>
    <cellStyle name="_B.M.MALL - AFAS &amp; BMS - 29.08.06" xfId="1576" xr:uid="{00000000-0005-0000-0000-000046000000}"/>
    <cellStyle name="_B.M.MALL - AFAS &amp; BMS - 29.08.06 2" xfId="1577" xr:uid="{00000000-0005-0000-0000-000047000000}"/>
    <cellStyle name="_B.O.M-FIRE&amp;SECURITY-SITE-A&amp;B" xfId="292" xr:uid="{00000000-0005-0000-0000-000048000000}"/>
    <cellStyle name="_B.O.M-FIRE&amp;SECURITY-SITE-A&amp;B 2" xfId="1578" xr:uid="{00000000-0005-0000-0000-000049000000}"/>
    <cellStyle name="_Baharampur 08.08.06" xfId="293" xr:uid="{00000000-0005-0000-0000-00004A000000}"/>
    <cellStyle name="_Baharampur 08.08.06 2" xfId="1579" xr:uid="{00000000-0005-0000-0000-00004B000000}"/>
    <cellStyle name="_Battery Calculation" xfId="1580" xr:uid="{00000000-0005-0000-0000-00004C000000}"/>
    <cellStyle name="_Battery Calculation 2" xfId="1581" xr:uid="{00000000-0005-0000-0000-00004D000000}"/>
    <cellStyle name="_Bhavanagar University Library - FAS - 29.06.06" xfId="1582" xr:uid="{00000000-0005-0000-0000-00004E000000}"/>
    <cellStyle name="_Bhavanagar University Library - FAS - 29.06.06 2" xfId="1583" xr:uid="{00000000-0005-0000-0000-00004F000000}"/>
    <cellStyle name="_bHIMA gENERAL" xfId="294" xr:uid="{00000000-0005-0000-0000-000050000000}"/>
    <cellStyle name="_Birla Soft  ACS 09.08.06" xfId="295" xr:uid="{00000000-0005-0000-0000-000051000000}"/>
    <cellStyle name="_Birla Soft  ACS 09.08.06 2" xfId="1584" xr:uid="{00000000-0005-0000-0000-000052000000}"/>
    <cellStyle name="_BMS BOQ -Cerner 24.07.08" xfId="296" xr:uid="{00000000-0005-0000-0000-000053000000}"/>
    <cellStyle name="_BMS Enquiry Revenue tower" xfId="1585" xr:uid="{00000000-0005-0000-0000-000054000000}"/>
    <cellStyle name="_BMS Enquiry Revenue tower 2" xfId="1586" xr:uid="{00000000-0005-0000-0000-000055000000}"/>
    <cellStyle name="_BMS Format" xfId="1587" xr:uid="{00000000-0005-0000-0000-000056000000}"/>
    <cellStyle name="_BMS Format - INR" xfId="1588" xr:uid="{00000000-0005-0000-0000-000057000000}"/>
    <cellStyle name="_BMS Format - INR 2" xfId="1589" xr:uid="{00000000-0005-0000-0000-000058000000}"/>
    <cellStyle name="_BMS Format 2" xfId="1590" xr:uid="{00000000-0005-0000-0000-000059000000}"/>
    <cellStyle name="_Bms General INR" xfId="1591" xr:uid="{00000000-0005-0000-0000-00005A000000}"/>
    <cellStyle name="_Bms General INR 2" xfId="1592" xr:uid="{00000000-0005-0000-0000-00005B000000}"/>
    <cellStyle name="_BOB - Mumbai 17.06.05" xfId="297" xr:uid="{00000000-0005-0000-0000-00005C000000}"/>
    <cellStyle name="_BOB - Mumbai 17.06.05 2" xfId="1593" xr:uid="{00000000-0005-0000-0000-00005D000000}"/>
    <cellStyle name="_BOB DRC 2.3.06" xfId="298" xr:uid="{00000000-0005-0000-0000-00005E000000}"/>
    <cellStyle name="_BOB DRC 2.3.06 2" xfId="1594" xr:uid="{00000000-0005-0000-0000-00005F000000}"/>
    <cellStyle name="_BOB -DRC-HYD 26.12.2005 Email" xfId="299" xr:uid="{00000000-0005-0000-0000-000060000000}"/>
    <cellStyle name="_BOB -DRC-HYD 26.12.2005 Email 2" xfId="867" xr:uid="{00000000-0005-0000-0000-000061000000}"/>
    <cellStyle name="_BOB -DRC-HYD 26.12.2005 Email 2 2" xfId="1144" xr:uid="{00000000-0005-0000-0000-000062000000}"/>
    <cellStyle name="_BOB -DRC-HYD 26.12.2005 Email 2 2 2" xfId="1596" xr:uid="{00000000-0005-0000-0000-000063000000}"/>
    <cellStyle name="_BOB -DRC-HYD 26.12.2005 Email 2 2 2 2" xfId="7211" xr:uid="{00000000-0005-0000-0000-000064000000}"/>
    <cellStyle name="_BOB -DRC-HYD 26.12.2005 Email 2 2 2 2 2" xfId="9914" xr:uid="{00000000-0005-0000-0000-000065000000}"/>
    <cellStyle name="_BOB -DRC-HYD 26.12.2005 Email 2 2 2 3" xfId="8574" xr:uid="{00000000-0005-0000-0000-000066000000}"/>
    <cellStyle name="_BOB -DRC-HYD 26.12.2005 Email 2 2 3" xfId="1597" xr:uid="{00000000-0005-0000-0000-000067000000}"/>
    <cellStyle name="_BOB -DRC-HYD 26.12.2005 Email 2 2 3 2" xfId="7212" xr:uid="{00000000-0005-0000-0000-000068000000}"/>
    <cellStyle name="_BOB -DRC-HYD 26.12.2005 Email 2 2 3 2 2" xfId="9915" xr:uid="{00000000-0005-0000-0000-000069000000}"/>
    <cellStyle name="_BOB -DRC-HYD 26.12.2005 Email 2 2 3 3" xfId="8575" xr:uid="{00000000-0005-0000-0000-00006A000000}"/>
    <cellStyle name="_BOB -DRC-HYD 26.12.2005 Email 2 2 4" xfId="1595" xr:uid="{00000000-0005-0000-0000-00006B000000}"/>
    <cellStyle name="_BOB -DRC-HYD 26.12.2005 Email 2 2 4 2" xfId="7210" xr:uid="{00000000-0005-0000-0000-00006C000000}"/>
    <cellStyle name="_BOB -DRC-HYD 26.12.2005 Email 2 2 4 2 2" xfId="9913" xr:uid="{00000000-0005-0000-0000-00006D000000}"/>
    <cellStyle name="_BOB -DRC-HYD 26.12.2005 Email 2 2 4 3" xfId="8573" xr:uid="{00000000-0005-0000-0000-00006E000000}"/>
    <cellStyle name="_BOB -DRC-HYD 26.12.2005 Email 2 2 5" xfId="6862" xr:uid="{00000000-0005-0000-0000-00006F000000}"/>
    <cellStyle name="_BOB -DRC-HYD 26.12.2005 Email 2 2 5 2" xfId="9569" xr:uid="{00000000-0005-0000-0000-000070000000}"/>
    <cellStyle name="_BOB -DRC-HYD 26.12.2005 Email 2 2 6" xfId="8230" xr:uid="{00000000-0005-0000-0000-000071000000}"/>
    <cellStyle name="_BOB -DRC-HYD 26.12.2005 Email 2 3" xfId="6600" xr:uid="{00000000-0005-0000-0000-000072000000}"/>
    <cellStyle name="_BOB -DRC-HYD 26.12.2005 Email 2 3 2" xfId="9307" xr:uid="{00000000-0005-0000-0000-000073000000}"/>
    <cellStyle name="_BOB -DRC-HYD 26.12.2005 Email 2 4" xfId="7968" xr:uid="{00000000-0005-0000-0000-000074000000}"/>
    <cellStyle name="_BOB -DRC-HYD 26.12.2005 Email 3" xfId="1032" xr:uid="{00000000-0005-0000-0000-000075000000}"/>
    <cellStyle name="_BOB -DRC-HYD 26.12.2005 Email 3 2" xfId="1598" xr:uid="{00000000-0005-0000-0000-000076000000}"/>
    <cellStyle name="_BOB -DRC-HYD 26.12.2005 Email 3 2 2" xfId="1599" xr:uid="{00000000-0005-0000-0000-000077000000}"/>
    <cellStyle name="_BOB -DRC-HYD 26.12.2005 Email 3 2 2 2" xfId="7214" xr:uid="{00000000-0005-0000-0000-000078000000}"/>
    <cellStyle name="_BOB -DRC-HYD 26.12.2005 Email 3 2 2 2 2" xfId="9917" xr:uid="{00000000-0005-0000-0000-000079000000}"/>
    <cellStyle name="_BOB -DRC-HYD 26.12.2005 Email 3 2 2 3" xfId="8577" xr:uid="{00000000-0005-0000-0000-00007A000000}"/>
    <cellStyle name="_BOB -DRC-HYD 26.12.2005 Email 3 2 3" xfId="1600" xr:uid="{00000000-0005-0000-0000-00007B000000}"/>
    <cellStyle name="_BOB -DRC-HYD 26.12.2005 Email 3 2 3 2" xfId="7215" xr:uid="{00000000-0005-0000-0000-00007C000000}"/>
    <cellStyle name="_BOB -DRC-HYD 26.12.2005 Email 3 2 3 2 2" xfId="9918" xr:uid="{00000000-0005-0000-0000-00007D000000}"/>
    <cellStyle name="_BOB -DRC-HYD 26.12.2005 Email 3 2 3 3" xfId="8578" xr:uid="{00000000-0005-0000-0000-00007E000000}"/>
    <cellStyle name="_BOB -DRC-HYD 26.12.2005 Email 3 2 4" xfId="7213" xr:uid="{00000000-0005-0000-0000-00007F000000}"/>
    <cellStyle name="_BOB -DRC-HYD 26.12.2005 Email 3 2 4 2" xfId="9916" xr:uid="{00000000-0005-0000-0000-000080000000}"/>
    <cellStyle name="_BOB -DRC-HYD 26.12.2005 Email 3 2 5" xfId="8576" xr:uid="{00000000-0005-0000-0000-000081000000}"/>
    <cellStyle name="_BOB -DRC-HYD 26.12.2005 Email 3 3" xfId="6763" xr:uid="{00000000-0005-0000-0000-000082000000}"/>
    <cellStyle name="_BOB -DRC-HYD 26.12.2005 Email 3 3 2" xfId="9470" xr:uid="{00000000-0005-0000-0000-000083000000}"/>
    <cellStyle name="_BOB -DRC-HYD 26.12.2005 Email 3 4" xfId="8131" xr:uid="{00000000-0005-0000-0000-000084000000}"/>
    <cellStyle name="_BOB -DRC-HYD 26.12.2005 Email 4" xfId="1601" xr:uid="{00000000-0005-0000-0000-000085000000}"/>
    <cellStyle name="_BOB -DRC-HYD 26.12.2005 Email 4 2" xfId="1602" xr:uid="{00000000-0005-0000-0000-000086000000}"/>
    <cellStyle name="_BOB -DRC-HYD 26.12.2005 Email 4 2 2" xfId="7217" xr:uid="{00000000-0005-0000-0000-000087000000}"/>
    <cellStyle name="_BOB -DRC-HYD 26.12.2005 Email 4 2 2 2" xfId="9920" xr:uid="{00000000-0005-0000-0000-000088000000}"/>
    <cellStyle name="_BOB -DRC-HYD 26.12.2005 Email 4 2 3" xfId="8580" xr:uid="{00000000-0005-0000-0000-000089000000}"/>
    <cellStyle name="_BOB -DRC-HYD 26.12.2005 Email 4 3" xfId="1603" xr:uid="{00000000-0005-0000-0000-00008A000000}"/>
    <cellStyle name="_BOB -DRC-HYD 26.12.2005 Email 4 3 2" xfId="7218" xr:uid="{00000000-0005-0000-0000-00008B000000}"/>
    <cellStyle name="_BOB -DRC-HYD 26.12.2005 Email 4 3 2 2" xfId="9921" xr:uid="{00000000-0005-0000-0000-00008C000000}"/>
    <cellStyle name="_BOB -DRC-HYD 26.12.2005 Email 4 3 3" xfId="8581" xr:uid="{00000000-0005-0000-0000-00008D000000}"/>
    <cellStyle name="_BOB -DRC-HYD 26.12.2005 Email 4 4" xfId="7216" xr:uid="{00000000-0005-0000-0000-00008E000000}"/>
    <cellStyle name="_BOB -DRC-HYD 26.12.2005 Email 4 4 2" xfId="9919" xr:uid="{00000000-0005-0000-0000-00008F000000}"/>
    <cellStyle name="_BOB -DRC-HYD 26.12.2005 Email 4 5" xfId="8579" xr:uid="{00000000-0005-0000-0000-000090000000}"/>
    <cellStyle name="_BOB -DRC-HYD 26.12.2005 Email 5" xfId="6434" xr:uid="{00000000-0005-0000-0000-000091000000}"/>
    <cellStyle name="_BOB -DRC-HYD 26.12.2005 Email 5 2" xfId="9153" xr:uid="{00000000-0005-0000-0000-000092000000}"/>
    <cellStyle name="_BOB -DRC-HYD 26.12.2005 Email 6" xfId="7814" xr:uid="{00000000-0005-0000-0000-000093000000}"/>
    <cellStyle name="_BOM for amp prices" xfId="300" xr:uid="{00000000-0005-0000-0000-000094000000}"/>
    <cellStyle name="_BOQ-Fire Alarm" xfId="301" xr:uid="{00000000-0005-0000-0000-000095000000}"/>
    <cellStyle name="_BOQ-FIRE EXTINGUSHERS" xfId="302" xr:uid="{00000000-0005-0000-0000-000096000000}"/>
    <cellStyle name="_BPCL - Mumbai HP  25.07.05 Email" xfId="303" xr:uid="{00000000-0005-0000-0000-000097000000}"/>
    <cellStyle name="_BPCL - Mumbai HP  25.07.05 Email 2" xfId="1604" xr:uid="{00000000-0005-0000-0000-000098000000}"/>
    <cellStyle name="_BPCL - Mumbai HP  25.08.05" xfId="304" xr:uid="{00000000-0005-0000-0000-000099000000}"/>
    <cellStyle name="_BPCL DC- 10.08.05mail" xfId="305" xr:uid="{00000000-0005-0000-0000-00009A000000}"/>
    <cellStyle name="_BSNL ( NAF S125 Option) - 18.10.06" xfId="306" xr:uid="{00000000-0005-0000-0000-00009B000000}"/>
    <cellStyle name="_BSNL ( NAF S125 Option) - 18.10.06 2" xfId="1605" xr:uid="{00000000-0005-0000-0000-00009C000000}"/>
    <cellStyle name="_BSNL-IBM-18.09.06" xfId="307" xr:uid="{00000000-0005-0000-0000-00009D000000}"/>
    <cellStyle name="_BSNL-IBM-18.09.06 2" xfId="1606" xr:uid="{00000000-0005-0000-0000-00009E000000}"/>
    <cellStyle name="_Capita Ph-II-19.01.07-BMS" xfId="308" xr:uid="{00000000-0005-0000-0000-00009F000000}"/>
    <cellStyle name="_Catholic Syrian Bank - data cenre - s125 - 20.12.2006" xfId="309" xr:uid="{00000000-0005-0000-0000-0000A0000000}"/>
    <cellStyle name="_Catholic Syrian Bank - data cenre - s125 - 20.12.2006 2" xfId="1607" xr:uid="{00000000-0005-0000-0000-0000A1000000}"/>
    <cellStyle name="_Citigroup BMS 12.09.06" xfId="310" xr:uid="{00000000-0005-0000-0000-0000A2000000}"/>
    <cellStyle name="_Citigroup BMS 12.09.06 2" xfId="1608" xr:uid="{00000000-0005-0000-0000-0000A3000000}"/>
    <cellStyle name="_Citigroup-PEST-12.09.06" xfId="311" xr:uid="{00000000-0005-0000-0000-0000A4000000}"/>
    <cellStyle name="_Citigroup-PEST-12.09.06 2" xfId="1609" xr:uid="{00000000-0005-0000-0000-0000A5000000}"/>
    <cellStyle name="_Client Sheet - SK100106 ASB_AVSI Ver 1 0 06-Jan-2010" xfId="312" xr:uid="{00000000-0005-0000-0000-0000A6000000}"/>
    <cellStyle name="_Client Sheet - SK100106 ASB_AVSI Ver 1 0 06-Jan-2010_VOLUME - III ASM BMS SAFETY &amp; SECURITY AND NETWORKING SYSTEM BOQ 25.03.10" xfId="313" xr:uid="{00000000-0005-0000-0000-0000A7000000}"/>
    <cellStyle name="_Colombia Asia_30.12.06" xfId="1610" xr:uid="{00000000-0005-0000-0000-0000A8000000}"/>
    <cellStyle name="_Colombia Asia_30.12.06 2" xfId="1611" xr:uid="{00000000-0005-0000-0000-0000A9000000}"/>
    <cellStyle name="_Columbia - patiyala - FHS - 03.02.07" xfId="1612" xr:uid="{00000000-0005-0000-0000-0000AA000000}"/>
    <cellStyle name="_Columbia - patiyala - FHS - 03.02.07 2" xfId="1613" xr:uid="{00000000-0005-0000-0000-0000AB000000}"/>
    <cellStyle name="_Complex-wazirpur-09.05.07 " xfId="1614" xr:uid="{00000000-0005-0000-0000-0000AC000000}"/>
    <cellStyle name="_Complex-wazirpur-09.05.07  2" xfId="1615" xr:uid="{00000000-0005-0000-0000-0000AD000000}"/>
    <cellStyle name="_Copy of Goa Facility" xfId="314" xr:uid="{00000000-0005-0000-0000-0000AE000000}"/>
    <cellStyle name="_Copy of Goa Facility 2" xfId="868" xr:uid="{00000000-0005-0000-0000-0000AF000000}"/>
    <cellStyle name="_Copy of Goa Facility 2 2" xfId="1145" xr:uid="{00000000-0005-0000-0000-0000B0000000}"/>
    <cellStyle name="_Copy of Goa Facility 2 2 2" xfId="6863" xr:uid="{00000000-0005-0000-0000-0000B1000000}"/>
    <cellStyle name="_Copy of Goa Facility 2 2 2 2" xfId="9570" xr:uid="{00000000-0005-0000-0000-0000B2000000}"/>
    <cellStyle name="_Copy of Goa Facility 2 2 3" xfId="8231" xr:uid="{00000000-0005-0000-0000-0000B3000000}"/>
    <cellStyle name="_Copy of Goa Facility 2 3" xfId="6601" xr:uid="{00000000-0005-0000-0000-0000B4000000}"/>
    <cellStyle name="_Copy of Goa Facility 2 3 2" xfId="9308" xr:uid="{00000000-0005-0000-0000-0000B5000000}"/>
    <cellStyle name="_Copy of Goa Facility 2 4" xfId="7969" xr:uid="{00000000-0005-0000-0000-0000B6000000}"/>
    <cellStyle name="_Copy of Goa Facility 3" xfId="1056" xr:uid="{00000000-0005-0000-0000-0000B7000000}"/>
    <cellStyle name="_Copy of Goa Facility 3 2" xfId="6787" xr:uid="{00000000-0005-0000-0000-0000B8000000}"/>
    <cellStyle name="_Copy of Goa Facility 3 2 2" xfId="9494" xr:uid="{00000000-0005-0000-0000-0000B9000000}"/>
    <cellStyle name="_Copy of Goa Facility 3 3" xfId="8155" xr:uid="{00000000-0005-0000-0000-0000BA000000}"/>
    <cellStyle name="_Copy of Goa Facility 4" xfId="6435" xr:uid="{00000000-0005-0000-0000-0000BB000000}"/>
    <cellStyle name="_Copy of Goa Facility 4 2" xfId="9154" xr:uid="{00000000-0005-0000-0000-0000BC000000}"/>
    <cellStyle name="_Copy of Goa Facility 5" xfId="7815" xr:uid="{00000000-0005-0000-0000-0000BD000000}"/>
    <cellStyle name="_Costing inorbit 10 Oct" xfId="315" xr:uid="{00000000-0005-0000-0000-0000BE000000}"/>
    <cellStyle name="_CRN-BSNL BMS 07.11.06" xfId="316" xr:uid="{00000000-0005-0000-0000-0000BF000000}"/>
    <cellStyle name="_CRN-BSNL BMS 07.11.06 2" xfId="1616" xr:uid="{00000000-0005-0000-0000-0000C0000000}"/>
    <cellStyle name="_CRN-IBS software - 23 04 07" xfId="317" xr:uid="{00000000-0005-0000-0000-0000C1000000}"/>
    <cellStyle name="_Crown - FPS - 19.06.07 - R1" xfId="1617" xr:uid="{00000000-0005-0000-0000-0000C2000000}"/>
    <cellStyle name="_Crown - FPS - 19.06.07 - R1 2" xfId="1618" xr:uid="{00000000-0005-0000-0000-0000C3000000}"/>
    <cellStyle name="_Crown - FPS - 19.06.07 - R1 2 2" xfId="1619" xr:uid="{00000000-0005-0000-0000-0000C4000000}"/>
    <cellStyle name="_Crown - FPS - 19.06.07 - R1 2 2 2" xfId="1620" xr:uid="{00000000-0005-0000-0000-0000C5000000}"/>
    <cellStyle name="_Crown - FPS - 19.06.07 - R1 2 2 2 2" xfId="7222" xr:uid="{00000000-0005-0000-0000-0000C6000000}"/>
    <cellStyle name="_Crown - FPS - 19.06.07 - R1 2 2 2 2 2" xfId="9925" xr:uid="{00000000-0005-0000-0000-0000C7000000}"/>
    <cellStyle name="_Crown - FPS - 19.06.07 - R1 2 2 2 3" xfId="8585" xr:uid="{00000000-0005-0000-0000-0000C8000000}"/>
    <cellStyle name="_Crown - FPS - 19.06.07 - R1 2 2 3" xfId="1621" xr:uid="{00000000-0005-0000-0000-0000C9000000}"/>
    <cellStyle name="_Crown - FPS - 19.06.07 - R1 2 2 3 2" xfId="7223" xr:uid="{00000000-0005-0000-0000-0000CA000000}"/>
    <cellStyle name="_Crown - FPS - 19.06.07 - R1 2 2 3 2 2" xfId="9926" xr:uid="{00000000-0005-0000-0000-0000CB000000}"/>
    <cellStyle name="_Crown - FPS - 19.06.07 - R1 2 2 3 3" xfId="8586" xr:uid="{00000000-0005-0000-0000-0000CC000000}"/>
    <cellStyle name="_Crown - FPS - 19.06.07 - R1 2 2 4" xfId="7221" xr:uid="{00000000-0005-0000-0000-0000CD000000}"/>
    <cellStyle name="_Crown - FPS - 19.06.07 - R1 2 2 4 2" xfId="9924" xr:uid="{00000000-0005-0000-0000-0000CE000000}"/>
    <cellStyle name="_Crown - FPS - 19.06.07 - R1 2 2 5" xfId="8584" xr:uid="{00000000-0005-0000-0000-0000CF000000}"/>
    <cellStyle name="_Crown - FPS - 19.06.07 - R1 2 3" xfId="7220" xr:uid="{00000000-0005-0000-0000-0000D0000000}"/>
    <cellStyle name="_Crown - FPS - 19.06.07 - R1 2 3 2" xfId="9923" xr:uid="{00000000-0005-0000-0000-0000D1000000}"/>
    <cellStyle name="_Crown - FPS - 19.06.07 - R1 2 4" xfId="8583" xr:uid="{00000000-0005-0000-0000-0000D2000000}"/>
    <cellStyle name="_Crown - FPS - 19.06.07 - R1 3" xfId="1622" xr:uid="{00000000-0005-0000-0000-0000D3000000}"/>
    <cellStyle name="_Crown - FPS - 19.06.07 - R1 3 2" xfId="1623" xr:uid="{00000000-0005-0000-0000-0000D4000000}"/>
    <cellStyle name="_Crown - FPS - 19.06.07 - R1 3 2 2" xfId="1624" xr:uid="{00000000-0005-0000-0000-0000D5000000}"/>
    <cellStyle name="_Crown - FPS - 19.06.07 - R1 3 2 2 2" xfId="7226" xr:uid="{00000000-0005-0000-0000-0000D6000000}"/>
    <cellStyle name="_Crown - FPS - 19.06.07 - R1 3 2 2 2 2" xfId="9929" xr:uid="{00000000-0005-0000-0000-0000D7000000}"/>
    <cellStyle name="_Crown - FPS - 19.06.07 - R1 3 2 2 3" xfId="8589" xr:uid="{00000000-0005-0000-0000-0000D8000000}"/>
    <cellStyle name="_Crown - FPS - 19.06.07 - R1 3 2 3" xfId="1625" xr:uid="{00000000-0005-0000-0000-0000D9000000}"/>
    <cellStyle name="_Crown - FPS - 19.06.07 - R1 3 2 3 2" xfId="7227" xr:uid="{00000000-0005-0000-0000-0000DA000000}"/>
    <cellStyle name="_Crown - FPS - 19.06.07 - R1 3 2 3 2 2" xfId="9930" xr:uid="{00000000-0005-0000-0000-0000DB000000}"/>
    <cellStyle name="_Crown - FPS - 19.06.07 - R1 3 2 3 3" xfId="8590" xr:uid="{00000000-0005-0000-0000-0000DC000000}"/>
    <cellStyle name="_Crown - FPS - 19.06.07 - R1 3 2 4" xfId="7225" xr:uid="{00000000-0005-0000-0000-0000DD000000}"/>
    <cellStyle name="_Crown - FPS - 19.06.07 - R1 3 2 4 2" xfId="9928" xr:uid="{00000000-0005-0000-0000-0000DE000000}"/>
    <cellStyle name="_Crown - FPS - 19.06.07 - R1 3 2 5" xfId="8588" xr:uid="{00000000-0005-0000-0000-0000DF000000}"/>
    <cellStyle name="_Crown - FPS - 19.06.07 - R1 3 3" xfId="7224" xr:uid="{00000000-0005-0000-0000-0000E0000000}"/>
    <cellStyle name="_Crown - FPS - 19.06.07 - R1 3 3 2" xfId="9927" xr:uid="{00000000-0005-0000-0000-0000E1000000}"/>
    <cellStyle name="_Crown - FPS - 19.06.07 - R1 3 4" xfId="8587" xr:uid="{00000000-0005-0000-0000-0000E2000000}"/>
    <cellStyle name="_Crown - FPS - 19.06.07 - R1 4" xfId="1626" xr:uid="{00000000-0005-0000-0000-0000E3000000}"/>
    <cellStyle name="_Crown - FPS - 19.06.07 - R1 4 2" xfId="1627" xr:uid="{00000000-0005-0000-0000-0000E4000000}"/>
    <cellStyle name="_Crown - FPS - 19.06.07 - R1 4 2 2" xfId="7229" xr:uid="{00000000-0005-0000-0000-0000E5000000}"/>
    <cellStyle name="_Crown - FPS - 19.06.07 - R1 4 2 2 2" xfId="9932" xr:uid="{00000000-0005-0000-0000-0000E6000000}"/>
    <cellStyle name="_Crown - FPS - 19.06.07 - R1 4 2 3" xfId="8592" xr:uid="{00000000-0005-0000-0000-0000E7000000}"/>
    <cellStyle name="_Crown - FPS - 19.06.07 - R1 4 3" xfId="1628" xr:uid="{00000000-0005-0000-0000-0000E8000000}"/>
    <cellStyle name="_Crown - FPS - 19.06.07 - R1 4 3 2" xfId="7230" xr:uid="{00000000-0005-0000-0000-0000E9000000}"/>
    <cellStyle name="_Crown - FPS - 19.06.07 - R1 4 3 2 2" xfId="9933" xr:uid="{00000000-0005-0000-0000-0000EA000000}"/>
    <cellStyle name="_Crown - FPS - 19.06.07 - R1 4 3 3" xfId="8593" xr:uid="{00000000-0005-0000-0000-0000EB000000}"/>
    <cellStyle name="_Crown - FPS - 19.06.07 - R1 4 4" xfId="7228" xr:uid="{00000000-0005-0000-0000-0000EC000000}"/>
    <cellStyle name="_Crown - FPS - 19.06.07 - R1 4 4 2" xfId="9931" xr:uid="{00000000-0005-0000-0000-0000ED000000}"/>
    <cellStyle name="_Crown - FPS - 19.06.07 - R1 4 5" xfId="8591" xr:uid="{00000000-0005-0000-0000-0000EE000000}"/>
    <cellStyle name="_Crown - FPS - 19.06.07 - R1 5" xfId="7219" xr:uid="{00000000-0005-0000-0000-0000EF000000}"/>
    <cellStyle name="_Crown - FPS - 19.06.07 - R1 5 2" xfId="9922" xr:uid="{00000000-0005-0000-0000-0000F0000000}"/>
    <cellStyle name="_Crown - FPS - 19.06.07 - R1 6" xfId="8582" xr:uid="{00000000-0005-0000-0000-0000F1000000}"/>
    <cellStyle name="_CSC Guard Patrol 21.07.06 All For reference" xfId="1629" xr:uid="{00000000-0005-0000-0000-0000F2000000}"/>
    <cellStyle name="_CSC Guard Patrol 21.07.06 All For reference 2" xfId="1630" xr:uid="{00000000-0005-0000-0000-0000F3000000}"/>
    <cellStyle name="_CTS DLF - QUADRA - 11.06.07" xfId="1631" xr:uid="{00000000-0005-0000-0000-0000F4000000}"/>
    <cellStyle name="_CTS DLF - QUADRA - 11.06.07 2" xfId="1632" xr:uid="{00000000-0005-0000-0000-0000F5000000}"/>
    <cellStyle name="_CTS, Cochin - 25.10.2006" xfId="1633" xr:uid="{00000000-0005-0000-0000-0000F6000000}"/>
    <cellStyle name="_CTS, Cochin - 25.10.2006 2" xfId="1634" xr:uid="{00000000-0005-0000-0000-0000F7000000}"/>
    <cellStyle name="_E &amp; Y Sprk Mod - 05.10.06" xfId="1635" xr:uid="{00000000-0005-0000-0000-0000F8000000}"/>
    <cellStyle name="_E &amp; Y Sprk Mod - 05.10.06 2" xfId="1636" xr:uid="{00000000-0005-0000-0000-0000F9000000}"/>
    <cellStyle name="_E &amp; Y UB City As per Engg -04.12.06" xfId="318" xr:uid="{00000000-0005-0000-0000-0000FA000000}"/>
    <cellStyle name="_E &amp; Y UB City As per Engg -04.12.06 2" xfId="1637" xr:uid="{00000000-0005-0000-0000-0000FB000000}"/>
    <cellStyle name="_Edifice-sutherland" xfId="1638" xr:uid="{00000000-0005-0000-0000-0000FC000000}"/>
    <cellStyle name="_Edifice-sutherland 2" xfId="1639" xr:uid="{00000000-0005-0000-0000-0000FD000000}"/>
    <cellStyle name="_electrical-honeywell" xfId="319" xr:uid="{00000000-0005-0000-0000-0000FE000000}"/>
    <cellStyle name="_Enercon  ACS, CCTV 28.09.06R1" xfId="320" xr:uid="{00000000-0005-0000-0000-0000FF000000}"/>
    <cellStyle name="_Enercon  ACS, CCTV 28.09.06R1 2" xfId="1640" xr:uid="{00000000-0005-0000-0000-000000010000}"/>
    <cellStyle name="_ENY- 12.09.06,e-mail" xfId="321" xr:uid="{00000000-0005-0000-0000-000001010000}"/>
    <cellStyle name="_Eskayem_Runwal Town -fps-19.03.07" xfId="1641" xr:uid="{00000000-0005-0000-0000-000002010000}"/>
    <cellStyle name="_Eskayem_Runwal Town -fps-19.03.07 2" xfId="1642" xr:uid="{00000000-0005-0000-0000-000003010000}"/>
    <cellStyle name="_Eskayem_Runwal Town -fps-19.03.07 2 2" xfId="1643" xr:uid="{00000000-0005-0000-0000-000004010000}"/>
    <cellStyle name="_Eskayem_Runwal Town -fps-19.03.07 2 2 2" xfId="1644" xr:uid="{00000000-0005-0000-0000-000005010000}"/>
    <cellStyle name="_Eskayem_Runwal Town -fps-19.03.07 2 2 2 2" xfId="7234" xr:uid="{00000000-0005-0000-0000-000006010000}"/>
    <cellStyle name="_Eskayem_Runwal Town -fps-19.03.07 2 2 2 2 2" xfId="9937" xr:uid="{00000000-0005-0000-0000-000007010000}"/>
    <cellStyle name="_Eskayem_Runwal Town -fps-19.03.07 2 2 2 3" xfId="8597" xr:uid="{00000000-0005-0000-0000-000008010000}"/>
    <cellStyle name="_Eskayem_Runwal Town -fps-19.03.07 2 2 3" xfId="1645" xr:uid="{00000000-0005-0000-0000-000009010000}"/>
    <cellStyle name="_Eskayem_Runwal Town -fps-19.03.07 2 2 3 2" xfId="7235" xr:uid="{00000000-0005-0000-0000-00000A010000}"/>
    <cellStyle name="_Eskayem_Runwal Town -fps-19.03.07 2 2 3 2 2" xfId="9938" xr:uid="{00000000-0005-0000-0000-00000B010000}"/>
    <cellStyle name="_Eskayem_Runwal Town -fps-19.03.07 2 2 3 3" xfId="8598" xr:uid="{00000000-0005-0000-0000-00000C010000}"/>
    <cellStyle name="_Eskayem_Runwal Town -fps-19.03.07 2 2 4" xfId="7233" xr:uid="{00000000-0005-0000-0000-00000D010000}"/>
    <cellStyle name="_Eskayem_Runwal Town -fps-19.03.07 2 2 4 2" xfId="9936" xr:uid="{00000000-0005-0000-0000-00000E010000}"/>
    <cellStyle name="_Eskayem_Runwal Town -fps-19.03.07 2 2 5" xfId="8596" xr:uid="{00000000-0005-0000-0000-00000F010000}"/>
    <cellStyle name="_Eskayem_Runwal Town -fps-19.03.07 2 3" xfId="7232" xr:uid="{00000000-0005-0000-0000-000010010000}"/>
    <cellStyle name="_Eskayem_Runwal Town -fps-19.03.07 2 3 2" xfId="9935" xr:uid="{00000000-0005-0000-0000-000011010000}"/>
    <cellStyle name="_Eskayem_Runwal Town -fps-19.03.07 2 4" xfId="8595" xr:uid="{00000000-0005-0000-0000-000012010000}"/>
    <cellStyle name="_Eskayem_Runwal Town -fps-19.03.07 3" xfId="1646" xr:uid="{00000000-0005-0000-0000-000013010000}"/>
    <cellStyle name="_Eskayem_Runwal Town -fps-19.03.07 3 2" xfId="1647" xr:uid="{00000000-0005-0000-0000-000014010000}"/>
    <cellStyle name="_Eskayem_Runwal Town -fps-19.03.07 3 2 2" xfId="1648" xr:uid="{00000000-0005-0000-0000-000015010000}"/>
    <cellStyle name="_Eskayem_Runwal Town -fps-19.03.07 3 2 2 2" xfId="7238" xr:uid="{00000000-0005-0000-0000-000016010000}"/>
    <cellStyle name="_Eskayem_Runwal Town -fps-19.03.07 3 2 2 2 2" xfId="9941" xr:uid="{00000000-0005-0000-0000-000017010000}"/>
    <cellStyle name="_Eskayem_Runwal Town -fps-19.03.07 3 2 2 3" xfId="8601" xr:uid="{00000000-0005-0000-0000-000018010000}"/>
    <cellStyle name="_Eskayem_Runwal Town -fps-19.03.07 3 2 3" xfId="1649" xr:uid="{00000000-0005-0000-0000-000019010000}"/>
    <cellStyle name="_Eskayem_Runwal Town -fps-19.03.07 3 2 3 2" xfId="7239" xr:uid="{00000000-0005-0000-0000-00001A010000}"/>
    <cellStyle name="_Eskayem_Runwal Town -fps-19.03.07 3 2 3 2 2" xfId="9942" xr:uid="{00000000-0005-0000-0000-00001B010000}"/>
    <cellStyle name="_Eskayem_Runwal Town -fps-19.03.07 3 2 3 3" xfId="8602" xr:uid="{00000000-0005-0000-0000-00001C010000}"/>
    <cellStyle name="_Eskayem_Runwal Town -fps-19.03.07 3 2 4" xfId="7237" xr:uid="{00000000-0005-0000-0000-00001D010000}"/>
    <cellStyle name="_Eskayem_Runwal Town -fps-19.03.07 3 2 4 2" xfId="9940" xr:uid="{00000000-0005-0000-0000-00001E010000}"/>
    <cellStyle name="_Eskayem_Runwal Town -fps-19.03.07 3 2 5" xfId="8600" xr:uid="{00000000-0005-0000-0000-00001F010000}"/>
    <cellStyle name="_Eskayem_Runwal Town -fps-19.03.07 3 3" xfId="7236" xr:uid="{00000000-0005-0000-0000-000020010000}"/>
    <cellStyle name="_Eskayem_Runwal Town -fps-19.03.07 3 3 2" xfId="9939" xr:uid="{00000000-0005-0000-0000-000021010000}"/>
    <cellStyle name="_Eskayem_Runwal Town -fps-19.03.07 3 4" xfId="8599" xr:uid="{00000000-0005-0000-0000-000022010000}"/>
    <cellStyle name="_Eskayem_Runwal Town -fps-19.03.07 4" xfId="1650" xr:uid="{00000000-0005-0000-0000-000023010000}"/>
    <cellStyle name="_Eskayem_Runwal Town -fps-19.03.07 4 2" xfId="1651" xr:uid="{00000000-0005-0000-0000-000024010000}"/>
    <cellStyle name="_Eskayem_Runwal Town -fps-19.03.07 4 2 2" xfId="7241" xr:uid="{00000000-0005-0000-0000-000025010000}"/>
    <cellStyle name="_Eskayem_Runwal Town -fps-19.03.07 4 2 2 2" xfId="9944" xr:uid="{00000000-0005-0000-0000-000026010000}"/>
    <cellStyle name="_Eskayem_Runwal Town -fps-19.03.07 4 2 3" xfId="8604" xr:uid="{00000000-0005-0000-0000-000027010000}"/>
    <cellStyle name="_Eskayem_Runwal Town -fps-19.03.07 4 3" xfId="1652" xr:uid="{00000000-0005-0000-0000-000028010000}"/>
    <cellStyle name="_Eskayem_Runwal Town -fps-19.03.07 4 3 2" xfId="7242" xr:uid="{00000000-0005-0000-0000-000029010000}"/>
    <cellStyle name="_Eskayem_Runwal Town -fps-19.03.07 4 3 2 2" xfId="9945" xr:uid="{00000000-0005-0000-0000-00002A010000}"/>
    <cellStyle name="_Eskayem_Runwal Town -fps-19.03.07 4 3 3" xfId="8605" xr:uid="{00000000-0005-0000-0000-00002B010000}"/>
    <cellStyle name="_Eskayem_Runwal Town -fps-19.03.07 4 4" xfId="7240" xr:uid="{00000000-0005-0000-0000-00002C010000}"/>
    <cellStyle name="_Eskayem_Runwal Town -fps-19.03.07 4 4 2" xfId="9943" xr:uid="{00000000-0005-0000-0000-00002D010000}"/>
    <cellStyle name="_Eskayem_Runwal Town -fps-19.03.07 4 5" xfId="8603" xr:uid="{00000000-0005-0000-0000-00002E010000}"/>
    <cellStyle name="_Eskayem_Runwal Town -fps-19.03.07 5" xfId="7231" xr:uid="{00000000-0005-0000-0000-00002F010000}"/>
    <cellStyle name="_Eskayem_Runwal Town -fps-19.03.07 5 2" xfId="9934" xr:uid="{00000000-0005-0000-0000-000030010000}"/>
    <cellStyle name="_Eskayem_Runwal Town -fps-19.03.07 6" xfId="8594" xr:uid="{00000000-0005-0000-0000-000031010000}"/>
    <cellStyle name="_ET_STYLE_NoName_00_" xfId="1653" xr:uid="{00000000-0005-0000-0000-000032010000}"/>
    <cellStyle name="_ETA Techno Park -  Block 4 - 04.10.06mail" xfId="1654" xr:uid="{00000000-0005-0000-0000-000033010000}"/>
    <cellStyle name="_ETA Techno Park -  Block 4 - 04.10.06mail 2" xfId="1655" xr:uid="{00000000-0005-0000-0000-000034010000}"/>
    <cellStyle name="_euronet 60401" xfId="322" xr:uid="{00000000-0005-0000-0000-000035010000}"/>
    <cellStyle name="_EuroNet Price" xfId="323" xr:uid="{00000000-0005-0000-0000-000036010000}"/>
    <cellStyle name="_EuroNet Price 2" xfId="1656" xr:uid="{00000000-0005-0000-0000-000037010000}"/>
    <cellStyle name="_EuroNet_List Price Template (1)" xfId="324" xr:uid="{00000000-0005-0000-0000-000038010000}"/>
    <cellStyle name="_EuroNet_List Price Template (1) 2" xfId="1657" xr:uid="{00000000-0005-0000-0000-000039010000}"/>
    <cellStyle name="_Fire and security costing for Share Khan at Parel" xfId="325" xr:uid="{00000000-0005-0000-0000-00003A010000}"/>
    <cellStyle name="_FM 200 Requirement (1)" xfId="326" xr:uid="{00000000-0005-0000-0000-00003B010000}"/>
    <cellStyle name="_FM 200 Requirement (1) 2" xfId="1658" xr:uid="{00000000-0005-0000-0000-00003C010000}"/>
    <cellStyle name="_FM 200 Requirement (1) 3" xfId="1659" xr:uid="{00000000-0005-0000-0000-00003D010000}"/>
    <cellStyle name="_FM-200 BUGETORY QOUTE" xfId="1660" xr:uid="{00000000-0005-0000-0000-00003E010000}"/>
    <cellStyle name="_FM-200 BUGETORY QOUTE 2" xfId="1661" xr:uid="{00000000-0005-0000-0000-00003F010000}"/>
    <cellStyle name="_FM-200 BUGETORY QOUTE 2 2" xfId="1662" xr:uid="{00000000-0005-0000-0000-000040010000}"/>
    <cellStyle name="_FM-200 BUGETORY QOUTE 2 2 2" xfId="7245" xr:uid="{00000000-0005-0000-0000-000041010000}"/>
    <cellStyle name="_FM-200 BUGETORY QOUTE 2 2 2 2" xfId="9948" xr:uid="{00000000-0005-0000-0000-000042010000}"/>
    <cellStyle name="_FM-200 BUGETORY QOUTE 2 2 3" xfId="8608" xr:uid="{00000000-0005-0000-0000-000043010000}"/>
    <cellStyle name="_FM-200 BUGETORY QOUTE 2 3" xfId="1663" xr:uid="{00000000-0005-0000-0000-000044010000}"/>
    <cellStyle name="_FM-200 BUGETORY QOUTE 2 3 2" xfId="7246" xr:uid="{00000000-0005-0000-0000-000045010000}"/>
    <cellStyle name="_FM-200 BUGETORY QOUTE 2 3 2 2" xfId="9949" xr:uid="{00000000-0005-0000-0000-000046010000}"/>
    <cellStyle name="_FM-200 BUGETORY QOUTE 2 3 3" xfId="8609" xr:uid="{00000000-0005-0000-0000-000047010000}"/>
    <cellStyle name="_FM-200 BUGETORY QOUTE 2 4" xfId="7244" xr:uid="{00000000-0005-0000-0000-000048010000}"/>
    <cellStyle name="_FM-200 BUGETORY QOUTE 2 4 2" xfId="9947" xr:uid="{00000000-0005-0000-0000-000049010000}"/>
    <cellStyle name="_FM-200 BUGETORY QOUTE 2 5" xfId="8607" xr:uid="{00000000-0005-0000-0000-00004A010000}"/>
    <cellStyle name="_FM-200 BUGETORY QOUTE 3" xfId="7243" xr:uid="{00000000-0005-0000-0000-00004B010000}"/>
    <cellStyle name="_FM-200 BUGETORY QOUTE 3 2" xfId="9946" xr:uid="{00000000-0005-0000-0000-00004C010000}"/>
    <cellStyle name="_FM-200 BUGETORY QOUTE 4" xfId="8606" xr:uid="{00000000-0005-0000-0000-00004D010000}"/>
    <cellStyle name="_Gateway - Pune(BMS)- 17.12.07" xfId="1664" xr:uid="{00000000-0005-0000-0000-00004E010000}"/>
    <cellStyle name="_Gateway - Pune(BMS)- 17.12.07 2" xfId="1665" xr:uid="{00000000-0005-0000-0000-00004F010000}"/>
    <cellStyle name="_General BMS" xfId="327" xr:uid="{00000000-0005-0000-0000-000050010000}"/>
    <cellStyle name="_General BMS 2" xfId="1666" xr:uid="{00000000-0005-0000-0000-000051010000}"/>
    <cellStyle name="_General WLD" xfId="328" xr:uid="{00000000-0005-0000-0000-000052010000}"/>
    <cellStyle name="_General WLD 2" xfId="1667" xr:uid="{00000000-0005-0000-0000-000053010000}"/>
    <cellStyle name="_Genysis AFAS 19.08.06" xfId="329" xr:uid="{00000000-0005-0000-0000-000054010000}"/>
    <cellStyle name="_Genysis AFAS 19.08.06 2" xfId="1668" xr:uid="{00000000-0005-0000-0000-000055010000}"/>
    <cellStyle name="_Global (Harayana) 16.11.05" xfId="1669" xr:uid="{00000000-0005-0000-0000-000056010000}"/>
    <cellStyle name="_Global (Harayana) 16.11.05 2" xfId="1670" xr:uid="{00000000-0005-0000-0000-000057010000}"/>
    <cellStyle name="_Global Hospital  - 16.10.07" xfId="1671" xr:uid="{00000000-0005-0000-0000-000058010000}"/>
    <cellStyle name="_Global Hospital  - 16.10.07 2" xfId="1672" xr:uid="{00000000-0005-0000-0000-000059010000}"/>
    <cellStyle name="_Hilton Hotel - 14.03.08" xfId="1673" xr:uid="{00000000-0005-0000-0000-00005A010000}"/>
    <cellStyle name="_Hilton Hotel - 14.03.08 2" xfId="1674" xr:uid="{00000000-0005-0000-0000-00005B010000}"/>
    <cellStyle name="_HLR- iris-13.06.06" xfId="1675" xr:uid="{00000000-0005-0000-0000-00005C010000}"/>
    <cellStyle name="_HLR- iris-13.06.06 2" xfId="1676" xr:uid="{00000000-0005-0000-0000-00005D010000}"/>
    <cellStyle name="_Hyundai Motors India Pvt Ltd - FAS &amp; PAS - 29.06.06-QS4l" xfId="1677" xr:uid="{00000000-0005-0000-0000-00005E010000}"/>
    <cellStyle name="_Hyundai Motors India Pvt Ltd - FAS &amp; PAS - 29.06.06-QS4l 2" xfId="1678" xr:uid="{00000000-0005-0000-0000-00005F010000}"/>
    <cellStyle name="_IBM Data Center - 15.07.06" xfId="330" xr:uid="{00000000-0005-0000-0000-000060010000}"/>
    <cellStyle name="_IBM Data Center - 15.07.06 2" xfId="1679" xr:uid="{00000000-0005-0000-0000-000061010000}"/>
    <cellStyle name="_IBM Data Centre - 27.09.06,e-mail" xfId="1680" xr:uid="{00000000-0005-0000-0000-000062010000}"/>
    <cellStyle name="_IBM Data Centre - 27.09.06,e-mail 2" xfId="1681" xr:uid="{00000000-0005-0000-0000-000063010000}"/>
    <cellStyle name="_IBM K Block - Manyatta" xfId="331" xr:uid="{00000000-0005-0000-0000-000064010000}"/>
    <cellStyle name="_IBM K Block - Manyatta 2" xfId="1682" xr:uid="{00000000-0005-0000-0000-000065010000}"/>
    <cellStyle name="_IBM Manyata 1.4.06" xfId="332" xr:uid="{00000000-0005-0000-0000-000066010000}"/>
    <cellStyle name="_IBM Manyata 1.4.06 2" xfId="1683" xr:uid="{00000000-0005-0000-0000-000067010000}"/>
    <cellStyle name="_IBM-datacentre-28.09.06" xfId="333" xr:uid="{00000000-0005-0000-0000-000068010000}"/>
    <cellStyle name="_IBM-datacentre-28.09.06 2" xfId="1684" xr:uid="{00000000-0005-0000-0000-000069010000}"/>
    <cellStyle name="_IBMS BOQ" xfId="1685" xr:uid="{00000000-0005-0000-0000-00006A010000}"/>
    <cellStyle name="_IBMS BOQ 2" xfId="1686" xr:uid="{00000000-0005-0000-0000-00006B010000}"/>
    <cellStyle name="_IDC chennai - 30.03.06" xfId="334" xr:uid="{00000000-0005-0000-0000-00006C010000}"/>
    <cellStyle name="_Incubation Center for Muthoot,Kochi-28.04.06" xfId="335" xr:uid="{00000000-0005-0000-0000-00006D010000}"/>
    <cellStyle name="_Incubation Center for Muthoot,Kochi-28.04.06 2" xfId="1687" xr:uid="{00000000-0005-0000-0000-00006E010000}"/>
    <cellStyle name="_Integra T 28.12.05 " xfId="1688" xr:uid="{00000000-0005-0000-0000-00006F010000}"/>
    <cellStyle name="_Integra T 28.12.05  2" xfId="1689" xr:uid="{00000000-0005-0000-0000-000070010000}"/>
    <cellStyle name="_Intelenet - 4th Floor RRP 05.01.07" xfId="1690" xr:uid="{00000000-0005-0000-0000-000071010000}"/>
    <cellStyle name="_Intelenet - 4th Floor RRP 05.01.07 2" xfId="1691" xr:uid="{00000000-0005-0000-0000-000072010000}"/>
    <cellStyle name="_Intelenet-Spk - 01.08.06.R2(Increase 10%)" xfId="1692" xr:uid="{00000000-0005-0000-0000-000073010000}"/>
    <cellStyle name="_Intelenet-Spk - 01.08.06.R2(Increase 10%) 2" xfId="1693" xr:uid="{00000000-0005-0000-0000-000074010000}"/>
    <cellStyle name="_Intellivate-16.09.06" xfId="336" xr:uid="{00000000-0005-0000-0000-000075010000}"/>
    <cellStyle name="_Intellivate-16.09.06 2" xfId="1694" xr:uid="{00000000-0005-0000-0000-000076010000}"/>
    <cellStyle name="_Intercontinental, New Delhi BMS Costing" xfId="1695" xr:uid="{00000000-0005-0000-0000-000077010000}"/>
    <cellStyle name="_Intercontinental, New Delhi BMS Costing 2" xfId="1696" xr:uid="{00000000-0005-0000-0000-000078010000}"/>
    <cellStyle name="_IO List" xfId="1697" xr:uid="{00000000-0005-0000-0000-000079010000}"/>
    <cellStyle name="_IO List &amp; Contoller" xfId="337" xr:uid="{00000000-0005-0000-0000-00007A010000}"/>
    <cellStyle name="_IO List &amp; Contoller 2" xfId="1698" xr:uid="{00000000-0005-0000-0000-00007B010000}"/>
    <cellStyle name="_IO List 2" xfId="1699" xr:uid="{00000000-0005-0000-0000-00007C010000}"/>
    <cellStyle name="_ISRO-Bhopal- 30.05.06" xfId="1700" xr:uid="{00000000-0005-0000-0000-00007D010000}"/>
    <cellStyle name="_ISRO-Bhopal- 30.05.06 2" xfId="1701" xr:uid="{00000000-0005-0000-0000-00007E010000}"/>
    <cellStyle name="_ITC Windsor Manor - 23.05.07" xfId="1702" xr:uid="{00000000-0005-0000-0000-00007F010000}"/>
    <cellStyle name="_ITC Windsor Manor - 23.05.07 2" xfId="1703" xr:uid="{00000000-0005-0000-0000-000080010000}"/>
    <cellStyle name="_IVY Comptech FAS,PAS,ACS,CCTV,RRS 11.07.06" xfId="338" xr:uid="{00000000-0005-0000-0000-000081010000}"/>
    <cellStyle name="_IVY Comptech FAS,PAS,ACS,CCTV,RRS 11.07.06 2" xfId="1704" xr:uid="{00000000-0005-0000-0000-000082010000}"/>
    <cellStyle name="_Karan Construction-10.08.06-rev" xfId="1705" xr:uid="{00000000-0005-0000-0000-000083010000}"/>
    <cellStyle name="_Karan Construction-10.08.06-rev 2" xfId="1706" xr:uid="{00000000-0005-0000-0000-000084010000}"/>
    <cellStyle name="_KLJ house - prithvi sound_18 05 07" xfId="1707" xr:uid="{00000000-0005-0000-0000-000085010000}"/>
    <cellStyle name="_KLJ house - prithvi sound_18 05 07 2" xfId="1708" xr:uid="{00000000-0005-0000-0000-000086010000}"/>
    <cellStyle name="_KLJ house - prithvi sound_18 05 07 2 2" xfId="1709" xr:uid="{00000000-0005-0000-0000-000087010000}"/>
    <cellStyle name="_KLJ house - prithvi sound_18 05 07 2 2 2" xfId="1710" xr:uid="{00000000-0005-0000-0000-000088010000}"/>
    <cellStyle name="_KLJ house - prithvi sound_18 05 07 2 2 2 2" xfId="7250" xr:uid="{00000000-0005-0000-0000-000089010000}"/>
    <cellStyle name="_KLJ house - prithvi sound_18 05 07 2 2 2 2 2" xfId="9953" xr:uid="{00000000-0005-0000-0000-00008A010000}"/>
    <cellStyle name="_KLJ house - prithvi sound_18 05 07 2 2 2 3" xfId="8613" xr:uid="{00000000-0005-0000-0000-00008B010000}"/>
    <cellStyle name="_KLJ house - prithvi sound_18 05 07 2 2 3" xfId="1711" xr:uid="{00000000-0005-0000-0000-00008C010000}"/>
    <cellStyle name="_KLJ house - prithvi sound_18 05 07 2 2 3 2" xfId="7251" xr:uid="{00000000-0005-0000-0000-00008D010000}"/>
    <cellStyle name="_KLJ house - prithvi sound_18 05 07 2 2 3 2 2" xfId="9954" xr:uid="{00000000-0005-0000-0000-00008E010000}"/>
    <cellStyle name="_KLJ house - prithvi sound_18 05 07 2 2 3 3" xfId="8614" xr:uid="{00000000-0005-0000-0000-00008F010000}"/>
    <cellStyle name="_KLJ house - prithvi sound_18 05 07 2 2 4" xfId="7249" xr:uid="{00000000-0005-0000-0000-000090010000}"/>
    <cellStyle name="_KLJ house - prithvi sound_18 05 07 2 2 4 2" xfId="9952" xr:uid="{00000000-0005-0000-0000-000091010000}"/>
    <cellStyle name="_KLJ house - prithvi sound_18 05 07 2 2 5" xfId="8612" xr:uid="{00000000-0005-0000-0000-000092010000}"/>
    <cellStyle name="_KLJ house - prithvi sound_18 05 07 2 3" xfId="7248" xr:uid="{00000000-0005-0000-0000-000093010000}"/>
    <cellStyle name="_KLJ house - prithvi sound_18 05 07 2 3 2" xfId="9951" xr:uid="{00000000-0005-0000-0000-000094010000}"/>
    <cellStyle name="_KLJ house - prithvi sound_18 05 07 2 4" xfId="8611" xr:uid="{00000000-0005-0000-0000-000095010000}"/>
    <cellStyle name="_KLJ house - prithvi sound_18 05 07 3" xfId="1712" xr:uid="{00000000-0005-0000-0000-000096010000}"/>
    <cellStyle name="_KLJ house - prithvi sound_18 05 07 3 2" xfId="1713" xr:uid="{00000000-0005-0000-0000-000097010000}"/>
    <cellStyle name="_KLJ house - prithvi sound_18 05 07 3 2 2" xfId="1714" xr:uid="{00000000-0005-0000-0000-000098010000}"/>
    <cellStyle name="_KLJ house - prithvi sound_18 05 07 3 2 2 2" xfId="7254" xr:uid="{00000000-0005-0000-0000-000099010000}"/>
    <cellStyle name="_KLJ house - prithvi sound_18 05 07 3 2 2 2 2" xfId="9957" xr:uid="{00000000-0005-0000-0000-00009A010000}"/>
    <cellStyle name="_KLJ house - prithvi sound_18 05 07 3 2 2 3" xfId="8617" xr:uid="{00000000-0005-0000-0000-00009B010000}"/>
    <cellStyle name="_KLJ house - prithvi sound_18 05 07 3 2 3" xfId="1715" xr:uid="{00000000-0005-0000-0000-00009C010000}"/>
    <cellStyle name="_KLJ house - prithvi sound_18 05 07 3 2 3 2" xfId="7255" xr:uid="{00000000-0005-0000-0000-00009D010000}"/>
    <cellStyle name="_KLJ house - prithvi sound_18 05 07 3 2 3 2 2" xfId="9958" xr:uid="{00000000-0005-0000-0000-00009E010000}"/>
    <cellStyle name="_KLJ house - prithvi sound_18 05 07 3 2 3 3" xfId="8618" xr:uid="{00000000-0005-0000-0000-00009F010000}"/>
    <cellStyle name="_KLJ house - prithvi sound_18 05 07 3 2 4" xfId="7253" xr:uid="{00000000-0005-0000-0000-0000A0010000}"/>
    <cellStyle name="_KLJ house - prithvi sound_18 05 07 3 2 4 2" xfId="9956" xr:uid="{00000000-0005-0000-0000-0000A1010000}"/>
    <cellStyle name="_KLJ house - prithvi sound_18 05 07 3 2 5" xfId="8616" xr:uid="{00000000-0005-0000-0000-0000A2010000}"/>
    <cellStyle name="_KLJ house - prithvi sound_18 05 07 3 3" xfId="7252" xr:uid="{00000000-0005-0000-0000-0000A3010000}"/>
    <cellStyle name="_KLJ house - prithvi sound_18 05 07 3 3 2" xfId="9955" xr:uid="{00000000-0005-0000-0000-0000A4010000}"/>
    <cellStyle name="_KLJ house - prithvi sound_18 05 07 3 4" xfId="8615" xr:uid="{00000000-0005-0000-0000-0000A5010000}"/>
    <cellStyle name="_KLJ house - prithvi sound_18 05 07 4" xfId="1716" xr:uid="{00000000-0005-0000-0000-0000A6010000}"/>
    <cellStyle name="_KLJ house - prithvi sound_18 05 07 4 2" xfId="1717" xr:uid="{00000000-0005-0000-0000-0000A7010000}"/>
    <cellStyle name="_KLJ house - prithvi sound_18 05 07 4 2 2" xfId="7257" xr:uid="{00000000-0005-0000-0000-0000A8010000}"/>
    <cellStyle name="_KLJ house - prithvi sound_18 05 07 4 2 2 2" xfId="9960" xr:uid="{00000000-0005-0000-0000-0000A9010000}"/>
    <cellStyle name="_KLJ house - prithvi sound_18 05 07 4 2 3" xfId="8620" xr:uid="{00000000-0005-0000-0000-0000AA010000}"/>
    <cellStyle name="_KLJ house - prithvi sound_18 05 07 4 3" xfId="1718" xr:uid="{00000000-0005-0000-0000-0000AB010000}"/>
    <cellStyle name="_KLJ house - prithvi sound_18 05 07 4 3 2" xfId="7258" xr:uid="{00000000-0005-0000-0000-0000AC010000}"/>
    <cellStyle name="_KLJ house - prithvi sound_18 05 07 4 3 2 2" xfId="9961" xr:uid="{00000000-0005-0000-0000-0000AD010000}"/>
    <cellStyle name="_KLJ house - prithvi sound_18 05 07 4 3 3" xfId="8621" xr:uid="{00000000-0005-0000-0000-0000AE010000}"/>
    <cellStyle name="_KLJ house - prithvi sound_18 05 07 4 4" xfId="7256" xr:uid="{00000000-0005-0000-0000-0000AF010000}"/>
    <cellStyle name="_KLJ house - prithvi sound_18 05 07 4 4 2" xfId="9959" xr:uid="{00000000-0005-0000-0000-0000B0010000}"/>
    <cellStyle name="_KLJ house - prithvi sound_18 05 07 4 5" xfId="8619" xr:uid="{00000000-0005-0000-0000-0000B1010000}"/>
    <cellStyle name="_KLJ house - prithvi sound_18 05 07 5" xfId="7247" xr:uid="{00000000-0005-0000-0000-0000B2010000}"/>
    <cellStyle name="_KLJ house - prithvi sound_18 05 07 5 2" xfId="9950" xr:uid="{00000000-0005-0000-0000-0000B3010000}"/>
    <cellStyle name="_KLJ house - prithvi sound_18 05 07 6" xfId="8610" xr:uid="{00000000-0005-0000-0000-0000B4010000}"/>
    <cellStyle name="_KLJ house -prithvi sound_31 05 07- R5 - opt1" xfId="1719" xr:uid="{00000000-0005-0000-0000-0000B5010000}"/>
    <cellStyle name="_KLJ house -prithvi sound_31 05 07- R5 - opt1 2" xfId="1720" xr:uid="{00000000-0005-0000-0000-0000B6010000}"/>
    <cellStyle name="_KLJ house -prithvi sound_31 05 07- R5 - opt1 2 2" xfId="1721" xr:uid="{00000000-0005-0000-0000-0000B7010000}"/>
    <cellStyle name="_KLJ house -prithvi sound_31 05 07- R5 - opt1 2 2 2" xfId="1722" xr:uid="{00000000-0005-0000-0000-0000B8010000}"/>
    <cellStyle name="_KLJ house -prithvi sound_31 05 07- R5 - opt1 2 2 2 2" xfId="7262" xr:uid="{00000000-0005-0000-0000-0000B9010000}"/>
    <cellStyle name="_KLJ house -prithvi sound_31 05 07- R5 - opt1 2 2 2 2 2" xfId="9965" xr:uid="{00000000-0005-0000-0000-0000BA010000}"/>
    <cellStyle name="_KLJ house -prithvi sound_31 05 07- R5 - opt1 2 2 2 3" xfId="8625" xr:uid="{00000000-0005-0000-0000-0000BB010000}"/>
    <cellStyle name="_KLJ house -prithvi sound_31 05 07- R5 - opt1 2 2 3" xfId="1723" xr:uid="{00000000-0005-0000-0000-0000BC010000}"/>
    <cellStyle name="_KLJ house -prithvi sound_31 05 07- R5 - opt1 2 2 3 2" xfId="7263" xr:uid="{00000000-0005-0000-0000-0000BD010000}"/>
    <cellStyle name="_KLJ house -prithvi sound_31 05 07- R5 - opt1 2 2 3 2 2" xfId="9966" xr:uid="{00000000-0005-0000-0000-0000BE010000}"/>
    <cellStyle name="_KLJ house -prithvi sound_31 05 07- R5 - opt1 2 2 3 3" xfId="8626" xr:uid="{00000000-0005-0000-0000-0000BF010000}"/>
    <cellStyle name="_KLJ house -prithvi sound_31 05 07- R5 - opt1 2 2 4" xfId="7261" xr:uid="{00000000-0005-0000-0000-0000C0010000}"/>
    <cellStyle name="_KLJ house -prithvi sound_31 05 07- R5 - opt1 2 2 4 2" xfId="9964" xr:uid="{00000000-0005-0000-0000-0000C1010000}"/>
    <cellStyle name="_KLJ house -prithvi sound_31 05 07- R5 - opt1 2 2 5" xfId="8624" xr:uid="{00000000-0005-0000-0000-0000C2010000}"/>
    <cellStyle name="_KLJ house -prithvi sound_31 05 07- R5 - opt1 2 3" xfId="7260" xr:uid="{00000000-0005-0000-0000-0000C3010000}"/>
    <cellStyle name="_KLJ house -prithvi sound_31 05 07- R5 - opt1 2 3 2" xfId="9963" xr:uid="{00000000-0005-0000-0000-0000C4010000}"/>
    <cellStyle name="_KLJ house -prithvi sound_31 05 07- R5 - opt1 2 4" xfId="8623" xr:uid="{00000000-0005-0000-0000-0000C5010000}"/>
    <cellStyle name="_KLJ house -prithvi sound_31 05 07- R5 - opt1 3" xfId="1724" xr:uid="{00000000-0005-0000-0000-0000C6010000}"/>
    <cellStyle name="_KLJ house -prithvi sound_31 05 07- R5 - opt1 3 2" xfId="1725" xr:uid="{00000000-0005-0000-0000-0000C7010000}"/>
    <cellStyle name="_KLJ house -prithvi sound_31 05 07- R5 - opt1 3 2 2" xfId="1726" xr:uid="{00000000-0005-0000-0000-0000C8010000}"/>
    <cellStyle name="_KLJ house -prithvi sound_31 05 07- R5 - opt1 3 2 2 2" xfId="7266" xr:uid="{00000000-0005-0000-0000-0000C9010000}"/>
    <cellStyle name="_KLJ house -prithvi sound_31 05 07- R5 - opt1 3 2 2 2 2" xfId="9969" xr:uid="{00000000-0005-0000-0000-0000CA010000}"/>
    <cellStyle name="_KLJ house -prithvi sound_31 05 07- R5 - opt1 3 2 2 3" xfId="8629" xr:uid="{00000000-0005-0000-0000-0000CB010000}"/>
    <cellStyle name="_KLJ house -prithvi sound_31 05 07- R5 - opt1 3 2 3" xfId="1727" xr:uid="{00000000-0005-0000-0000-0000CC010000}"/>
    <cellStyle name="_KLJ house -prithvi sound_31 05 07- R5 - opt1 3 2 3 2" xfId="7267" xr:uid="{00000000-0005-0000-0000-0000CD010000}"/>
    <cellStyle name="_KLJ house -prithvi sound_31 05 07- R5 - opt1 3 2 3 2 2" xfId="9970" xr:uid="{00000000-0005-0000-0000-0000CE010000}"/>
    <cellStyle name="_KLJ house -prithvi sound_31 05 07- R5 - opt1 3 2 3 3" xfId="8630" xr:uid="{00000000-0005-0000-0000-0000CF010000}"/>
    <cellStyle name="_KLJ house -prithvi sound_31 05 07- R5 - opt1 3 2 4" xfId="7265" xr:uid="{00000000-0005-0000-0000-0000D0010000}"/>
    <cellStyle name="_KLJ house -prithvi sound_31 05 07- R5 - opt1 3 2 4 2" xfId="9968" xr:uid="{00000000-0005-0000-0000-0000D1010000}"/>
    <cellStyle name="_KLJ house -prithvi sound_31 05 07- R5 - opt1 3 2 5" xfId="8628" xr:uid="{00000000-0005-0000-0000-0000D2010000}"/>
    <cellStyle name="_KLJ house -prithvi sound_31 05 07- R5 - opt1 3 3" xfId="7264" xr:uid="{00000000-0005-0000-0000-0000D3010000}"/>
    <cellStyle name="_KLJ house -prithvi sound_31 05 07- R5 - opt1 3 3 2" xfId="9967" xr:uid="{00000000-0005-0000-0000-0000D4010000}"/>
    <cellStyle name="_KLJ house -prithvi sound_31 05 07- R5 - opt1 3 4" xfId="8627" xr:uid="{00000000-0005-0000-0000-0000D5010000}"/>
    <cellStyle name="_KLJ house -prithvi sound_31 05 07- R5 - opt1 4" xfId="1728" xr:uid="{00000000-0005-0000-0000-0000D6010000}"/>
    <cellStyle name="_KLJ house -prithvi sound_31 05 07- R5 - opt1 4 2" xfId="1729" xr:uid="{00000000-0005-0000-0000-0000D7010000}"/>
    <cellStyle name="_KLJ house -prithvi sound_31 05 07- R5 - opt1 4 2 2" xfId="7269" xr:uid="{00000000-0005-0000-0000-0000D8010000}"/>
    <cellStyle name="_KLJ house -prithvi sound_31 05 07- R5 - opt1 4 2 2 2" xfId="9972" xr:uid="{00000000-0005-0000-0000-0000D9010000}"/>
    <cellStyle name="_KLJ house -prithvi sound_31 05 07- R5 - opt1 4 2 3" xfId="8632" xr:uid="{00000000-0005-0000-0000-0000DA010000}"/>
    <cellStyle name="_KLJ house -prithvi sound_31 05 07- R5 - opt1 4 3" xfId="1730" xr:uid="{00000000-0005-0000-0000-0000DB010000}"/>
    <cellStyle name="_KLJ house -prithvi sound_31 05 07- R5 - opt1 4 3 2" xfId="7270" xr:uid="{00000000-0005-0000-0000-0000DC010000}"/>
    <cellStyle name="_KLJ house -prithvi sound_31 05 07- R5 - opt1 4 3 2 2" xfId="9973" xr:uid="{00000000-0005-0000-0000-0000DD010000}"/>
    <cellStyle name="_KLJ house -prithvi sound_31 05 07- R5 - opt1 4 3 3" xfId="8633" xr:uid="{00000000-0005-0000-0000-0000DE010000}"/>
    <cellStyle name="_KLJ house -prithvi sound_31 05 07- R5 - opt1 4 4" xfId="7268" xr:uid="{00000000-0005-0000-0000-0000DF010000}"/>
    <cellStyle name="_KLJ house -prithvi sound_31 05 07- R5 - opt1 4 4 2" xfId="9971" xr:uid="{00000000-0005-0000-0000-0000E0010000}"/>
    <cellStyle name="_KLJ house -prithvi sound_31 05 07- R5 - opt1 4 5" xfId="8631" xr:uid="{00000000-0005-0000-0000-0000E1010000}"/>
    <cellStyle name="_KLJ house -prithvi sound_31 05 07- R5 - opt1 5" xfId="7259" xr:uid="{00000000-0005-0000-0000-0000E2010000}"/>
    <cellStyle name="_KLJ house -prithvi sound_31 05 07- R5 - opt1 5 2" xfId="9962" xr:uid="{00000000-0005-0000-0000-0000E3010000}"/>
    <cellStyle name="_KLJ house -prithvi sound_31 05 07- R5 - opt1 6" xfId="8622" xr:uid="{00000000-0005-0000-0000-0000E4010000}"/>
    <cellStyle name="_KRCD ACS 25.09.06 option-2" xfId="339" xr:uid="{00000000-0005-0000-0000-0000E5010000}"/>
    <cellStyle name="_KRCD ACS 25.09.06 option-2 2" xfId="1731" xr:uid="{00000000-0005-0000-0000-0000E6010000}"/>
    <cellStyle name="_Kris 60331 m" xfId="340" xr:uid="{00000000-0005-0000-0000-0000E7010000}"/>
    <cellStyle name="_Kwon Tong Apparel -14.08.07-PA" xfId="1732" xr:uid="{00000000-0005-0000-0000-0000E8010000}"/>
    <cellStyle name="_Kwon Tong Apparel -14.08.07-PA 2" xfId="1733" xr:uid="{00000000-0005-0000-0000-0000E9010000}"/>
    <cellStyle name="_Mariott Pune costing R1" xfId="1734" xr:uid="{00000000-0005-0000-0000-0000EA010000}"/>
    <cellStyle name="_Mariott Pune costing R1 2" xfId="1735" xr:uid="{00000000-0005-0000-0000-0000EB010000}"/>
    <cellStyle name="_Mastek Mahape -09.05.06" xfId="341" xr:uid="{00000000-0005-0000-0000-0000EC010000}"/>
    <cellStyle name="_Mastek Mahape -09.05.06 2" xfId="1736" xr:uid="{00000000-0005-0000-0000-0000ED010000}"/>
    <cellStyle name="_MMR Vaccine Facility - 26.11.07" xfId="1737" xr:uid="{00000000-0005-0000-0000-0000EE010000}"/>
    <cellStyle name="_MMR Vaccine Facility - 26.11.07 2" xfId="1738" xr:uid="{00000000-0005-0000-0000-0000EF010000}"/>
    <cellStyle name="_Moolchand Hospital- s125 - 05.01.2007" xfId="1739" xr:uid="{00000000-0005-0000-0000-0000F0010000}"/>
    <cellStyle name="_Moolchand Hospital- s125 - 05.01.2007 2" xfId="1740" xr:uid="{00000000-0005-0000-0000-0000F1010000}"/>
    <cellStyle name="_Oracle HYD 19.06.06" xfId="342" xr:uid="{00000000-0005-0000-0000-0000F2010000}"/>
    <cellStyle name="_Oracle HYD 19.06.06 2" xfId="1741" xr:uid="{00000000-0005-0000-0000-0000F3010000}"/>
    <cellStyle name="_P.V.S.M Hospital -17.05.06-Unpriced" xfId="343" xr:uid="{00000000-0005-0000-0000-0000F4010000}"/>
    <cellStyle name="_P.V.S.M Hospital -17.05.06-Unpriced 2" xfId="1742" xr:uid="{00000000-0005-0000-0000-0000F5010000}"/>
    <cellStyle name="_PCS INR -29.04.08" xfId="1743" xr:uid="{00000000-0005-0000-0000-0000F6010000}"/>
    <cellStyle name="_PCS INR -29.04.08 2" xfId="1744" xr:uid="{00000000-0005-0000-0000-0000F7010000}"/>
    <cellStyle name="_Pfizer Phase II - 27.09.07" xfId="1745" xr:uid="{00000000-0005-0000-0000-0000F8010000}"/>
    <cellStyle name="_Pfizer Phase II - 27.09.07 2" xfId="1746" xr:uid="{00000000-0005-0000-0000-0000F9010000}"/>
    <cellStyle name="_Port Trust,Data Center -31.05.06" xfId="1747" xr:uid="{00000000-0005-0000-0000-0000FA010000}"/>
    <cellStyle name="_Port Trust,Data Center -31.05.06 2" xfId="1748" xr:uid="{00000000-0005-0000-0000-0000FB010000}"/>
    <cellStyle name="_Pri Sch 7216" xfId="344" xr:uid="{00000000-0005-0000-0000-0000FC010000}"/>
    <cellStyle name="_Pri Sch 7220" xfId="345" xr:uid="{00000000-0005-0000-0000-0000FD010000}"/>
    <cellStyle name="_Pri Sch 7403" xfId="346" xr:uid="{00000000-0005-0000-0000-0000FE010000}"/>
    <cellStyle name="_PVS Hospital,Kochi_150406_M" xfId="347" xr:uid="{00000000-0005-0000-0000-0000FF010000}"/>
    <cellStyle name="_Raju Vekatraman residence-01.09.06" xfId="1749" xr:uid="{00000000-0005-0000-0000-000000020000}"/>
    <cellStyle name="_Raju Vekatraman residence-01.09.06 2" xfId="1750" xr:uid="{00000000-0005-0000-0000-000001020000}"/>
    <cellStyle name="_RBI wipro BMS 16.6.06" xfId="348" xr:uid="{00000000-0005-0000-0000-000002020000}"/>
    <cellStyle name="_RBI wipro BMS 16.6.06 2" xfId="1751" xr:uid="{00000000-0005-0000-0000-000003020000}"/>
    <cellStyle name="_Ref. BMS UB City 22.9.06" xfId="349" xr:uid="{00000000-0005-0000-0000-000004020000}"/>
    <cellStyle name="_Ref. BMS UB City 22.9.06 2" xfId="1752" xr:uid="{00000000-0005-0000-0000-000005020000}"/>
    <cellStyle name="_Reliance - s125 - 05.01.2007" xfId="1753" xr:uid="{00000000-0005-0000-0000-000006020000}"/>
    <cellStyle name="_Reliance - s125 - 05.01.2007 2" xfId="1754" xr:uid="{00000000-0005-0000-0000-000007020000}"/>
    <cellStyle name="_Reliance -IDC2- VESDA - 12.03.07" xfId="1755" xr:uid="{00000000-0005-0000-0000-000008020000}"/>
    <cellStyle name="_Reliance -IDC2- VESDA - 12.03.07 2" xfId="1756" xr:uid="{00000000-0005-0000-0000-000009020000}"/>
    <cellStyle name="_Reliance-24.02.06-Email" xfId="1757" xr:uid="{00000000-0005-0000-0000-00000A020000}"/>
    <cellStyle name="_Reliance-24.02.06-Email 2" xfId="1758" xr:uid="{00000000-0005-0000-0000-00000B020000}"/>
    <cellStyle name="_RMZ Millenia Buisness Park mail-27.09.06-R1" xfId="1759" xr:uid="{00000000-0005-0000-0000-00000C020000}"/>
    <cellStyle name="_RMZ Millenia Buisness Park mail-27.09.06-R1 2" xfId="1760" xr:uid="{00000000-0005-0000-0000-00000D020000}"/>
    <cellStyle name="_RMZ Millenia Buisness Park mail-27.09.06-R1 2 2" xfId="1761" xr:uid="{00000000-0005-0000-0000-00000E020000}"/>
    <cellStyle name="_RMZ Millenia Buisness Park mail-27.09.06-R1 2 2 2" xfId="1762" xr:uid="{00000000-0005-0000-0000-00000F020000}"/>
    <cellStyle name="_RMZ Millenia Buisness Park mail-27.09.06-R1 2 2 2 2" xfId="7274" xr:uid="{00000000-0005-0000-0000-000010020000}"/>
    <cellStyle name="_RMZ Millenia Buisness Park mail-27.09.06-R1 2 2 2 2 2" xfId="9977" xr:uid="{00000000-0005-0000-0000-000011020000}"/>
    <cellStyle name="_RMZ Millenia Buisness Park mail-27.09.06-R1 2 2 2 3" xfId="8637" xr:uid="{00000000-0005-0000-0000-000012020000}"/>
    <cellStyle name="_RMZ Millenia Buisness Park mail-27.09.06-R1 2 2 3" xfId="1763" xr:uid="{00000000-0005-0000-0000-000013020000}"/>
    <cellStyle name="_RMZ Millenia Buisness Park mail-27.09.06-R1 2 2 3 2" xfId="7275" xr:uid="{00000000-0005-0000-0000-000014020000}"/>
    <cellStyle name="_RMZ Millenia Buisness Park mail-27.09.06-R1 2 2 3 2 2" xfId="9978" xr:uid="{00000000-0005-0000-0000-000015020000}"/>
    <cellStyle name="_RMZ Millenia Buisness Park mail-27.09.06-R1 2 2 3 3" xfId="8638" xr:uid="{00000000-0005-0000-0000-000016020000}"/>
    <cellStyle name="_RMZ Millenia Buisness Park mail-27.09.06-R1 2 2 4" xfId="7273" xr:uid="{00000000-0005-0000-0000-000017020000}"/>
    <cellStyle name="_RMZ Millenia Buisness Park mail-27.09.06-R1 2 2 4 2" xfId="9976" xr:uid="{00000000-0005-0000-0000-000018020000}"/>
    <cellStyle name="_RMZ Millenia Buisness Park mail-27.09.06-R1 2 2 5" xfId="8636" xr:uid="{00000000-0005-0000-0000-000019020000}"/>
    <cellStyle name="_RMZ Millenia Buisness Park mail-27.09.06-R1 2 3" xfId="7272" xr:uid="{00000000-0005-0000-0000-00001A020000}"/>
    <cellStyle name="_RMZ Millenia Buisness Park mail-27.09.06-R1 2 3 2" xfId="9975" xr:uid="{00000000-0005-0000-0000-00001B020000}"/>
    <cellStyle name="_RMZ Millenia Buisness Park mail-27.09.06-R1 2 4" xfId="8635" xr:uid="{00000000-0005-0000-0000-00001C020000}"/>
    <cellStyle name="_RMZ Millenia Buisness Park mail-27.09.06-R1 3" xfId="1764" xr:uid="{00000000-0005-0000-0000-00001D020000}"/>
    <cellStyle name="_RMZ Millenia Buisness Park mail-27.09.06-R1 3 2" xfId="1765" xr:uid="{00000000-0005-0000-0000-00001E020000}"/>
    <cellStyle name="_RMZ Millenia Buisness Park mail-27.09.06-R1 3 2 2" xfId="1766" xr:uid="{00000000-0005-0000-0000-00001F020000}"/>
    <cellStyle name="_RMZ Millenia Buisness Park mail-27.09.06-R1 3 2 2 2" xfId="7278" xr:uid="{00000000-0005-0000-0000-000020020000}"/>
    <cellStyle name="_RMZ Millenia Buisness Park mail-27.09.06-R1 3 2 2 2 2" xfId="9981" xr:uid="{00000000-0005-0000-0000-000021020000}"/>
    <cellStyle name="_RMZ Millenia Buisness Park mail-27.09.06-R1 3 2 2 3" xfId="8641" xr:uid="{00000000-0005-0000-0000-000022020000}"/>
    <cellStyle name="_RMZ Millenia Buisness Park mail-27.09.06-R1 3 2 3" xfId="1767" xr:uid="{00000000-0005-0000-0000-000023020000}"/>
    <cellStyle name="_RMZ Millenia Buisness Park mail-27.09.06-R1 3 2 3 2" xfId="7279" xr:uid="{00000000-0005-0000-0000-000024020000}"/>
    <cellStyle name="_RMZ Millenia Buisness Park mail-27.09.06-R1 3 2 3 2 2" xfId="9982" xr:uid="{00000000-0005-0000-0000-000025020000}"/>
    <cellStyle name="_RMZ Millenia Buisness Park mail-27.09.06-R1 3 2 3 3" xfId="8642" xr:uid="{00000000-0005-0000-0000-000026020000}"/>
    <cellStyle name="_RMZ Millenia Buisness Park mail-27.09.06-R1 3 2 4" xfId="7277" xr:uid="{00000000-0005-0000-0000-000027020000}"/>
    <cellStyle name="_RMZ Millenia Buisness Park mail-27.09.06-R1 3 2 4 2" xfId="9980" xr:uid="{00000000-0005-0000-0000-000028020000}"/>
    <cellStyle name="_RMZ Millenia Buisness Park mail-27.09.06-R1 3 2 5" xfId="8640" xr:uid="{00000000-0005-0000-0000-000029020000}"/>
    <cellStyle name="_RMZ Millenia Buisness Park mail-27.09.06-R1 3 3" xfId="7276" xr:uid="{00000000-0005-0000-0000-00002A020000}"/>
    <cellStyle name="_RMZ Millenia Buisness Park mail-27.09.06-R1 3 3 2" xfId="9979" xr:uid="{00000000-0005-0000-0000-00002B020000}"/>
    <cellStyle name="_RMZ Millenia Buisness Park mail-27.09.06-R1 3 4" xfId="8639" xr:uid="{00000000-0005-0000-0000-00002C020000}"/>
    <cellStyle name="_RMZ Millenia Buisness Park mail-27.09.06-R1 4" xfId="1768" xr:uid="{00000000-0005-0000-0000-00002D020000}"/>
    <cellStyle name="_RMZ Millenia Buisness Park mail-27.09.06-R1 4 2" xfId="1769" xr:uid="{00000000-0005-0000-0000-00002E020000}"/>
    <cellStyle name="_RMZ Millenia Buisness Park mail-27.09.06-R1 4 2 2" xfId="7281" xr:uid="{00000000-0005-0000-0000-00002F020000}"/>
    <cellStyle name="_RMZ Millenia Buisness Park mail-27.09.06-R1 4 2 2 2" xfId="9984" xr:uid="{00000000-0005-0000-0000-000030020000}"/>
    <cellStyle name="_RMZ Millenia Buisness Park mail-27.09.06-R1 4 2 3" xfId="8644" xr:uid="{00000000-0005-0000-0000-000031020000}"/>
    <cellStyle name="_RMZ Millenia Buisness Park mail-27.09.06-R1 4 3" xfId="1770" xr:uid="{00000000-0005-0000-0000-000032020000}"/>
    <cellStyle name="_RMZ Millenia Buisness Park mail-27.09.06-R1 4 3 2" xfId="7282" xr:uid="{00000000-0005-0000-0000-000033020000}"/>
    <cellStyle name="_RMZ Millenia Buisness Park mail-27.09.06-R1 4 3 2 2" xfId="9985" xr:uid="{00000000-0005-0000-0000-000034020000}"/>
    <cellStyle name="_RMZ Millenia Buisness Park mail-27.09.06-R1 4 3 3" xfId="8645" xr:uid="{00000000-0005-0000-0000-000035020000}"/>
    <cellStyle name="_RMZ Millenia Buisness Park mail-27.09.06-R1 4 4" xfId="7280" xr:uid="{00000000-0005-0000-0000-000036020000}"/>
    <cellStyle name="_RMZ Millenia Buisness Park mail-27.09.06-R1 4 4 2" xfId="9983" xr:uid="{00000000-0005-0000-0000-000037020000}"/>
    <cellStyle name="_RMZ Millenia Buisness Park mail-27.09.06-R1 4 5" xfId="8643" xr:uid="{00000000-0005-0000-0000-000038020000}"/>
    <cellStyle name="_RMZ Millenia Buisness Park mail-27.09.06-R1 5" xfId="7271" xr:uid="{00000000-0005-0000-0000-000039020000}"/>
    <cellStyle name="_RMZ Millenia Buisness Park mail-27.09.06-R1 5 2" xfId="9974" xr:uid="{00000000-0005-0000-0000-00003A020000}"/>
    <cellStyle name="_RMZ Millenia Buisness Park mail-27.09.06-R1 6" xfId="8634" xr:uid="{00000000-0005-0000-0000-00003B020000}"/>
    <cellStyle name="_RMZ Millinea (ACS, CCTV &amp; BMS) - 05.09.07R7(SiemensBMS)" xfId="1771" xr:uid="{00000000-0005-0000-0000-00003C020000}"/>
    <cellStyle name="_RMZ Millinea (ACS, CCTV &amp; BMS) - 05.09.07R7(SiemensBMS) 2" xfId="1772" xr:uid="{00000000-0005-0000-0000-00003D020000}"/>
    <cellStyle name="_Royal Valley-FPS1-22.01.07" xfId="1773" xr:uid="{00000000-0005-0000-0000-00003E020000}"/>
    <cellStyle name="_Royal Valley-FPS1-22.01.07 2" xfId="1774" xr:uid="{00000000-0005-0000-0000-00003F020000}"/>
    <cellStyle name="_Runwal Town - make list" xfId="1775" xr:uid="{00000000-0005-0000-0000-000040020000}"/>
    <cellStyle name="_Runwal Town - make list 2" xfId="1776" xr:uid="{00000000-0005-0000-0000-000041020000}"/>
    <cellStyle name="_Runwal Town - make list 2 2" xfId="1777" xr:uid="{00000000-0005-0000-0000-000042020000}"/>
    <cellStyle name="_Runwal Town - make list 2 2 2" xfId="1778" xr:uid="{00000000-0005-0000-0000-000043020000}"/>
    <cellStyle name="_Runwal Town - make list 2 2 2 2" xfId="7286" xr:uid="{00000000-0005-0000-0000-000044020000}"/>
    <cellStyle name="_Runwal Town - make list 2 2 2 2 2" xfId="9989" xr:uid="{00000000-0005-0000-0000-000045020000}"/>
    <cellStyle name="_Runwal Town - make list 2 2 2 3" xfId="8649" xr:uid="{00000000-0005-0000-0000-000046020000}"/>
    <cellStyle name="_Runwal Town - make list 2 2 3" xfId="1779" xr:uid="{00000000-0005-0000-0000-000047020000}"/>
    <cellStyle name="_Runwal Town - make list 2 2 3 2" xfId="7287" xr:uid="{00000000-0005-0000-0000-000048020000}"/>
    <cellStyle name="_Runwal Town - make list 2 2 3 2 2" xfId="9990" xr:uid="{00000000-0005-0000-0000-000049020000}"/>
    <cellStyle name="_Runwal Town - make list 2 2 3 3" xfId="8650" xr:uid="{00000000-0005-0000-0000-00004A020000}"/>
    <cellStyle name="_Runwal Town - make list 2 2 4" xfId="7285" xr:uid="{00000000-0005-0000-0000-00004B020000}"/>
    <cellStyle name="_Runwal Town - make list 2 2 4 2" xfId="9988" xr:uid="{00000000-0005-0000-0000-00004C020000}"/>
    <cellStyle name="_Runwal Town - make list 2 2 5" xfId="8648" xr:uid="{00000000-0005-0000-0000-00004D020000}"/>
    <cellStyle name="_Runwal Town - make list 2 3" xfId="7284" xr:uid="{00000000-0005-0000-0000-00004E020000}"/>
    <cellStyle name="_Runwal Town - make list 2 3 2" xfId="9987" xr:uid="{00000000-0005-0000-0000-00004F020000}"/>
    <cellStyle name="_Runwal Town - make list 2 4" xfId="8647" xr:uid="{00000000-0005-0000-0000-000050020000}"/>
    <cellStyle name="_Runwal Town - make list 3" xfId="1780" xr:uid="{00000000-0005-0000-0000-000051020000}"/>
    <cellStyle name="_Runwal Town - make list 3 2" xfId="1781" xr:uid="{00000000-0005-0000-0000-000052020000}"/>
    <cellStyle name="_Runwal Town - make list 3 2 2" xfId="1782" xr:uid="{00000000-0005-0000-0000-000053020000}"/>
    <cellStyle name="_Runwal Town - make list 3 2 2 2" xfId="7290" xr:uid="{00000000-0005-0000-0000-000054020000}"/>
    <cellStyle name="_Runwal Town - make list 3 2 2 2 2" xfId="9993" xr:uid="{00000000-0005-0000-0000-000055020000}"/>
    <cellStyle name="_Runwal Town - make list 3 2 2 3" xfId="8653" xr:uid="{00000000-0005-0000-0000-000056020000}"/>
    <cellStyle name="_Runwal Town - make list 3 2 3" xfId="1783" xr:uid="{00000000-0005-0000-0000-000057020000}"/>
    <cellStyle name="_Runwal Town - make list 3 2 3 2" xfId="7291" xr:uid="{00000000-0005-0000-0000-000058020000}"/>
    <cellStyle name="_Runwal Town - make list 3 2 3 2 2" xfId="9994" xr:uid="{00000000-0005-0000-0000-000059020000}"/>
    <cellStyle name="_Runwal Town - make list 3 2 3 3" xfId="8654" xr:uid="{00000000-0005-0000-0000-00005A020000}"/>
    <cellStyle name="_Runwal Town - make list 3 2 4" xfId="7289" xr:uid="{00000000-0005-0000-0000-00005B020000}"/>
    <cellStyle name="_Runwal Town - make list 3 2 4 2" xfId="9992" xr:uid="{00000000-0005-0000-0000-00005C020000}"/>
    <cellStyle name="_Runwal Town - make list 3 2 5" xfId="8652" xr:uid="{00000000-0005-0000-0000-00005D020000}"/>
    <cellStyle name="_Runwal Town - make list 3 3" xfId="7288" xr:uid="{00000000-0005-0000-0000-00005E020000}"/>
    <cellStyle name="_Runwal Town - make list 3 3 2" xfId="9991" xr:uid="{00000000-0005-0000-0000-00005F020000}"/>
    <cellStyle name="_Runwal Town - make list 3 4" xfId="8651" xr:uid="{00000000-0005-0000-0000-000060020000}"/>
    <cellStyle name="_Runwal Town - make list 4" xfId="1784" xr:uid="{00000000-0005-0000-0000-000061020000}"/>
    <cellStyle name="_Runwal Town - make list 4 2" xfId="1785" xr:uid="{00000000-0005-0000-0000-000062020000}"/>
    <cellStyle name="_Runwal Town - make list 4 2 2" xfId="7293" xr:uid="{00000000-0005-0000-0000-000063020000}"/>
    <cellStyle name="_Runwal Town - make list 4 2 2 2" xfId="9996" xr:uid="{00000000-0005-0000-0000-000064020000}"/>
    <cellStyle name="_Runwal Town - make list 4 2 3" xfId="8656" xr:uid="{00000000-0005-0000-0000-000065020000}"/>
    <cellStyle name="_Runwal Town - make list 4 3" xfId="1786" xr:uid="{00000000-0005-0000-0000-000066020000}"/>
    <cellStyle name="_Runwal Town - make list 4 3 2" xfId="7294" xr:uid="{00000000-0005-0000-0000-000067020000}"/>
    <cellStyle name="_Runwal Town - make list 4 3 2 2" xfId="9997" xr:uid="{00000000-0005-0000-0000-000068020000}"/>
    <cellStyle name="_Runwal Town - make list 4 3 3" xfId="8657" xr:uid="{00000000-0005-0000-0000-000069020000}"/>
    <cellStyle name="_Runwal Town - make list 4 4" xfId="7292" xr:uid="{00000000-0005-0000-0000-00006A020000}"/>
    <cellStyle name="_Runwal Town - make list 4 4 2" xfId="9995" xr:uid="{00000000-0005-0000-0000-00006B020000}"/>
    <cellStyle name="_Runwal Town - make list 4 5" xfId="8655" xr:uid="{00000000-0005-0000-0000-00006C020000}"/>
    <cellStyle name="_Runwal Town - make list 5" xfId="7283" xr:uid="{00000000-0005-0000-0000-00006D020000}"/>
    <cellStyle name="_Runwal Town - make list 5 2" xfId="9986" xr:uid="{00000000-0005-0000-0000-00006E020000}"/>
    <cellStyle name="_Runwal Town - make list 6" xfId="8646" xr:uid="{00000000-0005-0000-0000-00006F020000}"/>
    <cellStyle name="_sahara - FPS - DSN - BOQ - 17.02.07" xfId="1787" xr:uid="{00000000-0005-0000-0000-000070020000}"/>
    <cellStyle name="_sahara - FPS - DSN - BOQ - 17.02.07 2" xfId="1788" xr:uid="{00000000-0005-0000-0000-000071020000}"/>
    <cellStyle name="_sahara - FPS - DSN - BOQ - 17.02.07 2 2" xfId="1789" xr:uid="{00000000-0005-0000-0000-000072020000}"/>
    <cellStyle name="_sahara - FPS - DSN - BOQ - 17.02.07 2 2 2" xfId="1790" xr:uid="{00000000-0005-0000-0000-000073020000}"/>
    <cellStyle name="_sahara - FPS - DSN - BOQ - 17.02.07 2 2 2 2" xfId="7298" xr:uid="{00000000-0005-0000-0000-000074020000}"/>
    <cellStyle name="_sahara - FPS - DSN - BOQ - 17.02.07 2 2 2 2 2" xfId="10001" xr:uid="{00000000-0005-0000-0000-000075020000}"/>
    <cellStyle name="_sahara - FPS - DSN - BOQ - 17.02.07 2 2 2 3" xfId="8661" xr:uid="{00000000-0005-0000-0000-000076020000}"/>
    <cellStyle name="_sahara - FPS - DSN - BOQ - 17.02.07 2 2 3" xfId="1791" xr:uid="{00000000-0005-0000-0000-000077020000}"/>
    <cellStyle name="_sahara - FPS - DSN - BOQ - 17.02.07 2 2 3 2" xfId="7299" xr:uid="{00000000-0005-0000-0000-000078020000}"/>
    <cellStyle name="_sahara - FPS - DSN - BOQ - 17.02.07 2 2 3 2 2" xfId="10002" xr:uid="{00000000-0005-0000-0000-000079020000}"/>
    <cellStyle name="_sahara - FPS - DSN - BOQ - 17.02.07 2 2 3 3" xfId="8662" xr:uid="{00000000-0005-0000-0000-00007A020000}"/>
    <cellStyle name="_sahara - FPS - DSN - BOQ - 17.02.07 2 2 4" xfId="7297" xr:uid="{00000000-0005-0000-0000-00007B020000}"/>
    <cellStyle name="_sahara - FPS - DSN - BOQ - 17.02.07 2 2 4 2" xfId="10000" xr:uid="{00000000-0005-0000-0000-00007C020000}"/>
    <cellStyle name="_sahara - FPS - DSN - BOQ - 17.02.07 2 2 5" xfId="8660" xr:uid="{00000000-0005-0000-0000-00007D020000}"/>
    <cellStyle name="_sahara - FPS - DSN - BOQ - 17.02.07 2 3" xfId="7296" xr:uid="{00000000-0005-0000-0000-00007E020000}"/>
    <cellStyle name="_sahara - FPS - DSN - BOQ - 17.02.07 2 3 2" xfId="9999" xr:uid="{00000000-0005-0000-0000-00007F020000}"/>
    <cellStyle name="_sahara - FPS - DSN - BOQ - 17.02.07 2 4" xfId="8659" xr:uid="{00000000-0005-0000-0000-000080020000}"/>
    <cellStyle name="_sahara - FPS - DSN - BOQ - 17.02.07 3" xfId="1792" xr:uid="{00000000-0005-0000-0000-000081020000}"/>
    <cellStyle name="_sahara - FPS - DSN - BOQ - 17.02.07 3 2" xfId="1793" xr:uid="{00000000-0005-0000-0000-000082020000}"/>
    <cellStyle name="_sahara - FPS - DSN - BOQ - 17.02.07 3 2 2" xfId="1794" xr:uid="{00000000-0005-0000-0000-000083020000}"/>
    <cellStyle name="_sahara - FPS - DSN - BOQ - 17.02.07 3 2 2 2" xfId="7302" xr:uid="{00000000-0005-0000-0000-000084020000}"/>
    <cellStyle name="_sahara - FPS - DSN - BOQ - 17.02.07 3 2 2 2 2" xfId="10005" xr:uid="{00000000-0005-0000-0000-000085020000}"/>
    <cellStyle name="_sahara - FPS - DSN - BOQ - 17.02.07 3 2 2 3" xfId="8665" xr:uid="{00000000-0005-0000-0000-000086020000}"/>
    <cellStyle name="_sahara - FPS - DSN - BOQ - 17.02.07 3 2 3" xfId="1795" xr:uid="{00000000-0005-0000-0000-000087020000}"/>
    <cellStyle name="_sahara - FPS - DSN - BOQ - 17.02.07 3 2 3 2" xfId="7303" xr:uid="{00000000-0005-0000-0000-000088020000}"/>
    <cellStyle name="_sahara - FPS - DSN - BOQ - 17.02.07 3 2 3 2 2" xfId="10006" xr:uid="{00000000-0005-0000-0000-000089020000}"/>
    <cellStyle name="_sahara - FPS - DSN - BOQ - 17.02.07 3 2 3 3" xfId="8666" xr:uid="{00000000-0005-0000-0000-00008A020000}"/>
    <cellStyle name="_sahara - FPS - DSN - BOQ - 17.02.07 3 2 4" xfId="7301" xr:uid="{00000000-0005-0000-0000-00008B020000}"/>
    <cellStyle name="_sahara - FPS - DSN - BOQ - 17.02.07 3 2 4 2" xfId="10004" xr:uid="{00000000-0005-0000-0000-00008C020000}"/>
    <cellStyle name="_sahara - FPS - DSN - BOQ - 17.02.07 3 2 5" xfId="8664" xr:uid="{00000000-0005-0000-0000-00008D020000}"/>
    <cellStyle name="_sahara - FPS - DSN - BOQ - 17.02.07 3 3" xfId="7300" xr:uid="{00000000-0005-0000-0000-00008E020000}"/>
    <cellStyle name="_sahara - FPS - DSN - BOQ - 17.02.07 3 3 2" xfId="10003" xr:uid="{00000000-0005-0000-0000-00008F020000}"/>
    <cellStyle name="_sahara - FPS - DSN - BOQ - 17.02.07 3 4" xfId="8663" xr:uid="{00000000-0005-0000-0000-000090020000}"/>
    <cellStyle name="_sahara - FPS - DSN - BOQ - 17.02.07 4" xfId="1796" xr:uid="{00000000-0005-0000-0000-000091020000}"/>
    <cellStyle name="_sahara - FPS - DSN - BOQ - 17.02.07 4 2" xfId="1797" xr:uid="{00000000-0005-0000-0000-000092020000}"/>
    <cellStyle name="_sahara - FPS - DSN - BOQ - 17.02.07 4 2 2" xfId="7305" xr:uid="{00000000-0005-0000-0000-000093020000}"/>
    <cellStyle name="_sahara - FPS - DSN - BOQ - 17.02.07 4 2 2 2" xfId="10008" xr:uid="{00000000-0005-0000-0000-000094020000}"/>
    <cellStyle name="_sahara - FPS - DSN - BOQ - 17.02.07 4 2 3" xfId="8668" xr:uid="{00000000-0005-0000-0000-000095020000}"/>
    <cellStyle name="_sahara - FPS - DSN - BOQ - 17.02.07 4 3" xfId="1798" xr:uid="{00000000-0005-0000-0000-000096020000}"/>
    <cellStyle name="_sahara - FPS - DSN - BOQ - 17.02.07 4 3 2" xfId="7306" xr:uid="{00000000-0005-0000-0000-000097020000}"/>
    <cellStyle name="_sahara - FPS - DSN - BOQ - 17.02.07 4 3 2 2" xfId="10009" xr:uid="{00000000-0005-0000-0000-000098020000}"/>
    <cellStyle name="_sahara - FPS - DSN - BOQ - 17.02.07 4 3 3" xfId="8669" xr:uid="{00000000-0005-0000-0000-000099020000}"/>
    <cellStyle name="_sahara - FPS - DSN - BOQ - 17.02.07 4 4" xfId="7304" xr:uid="{00000000-0005-0000-0000-00009A020000}"/>
    <cellStyle name="_sahara - FPS - DSN - BOQ - 17.02.07 4 4 2" xfId="10007" xr:uid="{00000000-0005-0000-0000-00009B020000}"/>
    <cellStyle name="_sahara - FPS - DSN - BOQ - 17.02.07 4 5" xfId="8667" xr:uid="{00000000-0005-0000-0000-00009C020000}"/>
    <cellStyle name="_sahara - FPS - DSN - BOQ - 17.02.07 5" xfId="7295" xr:uid="{00000000-0005-0000-0000-00009D020000}"/>
    <cellStyle name="_sahara - FPS - DSN - BOQ - 17.02.07 5 2" xfId="9998" xr:uid="{00000000-0005-0000-0000-00009E020000}"/>
    <cellStyle name="_sahara - FPS - DSN - BOQ - 17.02.07 6" xfId="8658" xr:uid="{00000000-0005-0000-0000-00009F020000}"/>
    <cellStyle name="_SCB-SCOPE-EDIFICE FAS,PA,ACS,CCTV,BMS 10.11.06-DI" xfId="1799" xr:uid="{00000000-0005-0000-0000-0000A0020000}"/>
    <cellStyle name="_SCB-SCOPE-EDIFICE FAS,PA,ACS,CCTV,BMS 10.11.06-DI 2" xfId="1800" xr:uid="{00000000-0005-0000-0000-0000A1020000}"/>
    <cellStyle name="_Sew electricals-University 17.4.07" xfId="1801" xr:uid="{00000000-0005-0000-0000-0000A2020000}"/>
    <cellStyle name="_Sew electricals-University 17.4.07 2" xfId="1802" xr:uid="{00000000-0005-0000-0000-0000A3020000}"/>
    <cellStyle name="_Shell - Afas &amp; Pa - 23.05.06" xfId="1803" xr:uid="{00000000-0005-0000-0000-0000A4020000}"/>
    <cellStyle name="_Shell - Afas &amp; Pa - 23.05.06 2" xfId="1804" xr:uid="{00000000-0005-0000-0000-0000A5020000}"/>
    <cellStyle name="_Siemens Worksheet" xfId="1805" xr:uid="{00000000-0005-0000-0000-0000A6020000}"/>
    <cellStyle name="_Siemens Worksheet 2" xfId="1806" xr:uid="{00000000-0005-0000-0000-0000A7020000}"/>
    <cellStyle name="_Siemens Worksheet 2 2" xfId="1807" xr:uid="{00000000-0005-0000-0000-0000A8020000}"/>
    <cellStyle name="_Siemens Worksheet 2 2 2" xfId="1808" xr:uid="{00000000-0005-0000-0000-0000A9020000}"/>
    <cellStyle name="_Siemens Worksheet 2 2 2 2" xfId="7310" xr:uid="{00000000-0005-0000-0000-0000AA020000}"/>
    <cellStyle name="_Siemens Worksheet 2 2 2 2 2" xfId="10013" xr:uid="{00000000-0005-0000-0000-0000AB020000}"/>
    <cellStyle name="_Siemens Worksheet 2 2 2 3" xfId="8673" xr:uid="{00000000-0005-0000-0000-0000AC020000}"/>
    <cellStyle name="_Siemens Worksheet 2 2 3" xfId="1809" xr:uid="{00000000-0005-0000-0000-0000AD020000}"/>
    <cellStyle name="_Siemens Worksheet 2 2 3 2" xfId="7311" xr:uid="{00000000-0005-0000-0000-0000AE020000}"/>
    <cellStyle name="_Siemens Worksheet 2 2 3 2 2" xfId="10014" xr:uid="{00000000-0005-0000-0000-0000AF020000}"/>
    <cellStyle name="_Siemens Worksheet 2 2 3 3" xfId="8674" xr:uid="{00000000-0005-0000-0000-0000B0020000}"/>
    <cellStyle name="_Siemens Worksheet 2 2 4" xfId="7309" xr:uid="{00000000-0005-0000-0000-0000B1020000}"/>
    <cellStyle name="_Siemens Worksheet 2 2 4 2" xfId="10012" xr:uid="{00000000-0005-0000-0000-0000B2020000}"/>
    <cellStyle name="_Siemens Worksheet 2 2 5" xfId="8672" xr:uid="{00000000-0005-0000-0000-0000B3020000}"/>
    <cellStyle name="_Siemens Worksheet 2 3" xfId="7308" xr:uid="{00000000-0005-0000-0000-0000B4020000}"/>
    <cellStyle name="_Siemens Worksheet 2 3 2" xfId="10011" xr:uid="{00000000-0005-0000-0000-0000B5020000}"/>
    <cellStyle name="_Siemens Worksheet 2 4" xfId="8671" xr:uid="{00000000-0005-0000-0000-0000B6020000}"/>
    <cellStyle name="_Siemens Worksheet 3" xfId="1810" xr:uid="{00000000-0005-0000-0000-0000B7020000}"/>
    <cellStyle name="_Siemens Worksheet 3 2" xfId="1811" xr:uid="{00000000-0005-0000-0000-0000B8020000}"/>
    <cellStyle name="_Siemens Worksheet 3 2 2" xfId="1812" xr:uid="{00000000-0005-0000-0000-0000B9020000}"/>
    <cellStyle name="_Siemens Worksheet 3 2 2 2" xfId="7314" xr:uid="{00000000-0005-0000-0000-0000BA020000}"/>
    <cellStyle name="_Siemens Worksheet 3 2 2 2 2" xfId="10017" xr:uid="{00000000-0005-0000-0000-0000BB020000}"/>
    <cellStyle name="_Siemens Worksheet 3 2 2 3" xfId="8677" xr:uid="{00000000-0005-0000-0000-0000BC020000}"/>
    <cellStyle name="_Siemens Worksheet 3 2 3" xfId="1813" xr:uid="{00000000-0005-0000-0000-0000BD020000}"/>
    <cellStyle name="_Siemens Worksheet 3 2 3 2" xfId="7315" xr:uid="{00000000-0005-0000-0000-0000BE020000}"/>
    <cellStyle name="_Siemens Worksheet 3 2 3 2 2" xfId="10018" xr:uid="{00000000-0005-0000-0000-0000BF020000}"/>
    <cellStyle name="_Siemens Worksheet 3 2 3 3" xfId="8678" xr:uid="{00000000-0005-0000-0000-0000C0020000}"/>
    <cellStyle name="_Siemens Worksheet 3 2 4" xfId="7313" xr:uid="{00000000-0005-0000-0000-0000C1020000}"/>
    <cellStyle name="_Siemens Worksheet 3 2 4 2" xfId="10016" xr:uid="{00000000-0005-0000-0000-0000C2020000}"/>
    <cellStyle name="_Siemens Worksheet 3 2 5" xfId="8676" xr:uid="{00000000-0005-0000-0000-0000C3020000}"/>
    <cellStyle name="_Siemens Worksheet 3 3" xfId="7312" xr:uid="{00000000-0005-0000-0000-0000C4020000}"/>
    <cellStyle name="_Siemens Worksheet 3 3 2" xfId="10015" xr:uid="{00000000-0005-0000-0000-0000C5020000}"/>
    <cellStyle name="_Siemens Worksheet 3 4" xfId="8675" xr:uid="{00000000-0005-0000-0000-0000C6020000}"/>
    <cellStyle name="_Siemens Worksheet 4" xfId="1814" xr:uid="{00000000-0005-0000-0000-0000C7020000}"/>
    <cellStyle name="_Siemens Worksheet 4 2" xfId="1815" xr:uid="{00000000-0005-0000-0000-0000C8020000}"/>
    <cellStyle name="_Siemens Worksheet 4 2 2" xfId="7317" xr:uid="{00000000-0005-0000-0000-0000C9020000}"/>
    <cellStyle name="_Siemens Worksheet 4 2 2 2" xfId="10020" xr:uid="{00000000-0005-0000-0000-0000CA020000}"/>
    <cellStyle name="_Siemens Worksheet 4 2 3" xfId="8680" xr:uid="{00000000-0005-0000-0000-0000CB020000}"/>
    <cellStyle name="_Siemens Worksheet 4 3" xfId="1816" xr:uid="{00000000-0005-0000-0000-0000CC020000}"/>
    <cellStyle name="_Siemens Worksheet 4 3 2" xfId="7318" xr:uid="{00000000-0005-0000-0000-0000CD020000}"/>
    <cellStyle name="_Siemens Worksheet 4 3 2 2" xfId="10021" xr:uid="{00000000-0005-0000-0000-0000CE020000}"/>
    <cellStyle name="_Siemens Worksheet 4 3 3" xfId="8681" xr:uid="{00000000-0005-0000-0000-0000CF020000}"/>
    <cellStyle name="_Siemens Worksheet 4 4" xfId="7316" xr:uid="{00000000-0005-0000-0000-0000D0020000}"/>
    <cellStyle name="_Siemens Worksheet 4 4 2" xfId="10019" xr:uid="{00000000-0005-0000-0000-0000D1020000}"/>
    <cellStyle name="_Siemens Worksheet 4 5" xfId="8679" xr:uid="{00000000-0005-0000-0000-0000D2020000}"/>
    <cellStyle name="_Siemens Worksheet 5" xfId="7307" xr:uid="{00000000-0005-0000-0000-0000D3020000}"/>
    <cellStyle name="_Siemens Worksheet 5 2" xfId="10010" xr:uid="{00000000-0005-0000-0000-0000D4020000}"/>
    <cellStyle name="_Siemens Worksheet 6" xfId="8670" xr:uid="{00000000-0005-0000-0000-0000D5020000}"/>
    <cellStyle name="_Sify - Vashi - S125 - 19.01.2007" xfId="350" xr:uid="{00000000-0005-0000-0000-0000D6020000}"/>
    <cellStyle name="_Sify - Vashi - S125 - 19.01.2007 2" xfId="1817" xr:uid="{00000000-0005-0000-0000-0000D7020000}"/>
    <cellStyle name="_SIPCOT IT park-Siruseri-FHS-22.01.2007" xfId="1818" xr:uid="{00000000-0005-0000-0000-0000D8020000}"/>
    <cellStyle name="_SIPCOT IT park-Siruseri-FHS-22.01.2007 2" xfId="1819" xr:uid="{00000000-0005-0000-0000-0000D9020000}"/>
    <cellStyle name="_Softsol_BOQ_230606" xfId="351" xr:uid="{00000000-0005-0000-0000-0000DA020000}"/>
    <cellStyle name="_SP Infotech Park_Unpriced BOQ_010706" xfId="352" xr:uid="{00000000-0005-0000-0000-0000DB020000}"/>
    <cellStyle name="_Sterling &amp; Wilson MP Mills PAS,IAS 28.08.06" xfId="1820" xr:uid="{00000000-0005-0000-0000-0000DC020000}"/>
    <cellStyle name="_Sterling &amp; Wilson MP Mills PAS,IAS 28.08.06 2" xfId="1821" xr:uid="{00000000-0005-0000-0000-0000DD020000}"/>
    <cellStyle name="_Sterling Wilson Mp Mills 07(1).08.06Email" xfId="1822" xr:uid="{00000000-0005-0000-0000-0000DE020000}"/>
    <cellStyle name="_Sterling Wilson Mp Mills 07(1).08.06Email 2" xfId="1823" xr:uid="{00000000-0005-0000-0000-0000DF020000}"/>
    <cellStyle name="_Sutherland Technologies 21.10.05" xfId="1824" xr:uid="{00000000-0005-0000-0000-0000E0020000}"/>
    <cellStyle name="_Sutherland Technologies 21.10.05 2" xfId="1825" xr:uid="{00000000-0005-0000-0000-0000E1020000}"/>
    <cellStyle name="_Sutherland Technologies 21.10.05 2 2" xfId="1826" xr:uid="{00000000-0005-0000-0000-0000E2020000}"/>
    <cellStyle name="_Sutherland Technologies 21.10.05 2 2 2" xfId="1827" xr:uid="{00000000-0005-0000-0000-0000E3020000}"/>
    <cellStyle name="_Sutherland Technologies 21.10.05 2 2 2 2" xfId="7322" xr:uid="{00000000-0005-0000-0000-0000E4020000}"/>
    <cellStyle name="_Sutherland Technologies 21.10.05 2 2 2 2 2" xfId="10025" xr:uid="{00000000-0005-0000-0000-0000E5020000}"/>
    <cellStyle name="_Sutherland Technologies 21.10.05 2 2 2 3" xfId="8685" xr:uid="{00000000-0005-0000-0000-0000E6020000}"/>
    <cellStyle name="_Sutherland Technologies 21.10.05 2 2 3" xfId="1828" xr:uid="{00000000-0005-0000-0000-0000E7020000}"/>
    <cellStyle name="_Sutherland Technologies 21.10.05 2 2 3 2" xfId="7323" xr:uid="{00000000-0005-0000-0000-0000E8020000}"/>
    <cellStyle name="_Sutherland Technologies 21.10.05 2 2 3 2 2" xfId="10026" xr:uid="{00000000-0005-0000-0000-0000E9020000}"/>
    <cellStyle name="_Sutherland Technologies 21.10.05 2 2 3 3" xfId="8686" xr:uid="{00000000-0005-0000-0000-0000EA020000}"/>
    <cellStyle name="_Sutherland Technologies 21.10.05 2 2 4" xfId="7321" xr:uid="{00000000-0005-0000-0000-0000EB020000}"/>
    <cellStyle name="_Sutherland Technologies 21.10.05 2 2 4 2" xfId="10024" xr:uid="{00000000-0005-0000-0000-0000EC020000}"/>
    <cellStyle name="_Sutherland Technologies 21.10.05 2 2 5" xfId="8684" xr:uid="{00000000-0005-0000-0000-0000ED020000}"/>
    <cellStyle name="_Sutherland Technologies 21.10.05 2 3" xfId="7320" xr:uid="{00000000-0005-0000-0000-0000EE020000}"/>
    <cellStyle name="_Sutherland Technologies 21.10.05 2 3 2" xfId="10023" xr:uid="{00000000-0005-0000-0000-0000EF020000}"/>
    <cellStyle name="_Sutherland Technologies 21.10.05 2 4" xfId="8683" xr:uid="{00000000-0005-0000-0000-0000F0020000}"/>
    <cellStyle name="_Sutherland Technologies 21.10.05 3" xfId="1829" xr:uid="{00000000-0005-0000-0000-0000F1020000}"/>
    <cellStyle name="_Sutherland Technologies 21.10.05 3 2" xfId="1830" xr:uid="{00000000-0005-0000-0000-0000F2020000}"/>
    <cellStyle name="_Sutherland Technologies 21.10.05 3 2 2" xfId="1831" xr:uid="{00000000-0005-0000-0000-0000F3020000}"/>
    <cellStyle name="_Sutherland Technologies 21.10.05 3 2 2 2" xfId="7326" xr:uid="{00000000-0005-0000-0000-0000F4020000}"/>
    <cellStyle name="_Sutherland Technologies 21.10.05 3 2 2 2 2" xfId="10029" xr:uid="{00000000-0005-0000-0000-0000F5020000}"/>
    <cellStyle name="_Sutherland Technologies 21.10.05 3 2 2 3" xfId="8689" xr:uid="{00000000-0005-0000-0000-0000F6020000}"/>
    <cellStyle name="_Sutherland Technologies 21.10.05 3 2 3" xfId="1832" xr:uid="{00000000-0005-0000-0000-0000F7020000}"/>
    <cellStyle name="_Sutherland Technologies 21.10.05 3 2 3 2" xfId="7327" xr:uid="{00000000-0005-0000-0000-0000F8020000}"/>
    <cellStyle name="_Sutherland Technologies 21.10.05 3 2 3 2 2" xfId="10030" xr:uid="{00000000-0005-0000-0000-0000F9020000}"/>
    <cellStyle name="_Sutherland Technologies 21.10.05 3 2 3 3" xfId="8690" xr:uid="{00000000-0005-0000-0000-0000FA020000}"/>
    <cellStyle name="_Sutherland Technologies 21.10.05 3 2 4" xfId="7325" xr:uid="{00000000-0005-0000-0000-0000FB020000}"/>
    <cellStyle name="_Sutherland Technologies 21.10.05 3 2 4 2" xfId="10028" xr:uid="{00000000-0005-0000-0000-0000FC020000}"/>
    <cellStyle name="_Sutherland Technologies 21.10.05 3 2 5" xfId="8688" xr:uid="{00000000-0005-0000-0000-0000FD020000}"/>
    <cellStyle name="_Sutherland Technologies 21.10.05 3 3" xfId="7324" xr:uid="{00000000-0005-0000-0000-0000FE020000}"/>
    <cellStyle name="_Sutherland Technologies 21.10.05 3 3 2" xfId="10027" xr:uid="{00000000-0005-0000-0000-0000FF020000}"/>
    <cellStyle name="_Sutherland Technologies 21.10.05 3 4" xfId="8687" xr:uid="{00000000-0005-0000-0000-000000030000}"/>
    <cellStyle name="_Sutherland Technologies 21.10.05 4" xfId="1833" xr:uid="{00000000-0005-0000-0000-000001030000}"/>
    <cellStyle name="_Sutherland Technologies 21.10.05 4 2" xfId="1834" xr:uid="{00000000-0005-0000-0000-000002030000}"/>
    <cellStyle name="_Sutherland Technologies 21.10.05 4 2 2" xfId="7329" xr:uid="{00000000-0005-0000-0000-000003030000}"/>
    <cellStyle name="_Sutherland Technologies 21.10.05 4 2 2 2" xfId="10032" xr:uid="{00000000-0005-0000-0000-000004030000}"/>
    <cellStyle name="_Sutherland Technologies 21.10.05 4 2 3" xfId="8692" xr:uid="{00000000-0005-0000-0000-000005030000}"/>
    <cellStyle name="_Sutherland Technologies 21.10.05 4 3" xfId="1835" xr:uid="{00000000-0005-0000-0000-000006030000}"/>
    <cellStyle name="_Sutherland Technologies 21.10.05 4 3 2" xfId="7330" xr:uid="{00000000-0005-0000-0000-000007030000}"/>
    <cellStyle name="_Sutherland Technologies 21.10.05 4 3 2 2" xfId="10033" xr:uid="{00000000-0005-0000-0000-000008030000}"/>
    <cellStyle name="_Sutherland Technologies 21.10.05 4 3 3" xfId="8693" xr:uid="{00000000-0005-0000-0000-000009030000}"/>
    <cellStyle name="_Sutherland Technologies 21.10.05 4 4" xfId="7328" xr:uid="{00000000-0005-0000-0000-00000A030000}"/>
    <cellStyle name="_Sutherland Technologies 21.10.05 4 4 2" xfId="10031" xr:uid="{00000000-0005-0000-0000-00000B030000}"/>
    <cellStyle name="_Sutherland Technologies 21.10.05 4 5" xfId="8691" xr:uid="{00000000-0005-0000-0000-00000C030000}"/>
    <cellStyle name="_Sutherland Technologies 21.10.05 5" xfId="7319" xr:uid="{00000000-0005-0000-0000-00000D030000}"/>
    <cellStyle name="_Sutherland Technologies 21.10.05 5 2" xfId="10022" xr:uid="{00000000-0005-0000-0000-00000E030000}"/>
    <cellStyle name="_Sutherland Technologies 21.10.05 6" xfId="8682" xr:uid="{00000000-0005-0000-0000-00000F030000}"/>
    <cellStyle name="_TECIL_HSBC_Blr_FirstCutBom 010807" xfId="353" xr:uid="{00000000-0005-0000-0000-000010030000}"/>
    <cellStyle name="_Teledata ACSCCTVFASPAS 11-04-07 (3)" xfId="1836" xr:uid="{00000000-0005-0000-0000-000011030000}"/>
    <cellStyle name="_Teledata ACSCCTVFASPAS 11-04-07 (3) 2" xfId="1837" xr:uid="{00000000-0005-0000-0000-000012030000}"/>
    <cellStyle name="_Teledata informatics-12.10.06" xfId="354" xr:uid="{00000000-0005-0000-0000-000013030000}"/>
    <cellStyle name="_Teledata informatics-12.10.06 2" xfId="1838" xr:uid="{00000000-0005-0000-0000-000014030000}"/>
    <cellStyle name="_Tender Unpriced BOQ Draft Rev 0 RELIANCE" xfId="1839" xr:uid="{00000000-0005-0000-0000-000015030000}"/>
    <cellStyle name="_Tender Unpriced BOQ Draft Rev 0 RELIANCE 2" xfId="1840" xr:uid="{00000000-0005-0000-0000-000016030000}"/>
    <cellStyle name="_Tranocean BMS 19.01.07 R1 INR" xfId="1841" xr:uid="{00000000-0005-0000-0000-000017030000}"/>
    <cellStyle name="_Tranocean BMS 19.01.07 R1 INR 2" xfId="1842" xr:uid="{00000000-0005-0000-0000-000018030000}"/>
    <cellStyle name="_Transocean Security-10.01.07-INR" xfId="355" xr:uid="{00000000-0005-0000-0000-000019030000}"/>
    <cellStyle name="_TX IO Current Calculation" xfId="1843" xr:uid="{00000000-0005-0000-0000-00001A030000}"/>
    <cellStyle name="_TX IO Current Calculation 2" xfId="1844" xr:uid="{00000000-0005-0000-0000-00001B030000}"/>
    <cellStyle name="_UB- Citigroup - 30.12.06" xfId="1845" xr:uid="{00000000-0005-0000-0000-00001C030000}"/>
    <cellStyle name="_UB- Citigroup - 30.12.06 2" xfId="1846" xr:uid="{00000000-0005-0000-0000-00001D030000}"/>
    <cellStyle name="_UB-CITY-POINT-SUMMARY-SEP-17" xfId="356" xr:uid="{00000000-0005-0000-0000-00001E030000}"/>
    <cellStyle name="_UB-CITY-POINT-SUMMARY-SEP-17 2" xfId="1847" xr:uid="{00000000-0005-0000-0000-00001F030000}"/>
    <cellStyle name="_UTI - 23.06.06 - RiT2" xfId="357" xr:uid="{00000000-0005-0000-0000-000020030000}"/>
    <cellStyle name="_UTI - RP - 23.06.06" xfId="358" xr:uid="{00000000-0005-0000-0000-000021030000}"/>
    <cellStyle name="_UTI - RP - 23.06.06 2" xfId="1848" xr:uid="{00000000-0005-0000-0000-000022030000}"/>
    <cellStyle name="_Whitefield Palms (BMS) - 20.07.07" xfId="1849" xr:uid="{00000000-0005-0000-0000-000023030000}"/>
    <cellStyle name="_Whitefield Palms (BMS) - 20.07.07 2" xfId="1850" xr:uid="{00000000-0005-0000-0000-000024030000}"/>
    <cellStyle name="_Wisdom - Spk - 06.06.07" xfId="1851" xr:uid="{00000000-0005-0000-0000-000025030000}"/>
    <cellStyle name="_Wisdom - Spk - 06.06.07 2" xfId="1852" xr:uid="{00000000-0005-0000-0000-000026030000}"/>
    <cellStyle name="ÊÝ [0.00]_PRODUCT DETAIL Q1" xfId="359" xr:uid="{00000000-0005-0000-0000-000027030000}"/>
    <cellStyle name="ÊÝ_PRODUCT DETAIL Q1" xfId="360" xr:uid="{00000000-0005-0000-0000-000028030000}"/>
    <cellStyle name="W_BOOKSHIP" xfId="361" xr:uid="{00000000-0005-0000-0000-000029030000}"/>
    <cellStyle name="0,0_x000a__x000a_NA_x000a__x000a_" xfId="1853" xr:uid="{00000000-0005-0000-0000-00002A030000}"/>
    <cellStyle name="0,0_x000d__x000a_NA_x000d__x000a_" xfId="362" xr:uid="{00000000-0005-0000-0000-00002B030000}"/>
    <cellStyle name="0,0_x000d__x000a_NA_x000d__x000a_ 10" xfId="30" xr:uid="{00000000-0005-0000-0000-00002C030000}"/>
    <cellStyle name="0,0_x000d__x000a_NA_x000d__x000a_ 2" xfId="1854" xr:uid="{00000000-0005-0000-0000-00002D030000}"/>
    <cellStyle name="0,0_x000d__x000a_NA_x000d__x000a_ 3" xfId="1855" xr:uid="{00000000-0005-0000-0000-00002E030000}"/>
    <cellStyle name="0,0_x000d__x000a_NA_x000d__x000a_ 4" xfId="10454" xr:uid="{00000000-0005-0000-0000-00002F030000}"/>
    <cellStyle name="20% - Accent1 10" xfId="1856" xr:uid="{00000000-0005-0000-0000-000030030000}"/>
    <cellStyle name="20% - Accent1 10 2" xfId="1857" xr:uid="{00000000-0005-0000-0000-000031030000}"/>
    <cellStyle name="20% - Accent1 10 2 2" xfId="1858" xr:uid="{00000000-0005-0000-0000-000032030000}"/>
    <cellStyle name="20% - Accent1 10 2 2 2" xfId="1859" xr:uid="{00000000-0005-0000-0000-000033030000}"/>
    <cellStyle name="20% - Accent1 10 2 3" xfId="1860" xr:uid="{00000000-0005-0000-0000-000034030000}"/>
    <cellStyle name="20% - Accent1 10 3" xfId="1861" xr:uid="{00000000-0005-0000-0000-000035030000}"/>
    <cellStyle name="20% - Accent1 10 3 2" xfId="1862" xr:uid="{00000000-0005-0000-0000-000036030000}"/>
    <cellStyle name="20% - Accent1 10 4" xfId="1863" xr:uid="{00000000-0005-0000-0000-000037030000}"/>
    <cellStyle name="20% - Accent1 11" xfId="1864" xr:uid="{00000000-0005-0000-0000-000038030000}"/>
    <cellStyle name="20% - Accent1 11 2" xfId="1865" xr:uid="{00000000-0005-0000-0000-000039030000}"/>
    <cellStyle name="20% - Accent1 11 2 2" xfId="1866" xr:uid="{00000000-0005-0000-0000-00003A030000}"/>
    <cellStyle name="20% - Accent1 11 3" xfId="1867" xr:uid="{00000000-0005-0000-0000-00003B030000}"/>
    <cellStyle name="20% - Accent1 12" xfId="1868" xr:uid="{00000000-0005-0000-0000-00003C030000}"/>
    <cellStyle name="20% - Accent1 2" xfId="363" xr:uid="{00000000-0005-0000-0000-00003D030000}"/>
    <cellStyle name="20% - Accent1 2 10" xfId="1869" xr:uid="{00000000-0005-0000-0000-00003E030000}"/>
    <cellStyle name="20% - Accent1 2 11" xfId="1870" xr:uid="{00000000-0005-0000-0000-00003F030000}"/>
    <cellStyle name="20% - Accent1 2 12" xfId="1871" xr:uid="{00000000-0005-0000-0000-000040030000}"/>
    <cellStyle name="20% - Accent1 2 13" xfId="1872" xr:uid="{00000000-0005-0000-0000-000041030000}"/>
    <cellStyle name="20% - Accent1 2 14" xfId="1873" xr:uid="{00000000-0005-0000-0000-000042030000}"/>
    <cellStyle name="20% - Accent1 2 15" xfId="1874" xr:uid="{00000000-0005-0000-0000-000043030000}"/>
    <cellStyle name="20% - Accent1 2 16" xfId="1875" xr:uid="{00000000-0005-0000-0000-000044030000}"/>
    <cellStyle name="20% - Accent1 2 17" xfId="1876" xr:uid="{00000000-0005-0000-0000-000045030000}"/>
    <cellStyle name="20% - Accent1 2 18" xfId="1877" xr:uid="{00000000-0005-0000-0000-000046030000}"/>
    <cellStyle name="20% - Accent1 2 19" xfId="1878" xr:uid="{00000000-0005-0000-0000-000047030000}"/>
    <cellStyle name="20% - Accent1 2 2" xfId="1879" xr:uid="{00000000-0005-0000-0000-000048030000}"/>
    <cellStyle name="20% - Accent1 2 2 2" xfId="1880" xr:uid="{00000000-0005-0000-0000-000049030000}"/>
    <cellStyle name="20% - Accent1 2 2 2 2" xfId="1881" xr:uid="{00000000-0005-0000-0000-00004A030000}"/>
    <cellStyle name="20% - Accent1 2 2 3" xfId="1882" xr:uid="{00000000-0005-0000-0000-00004B030000}"/>
    <cellStyle name="20% - Accent1 2 2 4" xfId="1883" xr:uid="{00000000-0005-0000-0000-00004C030000}"/>
    <cellStyle name="20% - Accent1 2 20" xfId="1884" xr:uid="{00000000-0005-0000-0000-00004D030000}"/>
    <cellStyle name="20% - Accent1 2 21" xfId="1885" xr:uid="{00000000-0005-0000-0000-00004E030000}"/>
    <cellStyle name="20% - Accent1 2 22" xfId="1886" xr:uid="{00000000-0005-0000-0000-00004F030000}"/>
    <cellStyle name="20% - Accent1 2 23" xfId="1887" xr:uid="{00000000-0005-0000-0000-000050030000}"/>
    <cellStyle name="20% - Accent1 2 24" xfId="1888" xr:uid="{00000000-0005-0000-0000-000051030000}"/>
    <cellStyle name="20% - Accent1 2 25" xfId="1889" xr:uid="{00000000-0005-0000-0000-000052030000}"/>
    <cellStyle name="20% - Accent1 2 26" xfId="1890" xr:uid="{00000000-0005-0000-0000-000053030000}"/>
    <cellStyle name="20% - Accent1 2 27" xfId="1891" xr:uid="{00000000-0005-0000-0000-000054030000}"/>
    <cellStyle name="20% - Accent1 2 28" xfId="1892" xr:uid="{00000000-0005-0000-0000-000055030000}"/>
    <cellStyle name="20% - Accent1 2 29" xfId="1893" xr:uid="{00000000-0005-0000-0000-000056030000}"/>
    <cellStyle name="20% - Accent1 2 3" xfId="1894" xr:uid="{00000000-0005-0000-0000-000057030000}"/>
    <cellStyle name="20% - Accent1 2 3 2" xfId="1895" xr:uid="{00000000-0005-0000-0000-000058030000}"/>
    <cellStyle name="20% - Accent1 2 3 3" xfId="1896" xr:uid="{00000000-0005-0000-0000-000059030000}"/>
    <cellStyle name="20% - Accent1 2 30" xfId="1897" xr:uid="{00000000-0005-0000-0000-00005A030000}"/>
    <cellStyle name="20% - Accent1 2 31" xfId="1898" xr:uid="{00000000-0005-0000-0000-00005B030000}"/>
    <cellStyle name="20% - Accent1 2 32" xfId="1899" xr:uid="{00000000-0005-0000-0000-00005C030000}"/>
    <cellStyle name="20% - Accent1 2 33" xfId="1900" xr:uid="{00000000-0005-0000-0000-00005D030000}"/>
    <cellStyle name="20% - Accent1 2 34" xfId="1901" xr:uid="{00000000-0005-0000-0000-00005E030000}"/>
    <cellStyle name="20% - Accent1 2 35" xfId="1902" xr:uid="{00000000-0005-0000-0000-00005F030000}"/>
    <cellStyle name="20% - Accent1 2 36" xfId="1903" xr:uid="{00000000-0005-0000-0000-000060030000}"/>
    <cellStyle name="20% - Accent1 2 37" xfId="1904" xr:uid="{00000000-0005-0000-0000-000061030000}"/>
    <cellStyle name="20% - Accent1 2 38" xfId="1905" xr:uid="{00000000-0005-0000-0000-000062030000}"/>
    <cellStyle name="20% - Accent1 2 39" xfId="1906" xr:uid="{00000000-0005-0000-0000-000063030000}"/>
    <cellStyle name="20% - Accent1 2 4" xfId="1907" xr:uid="{00000000-0005-0000-0000-000064030000}"/>
    <cellStyle name="20% - Accent1 2 4 2" xfId="1908" xr:uid="{00000000-0005-0000-0000-000065030000}"/>
    <cellStyle name="20% - Accent1 2 40" xfId="1909" xr:uid="{00000000-0005-0000-0000-000066030000}"/>
    <cellStyle name="20% - Accent1 2 41" xfId="1910" xr:uid="{00000000-0005-0000-0000-000067030000}"/>
    <cellStyle name="20% - Accent1 2 42" xfId="1911" xr:uid="{00000000-0005-0000-0000-000068030000}"/>
    <cellStyle name="20% - Accent1 2 43" xfId="1912" xr:uid="{00000000-0005-0000-0000-000069030000}"/>
    <cellStyle name="20% - Accent1 2 44" xfId="1913" xr:uid="{00000000-0005-0000-0000-00006A030000}"/>
    <cellStyle name="20% - Accent1 2 45" xfId="1914" xr:uid="{00000000-0005-0000-0000-00006B030000}"/>
    <cellStyle name="20% - Accent1 2 46" xfId="1915" xr:uid="{00000000-0005-0000-0000-00006C030000}"/>
    <cellStyle name="20% - Accent1 2 47" xfId="1916" xr:uid="{00000000-0005-0000-0000-00006D030000}"/>
    <cellStyle name="20% - Accent1 2 48" xfId="1917" xr:uid="{00000000-0005-0000-0000-00006E030000}"/>
    <cellStyle name="20% - Accent1 2 49" xfId="1918" xr:uid="{00000000-0005-0000-0000-00006F030000}"/>
    <cellStyle name="20% - Accent1 2 5" xfId="1919" xr:uid="{00000000-0005-0000-0000-000070030000}"/>
    <cellStyle name="20% - Accent1 2 6" xfId="1920" xr:uid="{00000000-0005-0000-0000-000071030000}"/>
    <cellStyle name="20% - Accent1 2 7" xfId="1921" xr:uid="{00000000-0005-0000-0000-000072030000}"/>
    <cellStyle name="20% - Accent1 2 8" xfId="1922" xr:uid="{00000000-0005-0000-0000-000073030000}"/>
    <cellStyle name="20% - Accent1 2 9" xfId="1923" xr:uid="{00000000-0005-0000-0000-000074030000}"/>
    <cellStyle name="20% - Accent1 3" xfId="1924" xr:uid="{00000000-0005-0000-0000-000075030000}"/>
    <cellStyle name="20% - Accent1 3 2" xfId="1925" xr:uid="{00000000-0005-0000-0000-000076030000}"/>
    <cellStyle name="20% - Accent1 3 2 2" xfId="1926" xr:uid="{00000000-0005-0000-0000-000077030000}"/>
    <cellStyle name="20% - Accent1 3 2 2 2" xfId="1927" xr:uid="{00000000-0005-0000-0000-000078030000}"/>
    <cellStyle name="20% - Accent1 3 2 3" xfId="1928" xr:uid="{00000000-0005-0000-0000-000079030000}"/>
    <cellStyle name="20% - Accent1 3 3" xfId="1929" xr:uid="{00000000-0005-0000-0000-00007A030000}"/>
    <cellStyle name="20% - Accent1 3 3 2" xfId="1930" xr:uid="{00000000-0005-0000-0000-00007B030000}"/>
    <cellStyle name="20% - Accent1 3 4" xfId="1931" xr:uid="{00000000-0005-0000-0000-00007C030000}"/>
    <cellStyle name="20% - Accent1 4" xfId="1932" xr:uid="{00000000-0005-0000-0000-00007D030000}"/>
    <cellStyle name="20% - Accent1 4 2" xfId="1933" xr:uid="{00000000-0005-0000-0000-00007E030000}"/>
    <cellStyle name="20% - Accent1 4 2 2" xfId="1934" xr:uid="{00000000-0005-0000-0000-00007F030000}"/>
    <cellStyle name="20% - Accent1 4 2 2 2" xfId="1935" xr:uid="{00000000-0005-0000-0000-000080030000}"/>
    <cellStyle name="20% - Accent1 4 2 3" xfId="1936" xr:uid="{00000000-0005-0000-0000-000081030000}"/>
    <cellStyle name="20% - Accent1 4 3" xfId="1937" xr:uid="{00000000-0005-0000-0000-000082030000}"/>
    <cellStyle name="20% - Accent1 4 3 2" xfId="1938" xr:uid="{00000000-0005-0000-0000-000083030000}"/>
    <cellStyle name="20% - Accent1 4 4" xfId="1939" xr:uid="{00000000-0005-0000-0000-000084030000}"/>
    <cellStyle name="20% - Accent1 5" xfId="1940" xr:uid="{00000000-0005-0000-0000-000085030000}"/>
    <cellStyle name="20% - Accent1 5 2" xfId="1941" xr:uid="{00000000-0005-0000-0000-000086030000}"/>
    <cellStyle name="20% - Accent1 5 2 2" xfId="1942" xr:uid="{00000000-0005-0000-0000-000087030000}"/>
    <cellStyle name="20% - Accent1 5 2 2 2" xfId="1943" xr:uid="{00000000-0005-0000-0000-000088030000}"/>
    <cellStyle name="20% - Accent1 5 2 3" xfId="1944" xr:uid="{00000000-0005-0000-0000-000089030000}"/>
    <cellStyle name="20% - Accent1 5 3" xfId="1945" xr:uid="{00000000-0005-0000-0000-00008A030000}"/>
    <cellStyle name="20% - Accent1 5 3 2" xfId="1946" xr:uid="{00000000-0005-0000-0000-00008B030000}"/>
    <cellStyle name="20% - Accent1 5 4" xfId="1947" xr:uid="{00000000-0005-0000-0000-00008C030000}"/>
    <cellStyle name="20% - Accent1 6" xfId="1948" xr:uid="{00000000-0005-0000-0000-00008D030000}"/>
    <cellStyle name="20% - Accent1 6 2" xfId="1949" xr:uid="{00000000-0005-0000-0000-00008E030000}"/>
    <cellStyle name="20% - Accent1 6 2 2" xfId="1950" xr:uid="{00000000-0005-0000-0000-00008F030000}"/>
    <cellStyle name="20% - Accent1 6 2 2 2" xfId="1951" xr:uid="{00000000-0005-0000-0000-000090030000}"/>
    <cellStyle name="20% - Accent1 6 2 3" xfId="1952" xr:uid="{00000000-0005-0000-0000-000091030000}"/>
    <cellStyle name="20% - Accent1 6 3" xfId="1953" xr:uid="{00000000-0005-0000-0000-000092030000}"/>
    <cellStyle name="20% - Accent1 6 3 2" xfId="1954" xr:uid="{00000000-0005-0000-0000-000093030000}"/>
    <cellStyle name="20% - Accent1 6 4" xfId="1955" xr:uid="{00000000-0005-0000-0000-000094030000}"/>
    <cellStyle name="20% - Accent1 7" xfId="1956" xr:uid="{00000000-0005-0000-0000-000095030000}"/>
    <cellStyle name="20% - Accent1 7 2" xfId="1957" xr:uid="{00000000-0005-0000-0000-000096030000}"/>
    <cellStyle name="20% - Accent1 7 2 2" xfId="1958" xr:uid="{00000000-0005-0000-0000-000097030000}"/>
    <cellStyle name="20% - Accent1 7 2 2 2" xfId="1959" xr:uid="{00000000-0005-0000-0000-000098030000}"/>
    <cellStyle name="20% - Accent1 7 2 3" xfId="1960" xr:uid="{00000000-0005-0000-0000-000099030000}"/>
    <cellStyle name="20% - Accent1 7 3" xfId="1961" xr:uid="{00000000-0005-0000-0000-00009A030000}"/>
    <cellStyle name="20% - Accent1 7 3 2" xfId="1962" xr:uid="{00000000-0005-0000-0000-00009B030000}"/>
    <cellStyle name="20% - Accent1 7 4" xfId="1963" xr:uid="{00000000-0005-0000-0000-00009C030000}"/>
    <cellStyle name="20% - Accent1 8" xfId="1964" xr:uid="{00000000-0005-0000-0000-00009D030000}"/>
    <cellStyle name="20% - Accent1 8 2" xfId="1965" xr:uid="{00000000-0005-0000-0000-00009E030000}"/>
    <cellStyle name="20% - Accent1 8 2 2" xfId="1966" xr:uid="{00000000-0005-0000-0000-00009F030000}"/>
    <cellStyle name="20% - Accent1 8 2 2 2" xfId="1967" xr:uid="{00000000-0005-0000-0000-0000A0030000}"/>
    <cellStyle name="20% - Accent1 8 2 3" xfId="1968" xr:uid="{00000000-0005-0000-0000-0000A1030000}"/>
    <cellStyle name="20% - Accent1 8 3" xfId="1969" xr:uid="{00000000-0005-0000-0000-0000A2030000}"/>
    <cellStyle name="20% - Accent1 8 3 2" xfId="1970" xr:uid="{00000000-0005-0000-0000-0000A3030000}"/>
    <cellStyle name="20% - Accent1 8 4" xfId="1971" xr:uid="{00000000-0005-0000-0000-0000A4030000}"/>
    <cellStyle name="20% - Accent1 9" xfId="1972" xr:uid="{00000000-0005-0000-0000-0000A5030000}"/>
    <cellStyle name="20% - Accent1 9 2" xfId="1973" xr:uid="{00000000-0005-0000-0000-0000A6030000}"/>
    <cellStyle name="20% - Accent1 9 2 2" xfId="1974" xr:uid="{00000000-0005-0000-0000-0000A7030000}"/>
    <cellStyle name="20% - Accent1 9 2 2 2" xfId="1975" xr:uid="{00000000-0005-0000-0000-0000A8030000}"/>
    <cellStyle name="20% - Accent1 9 2 3" xfId="1976" xr:uid="{00000000-0005-0000-0000-0000A9030000}"/>
    <cellStyle name="20% - Accent1 9 3" xfId="1977" xr:uid="{00000000-0005-0000-0000-0000AA030000}"/>
    <cellStyle name="20% - Accent1 9 3 2" xfId="1978" xr:uid="{00000000-0005-0000-0000-0000AB030000}"/>
    <cellStyle name="20% - Accent1 9 4" xfId="1979" xr:uid="{00000000-0005-0000-0000-0000AC030000}"/>
    <cellStyle name="20% - Accent2 10" xfId="1980" xr:uid="{00000000-0005-0000-0000-0000AD030000}"/>
    <cellStyle name="20% - Accent2 10 2" xfId="1981" xr:uid="{00000000-0005-0000-0000-0000AE030000}"/>
    <cellStyle name="20% - Accent2 10 2 2" xfId="1982" xr:uid="{00000000-0005-0000-0000-0000AF030000}"/>
    <cellStyle name="20% - Accent2 10 2 2 2" xfId="1983" xr:uid="{00000000-0005-0000-0000-0000B0030000}"/>
    <cellStyle name="20% - Accent2 10 2 3" xfId="1984" xr:uid="{00000000-0005-0000-0000-0000B1030000}"/>
    <cellStyle name="20% - Accent2 10 3" xfId="1985" xr:uid="{00000000-0005-0000-0000-0000B2030000}"/>
    <cellStyle name="20% - Accent2 10 3 2" xfId="1986" xr:uid="{00000000-0005-0000-0000-0000B3030000}"/>
    <cellStyle name="20% - Accent2 10 4" xfId="1987" xr:uid="{00000000-0005-0000-0000-0000B4030000}"/>
    <cellStyle name="20% - Accent2 11" xfId="1988" xr:uid="{00000000-0005-0000-0000-0000B5030000}"/>
    <cellStyle name="20% - Accent2 11 2" xfId="1989" xr:uid="{00000000-0005-0000-0000-0000B6030000}"/>
    <cellStyle name="20% - Accent2 11 2 2" xfId="1990" xr:uid="{00000000-0005-0000-0000-0000B7030000}"/>
    <cellStyle name="20% - Accent2 11 3" xfId="1991" xr:uid="{00000000-0005-0000-0000-0000B8030000}"/>
    <cellStyle name="20% - Accent2 12" xfId="1992" xr:uid="{00000000-0005-0000-0000-0000B9030000}"/>
    <cellStyle name="20% - Accent2 2" xfId="364" xr:uid="{00000000-0005-0000-0000-0000BA030000}"/>
    <cellStyle name="20% - Accent2 2 10" xfId="1993" xr:uid="{00000000-0005-0000-0000-0000BB030000}"/>
    <cellStyle name="20% - Accent2 2 11" xfId="1994" xr:uid="{00000000-0005-0000-0000-0000BC030000}"/>
    <cellStyle name="20% - Accent2 2 12" xfId="1995" xr:uid="{00000000-0005-0000-0000-0000BD030000}"/>
    <cellStyle name="20% - Accent2 2 13" xfId="1996" xr:uid="{00000000-0005-0000-0000-0000BE030000}"/>
    <cellStyle name="20% - Accent2 2 14" xfId="1997" xr:uid="{00000000-0005-0000-0000-0000BF030000}"/>
    <cellStyle name="20% - Accent2 2 15" xfId="1998" xr:uid="{00000000-0005-0000-0000-0000C0030000}"/>
    <cellStyle name="20% - Accent2 2 16" xfId="1999" xr:uid="{00000000-0005-0000-0000-0000C1030000}"/>
    <cellStyle name="20% - Accent2 2 17" xfId="2000" xr:uid="{00000000-0005-0000-0000-0000C2030000}"/>
    <cellStyle name="20% - Accent2 2 18" xfId="2001" xr:uid="{00000000-0005-0000-0000-0000C3030000}"/>
    <cellStyle name="20% - Accent2 2 19" xfId="2002" xr:uid="{00000000-0005-0000-0000-0000C4030000}"/>
    <cellStyle name="20% - Accent2 2 2" xfId="365" xr:uid="{00000000-0005-0000-0000-0000C5030000}"/>
    <cellStyle name="20% - Accent2 2 2 2" xfId="2003" xr:uid="{00000000-0005-0000-0000-0000C6030000}"/>
    <cellStyle name="20% - Accent2 2 2 2 2" xfId="2004" xr:uid="{00000000-0005-0000-0000-0000C7030000}"/>
    <cellStyle name="20% - Accent2 2 2 3" xfId="2005" xr:uid="{00000000-0005-0000-0000-0000C8030000}"/>
    <cellStyle name="20% - Accent2 2 2 4" xfId="2006" xr:uid="{00000000-0005-0000-0000-0000C9030000}"/>
    <cellStyle name="20% - Accent2 2 2 5" xfId="1451" xr:uid="{00000000-0005-0000-0000-0000CA030000}"/>
    <cellStyle name="20% - Accent2 2 2 5 2" xfId="7146" xr:uid="{00000000-0005-0000-0000-0000CB030000}"/>
    <cellStyle name="20% - Accent2 2 2 5 2 2" xfId="9849" xr:uid="{00000000-0005-0000-0000-0000CC030000}"/>
    <cellStyle name="20% - Accent2 2 2 5 3" xfId="8509" xr:uid="{00000000-0005-0000-0000-0000CD030000}"/>
    <cellStyle name="20% - Accent2 2 2 6" xfId="6436" xr:uid="{00000000-0005-0000-0000-0000CE030000}"/>
    <cellStyle name="20% - Accent2 2 2 6 2" xfId="9155" xr:uid="{00000000-0005-0000-0000-0000CF030000}"/>
    <cellStyle name="20% - Accent2 2 2 7" xfId="7816" xr:uid="{00000000-0005-0000-0000-0000D0030000}"/>
    <cellStyle name="20% - Accent2 2 20" xfId="2007" xr:uid="{00000000-0005-0000-0000-0000D1030000}"/>
    <cellStyle name="20% - Accent2 2 21" xfId="2008" xr:uid="{00000000-0005-0000-0000-0000D2030000}"/>
    <cellStyle name="20% - Accent2 2 22" xfId="2009" xr:uid="{00000000-0005-0000-0000-0000D3030000}"/>
    <cellStyle name="20% - Accent2 2 23" xfId="2010" xr:uid="{00000000-0005-0000-0000-0000D4030000}"/>
    <cellStyle name="20% - Accent2 2 24" xfId="2011" xr:uid="{00000000-0005-0000-0000-0000D5030000}"/>
    <cellStyle name="20% - Accent2 2 25" xfId="2012" xr:uid="{00000000-0005-0000-0000-0000D6030000}"/>
    <cellStyle name="20% - Accent2 2 26" xfId="2013" xr:uid="{00000000-0005-0000-0000-0000D7030000}"/>
    <cellStyle name="20% - Accent2 2 27" xfId="2014" xr:uid="{00000000-0005-0000-0000-0000D8030000}"/>
    <cellStyle name="20% - Accent2 2 28" xfId="2015" xr:uid="{00000000-0005-0000-0000-0000D9030000}"/>
    <cellStyle name="20% - Accent2 2 29" xfId="2016" xr:uid="{00000000-0005-0000-0000-0000DA030000}"/>
    <cellStyle name="20% - Accent2 2 3" xfId="2017" xr:uid="{00000000-0005-0000-0000-0000DB030000}"/>
    <cellStyle name="20% - Accent2 2 3 2" xfId="2018" xr:uid="{00000000-0005-0000-0000-0000DC030000}"/>
    <cellStyle name="20% - Accent2 2 3 3" xfId="2019" xr:uid="{00000000-0005-0000-0000-0000DD030000}"/>
    <cellStyle name="20% - Accent2 2 30" xfId="2020" xr:uid="{00000000-0005-0000-0000-0000DE030000}"/>
    <cellStyle name="20% - Accent2 2 31" xfId="2021" xr:uid="{00000000-0005-0000-0000-0000DF030000}"/>
    <cellStyle name="20% - Accent2 2 32" xfId="2022" xr:uid="{00000000-0005-0000-0000-0000E0030000}"/>
    <cellStyle name="20% - Accent2 2 33" xfId="2023" xr:uid="{00000000-0005-0000-0000-0000E1030000}"/>
    <cellStyle name="20% - Accent2 2 34" xfId="2024" xr:uid="{00000000-0005-0000-0000-0000E2030000}"/>
    <cellStyle name="20% - Accent2 2 35" xfId="2025" xr:uid="{00000000-0005-0000-0000-0000E3030000}"/>
    <cellStyle name="20% - Accent2 2 36" xfId="2026" xr:uid="{00000000-0005-0000-0000-0000E4030000}"/>
    <cellStyle name="20% - Accent2 2 37" xfId="2027" xr:uid="{00000000-0005-0000-0000-0000E5030000}"/>
    <cellStyle name="20% - Accent2 2 38" xfId="2028" xr:uid="{00000000-0005-0000-0000-0000E6030000}"/>
    <cellStyle name="20% - Accent2 2 39" xfId="2029" xr:uid="{00000000-0005-0000-0000-0000E7030000}"/>
    <cellStyle name="20% - Accent2 2 4" xfId="2030" xr:uid="{00000000-0005-0000-0000-0000E8030000}"/>
    <cellStyle name="20% - Accent2 2 4 2" xfId="2031" xr:uid="{00000000-0005-0000-0000-0000E9030000}"/>
    <cellStyle name="20% - Accent2 2 40" xfId="2032" xr:uid="{00000000-0005-0000-0000-0000EA030000}"/>
    <cellStyle name="20% - Accent2 2 41" xfId="2033" xr:uid="{00000000-0005-0000-0000-0000EB030000}"/>
    <cellStyle name="20% - Accent2 2 42" xfId="2034" xr:uid="{00000000-0005-0000-0000-0000EC030000}"/>
    <cellStyle name="20% - Accent2 2 43" xfId="2035" xr:uid="{00000000-0005-0000-0000-0000ED030000}"/>
    <cellStyle name="20% - Accent2 2 44" xfId="2036" xr:uid="{00000000-0005-0000-0000-0000EE030000}"/>
    <cellStyle name="20% - Accent2 2 45" xfId="2037" xr:uid="{00000000-0005-0000-0000-0000EF030000}"/>
    <cellStyle name="20% - Accent2 2 46" xfId="2038" xr:uid="{00000000-0005-0000-0000-0000F0030000}"/>
    <cellStyle name="20% - Accent2 2 47" xfId="2039" xr:uid="{00000000-0005-0000-0000-0000F1030000}"/>
    <cellStyle name="20% - Accent2 2 48" xfId="2040" xr:uid="{00000000-0005-0000-0000-0000F2030000}"/>
    <cellStyle name="20% - Accent2 2 49" xfId="2041" xr:uid="{00000000-0005-0000-0000-0000F3030000}"/>
    <cellStyle name="20% - Accent2 2 5" xfId="2042" xr:uid="{00000000-0005-0000-0000-0000F4030000}"/>
    <cellStyle name="20% - Accent2 2 50" xfId="2043" xr:uid="{00000000-0005-0000-0000-0000F5030000}"/>
    <cellStyle name="20% - Accent2 2 51" xfId="2044" xr:uid="{00000000-0005-0000-0000-0000F6030000}"/>
    <cellStyle name="20% - Accent2 2 51 2" xfId="7331" xr:uid="{00000000-0005-0000-0000-0000F7030000}"/>
    <cellStyle name="20% - Accent2 2 51 2 2" xfId="10034" xr:uid="{00000000-0005-0000-0000-0000F8030000}"/>
    <cellStyle name="20% - Accent2 2 51 3" xfId="8694" xr:uid="{00000000-0005-0000-0000-0000F9030000}"/>
    <cellStyle name="20% - Accent2 2 6" xfId="2045" xr:uid="{00000000-0005-0000-0000-0000FA030000}"/>
    <cellStyle name="20% - Accent2 2 7" xfId="2046" xr:uid="{00000000-0005-0000-0000-0000FB030000}"/>
    <cellStyle name="20% - Accent2 2 8" xfId="2047" xr:uid="{00000000-0005-0000-0000-0000FC030000}"/>
    <cellStyle name="20% - Accent2 2 9" xfId="2048" xr:uid="{00000000-0005-0000-0000-0000FD030000}"/>
    <cellStyle name="20% - Accent2 3" xfId="2049" xr:uid="{00000000-0005-0000-0000-0000FE030000}"/>
    <cellStyle name="20% - Accent2 3 2" xfId="2050" xr:uid="{00000000-0005-0000-0000-0000FF030000}"/>
    <cellStyle name="20% - Accent2 3 2 2" xfId="2051" xr:uid="{00000000-0005-0000-0000-000000040000}"/>
    <cellStyle name="20% - Accent2 3 2 2 2" xfId="2052" xr:uid="{00000000-0005-0000-0000-000001040000}"/>
    <cellStyle name="20% - Accent2 3 2 3" xfId="2053" xr:uid="{00000000-0005-0000-0000-000002040000}"/>
    <cellStyle name="20% - Accent2 3 3" xfId="2054" xr:uid="{00000000-0005-0000-0000-000003040000}"/>
    <cellStyle name="20% - Accent2 3 3 2" xfId="2055" xr:uid="{00000000-0005-0000-0000-000004040000}"/>
    <cellStyle name="20% - Accent2 3 4" xfId="2056" xr:uid="{00000000-0005-0000-0000-000005040000}"/>
    <cellStyle name="20% - Accent2 4" xfId="2057" xr:uid="{00000000-0005-0000-0000-000006040000}"/>
    <cellStyle name="20% - Accent2 4 2" xfId="2058" xr:uid="{00000000-0005-0000-0000-000007040000}"/>
    <cellStyle name="20% - Accent2 4 2 2" xfId="2059" xr:uid="{00000000-0005-0000-0000-000008040000}"/>
    <cellStyle name="20% - Accent2 4 2 2 2" xfId="2060" xr:uid="{00000000-0005-0000-0000-000009040000}"/>
    <cellStyle name="20% - Accent2 4 2 3" xfId="2061" xr:uid="{00000000-0005-0000-0000-00000A040000}"/>
    <cellStyle name="20% - Accent2 4 3" xfId="2062" xr:uid="{00000000-0005-0000-0000-00000B040000}"/>
    <cellStyle name="20% - Accent2 4 3 2" xfId="2063" xr:uid="{00000000-0005-0000-0000-00000C040000}"/>
    <cellStyle name="20% - Accent2 4 4" xfId="2064" xr:uid="{00000000-0005-0000-0000-00000D040000}"/>
    <cellStyle name="20% - Accent2 5" xfId="2065" xr:uid="{00000000-0005-0000-0000-00000E040000}"/>
    <cellStyle name="20% - Accent2 5 2" xfId="2066" xr:uid="{00000000-0005-0000-0000-00000F040000}"/>
    <cellStyle name="20% - Accent2 5 2 2" xfId="2067" xr:uid="{00000000-0005-0000-0000-000010040000}"/>
    <cellStyle name="20% - Accent2 5 2 2 2" xfId="2068" xr:uid="{00000000-0005-0000-0000-000011040000}"/>
    <cellStyle name="20% - Accent2 5 2 3" xfId="2069" xr:uid="{00000000-0005-0000-0000-000012040000}"/>
    <cellStyle name="20% - Accent2 5 3" xfId="2070" xr:uid="{00000000-0005-0000-0000-000013040000}"/>
    <cellStyle name="20% - Accent2 5 3 2" xfId="2071" xr:uid="{00000000-0005-0000-0000-000014040000}"/>
    <cellStyle name="20% - Accent2 5 4" xfId="2072" xr:uid="{00000000-0005-0000-0000-000015040000}"/>
    <cellStyle name="20% - Accent2 6" xfId="2073" xr:uid="{00000000-0005-0000-0000-000016040000}"/>
    <cellStyle name="20% - Accent2 6 2" xfId="2074" xr:uid="{00000000-0005-0000-0000-000017040000}"/>
    <cellStyle name="20% - Accent2 6 2 2" xfId="2075" xr:uid="{00000000-0005-0000-0000-000018040000}"/>
    <cellStyle name="20% - Accent2 6 2 2 2" xfId="2076" xr:uid="{00000000-0005-0000-0000-000019040000}"/>
    <cellStyle name="20% - Accent2 6 2 3" xfId="2077" xr:uid="{00000000-0005-0000-0000-00001A040000}"/>
    <cellStyle name="20% - Accent2 6 3" xfId="2078" xr:uid="{00000000-0005-0000-0000-00001B040000}"/>
    <cellStyle name="20% - Accent2 6 3 2" xfId="2079" xr:uid="{00000000-0005-0000-0000-00001C040000}"/>
    <cellStyle name="20% - Accent2 6 4" xfId="2080" xr:uid="{00000000-0005-0000-0000-00001D040000}"/>
    <cellStyle name="20% - Accent2 7" xfId="2081" xr:uid="{00000000-0005-0000-0000-00001E040000}"/>
    <cellStyle name="20% - Accent2 7 2" xfId="2082" xr:uid="{00000000-0005-0000-0000-00001F040000}"/>
    <cellStyle name="20% - Accent2 7 2 2" xfId="2083" xr:uid="{00000000-0005-0000-0000-000020040000}"/>
    <cellStyle name="20% - Accent2 7 2 2 2" xfId="2084" xr:uid="{00000000-0005-0000-0000-000021040000}"/>
    <cellStyle name="20% - Accent2 7 2 3" xfId="2085" xr:uid="{00000000-0005-0000-0000-000022040000}"/>
    <cellStyle name="20% - Accent2 7 3" xfId="2086" xr:uid="{00000000-0005-0000-0000-000023040000}"/>
    <cellStyle name="20% - Accent2 7 3 2" xfId="2087" xr:uid="{00000000-0005-0000-0000-000024040000}"/>
    <cellStyle name="20% - Accent2 7 4" xfId="2088" xr:uid="{00000000-0005-0000-0000-000025040000}"/>
    <cellStyle name="20% - Accent2 8" xfId="2089" xr:uid="{00000000-0005-0000-0000-000026040000}"/>
    <cellStyle name="20% - Accent2 8 2" xfId="2090" xr:uid="{00000000-0005-0000-0000-000027040000}"/>
    <cellStyle name="20% - Accent2 8 2 2" xfId="2091" xr:uid="{00000000-0005-0000-0000-000028040000}"/>
    <cellStyle name="20% - Accent2 8 2 2 2" xfId="2092" xr:uid="{00000000-0005-0000-0000-000029040000}"/>
    <cellStyle name="20% - Accent2 8 2 3" xfId="2093" xr:uid="{00000000-0005-0000-0000-00002A040000}"/>
    <cellStyle name="20% - Accent2 8 3" xfId="2094" xr:uid="{00000000-0005-0000-0000-00002B040000}"/>
    <cellStyle name="20% - Accent2 8 3 2" xfId="2095" xr:uid="{00000000-0005-0000-0000-00002C040000}"/>
    <cellStyle name="20% - Accent2 8 4" xfId="2096" xr:uid="{00000000-0005-0000-0000-00002D040000}"/>
    <cellStyle name="20% - Accent2 9" xfId="2097" xr:uid="{00000000-0005-0000-0000-00002E040000}"/>
    <cellStyle name="20% - Accent2 9 2" xfId="2098" xr:uid="{00000000-0005-0000-0000-00002F040000}"/>
    <cellStyle name="20% - Accent2 9 2 2" xfId="2099" xr:uid="{00000000-0005-0000-0000-000030040000}"/>
    <cellStyle name="20% - Accent2 9 2 2 2" xfId="2100" xr:uid="{00000000-0005-0000-0000-000031040000}"/>
    <cellStyle name="20% - Accent2 9 2 3" xfId="2101" xr:uid="{00000000-0005-0000-0000-000032040000}"/>
    <cellStyle name="20% - Accent2 9 3" xfId="2102" xr:uid="{00000000-0005-0000-0000-000033040000}"/>
    <cellStyle name="20% - Accent2 9 3 2" xfId="2103" xr:uid="{00000000-0005-0000-0000-000034040000}"/>
    <cellStyle name="20% - Accent2 9 4" xfId="2104" xr:uid="{00000000-0005-0000-0000-000035040000}"/>
    <cellStyle name="20% - Accent3 10" xfId="2105" xr:uid="{00000000-0005-0000-0000-000036040000}"/>
    <cellStyle name="20% - Accent3 10 2" xfId="2106" xr:uid="{00000000-0005-0000-0000-000037040000}"/>
    <cellStyle name="20% - Accent3 10 2 2" xfId="2107" xr:uid="{00000000-0005-0000-0000-000038040000}"/>
    <cellStyle name="20% - Accent3 10 2 2 2" xfId="2108" xr:uid="{00000000-0005-0000-0000-000039040000}"/>
    <cellStyle name="20% - Accent3 10 2 3" xfId="2109" xr:uid="{00000000-0005-0000-0000-00003A040000}"/>
    <cellStyle name="20% - Accent3 10 3" xfId="2110" xr:uid="{00000000-0005-0000-0000-00003B040000}"/>
    <cellStyle name="20% - Accent3 10 3 2" xfId="2111" xr:uid="{00000000-0005-0000-0000-00003C040000}"/>
    <cellStyle name="20% - Accent3 10 4" xfId="2112" xr:uid="{00000000-0005-0000-0000-00003D040000}"/>
    <cellStyle name="20% - Accent3 11" xfId="2113" xr:uid="{00000000-0005-0000-0000-00003E040000}"/>
    <cellStyle name="20% - Accent3 11 2" xfId="2114" xr:uid="{00000000-0005-0000-0000-00003F040000}"/>
    <cellStyle name="20% - Accent3 11 2 2" xfId="2115" xr:uid="{00000000-0005-0000-0000-000040040000}"/>
    <cellStyle name="20% - Accent3 11 3" xfId="2116" xr:uid="{00000000-0005-0000-0000-000041040000}"/>
    <cellStyle name="20% - Accent3 12" xfId="2117" xr:uid="{00000000-0005-0000-0000-000042040000}"/>
    <cellStyle name="20% - Accent3 12 2" xfId="2118" xr:uid="{00000000-0005-0000-0000-000043040000}"/>
    <cellStyle name="20% - Accent3 12 3" xfId="7332" xr:uid="{00000000-0005-0000-0000-000044040000}"/>
    <cellStyle name="20% - Accent3 12 3 2" xfId="10035" xr:uid="{00000000-0005-0000-0000-000045040000}"/>
    <cellStyle name="20% - Accent3 12 4" xfId="8695" xr:uid="{00000000-0005-0000-0000-000046040000}"/>
    <cellStyle name="20% - Accent3 13" xfId="2119" xr:uid="{00000000-0005-0000-0000-000047040000}"/>
    <cellStyle name="20% - Accent3 2" xfId="366" xr:uid="{00000000-0005-0000-0000-000048040000}"/>
    <cellStyle name="20% - Accent3 2 10" xfId="2120" xr:uid="{00000000-0005-0000-0000-000049040000}"/>
    <cellStyle name="20% - Accent3 2 11" xfId="2121" xr:uid="{00000000-0005-0000-0000-00004A040000}"/>
    <cellStyle name="20% - Accent3 2 12" xfId="2122" xr:uid="{00000000-0005-0000-0000-00004B040000}"/>
    <cellStyle name="20% - Accent3 2 13" xfId="2123" xr:uid="{00000000-0005-0000-0000-00004C040000}"/>
    <cellStyle name="20% - Accent3 2 14" xfId="2124" xr:uid="{00000000-0005-0000-0000-00004D040000}"/>
    <cellStyle name="20% - Accent3 2 15" xfId="2125" xr:uid="{00000000-0005-0000-0000-00004E040000}"/>
    <cellStyle name="20% - Accent3 2 16" xfId="2126" xr:uid="{00000000-0005-0000-0000-00004F040000}"/>
    <cellStyle name="20% - Accent3 2 17" xfId="2127" xr:uid="{00000000-0005-0000-0000-000050040000}"/>
    <cellStyle name="20% - Accent3 2 18" xfId="2128" xr:uid="{00000000-0005-0000-0000-000051040000}"/>
    <cellStyle name="20% - Accent3 2 19" xfId="2129" xr:uid="{00000000-0005-0000-0000-000052040000}"/>
    <cellStyle name="20% - Accent3 2 2" xfId="367" xr:uid="{00000000-0005-0000-0000-000053040000}"/>
    <cellStyle name="20% - Accent3 2 2 2" xfId="2130" xr:uid="{00000000-0005-0000-0000-000054040000}"/>
    <cellStyle name="20% - Accent3 2 2 2 2" xfId="2131" xr:uid="{00000000-0005-0000-0000-000055040000}"/>
    <cellStyle name="20% - Accent3 2 2 3" xfId="2132" xr:uid="{00000000-0005-0000-0000-000056040000}"/>
    <cellStyle name="20% - Accent3 2 2 4" xfId="2133" xr:uid="{00000000-0005-0000-0000-000057040000}"/>
    <cellStyle name="20% - Accent3 2 2 5" xfId="1443" xr:uid="{00000000-0005-0000-0000-000058040000}"/>
    <cellStyle name="20% - Accent3 2 2 5 2" xfId="7139" xr:uid="{00000000-0005-0000-0000-000059040000}"/>
    <cellStyle name="20% - Accent3 2 2 5 2 2" xfId="9842" xr:uid="{00000000-0005-0000-0000-00005A040000}"/>
    <cellStyle name="20% - Accent3 2 2 5 3" xfId="8502" xr:uid="{00000000-0005-0000-0000-00005B040000}"/>
    <cellStyle name="20% - Accent3 2 2 6" xfId="6437" xr:uid="{00000000-0005-0000-0000-00005C040000}"/>
    <cellStyle name="20% - Accent3 2 2 6 2" xfId="9156" xr:uid="{00000000-0005-0000-0000-00005D040000}"/>
    <cellStyle name="20% - Accent3 2 2 7" xfId="7817" xr:uid="{00000000-0005-0000-0000-00005E040000}"/>
    <cellStyle name="20% - Accent3 2 20" xfId="2134" xr:uid="{00000000-0005-0000-0000-00005F040000}"/>
    <cellStyle name="20% - Accent3 2 21" xfId="2135" xr:uid="{00000000-0005-0000-0000-000060040000}"/>
    <cellStyle name="20% - Accent3 2 22" xfId="2136" xr:uid="{00000000-0005-0000-0000-000061040000}"/>
    <cellStyle name="20% - Accent3 2 23" xfId="2137" xr:uid="{00000000-0005-0000-0000-000062040000}"/>
    <cellStyle name="20% - Accent3 2 24" xfId="2138" xr:uid="{00000000-0005-0000-0000-000063040000}"/>
    <cellStyle name="20% - Accent3 2 25" xfId="2139" xr:uid="{00000000-0005-0000-0000-000064040000}"/>
    <cellStyle name="20% - Accent3 2 26" xfId="2140" xr:uid="{00000000-0005-0000-0000-000065040000}"/>
    <cellStyle name="20% - Accent3 2 27" xfId="2141" xr:uid="{00000000-0005-0000-0000-000066040000}"/>
    <cellStyle name="20% - Accent3 2 28" xfId="2142" xr:uid="{00000000-0005-0000-0000-000067040000}"/>
    <cellStyle name="20% - Accent3 2 29" xfId="2143" xr:uid="{00000000-0005-0000-0000-000068040000}"/>
    <cellStyle name="20% - Accent3 2 3" xfId="2144" xr:uid="{00000000-0005-0000-0000-000069040000}"/>
    <cellStyle name="20% - Accent3 2 3 2" xfId="2145" xr:uid="{00000000-0005-0000-0000-00006A040000}"/>
    <cellStyle name="20% - Accent3 2 3 3" xfId="2146" xr:uid="{00000000-0005-0000-0000-00006B040000}"/>
    <cellStyle name="20% - Accent3 2 30" xfId="2147" xr:uid="{00000000-0005-0000-0000-00006C040000}"/>
    <cellStyle name="20% - Accent3 2 31" xfId="2148" xr:uid="{00000000-0005-0000-0000-00006D040000}"/>
    <cellStyle name="20% - Accent3 2 32" xfId="2149" xr:uid="{00000000-0005-0000-0000-00006E040000}"/>
    <cellStyle name="20% - Accent3 2 33" xfId="2150" xr:uid="{00000000-0005-0000-0000-00006F040000}"/>
    <cellStyle name="20% - Accent3 2 34" xfId="2151" xr:uid="{00000000-0005-0000-0000-000070040000}"/>
    <cellStyle name="20% - Accent3 2 35" xfId="2152" xr:uid="{00000000-0005-0000-0000-000071040000}"/>
    <cellStyle name="20% - Accent3 2 36" xfId="2153" xr:uid="{00000000-0005-0000-0000-000072040000}"/>
    <cellStyle name="20% - Accent3 2 37" xfId="2154" xr:uid="{00000000-0005-0000-0000-000073040000}"/>
    <cellStyle name="20% - Accent3 2 38" xfId="2155" xr:uid="{00000000-0005-0000-0000-000074040000}"/>
    <cellStyle name="20% - Accent3 2 39" xfId="2156" xr:uid="{00000000-0005-0000-0000-000075040000}"/>
    <cellStyle name="20% - Accent3 2 4" xfId="2157" xr:uid="{00000000-0005-0000-0000-000076040000}"/>
    <cellStyle name="20% - Accent3 2 4 2" xfId="2158" xr:uid="{00000000-0005-0000-0000-000077040000}"/>
    <cellStyle name="20% - Accent3 2 40" xfId="2159" xr:uid="{00000000-0005-0000-0000-000078040000}"/>
    <cellStyle name="20% - Accent3 2 41" xfId="2160" xr:uid="{00000000-0005-0000-0000-000079040000}"/>
    <cellStyle name="20% - Accent3 2 42" xfId="2161" xr:uid="{00000000-0005-0000-0000-00007A040000}"/>
    <cellStyle name="20% - Accent3 2 43" xfId="2162" xr:uid="{00000000-0005-0000-0000-00007B040000}"/>
    <cellStyle name="20% - Accent3 2 44" xfId="2163" xr:uid="{00000000-0005-0000-0000-00007C040000}"/>
    <cellStyle name="20% - Accent3 2 45" xfId="2164" xr:uid="{00000000-0005-0000-0000-00007D040000}"/>
    <cellStyle name="20% - Accent3 2 46" xfId="2165" xr:uid="{00000000-0005-0000-0000-00007E040000}"/>
    <cellStyle name="20% - Accent3 2 47" xfId="2166" xr:uid="{00000000-0005-0000-0000-00007F040000}"/>
    <cellStyle name="20% - Accent3 2 48" xfId="2167" xr:uid="{00000000-0005-0000-0000-000080040000}"/>
    <cellStyle name="20% - Accent3 2 49" xfId="2168" xr:uid="{00000000-0005-0000-0000-000081040000}"/>
    <cellStyle name="20% - Accent3 2 5" xfId="2169" xr:uid="{00000000-0005-0000-0000-000082040000}"/>
    <cellStyle name="20% - Accent3 2 50" xfId="2170" xr:uid="{00000000-0005-0000-0000-000083040000}"/>
    <cellStyle name="20% - Accent3 2 51" xfId="2171" xr:uid="{00000000-0005-0000-0000-000084040000}"/>
    <cellStyle name="20% - Accent3 2 51 2" xfId="7333" xr:uid="{00000000-0005-0000-0000-000085040000}"/>
    <cellStyle name="20% - Accent3 2 51 2 2" xfId="10036" xr:uid="{00000000-0005-0000-0000-000086040000}"/>
    <cellStyle name="20% - Accent3 2 51 3" xfId="8696" xr:uid="{00000000-0005-0000-0000-000087040000}"/>
    <cellStyle name="20% - Accent3 2 6" xfId="2172" xr:uid="{00000000-0005-0000-0000-000088040000}"/>
    <cellStyle name="20% - Accent3 2 7" xfId="2173" xr:uid="{00000000-0005-0000-0000-000089040000}"/>
    <cellStyle name="20% - Accent3 2 8" xfId="2174" xr:uid="{00000000-0005-0000-0000-00008A040000}"/>
    <cellStyle name="20% - Accent3 2 9" xfId="2175" xr:uid="{00000000-0005-0000-0000-00008B040000}"/>
    <cellStyle name="20% - Accent3 3" xfId="2176" xr:uid="{00000000-0005-0000-0000-00008C040000}"/>
    <cellStyle name="20% - Accent3 3 2" xfId="2177" xr:uid="{00000000-0005-0000-0000-00008D040000}"/>
    <cellStyle name="20% - Accent3 3 2 2" xfId="2178" xr:uid="{00000000-0005-0000-0000-00008E040000}"/>
    <cellStyle name="20% - Accent3 3 2 2 2" xfId="2179" xr:uid="{00000000-0005-0000-0000-00008F040000}"/>
    <cellStyle name="20% - Accent3 3 2 3" xfId="2180" xr:uid="{00000000-0005-0000-0000-000090040000}"/>
    <cellStyle name="20% - Accent3 3 3" xfId="2181" xr:uid="{00000000-0005-0000-0000-000091040000}"/>
    <cellStyle name="20% - Accent3 3 3 2" xfId="2182" xr:uid="{00000000-0005-0000-0000-000092040000}"/>
    <cellStyle name="20% - Accent3 3 4" xfId="2183" xr:uid="{00000000-0005-0000-0000-000093040000}"/>
    <cellStyle name="20% - Accent3 4" xfId="2184" xr:uid="{00000000-0005-0000-0000-000094040000}"/>
    <cellStyle name="20% - Accent3 4 2" xfId="2185" xr:uid="{00000000-0005-0000-0000-000095040000}"/>
    <cellStyle name="20% - Accent3 4 2 2" xfId="2186" xr:uid="{00000000-0005-0000-0000-000096040000}"/>
    <cellStyle name="20% - Accent3 4 2 2 2" xfId="2187" xr:uid="{00000000-0005-0000-0000-000097040000}"/>
    <cellStyle name="20% - Accent3 4 2 3" xfId="2188" xr:uid="{00000000-0005-0000-0000-000098040000}"/>
    <cellStyle name="20% - Accent3 4 3" xfId="2189" xr:uid="{00000000-0005-0000-0000-000099040000}"/>
    <cellStyle name="20% - Accent3 4 3 2" xfId="2190" xr:uid="{00000000-0005-0000-0000-00009A040000}"/>
    <cellStyle name="20% - Accent3 4 4" xfId="2191" xr:uid="{00000000-0005-0000-0000-00009B040000}"/>
    <cellStyle name="20% - Accent3 5" xfId="2192" xr:uid="{00000000-0005-0000-0000-00009C040000}"/>
    <cellStyle name="20% - Accent3 5 2" xfId="2193" xr:uid="{00000000-0005-0000-0000-00009D040000}"/>
    <cellStyle name="20% - Accent3 5 2 2" xfId="2194" xr:uid="{00000000-0005-0000-0000-00009E040000}"/>
    <cellStyle name="20% - Accent3 5 2 2 2" xfId="2195" xr:uid="{00000000-0005-0000-0000-00009F040000}"/>
    <cellStyle name="20% - Accent3 5 2 3" xfId="2196" xr:uid="{00000000-0005-0000-0000-0000A0040000}"/>
    <cellStyle name="20% - Accent3 5 3" xfId="2197" xr:uid="{00000000-0005-0000-0000-0000A1040000}"/>
    <cellStyle name="20% - Accent3 5 3 2" xfId="2198" xr:uid="{00000000-0005-0000-0000-0000A2040000}"/>
    <cellStyle name="20% - Accent3 5 4" xfId="2199" xr:uid="{00000000-0005-0000-0000-0000A3040000}"/>
    <cellStyle name="20% - Accent3 6" xfId="2200" xr:uid="{00000000-0005-0000-0000-0000A4040000}"/>
    <cellStyle name="20% - Accent3 6 2" xfId="2201" xr:uid="{00000000-0005-0000-0000-0000A5040000}"/>
    <cellStyle name="20% - Accent3 6 2 2" xfId="2202" xr:uid="{00000000-0005-0000-0000-0000A6040000}"/>
    <cellStyle name="20% - Accent3 6 2 2 2" xfId="2203" xr:uid="{00000000-0005-0000-0000-0000A7040000}"/>
    <cellStyle name="20% - Accent3 6 2 3" xfId="2204" xr:uid="{00000000-0005-0000-0000-0000A8040000}"/>
    <cellStyle name="20% - Accent3 6 3" xfId="2205" xr:uid="{00000000-0005-0000-0000-0000A9040000}"/>
    <cellStyle name="20% - Accent3 6 3 2" xfId="2206" xr:uid="{00000000-0005-0000-0000-0000AA040000}"/>
    <cellStyle name="20% - Accent3 6 4" xfId="2207" xr:uid="{00000000-0005-0000-0000-0000AB040000}"/>
    <cellStyle name="20% - Accent3 7" xfId="2208" xr:uid="{00000000-0005-0000-0000-0000AC040000}"/>
    <cellStyle name="20% - Accent3 7 2" xfId="2209" xr:uid="{00000000-0005-0000-0000-0000AD040000}"/>
    <cellStyle name="20% - Accent3 7 2 2" xfId="2210" xr:uid="{00000000-0005-0000-0000-0000AE040000}"/>
    <cellStyle name="20% - Accent3 7 2 2 2" xfId="2211" xr:uid="{00000000-0005-0000-0000-0000AF040000}"/>
    <cellStyle name="20% - Accent3 7 2 3" xfId="2212" xr:uid="{00000000-0005-0000-0000-0000B0040000}"/>
    <cellStyle name="20% - Accent3 7 3" xfId="2213" xr:uid="{00000000-0005-0000-0000-0000B1040000}"/>
    <cellStyle name="20% - Accent3 7 3 2" xfId="2214" xr:uid="{00000000-0005-0000-0000-0000B2040000}"/>
    <cellStyle name="20% - Accent3 7 4" xfId="2215" xr:uid="{00000000-0005-0000-0000-0000B3040000}"/>
    <cellStyle name="20% - Accent3 8" xfId="2216" xr:uid="{00000000-0005-0000-0000-0000B4040000}"/>
    <cellStyle name="20% - Accent3 8 2" xfId="2217" xr:uid="{00000000-0005-0000-0000-0000B5040000}"/>
    <cellStyle name="20% - Accent3 8 2 2" xfId="2218" xr:uid="{00000000-0005-0000-0000-0000B6040000}"/>
    <cellStyle name="20% - Accent3 8 2 2 2" xfId="2219" xr:uid="{00000000-0005-0000-0000-0000B7040000}"/>
    <cellStyle name="20% - Accent3 8 2 3" xfId="2220" xr:uid="{00000000-0005-0000-0000-0000B8040000}"/>
    <cellStyle name="20% - Accent3 8 3" xfId="2221" xr:uid="{00000000-0005-0000-0000-0000B9040000}"/>
    <cellStyle name="20% - Accent3 8 3 2" xfId="2222" xr:uid="{00000000-0005-0000-0000-0000BA040000}"/>
    <cellStyle name="20% - Accent3 8 4" xfId="2223" xr:uid="{00000000-0005-0000-0000-0000BB040000}"/>
    <cellStyle name="20% - Accent3 9" xfId="2224" xr:uid="{00000000-0005-0000-0000-0000BC040000}"/>
    <cellStyle name="20% - Accent3 9 2" xfId="2225" xr:uid="{00000000-0005-0000-0000-0000BD040000}"/>
    <cellStyle name="20% - Accent3 9 2 2" xfId="2226" xr:uid="{00000000-0005-0000-0000-0000BE040000}"/>
    <cellStyle name="20% - Accent3 9 2 2 2" xfId="2227" xr:uid="{00000000-0005-0000-0000-0000BF040000}"/>
    <cellStyle name="20% - Accent3 9 2 3" xfId="2228" xr:uid="{00000000-0005-0000-0000-0000C0040000}"/>
    <cellStyle name="20% - Accent3 9 3" xfId="2229" xr:uid="{00000000-0005-0000-0000-0000C1040000}"/>
    <cellStyle name="20% - Accent3 9 3 2" xfId="2230" xr:uid="{00000000-0005-0000-0000-0000C2040000}"/>
    <cellStyle name="20% - Accent3 9 4" xfId="2231" xr:uid="{00000000-0005-0000-0000-0000C3040000}"/>
    <cellStyle name="20% - Accent4 10" xfId="2232" xr:uid="{00000000-0005-0000-0000-0000C4040000}"/>
    <cellStyle name="20% - Accent4 10 2" xfId="2233" xr:uid="{00000000-0005-0000-0000-0000C5040000}"/>
    <cellStyle name="20% - Accent4 10 2 2" xfId="2234" xr:uid="{00000000-0005-0000-0000-0000C6040000}"/>
    <cellStyle name="20% - Accent4 10 2 2 2" xfId="2235" xr:uid="{00000000-0005-0000-0000-0000C7040000}"/>
    <cellStyle name="20% - Accent4 10 2 3" xfId="2236" xr:uid="{00000000-0005-0000-0000-0000C8040000}"/>
    <cellStyle name="20% - Accent4 10 3" xfId="2237" xr:uid="{00000000-0005-0000-0000-0000C9040000}"/>
    <cellStyle name="20% - Accent4 10 3 2" xfId="2238" xr:uid="{00000000-0005-0000-0000-0000CA040000}"/>
    <cellStyle name="20% - Accent4 10 4" xfId="2239" xr:uid="{00000000-0005-0000-0000-0000CB040000}"/>
    <cellStyle name="20% - Accent4 11" xfId="2240" xr:uid="{00000000-0005-0000-0000-0000CC040000}"/>
    <cellStyle name="20% - Accent4 11 2" xfId="2241" xr:uid="{00000000-0005-0000-0000-0000CD040000}"/>
    <cellStyle name="20% - Accent4 11 2 2" xfId="2242" xr:uid="{00000000-0005-0000-0000-0000CE040000}"/>
    <cellStyle name="20% - Accent4 11 3" xfId="2243" xr:uid="{00000000-0005-0000-0000-0000CF040000}"/>
    <cellStyle name="20% - Accent4 12" xfId="2244" xr:uid="{00000000-0005-0000-0000-0000D0040000}"/>
    <cellStyle name="20% - Accent4 2" xfId="368" xr:uid="{00000000-0005-0000-0000-0000D1040000}"/>
    <cellStyle name="20% - Accent4 2 10" xfId="2245" xr:uid="{00000000-0005-0000-0000-0000D2040000}"/>
    <cellStyle name="20% - Accent4 2 11" xfId="2246" xr:uid="{00000000-0005-0000-0000-0000D3040000}"/>
    <cellStyle name="20% - Accent4 2 12" xfId="2247" xr:uid="{00000000-0005-0000-0000-0000D4040000}"/>
    <cellStyle name="20% - Accent4 2 13" xfId="2248" xr:uid="{00000000-0005-0000-0000-0000D5040000}"/>
    <cellStyle name="20% - Accent4 2 14" xfId="2249" xr:uid="{00000000-0005-0000-0000-0000D6040000}"/>
    <cellStyle name="20% - Accent4 2 15" xfId="2250" xr:uid="{00000000-0005-0000-0000-0000D7040000}"/>
    <cellStyle name="20% - Accent4 2 16" xfId="2251" xr:uid="{00000000-0005-0000-0000-0000D8040000}"/>
    <cellStyle name="20% - Accent4 2 17" xfId="2252" xr:uid="{00000000-0005-0000-0000-0000D9040000}"/>
    <cellStyle name="20% - Accent4 2 18" xfId="2253" xr:uid="{00000000-0005-0000-0000-0000DA040000}"/>
    <cellStyle name="20% - Accent4 2 19" xfId="2254" xr:uid="{00000000-0005-0000-0000-0000DB040000}"/>
    <cellStyle name="20% - Accent4 2 2" xfId="2255" xr:uid="{00000000-0005-0000-0000-0000DC040000}"/>
    <cellStyle name="20% - Accent4 2 2 2" xfId="2256" xr:uid="{00000000-0005-0000-0000-0000DD040000}"/>
    <cellStyle name="20% - Accent4 2 2 2 2" xfId="2257" xr:uid="{00000000-0005-0000-0000-0000DE040000}"/>
    <cellStyle name="20% - Accent4 2 2 3" xfId="2258" xr:uid="{00000000-0005-0000-0000-0000DF040000}"/>
    <cellStyle name="20% - Accent4 2 2 4" xfId="2259" xr:uid="{00000000-0005-0000-0000-0000E0040000}"/>
    <cellStyle name="20% - Accent4 2 20" xfId="2260" xr:uid="{00000000-0005-0000-0000-0000E1040000}"/>
    <cellStyle name="20% - Accent4 2 21" xfId="2261" xr:uid="{00000000-0005-0000-0000-0000E2040000}"/>
    <cellStyle name="20% - Accent4 2 22" xfId="2262" xr:uid="{00000000-0005-0000-0000-0000E3040000}"/>
    <cellStyle name="20% - Accent4 2 23" xfId="2263" xr:uid="{00000000-0005-0000-0000-0000E4040000}"/>
    <cellStyle name="20% - Accent4 2 24" xfId="2264" xr:uid="{00000000-0005-0000-0000-0000E5040000}"/>
    <cellStyle name="20% - Accent4 2 25" xfId="2265" xr:uid="{00000000-0005-0000-0000-0000E6040000}"/>
    <cellStyle name="20% - Accent4 2 26" xfId="2266" xr:uid="{00000000-0005-0000-0000-0000E7040000}"/>
    <cellStyle name="20% - Accent4 2 27" xfId="2267" xr:uid="{00000000-0005-0000-0000-0000E8040000}"/>
    <cellStyle name="20% - Accent4 2 28" xfId="2268" xr:uid="{00000000-0005-0000-0000-0000E9040000}"/>
    <cellStyle name="20% - Accent4 2 29" xfId="2269" xr:uid="{00000000-0005-0000-0000-0000EA040000}"/>
    <cellStyle name="20% - Accent4 2 3" xfId="2270" xr:uid="{00000000-0005-0000-0000-0000EB040000}"/>
    <cellStyle name="20% - Accent4 2 3 2" xfId="2271" xr:uid="{00000000-0005-0000-0000-0000EC040000}"/>
    <cellStyle name="20% - Accent4 2 3 3" xfId="2272" xr:uid="{00000000-0005-0000-0000-0000ED040000}"/>
    <cellStyle name="20% - Accent4 2 30" xfId="2273" xr:uid="{00000000-0005-0000-0000-0000EE040000}"/>
    <cellStyle name="20% - Accent4 2 31" xfId="2274" xr:uid="{00000000-0005-0000-0000-0000EF040000}"/>
    <cellStyle name="20% - Accent4 2 32" xfId="2275" xr:uid="{00000000-0005-0000-0000-0000F0040000}"/>
    <cellStyle name="20% - Accent4 2 33" xfId="2276" xr:uid="{00000000-0005-0000-0000-0000F1040000}"/>
    <cellStyle name="20% - Accent4 2 34" xfId="2277" xr:uid="{00000000-0005-0000-0000-0000F2040000}"/>
    <cellStyle name="20% - Accent4 2 35" xfId="2278" xr:uid="{00000000-0005-0000-0000-0000F3040000}"/>
    <cellStyle name="20% - Accent4 2 36" xfId="2279" xr:uid="{00000000-0005-0000-0000-0000F4040000}"/>
    <cellStyle name="20% - Accent4 2 37" xfId="2280" xr:uid="{00000000-0005-0000-0000-0000F5040000}"/>
    <cellStyle name="20% - Accent4 2 38" xfId="2281" xr:uid="{00000000-0005-0000-0000-0000F6040000}"/>
    <cellStyle name="20% - Accent4 2 39" xfId="2282" xr:uid="{00000000-0005-0000-0000-0000F7040000}"/>
    <cellStyle name="20% - Accent4 2 4" xfId="2283" xr:uid="{00000000-0005-0000-0000-0000F8040000}"/>
    <cellStyle name="20% - Accent4 2 4 2" xfId="2284" xr:uid="{00000000-0005-0000-0000-0000F9040000}"/>
    <cellStyle name="20% - Accent4 2 40" xfId="2285" xr:uid="{00000000-0005-0000-0000-0000FA040000}"/>
    <cellStyle name="20% - Accent4 2 41" xfId="2286" xr:uid="{00000000-0005-0000-0000-0000FB040000}"/>
    <cellStyle name="20% - Accent4 2 42" xfId="2287" xr:uid="{00000000-0005-0000-0000-0000FC040000}"/>
    <cellStyle name="20% - Accent4 2 43" xfId="2288" xr:uid="{00000000-0005-0000-0000-0000FD040000}"/>
    <cellStyle name="20% - Accent4 2 44" xfId="2289" xr:uid="{00000000-0005-0000-0000-0000FE040000}"/>
    <cellStyle name="20% - Accent4 2 45" xfId="2290" xr:uid="{00000000-0005-0000-0000-0000FF040000}"/>
    <cellStyle name="20% - Accent4 2 46" xfId="2291" xr:uid="{00000000-0005-0000-0000-000000050000}"/>
    <cellStyle name="20% - Accent4 2 47" xfId="2292" xr:uid="{00000000-0005-0000-0000-000001050000}"/>
    <cellStyle name="20% - Accent4 2 48" xfId="2293" xr:uid="{00000000-0005-0000-0000-000002050000}"/>
    <cellStyle name="20% - Accent4 2 49" xfId="2294" xr:uid="{00000000-0005-0000-0000-000003050000}"/>
    <cellStyle name="20% - Accent4 2 5" xfId="2295" xr:uid="{00000000-0005-0000-0000-000004050000}"/>
    <cellStyle name="20% - Accent4 2 6" xfId="2296" xr:uid="{00000000-0005-0000-0000-000005050000}"/>
    <cellStyle name="20% - Accent4 2 7" xfId="2297" xr:uid="{00000000-0005-0000-0000-000006050000}"/>
    <cellStyle name="20% - Accent4 2 8" xfId="2298" xr:uid="{00000000-0005-0000-0000-000007050000}"/>
    <cellStyle name="20% - Accent4 2 9" xfId="2299" xr:uid="{00000000-0005-0000-0000-000008050000}"/>
    <cellStyle name="20% - Accent4 3" xfId="2300" xr:uid="{00000000-0005-0000-0000-000009050000}"/>
    <cellStyle name="20% - Accent4 3 2" xfId="2301" xr:uid="{00000000-0005-0000-0000-00000A050000}"/>
    <cellStyle name="20% - Accent4 3 2 2" xfId="2302" xr:uid="{00000000-0005-0000-0000-00000B050000}"/>
    <cellStyle name="20% - Accent4 3 2 2 2" xfId="2303" xr:uid="{00000000-0005-0000-0000-00000C050000}"/>
    <cellStyle name="20% - Accent4 3 2 3" xfId="2304" xr:uid="{00000000-0005-0000-0000-00000D050000}"/>
    <cellStyle name="20% - Accent4 3 3" xfId="2305" xr:uid="{00000000-0005-0000-0000-00000E050000}"/>
    <cellStyle name="20% - Accent4 3 3 2" xfId="2306" xr:uid="{00000000-0005-0000-0000-00000F050000}"/>
    <cellStyle name="20% - Accent4 3 4" xfId="2307" xr:uid="{00000000-0005-0000-0000-000010050000}"/>
    <cellStyle name="20% - Accent4 4" xfId="2308" xr:uid="{00000000-0005-0000-0000-000011050000}"/>
    <cellStyle name="20% - Accent4 4 2" xfId="2309" xr:uid="{00000000-0005-0000-0000-000012050000}"/>
    <cellStyle name="20% - Accent4 4 2 2" xfId="2310" xr:uid="{00000000-0005-0000-0000-000013050000}"/>
    <cellStyle name="20% - Accent4 4 2 2 2" xfId="2311" xr:uid="{00000000-0005-0000-0000-000014050000}"/>
    <cellStyle name="20% - Accent4 4 2 3" xfId="2312" xr:uid="{00000000-0005-0000-0000-000015050000}"/>
    <cellStyle name="20% - Accent4 4 3" xfId="2313" xr:uid="{00000000-0005-0000-0000-000016050000}"/>
    <cellStyle name="20% - Accent4 4 3 2" xfId="2314" xr:uid="{00000000-0005-0000-0000-000017050000}"/>
    <cellStyle name="20% - Accent4 4 4" xfId="2315" xr:uid="{00000000-0005-0000-0000-000018050000}"/>
    <cellStyle name="20% - Accent4 5" xfId="2316" xr:uid="{00000000-0005-0000-0000-000019050000}"/>
    <cellStyle name="20% - Accent4 5 2" xfId="2317" xr:uid="{00000000-0005-0000-0000-00001A050000}"/>
    <cellStyle name="20% - Accent4 5 2 2" xfId="2318" xr:uid="{00000000-0005-0000-0000-00001B050000}"/>
    <cellStyle name="20% - Accent4 5 2 2 2" xfId="2319" xr:uid="{00000000-0005-0000-0000-00001C050000}"/>
    <cellStyle name="20% - Accent4 5 2 3" xfId="2320" xr:uid="{00000000-0005-0000-0000-00001D050000}"/>
    <cellStyle name="20% - Accent4 5 3" xfId="2321" xr:uid="{00000000-0005-0000-0000-00001E050000}"/>
    <cellStyle name="20% - Accent4 5 3 2" xfId="2322" xr:uid="{00000000-0005-0000-0000-00001F050000}"/>
    <cellStyle name="20% - Accent4 5 4" xfId="2323" xr:uid="{00000000-0005-0000-0000-000020050000}"/>
    <cellStyle name="20% - Accent4 6" xfId="2324" xr:uid="{00000000-0005-0000-0000-000021050000}"/>
    <cellStyle name="20% - Accent4 6 2" xfId="2325" xr:uid="{00000000-0005-0000-0000-000022050000}"/>
    <cellStyle name="20% - Accent4 6 2 2" xfId="2326" xr:uid="{00000000-0005-0000-0000-000023050000}"/>
    <cellStyle name="20% - Accent4 6 2 2 2" xfId="2327" xr:uid="{00000000-0005-0000-0000-000024050000}"/>
    <cellStyle name="20% - Accent4 6 2 3" xfId="2328" xr:uid="{00000000-0005-0000-0000-000025050000}"/>
    <cellStyle name="20% - Accent4 6 3" xfId="2329" xr:uid="{00000000-0005-0000-0000-000026050000}"/>
    <cellStyle name="20% - Accent4 6 3 2" xfId="2330" xr:uid="{00000000-0005-0000-0000-000027050000}"/>
    <cellStyle name="20% - Accent4 6 4" xfId="2331" xr:uid="{00000000-0005-0000-0000-000028050000}"/>
    <cellStyle name="20% - Accent4 7" xfId="2332" xr:uid="{00000000-0005-0000-0000-000029050000}"/>
    <cellStyle name="20% - Accent4 7 2" xfId="2333" xr:uid="{00000000-0005-0000-0000-00002A050000}"/>
    <cellStyle name="20% - Accent4 7 2 2" xfId="2334" xr:uid="{00000000-0005-0000-0000-00002B050000}"/>
    <cellStyle name="20% - Accent4 7 2 2 2" xfId="2335" xr:uid="{00000000-0005-0000-0000-00002C050000}"/>
    <cellStyle name="20% - Accent4 7 2 3" xfId="2336" xr:uid="{00000000-0005-0000-0000-00002D050000}"/>
    <cellStyle name="20% - Accent4 7 3" xfId="2337" xr:uid="{00000000-0005-0000-0000-00002E050000}"/>
    <cellStyle name="20% - Accent4 7 3 2" xfId="2338" xr:uid="{00000000-0005-0000-0000-00002F050000}"/>
    <cellStyle name="20% - Accent4 7 4" xfId="2339" xr:uid="{00000000-0005-0000-0000-000030050000}"/>
    <cellStyle name="20% - Accent4 8" xfId="2340" xr:uid="{00000000-0005-0000-0000-000031050000}"/>
    <cellStyle name="20% - Accent4 8 2" xfId="2341" xr:uid="{00000000-0005-0000-0000-000032050000}"/>
    <cellStyle name="20% - Accent4 8 2 2" xfId="2342" xr:uid="{00000000-0005-0000-0000-000033050000}"/>
    <cellStyle name="20% - Accent4 8 2 2 2" xfId="2343" xr:uid="{00000000-0005-0000-0000-000034050000}"/>
    <cellStyle name="20% - Accent4 8 2 3" xfId="2344" xr:uid="{00000000-0005-0000-0000-000035050000}"/>
    <cellStyle name="20% - Accent4 8 3" xfId="2345" xr:uid="{00000000-0005-0000-0000-000036050000}"/>
    <cellStyle name="20% - Accent4 8 3 2" xfId="2346" xr:uid="{00000000-0005-0000-0000-000037050000}"/>
    <cellStyle name="20% - Accent4 8 4" xfId="2347" xr:uid="{00000000-0005-0000-0000-000038050000}"/>
    <cellStyle name="20% - Accent4 9" xfId="2348" xr:uid="{00000000-0005-0000-0000-000039050000}"/>
    <cellStyle name="20% - Accent4 9 2" xfId="2349" xr:uid="{00000000-0005-0000-0000-00003A050000}"/>
    <cellStyle name="20% - Accent4 9 2 2" xfId="2350" xr:uid="{00000000-0005-0000-0000-00003B050000}"/>
    <cellStyle name="20% - Accent4 9 2 2 2" xfId="2351" xr:uid="{00000000-0005-0000-0000-00003C050000}"/>
    <cellStyle name="20% - Accent4 9 2 3" xfId="2352" xr:uid="{00000000-0005-0000-0000-00003D050000}"/>
    <cellStyle name="20% - Accent4 9 3" xfId="2353" xr:uid="{00000000-0005-0000-0000-00003E050000}"/>
    <cellStyle name="20% - Accent4 9 3 2" xfId="2354" xr:uid="{00000000-0005-0000-0000-00003F050000}"/>
    <cellStyle name="20% - Accent4 9 4" xfId="2355" xr:uid="{00000000-0005-0000-0000-000040050000}"/>
    <cellStyle name="20% - Accent5 10" xfId="2356" xr:uid="{00000000-0005-0000-0000-000041050000}"/>
    <cellStyle name="20% - Accent5 10 2" xfId="2357" xr:uid="{00000000-0005-0000-0000-000042050000}"/>
    <cellStyle name="20% - Accent5 10 2 2" xfId="2358" xr:uid="{00000000-0005-0000-0000-000043050000}"/>
    <cellStyle name="20% - Accent5 10 2 2 2" xfId="2359" xr:uid="{00000000-0005-0000-0000-000044050000}"/>
    <cellStyle name="20% - Accent5 10 2 3" xfId="2360" xr:uid="{00000000-0005-0000-0000-000045050000}"/>
    <cellStyle name="20% - Accent5 10 3" xfId="2361" xr:uid="{00000000-0005-0000-0000-000046050000}"/>
    <cellStyle name="20% - Accent5 10 3 2" xfId="2362" xr:uid="{00000000-0005-0000-0000-000047050000}"/>
    <cellStyle name="20% - Accent5 10 4" xfId="2363" xr:uid="{00000000-0005-0000-0000-000048050000}"/>
    <cellStyle name="20% - Accent5 11" xfId="2364" xr:uid="{00000000-0005-0000-0000-000049050000}"/>
    <cellStyle name="20% - Accent5 11 2" xfId="2365" xr:uid="{00000000-0005-0000-0000-00004A050000}"/>
    <cellStyle name="20% - Accent5 11 2 2" xfId="2366" xr:uid="{00000000-0005-0000-0000-00004B050000}"/>
    <cellStyle name="20% - Accent5 11 3" xfId="2367" xr:uid="{00000000-0005-0000-0000-00004C050000}"/>
    <cellStyle name="20% - Accent5 12" xfId="2368" xr:uid="{00000000-0005-0000-0000-00004D050000}"/>
    <cellStyle name="20% - Accent5 12 2" xfId="2369" xr:uid="{00000000-0005-0000-0000-00004E050000}"/>
    <cellStyle name="20% - Accent5 12 3" xfId="7334" xr:uid="{00000000-0005-0000-0000-00004F050000}"/>
    <cellStyle name="20% - Accent5 12 3 2" xfId="10037" xr:uid="{00000000-0005-0000-0000-000050050000}"/>
    <cellStyle name="20% - Accent5 12 4" xfId="8697" xr:uid="{00000000-0005-0000-0000-000051050000}"/>
    <cellStyle name="20% - Accent5 13" xfId="2370" xr:uid="{00000000-0005-0000-0000-000052050000}"/>
    <cellStyle name="20% - Accent5 2" xfId="369" xr:uid="{00000000-0005-0000-0000-000053050000}"/>
    <cellStyle name="20% - Accent5 2 10" xfId="2371" xr:uid="{00000000-0005-0000-0000-000054050000}"/>
    <cellStyle name="20% - Accent5 2 11" xfId="2372" xr:uid="{00000000-0005-0000-0000-000055050000}"/>
    <cellStyle name="20% - Accent5 2 12" xfId="2373" xr:uid="{00000000-0005-0000-0000-000056050000}"/>
    <cellStyle name="20% - Accent5 2 13" xfId="2374" xr:uid="{00000000-0005-0000-0000-000057050000}"/>
    <cellStyle name="20% - Accent5 2 14" xfId="2375" xr:uid="{00000000-0005-0000-0000-000058050000}"/>
    <cellStyle name="20% - Accent5 2 15" xfId="2376" xr:uid="{00000000-0005-0000-0000-000059050000}"/>
    <cellStyle name="20% - Accent5 2 16" xfId="2377" xr:uid="{00000000-0005-0000-0000-00005A050000}"/>
    <cellStyle name="20% - Accent5 2 17" xfId="2378" xr:uid="{00000000-0005-0000-0000-00005B050000}"/>
    <cellStyle name="20% - Accent5 2 18" xfId="2379" xr:uid="{00000000-0005-0000-0000-00005C050000}"/>
    <cellStyle name="20% - Accent5 2 19" xfId="2380" xr:uid="{00000000-0005-0000-0000-00005D050000}"/>
    <cellStyle name="20% - Accent5 2 2" xfId="2381" xr:uid="{00000000-0005-0000-0000-00005E050000}"/>
    <cellStyle name="20% - Accent5 2 2 2" xfId="2382" xr:uid="{00000000-0005-0000-0000-00005F050000}"/>
    <cellStyle name="20% - Accent5 2 2 2 2" xfId="2383" xr:uid="{00000000-0005-0000-0000-000060050000}"/>
    <cellStyle name="20% - Accent5 2 2 3" xfId="2384" xr:uid="{00000000-0005-0000-0000-000061050000}"/>
    <cellStyle name="20% - Accent5 2 2 4" xfId="2385" xr:uid="{00000000-0005-0000-0000-000062050000}"/>
    <cellStyle name="20% - Accent5 2 20" xfId="2386" xr:uid="{00000000-0005-0000-0000-000063050000}"/>
    <cellStyle name="20% - Accent5 2 21" xfId="2387" xr:uid="{00000000-0005-0000-0000-000064050000}"/>
    <cellStyle name="20% - Accent5 2 22" xfId="2388" xr:uid="{00000000-0005-0000-0000-000065050000}"/>
    <cellStyle name="20% - Accent5 2 23" xfId="2389" xr:uid="{00000000-0005-0000-0000-000066050000}"/>
    <cellStyle name="20% - Accent5 2 24" xfId="2390" xr:uid="{00000000-0005-0000-0000-000067050000}"/>
    <cellStyle name="20% - Accent5 2 25" xfId="2391" xr:uid="{00000000-0005-0000-0000-000068050000}"/>
    <cellStyle name="20% - Accent5 2 26" xfId="2392" xr:uid="{00000000-0005-0000-0000-000069050000}"/>
    <cellStyle name="20% - Accent5 2 27" xfId="2393" xr:uid="{00000000-0005-0000-0000-00006A050000}"/>
    <cellStyle name="20% - Accent5 2 28" xfId="2394" xr:uid="{00000000-0005-0000-0000-00006B050000}"/>
    <cellStyle name="20% - Accent5 2 29" xfId="2395" xr:uid="{00000000-0005-0000-0000-00006C050000}"/>
    <cellStyle name="20% - Accent5 2 3" xfId="2396" xr:uid="{00000000-0005-0000-0000-00006D050000}"/>
    <cellStyle name="20% - Accent5 2 3 2" xfId="2397" xr:uid="{00000000-0005-0000-0000-00006E050000}"/>
    <cellStyle name="20% - Accent5 2 3 3" xfId="2398" xr:uid="{00000000-0005-0000-0000-00006F050000}"/>
    <cellStyle name="20% - Accent5 2 30" xfId="2399" xr:uid="{00000000-0005-0000-0000-000070050000}"/>
    <cellStyle name="20% - Accent5 2 31" xfId="2400" xr:uid="{00000000-0005-0000-0000-000071050000}"/>
    <cellStyle name="20% - Accent5 2 32" xfId="2401" xr:uid="{00000000-0005-0000-0000-000072050000}"/>
    <cellStyle name="20% - Accent5 2 33" xfId="2402" xr:uid="{00000000-0005-0000-0000-000073050000}"/>
    <cellStyle name="20% - Accent5 2 34" xfId="2403" xr:uid="{00000000-0005-0000-0000-000074050000}"/>
    <cellStyle name="20% - Accent5 2 35" xfId="2404" xr:uid="{00000000-0005-0000-0000-000075050000}"/>
    <cellStyle name="20% - Accent5 2 36" xfId="2405" xr:uid="{00000000-0005-0000-0000-000076050000}"/>
    <cellStyle name="20% - Accent5 2 37" xfId="2406" xr:uid="{00000000-0005-0000-0000-000077050000}"/>
    <cellStyle name="20% - Accent5 2 38" xfId="2407" xr:uid="{00000000-0005-0000-0000-000078050000}"/>
    <cellStyle name="20% - Accent5 2 39" xfId="2408" xr:uid="{00000000-0005-0000-0000-000079050000}"/>
    <cellStyle name="20% - Accent5 2 4" xfId="2409" xr:uid="{00000000-0005-0000-0000-00007A050000}"/>
    <cellStyle name="20% - Accent5 2 4 2" xfId="2410" xr:uid="{00000000-0005-0000-0000-00007B050000}"/>
    <cellStyle name="20% - Accent5 2 40" xfId="2411" xr:uid="{00000000-0005-0000-0000-00007C050000}"/>
    <cellStyle name="20% - Accent5 2 41" xfId="2412" xr:uid="{00000000-0005-0000-0000-00007D050000}"/>
    <cellStyle name="20% - Accent5 2 42" xfId="2413" xr:uid="{00000000-0005-0000-0000-00007E050000}"/>
    <cellStyle name="20% - Accent5 2 43" xfId="2414" xr:uid="{00000000-0005-0000-0000-00007F050000}"/>
    <cellStyle name="20% - Accent5 2 44" xfId="2415" xr:uid="{00000000-0005-0000-0000-000080050000}"/>
    <cellStyle name="20% - Accent5 2 45" xfId="2416" xr:uid="{00000000-0005-0000-0000-000081050000}"/>
    <cellStyle name="20% - Accent5 2 46" xfId="2417" xr:uid="{00000000-0005-0000-0000-000082050000}"/>
    <cellStyle name="20% - Accent5 2 47" xfId="2418" xr:uid="{00000000-0005-0000-0000-000083050000}"/>
    <cellStyle name="20% - Accent5 2 48" xfId="2419" xr:uid="{00000000-0005-0000-0000-000084050000}"/>
    <cellStyle name="20% - Accent5 2 49" xfId="2420" xr:uid="{00000000-0005-0000-0000-000085050000}"/>
    <cellStyle name="20% - Accent5 2 5" xfId="2421" xr:uid="{00000000-0005-0000-0000-000086050000}"/>
    <cellStyle name="20% - Accent5 2 6" xfId="2422" xr:uid="{00000000-0005-0000-0000-000087050000}"/>
    <cellStyle name="20% - Accent5 2 7" xfId="2423" xr:uid="{00000000-0005-0000-0000-000088050000}"/>
    <cellStyle name="20% - Accent5 2 8" xfId="2424" xr:uid="{00000000-0005-0000-0000-000089050000}"/>
    <cellStyle name="20% - Accent5 2 9" xfId="2425" xr:uid="{00000000-0005-0000-0000-00008A050000}"/>
    <cellStyle name="20% - Accent5 3" xfId="2426" xr:uid="{00000000-0005-0000-0000-00008B050000}"/>
    <cellStyle name="20% - Accent5 3 2" xfId="2427" xr:uid="{00000000-0005-0000-0000-00008C050000}"/>
    <cellStyle name="20% - Accent5 3 2 2" xfId="2428" xr:uid="{00000000-0005-0000-0000-00008D050000}"/>
    <cellStyle name="20% - Accent5 3 2 2 2" xfId="2429" xr:uid="{00000000-0005-0000-0000-00008E050000}"/>
    <cellStyle name="20% - Accent5 3 2 3" xfId="2430" xr:uid="{00000000-0005-0000-0000-00008F050000}"/>
    <cellStyle name="20% - Accent5 3 3" xfId="2431" xr:uid="{00000000-0005-0000-0000-000090050000}"/>
    <cellStyle name="20% - Accent5 3 3 2" xfId="2432" xr:uid="{00000000-0005-0000-0000-000091050000}"/>
    <cellStyle name="20% - Accent5 3 4" xfId="2433" xr:uid="{00000000-0005-0000-0000-000092050000}"/>
    <cellStyle name="20% - Accent5 4" xfId="2434" xr:uid="{00000000-0005-0000-0000-000093050000}"/>
    <cellStyle name="20% - Accent5 4 2" xfId="2435" xr:uid="{00000000-0005-0000-0000-000094050000}"/>
    <cellStyle name="20% - Accent5 4 2 2" xfId="2436" xr:uid="{00000000-0005-0000-0000-000095050000}"/>
    <cellStyle name="20% - Accent5 4 2 2 2" xfId="2437" xr:uid="{00000000-0005-0000-0000-000096050000}"/>
    <cellStyle name="20% - Accent5 4 2 3" xfId="2438" xr:uid="{00000000-0005-0000-0000-000097050000}"/>
    <cellStyle name="20% - Accent5 4 3" xfId="2439" xr:uid="{00000000-0005-0000-0000-000098050000}"/>
    <cellStyle name="20% - Accent5 4 3 2" xfId="2440" xr:uid="{00000000-0005-0000-0000-000099050000}"/>
    <cellStyle name="20% - Accent5 4 4" xfId="2441" xr:uid="{00000000-0005-0000-0000-00009A050000}"/>
    <cellStyle name="20% - Accent5 5" xfId="2442" xr:uid="{00000000-0005-0000-0000-00009B050000}"/>
    <cellStyle name="20% - Accent5 5 2" xfId="2443" xr:uid="{00000000-0005-0000-0000-00009C050000}"/>
    <cellStyle name="20% - Accent5 5 2 2" xfId="2444" xr:uid="{00000000-0005-0000-0000-00009D050000}"/>
    <cellStyle name="20% - Accent5 5 2 2 2" xfId="2445" xr:uid="{00000000-0005-0000-0000-00009E050000}"/>
    <cellStyle name="20% - Accent5 5 2 3" xfId="2446" xr:uid="{00000000-0005-0000-0000-00009F050000}"/>
    <cellStyle name="20% - Accent5 5 3" xfId="2447" xr:uid="{00000000-0005-0000-0000-0000A0050000}"/>
    <cellStyle name="20% - Accent5 5 3 2" xfId="2448" xr:uid="{00000000-0005-0000-0000-0000A1050000}"/>
    <cellStyle name="20% - Accent5 5 4" xfId="2449" xr:uid="{00000000-0005-0000-0000-0000A2050000}"/>
    <cellStyle name="20% - Accent5 6" xfId="2450" xr:uid="{00000000-0005-0000-0000-0000A3050000}"/>
    <cellStyle name="20% - Accent5 6 2" xfId="2451" xr:uid="{00000000-0005-0000-0000-0000A4050000}"/>
    <cellStyle name="20% - Accent5 6 2 2" xfId="2452" xr:uid="{00000000-0005-0000-0000-0000A5050000}"/>
    <cellStyle name="20% - Accent5 6 2 2 2" xfId="2453" xr:uid="{00000000-0005-0000-0000-0000A6050000}"/>
    <cellStyle name="20% - Accent5 6 2 3" xfId="2454" xr:uid="{00000000-0005-0000-0000-0000A7050000}"/>
    <cellStyle name="20% - Accent5 6 3" xfId="2455" xr:uid="{00000000-0005-0000-0000-0000A8050000}"/>
    <cellStyle name="20% - Accent5 6 3 2" xfId="2456" xr:uid="{00000000-0005-0000-0000-0000A9050000}"/>
    <cellStyle name="20% - Accent5 6 4" xfId="2457" xr:uid="{00000000-0005-0000-0000-0000AA050000}"/>
    <cellStyle name="20% - Accent5 7" xfId="2458" xr:uid="{00000000-0005-0000-0000-0000AB050000}"/>
    <cellStyle name="20% - Accent5 7 2" xfId="2459" xr:uid="{00000000-0005-0000-0000-0000AC050000}"/>
    <cellStyle name="20% - Accent5 7 2 2" xfId="2460" xr:uid="{00000000-0005-0000-0000-0000AD050000}"/>
    <cellStyle name="20% - Accent5 7 2 2 2" xfId="2461" xr:uid="{00000000-0005-0000-0000-0000AE050000}"/>
    <cellStyle name="20% - Accent5 7 2 3" xfId="2462" xr:uid="{00000000-0005-0000-0000-0000AF050000}"/>
    <cellStyle name="20% - Accent5 7 3" xfId="2463" xr:uid="{00000000-0005-0000-0000-0000B0050000}"/>
    <cellStyle name="20% - Accent5 7 3 2" xfId="2464" xr:uid="{00000000-0005-0000-0000-0000B1050000}"/>
    <cellStyle name="20% - Accent5 7 4" xfId="2465" xr:uid="{00000000-0005-0000-0000-0000B2050000}"/>
    <cellStyle name="20% - Accent5 8" xfId="2466" xr:uid="{00000000-0005-0000-0000-0000B3050000}"/>
    <cellStyle name="20% - Accent5 8 2" xfId="2467" xr:uid="{00000000-0005-0000-0000-0000B4050000}"/>
    <cellStyle name="20% - Accent5 8 2 2" xfId="2468" xr:uid="{00000000-0005-0000-0000-0000B5050000}"/>
    <cellStyle name="20% - Accent5 8 2 2 2" xfId="2469" xr:uid="{00000000-0005-0000-0000-0000B6050000}"/>
    <cellStyle name="20% - Accent5 8 2 3" xfId="2470" xr:uid="{00000000-0005-0000-0000-0000B7050000}"/>
    <cellStyle name="20% - Accent5 8 3" xfId="2471" xr:uid="{00000000-0005-0000-0000-0000B8050000}"/>
    <cellStyle name="20% - Accent5 8 3 2" xfId="2472" xr:uid="{00000000-0005-0000-0000-0000B9050000}"/>
    <cellStyle name="20% - Accent5 8 4" xfId="2473" xr:uid="{00000000-0005-0000-0000-0000BA050000}"/>
    <cellStyle name="20% - Accent5 9" xfId="2474" xr:uid="{00000000-0005-0000-0000-0000BB050000}"/>
    <cellStyle name="20% - Accent5 9 2" xfId="2475" xr:uid="{00000000-0005-0000-0000-0000BC050000}"/>
    <cellStyle name="20% - Accent5 9 2 2" xfId="2476" xr:uid="{00000000-0005-0000-0000-0000BD050000}"/>
    <cellStyle name="20% - Accent5 9 2 2 2" xfId="2477" xr:uid="{00000000-0005-0000-0000-0000BE050000}"/>
    <cellStyle name="20% - Accent5 9 2 3" xfId="2478" xr:uid="{00000000-0005-0000-0000-0000BF050000}"/>
    <cellStyle name="20% - Accent5 9 3" xfId="2479" xr:uid="{00000000-0005-0000-0000-0000C0050000}"/>
    <cellStyle name="20% - Accent5 9 3 2" xfId="2480" xr:uid="{00000000-0005-0000-0000-0000C1050000}"/>
    <cellStyle name="20% - Accent5 9 4" xfId="2481" xr:uid="{00000000-0005-0000-0000-0000C2050000}"/>
    <cellStyle name="20% - Accent6 10" xfId="2482" xr:uid="{00000000-0005-0000-0000-0000C3050000}"/>
    <cellStyle name="20% - Accent6 10 2" xfId="2483" xr:uid="{00000000-0005-0000-0000-0000C4050000}"/>
    <cellStyle name="20% - Accent6 10 2 2" xfId="2484" xr:uid="{00000000-0005-0000-0000-0000C5050000}"/>
    <cellStyle name="20% - Accent6 10 2 2 2" xfId="2485" xr:uid="{00000000-0005-0000-0000-0000C6050000}"/>
    <cellStyle name="20% - Accent6 10 2 3" xfId="2486" xr:uid="{00000000-0005-0000-0000-0000C7050000}"/>
    <cellStyle name="20% - Accent6 10 3" xfId="2487" xr:uid="{00000000-0005-0000-0000-0000C8050000}"/>
    <cellStyle name="20% - Accent6 10 3 2" xfId="2488" xr:uid="{00000000-0005-0000-0000-0000C9050000}"/>
    <cellStyle name="20% - Accent6 10 4" xfId="2489" xr:uid="{00000000-0005-0000-0000-0000CA050000}"/>
    <cellStyle name="20% - Accent6 11" xfId="2490" xr:uid="{00000000-0005-0000-0000-0000CB050000}"/>
    <cellStyle name="20% - Accent6 11 2" xfId="2491" xr:uid="{00000000-0005-0000-0000-0000CC050000}"/>
    <cellStyle name="20% - Accent6 11 2 2" xfId="2492" xr:uid="{00000000-0005-0000-0000-0000CD050000}"/>
    <cellStyle name="20% - Accent6 11 3" xfId="2493" xr:uid="{00000000-0005-0000-0000-0000CE050000}"/>
    <cellStyle name="20% - Accent6 12" xfId="2494" xr:uid="{00000000-0005-0000-0000-0000CF050000}"/>
    <cellStyle name="20% - Accent6 2" xfId="370" xr:uid="{00000000-0005-0000-0000-0000D0050000}"/>
    <cellStyle name="20% - Accent6 2 10" xfId="2495" xr:uid="{00000000-0005-0000-0000-0000D1050000}"/>
    <cellStyle name="20% - Accent6 2 11" xfId="2496" xr:uid="{00000000-0005-0000-0000-0000D2050000}"/>
    <cellStyle name="20% - Accent6 2 12" xfId="2497" xr:uid="{00000000-0005-0000-0000-0000D3050000}"/>
    <cellStyle name="20% - Accent6 2 13" xfId="2498" xr:uid="{00000000-0005-0000-0000-0000D4050000}"/>
    <cellStyle name="20% - Accent6 2 14" xfId="2499" xr:uid="{00000000-0005-0000-0000-0000D5050000}"/>
    <cellStyle name="20% - Accent6 2 15" xfId="2500" xr:uid="{00000000-0005-0000-0000-0000D6050000}"/>
    <cellStyle name="20% - Accent6 2 16" xfId="2501" xr:uid="{00000000-0005-0000-0000-0000D7050000}"/>
    <cellStyle name="20% - Accent6 2 17" xfId="2502" xr:uid="{00000000-0005-0000-0000-0000D8050000}"/>
    <cellStyle name="20% - Accent6 2 18" xfId="2503" xr:uid="{00000000-0005-0000-0000-0000D9050000}"/>
    <cellStyle name="20% - Accent6 2 19" xfId="2504" xr:uid="{00000000-0005-0000-0000-0000DA050000}"/>
    <cellStyle name="20% - Accent6 2 2" xfId="2505" xr:uid="{00000000-0005-0000-0000-0000DB050000}"/>
    <cellStyle name="20% - Accent6 2 2 2" xfId="2506" xr:uid="{00000000-0005-0000-0000-0000DC050000}"/>
    <cellStyle name="20% - Accent6 2 2 2 2" xfId="2507" xr:uid="{00000000-0005-0000-0000-0000DD050000}"/>
    <cellStyle name="20% - Accent6 2 2 3" xfId="2508" xr:uid="{00000000-0005-0000-0000-0000DE050000}"/>
    <cellStyle name="20% - Accent6 2 2 4" xfId="2509" xr:uid="{00000000-0005-0000-0000-0000DF050000}"/>
    <cellStyle name="20% - Accent6 2 20" xfId="2510" xr:uid="{00000000-0005-0000-0000-0000E0050000}"/>
    <cellStyle name="20% - Accent6 2 21" xfId="2511" xr:uid="{00000000-0005-0000-0000-0000E1050000}"/>
    <cellStyle name="20% - Accent6 2 22" xfId="2512" xr:uid="{00000000-0005-0000-0000-0000E2050000}"/>
    <cellStyle name="20% - Accent6 2 23" xfId="2513" xr:uid="{00000000-0005-0000-0000-0000E3050000}"/>
    <cellStyle name="20% - Accent6 2 24" xfId="2514" xr:uid="{00000000-0005-0000-0000-0000E4050000}"/>
    <cellStyle name="20% - Accent6 2 25" xfId="2515" xr:uid="{00000000-0005-0000-0000-0000E5050000}"/>
    <cellStyle name="20% - Accent6 2 26" xfId="2516" xr:uid="{00000000-0005-0000-0000-0000E6050000}"/>
    <cellStyle name="20% - Accent6 2 27" xfId="2517" xr:uid="{00000000-0005-0000-0000-0000E7050000}"/>
    <cellStyle name="20% - Accent6 2 28" xfId="2518" xr:uid="{00000000-0005-0000-0000-0000E8050000}"/>
    <cellStyle name="20% - Accent6 2 29" xfId="2519" xr:uid="{00000000-0005-0000-0000-0000E9050000}"/>
    <cellStyle name="20% - Accent6 2 3" xfId="2520" xr:uid="{00000000-0005-0000-0000-0000EA050000}"/>
    <cellStyle name="20% - Accent6 2 3 2" xfId="2521" xr:uid="{00000000-0005-0000-0000-0000EB050000}"/>
    <cellStyle name="20% - Accent6 2 3 3" xfId="2522" xr:uid="{00000000-0005-0000-0000-0000EC050000}"/>
    <cellStyle name="20% - Accent6 2 30" xfId="2523" xr:uid="{00000000-0005-0000-0000-0000ED050000}"/>
    <cellStyle name="20% - Accent6 2 31" xfId="2524" xr:uid="{00000000-0005-0000-0000-0000EE050000}"/>
    <cellStyle name="20% - Accent6 2 32" xfId="2525" xr:uid="{00000000-0005-0000-0000-0000EF050000}"/>
    <cellStyle name="20% - Accent6 2 33" xfId="2526" xr:uid="{00000000-0005-0000-0000-0000F0050000}"/>
    <cellStyle name="20% - Accent6 2 34" xfId="2527" xr:uid="{00000000-0005-0000-0000-0000F1050000}"/>
    <cellStyle name="20% - Accent6 2 35" xfId="2528" xr:uid="{00000000-0005-0000-0000-0000F2050000}"/>
    <cellStyle name="20% - Accent6 2 36" xfId="2529" xr:uid="{00000000-0005-0000-0000-0000F3050000}"/>
    <cellStyle name="20% - Accent6 2 37" xfId="2530" xr:uid="{00000000-0005-0000-0000-0000F4050000}"/>
    <cellStyle name="20% - Accent6 2 38" xfId="2531" xr:uid="{00000000-0005-0000-0000-0000F5050000}"/>
    <cellStyle name="20% - Accent6 2 39" xfId="2532" xr:uid="{00000000-0005-0000-0000-0000F6050000}"/>
    <cellStyle name="20% - Accent6 2 4" xfId="2533" xr:uid="{00000000-0005-0000-0000-0000F7050000}"/>
    <cellStyle name="20% - Accent6 2 4 2" xfId="2534" xr:uid="{00000000-0005-0000-0000-0000F8050000}"/>
    <cellStyle name="20% - Accent6 2 40" xfId="2535" xr:uid="{00000000-0005-0000-0000-0000F9050000}"/>
    <cellStyle name="20% - Accent6 2 41" xfId="2536" xr:uid="{00000000-0005-0000-0000-0000FA050000}"/>
    <cellStyle name="20% - Accent6 2 42" xfId="2537" xr:uid="{00000000-0005-0000-0000-0000FB050000}"/>
    <cellStyle name="20% - Accent6 2 43" xfId="2538" xr:uid="{00000000-0005-0000-0000-0000FC050000}"/>
    <cellStyle name="20% - Accent6 2 44" xfId="2539" xr:uid="{00000000-0005-0000-0000-0000FD050000}"/>
    <cellStyle name="20% - Accent6 2 45" xfId="2540" xr:uid="{00000000-0005-0000-0000-0000FE050000}"/>
    <cellStyle name="20% - Accent6 2 46" xfId="2541" xr:uid="{00000000-0005-0000-0000-0000FF050000}"/>
    <cellStyle name="20% - Accent6 2 47" xfId="2542" xr:uid="{00000000-0005-0000-0000-000000060000}"/>
    <cellStyle name="20% - Accent6 2 48" xfId="2543" xr:uid="{00000000-0005-0000-0000-000001060000}"/>
    <cellStyle name="20% - Accent6 2 49" xfId="2544" xr:uid="{00000000-0005-0000-0000-000002060000}"/>
    <cellStyle name="20% - Accent6 2 5" xfId="2545" xr:uid="{00000000-0005-0000-0000-000003060000}"/>
    <cellStyle name="20% - Accent6 2 6" xfId="2546" xr:uid="{00000000-0005-0000-0000-000004060000}"/>
    <cellStyle name="20% - Accent6 2 7" xfId="2547" xr:uid="{00000000-0005-0000-0000-000005060000}"/>
    <cellStyle name="20% - Accent6 2 8" xfId="2548" xr:uid="{00000000-0005-0000-0000-000006060000}"/>
    <cellStyle name="20% - Accent6 2 9" xfId="2549" xr:uid="{00000000-0005-0000-0000-000007060000}"/>
    <cellStyle name="20% - Accent6 3" xfId="2550" xr:uid="{00000000-0005-0000-0000-000008060000}"/>
    <cellStyle name="20% - Accent6 3 2" xfId="2551" xr:uid="{00000000-0005-0000-0000-000009060000}"/>
    <cellStyle name="20% - Accent6 3 2 2" xfId="2552" xr:uid="{00000000-0005-0000-0000-00000A060000}"/>
    <cellStyle name="20% - Accent6 3 2 2 2" xfId="2553" xr:uid="{00000000-0005-0000-0000-00000B060000}"/>
    <cellStyle name="20% - Accent6 3 2 3" xfId="2554" xr:uid="{00000000-0005-0000-0000-00000C060000}"/>
    <cellStyle name="20% - Accent6 3 3" xfId="2555" xr:uid="{00000000-0005-0000-0000-00000D060000}"/>
    <cellStyle name="20% - Accent6 3 3 2" xfId="2556" xr:uid="{00000000-0005-0000-0000-00000E060000}"/>
    <cellStyle name="20% - Accent6 3 4" xfId="2557" xr:uid="{00000000-0005-0000-0000-00000F060000}"/>
    <cellStyle name="20% - Accent6 4" xfId="2558" xr:uid="{00000000-0005-0000-0000-000010060000}"/>
    <cellStyle name="20% - Accent6 4 2" xfId="2559" xr:uid="{00000000-0005-0000-0000-000011060000}"/>
    <cellStyle name="20% - Accent6 4 2 2" xfId="2560" xr:uid="{00000000-0005-0000-0000-000012060000}"/>
    <cellStyle name="20% - Accent6 4 2 2 2" xfId="2561" xr:uid="{00000000-0005-0000-0000-000013060000}"/>
    <cellStyle name="20% - Accent6 4 2 3" xfId="2562" xr:uid="{00000000-0005-0000-0000-000014060000}"/>
    <cellStyle name="20% - Accent6 4 3" xfId="2563" xr:uid="{00000000-0005-0000-0000-000015060000}"/>
    <cellStyle name="20% - Accent6 4 3 2" xfId="2564" xr:uid="{00000000-0005-0000-0000-000016060000}"/>
    <cellStyle name="20% - Accent6 4 4" xfId="2565" xr:uid="{00000000-0005-0000-0000-000017060000}"/>
    <cellStyle name="20% - Accent6 5" xfId="2566" xr:uid="{00000000-0005-0000-0000-000018060000}"/>
    <cellStyle name="20% - Accent6 5 2" xfId="2567" xr:uid="{00000000-0005-0000-0000-000019060000}"/>
    <cellStyle name="20% - Accent6 5 2 2" xfId="2568" xr:uid="{00000000-0005-0000-0000-00001A060000}"/>
    <cellStyle name="20% - Accent6 5 2 2 2" xfId="2569" xr:uid="{00000000-0005-0000-0000-00001B060000}"/>
    <cellStyle name="20% - Accent6 5 2 3" xfId="2570" xr:uid="{00000000-0005-0000-0000-00001C060000}"/>
    <cellStyle name="20% - Accent6 5 3" xfId="2571" xr:uid="{00000000-0005-0000-0000-00001D060000}"/>
    <cellStyle name="20% - Accent6 5 3 2" xfId="2572" xr:uid="{00000000-0005-0000-0000-00001E060000}"/>
    <cellStyle name="20% - Accent6 5 4" xfId="2573" xr:uid="{00000000-0005-0000-0000-00001F060000}"/>
    <cellStyle name="20% - Accent6 6" xfId="2574" xr:uid="{00000000-0005-0000-0000-000020060000}"/>
    <cellStyle name="20% - Accent6 6 2" xfId="2575" xr:uid="{00000000-0005-0000-0000-000021060000}"/>
    <cellStyle name="20% - Accent6 6 2 2" xfId="2576" xr:uid="{00000000-0005-0000-0000-000022060000}"/>
    <cellStyle name="20% - Accent6 6 2 2 2" xfId="2577" xr:uid="{00000000-0005-0000-0000-000023060000}"/>
    <cellStyle name="20% - Accent6 6 2 3" xfId="2578" xr:uid="{00000000-0005-0000-0000-000024060000}"/>
    <cellStyle name="20% - Accent6 6 3" xfId="2579" xr:uid="{00000000-0005-0000-0000-000025060000}"/>
    <cellStyle name="20% - Accent6 6 3 2" xfId="2580" xr:uid="{00000000-0005-0000-0000-000026060000}"/>
    <cellStyle name="20% - Accent6 6 4" xfId="2581" xr:uid="{00000000-0005-0000-0000-000027060000}"/>
    <cellStyle name="20% - Accent6 7" xfId="2582" xr:uid="{00000000-0005-0000-0000-000028060000}"/>
    <cellStyle name="20% - Accent6 7 2" xfId="2583" xr:uid="{00000000-0005-0000-0000-000029060000}"/>
    <cellStyle name="20% - Accent6 7 2 2" xfId="2584" xr:uid="{00000000-0005-0000-0000-00002A060000}"/>
    <cellStyle name="20% - Accent6 7 2 2 2" xfId="2585" xr:uid="{00000000-0005-0000-0000-00002B060000}"/>
    <cellStyle name="20% - Accent6 7 2 3" xfId="2586" xr:uid="{00000000-0005-0000-0000-00002C060000}"/>
    <cellStyle name="20% - Accent6 7 3" xfId="2587" xr:uid="{00000000-0005-0000-0000-00002D060000}"/>
    <cellStyle name="20% - Accent6 7 3 2" xfId="2588" xr:uid="{00000000-0005-0000-0000-00002E060000}"/>
    <cellStyle name="20% - Accent6 7 4" xfId="2589" xr:uid="{00000000-0005-0000-0000-00002F060000}"/>
    <cellStyle name="20% - Accent6 8" xfId="2590" xr:uid="{00000000-0005-0000-0000-000030060000}"/>
    <cellStyle name="20% - Accent6 8 2" xfId="2591" xr:uid="{00000000-0005-0000-0000-000031060000}"/>
    <cellStyle name="20% - Accent6 8 2 2" xfId="2592" xr:uid="{00000000-0005-0000-0000-000032060000}"/>
    <cellStyle name="20% - Accent6 8 2 2 2" xfId="2593" xr:uid="{00000000-0005-0000-0000-000033060000}"/>
    <cellStyle name="20% - Accent6 8 2 3" xfId="2594" xr:uid="{00000000-0005-0000-0000-000034060000}"/>
    <cellStyle name="20% - Accent6 8 3" xfId="2595" xr:uid="{00000000-0005-0000-0000-000035060000}"/>
    <cellStyle name="20% - Accent6 8 3 2" xfId="2596" xr:uid="{00000000-0005-0000-0000-000036060000}"/>
    <cellStyle name="20% - Accent6 8 4" xfId="2597" xr:uid="{00000000-0005-0000-0000-000037060000}"/>
    <cellStyle name="20% - Accent6 9" xfId="2598" xr:uid="{00000000-0005-0000-0000-000038060000}"/>
    <cellStyle name="20% - Accent6 9 2" xfId="2599" xr:uid="{00000000-0005-0000-0000-000039060000}"/>
    <cellStyle name="20% - Accent6 9 2 2" xfId="2600" xr:uid="{00000000-0005-0000-0000-00003A060000}"/>
    <cellStyle name="20% - Accent6 9 2 2 2" xfId="2601" xr:uid="{00000000-0005-0000-0000-00003B060000}"/>
    <cellStyle name="20% - Accent6 9 2 3" xfId="2602" xr:uid="{00000000-0005-0000-0000-00003C060000}"/>
    <cellStyle name="20% - Accent6 9 3" xfId="2603" xr:uid="{00000000-0005-0000-0000-00003D060000}"/>
    <cellStyle name="20% - Accent6 9 3 2" xfId="2604" xr:uid="{00000000-0005-0000-0000-00003E060000}"/>
    <cellStyle name="20% - Accent6 9 4" xfId="2605" xr:uid="{00000000-0005-0000-0000-00003F060000}"/>
    <cellStyle name="40% - Accent1 10" xfId="2606" xr:uid="{00000000-0005-0000-0000-000040060000}"/>
    <cellStyle name="40% - Accent1 10 2" xfId="2607" xr:uid="{00000000-0005-0000-0000-000041060000}"/>
    <cellStyle name="40% - Accent1 10 2 2" xfId="2608" xr:uid="{00000000-0005-0000-0000-000042060000}"/>
    <cellStyle name="40% - Accent1 10 2 2 2" xfId="2609" xr:uid="{00000000-0005-0000-0000-000043060000}"/>
    <cellStyle name="40% - Accent1 10 2 3" xfId="2610" xr:uid="{00000000-0005-0000-0000-000044060000}"/>
    <cellStyle name="40% - Accent1 10 3" xfId="2611" xr:uid="{00000000-0005-0000-0000-000045060000}"/>
    <cellStyle name="40% - Accent1 10 3 2" xfId="2612" xr:uid="{00000000-0005-0000-0000-000046060000}"/>
    <cellStyle name="40% - Accent1 10 4" xfId="2613" xr:uid="{00000000-0005-0000-0000-000047060000}"/>
    <cellStyle name="40% - Accent1 11" xfId="2614" xr:uid="{00000000-0005-0000-0000-000048060000}"/>
    <cellStyle name="40% - Accent1 11 2" xfId="2615" xr:uid="{00000000-0005-0000-0000-000049060000}"/>
    <cellStyle name="40% - Accent1 11 2 2" xfId="2616" xr:uid="{00000000-0005-0000-0000-00004A060000}"/>
    <cellStyle name="40% - Accent1 11 3" xfId="2617" xr:uid="{00000000-0005-0000-0000-00004B060000}"/>
    <cellStyle name="40% - Accent1 12" xfId="2618" xr:uid="{00000000-0005-0000-0000-00004C060000}"/>
    <cellStyle name="40% - Accent1 2" xfId="371" xr:uid="{00000000-0005-0000-0000-00004D060000}"/>
    <cellStyle name="40% - Accent1 2 10" xfId="2619" xr:uid="{00000000-0005-0000-0000-00004E060000}"/>
    <cellStyle name="40% - Accent1 2 11" xfId="2620" xr:uid="{00000000-0005-0000-0000-00004F060000}"/>
    <cellStyle name="40% - Accent1 2 12" xfId="2621" xr:uid="{00000000-0005-0000-0000-000050060000}"/>
    <cellStyle name="40% - Accent1 2 13" xfId="2622" xr:uid="{00000000-0005-0000-0000-000051060000}"/>
    <cellStyle name="40% - Accent1 2 14" xfId="2623" xr:uid="{00000000-0005-0000-0000-000052060000}"/>
    <cellStyle name="40% - Accent1 2 15" xfId="2624" xr:uid="{00000000-0005-0000-0000-000053060000}"/>
    <cellStyle name="40% - Accent1 2 16" xfId="2625" xr:uid="{00000000-0005-0000-0000-000054060000}"/>
    <cellStyle name="40% - Accent1 2 17" xfId="2626" xr:uid="{00000000-0005-0000-0000-000055060000}"/>
    <cellStyle name="40% - Accent1 2 18" xfId="2627" xr:uid="{00000000-0005-0000-0000-000056060000}"/>
    <cellStyle name="40% - Accent1 2 19" xfId="2628" xr:uid="{00000000-0005-0000-0000-000057060000}"/>
    <cellStyle name="40% - Accent1 2 2" xfId="2629" xr:uid="{00000000-0005-0000-0000-000058060000}"/>
    <cellStyle name="40% - Accent1 2 2 2" xfId="2630" xr:uid="{00000000-0005-0000-0000-000059060000}"/>
    <cellStyle name="40% - Accent1 2 2 2 2" xfId="2631" xr:uid="{00000000-0005-0000-0000-00005A060000}"/>
    <cellStyle name="40% - Accent1 2 2 3" xfId="2632" xr:uid="{00000000-0005-0000-0000-00005B060000}"/>
    <cellStyle name="40% - Accent1 2 2 4" xfId="2633" xr:uid="{00000000-0005-0000-0000-00005C060000}"/>
    <cellStyle name="40% - Accent1 2 20" xfId="2634" xr:uid="{00000000-0005-0000-0000-00005D060000}"/>
    <cellStyle name="40% - Accent1 2 21" xfId="2635" xr:uid="{00000000-0005-0000-0000-00005E060000}"/>
    <cellStyle name="40% - Accent1 2 22" xfId="2636" xr:uid="{00000000-0005-0000-0000-00005F060000}"/>
    <cellStyle name="40% - Accent1 2 23" xfId="2637" xr:uid="{00000000-0005-0000-0000-000060060000}"/>
    <cellStyle name="40% - Accent1 2 24" xfId="2638" xr:uid="{00000000-0005-0000-0000-000061060000}"/>
    <cellStyle name="40% - Accent1 2 25" xfId="2639" xr:uid="{00000000-0005-0000-0000-000062060000}"/>
    <cellStyle name="40% - Accent1 2 26" xfId="2640" xr:uid="{00000000-0005-0000-0000-000063060000}"/>
    <cellStyle name="40% - Accent1 2 27" xfId="2641" xr:uid="{00000000-0005-0000-0000-000064060000}"/>
    <cellStyle name="40% - Accent1 2 28" xfId="2642" xr:uid="{00000000-0005-0000-0000-000065060000}"/>
    <cellStyle name="40% - Accent1 2 29" xfId="2643" xr:uid="{00000000-0005-0000-0000-000066060000}"/>
    <cellStyle name="40% - Accent1 2 3" xfId="2644" xr:uid="{00000000-0005-0000-0000-000067060000}"/>
    <cellStyle name="40% - Accent1 2 3 2" xfId="2645" xr:uid="{00000000-0005-0000-0000-000068060000}"/>
    <cellStyle name="40% - Accent1 2 3 3" xfId="2646" xr:uid="{00000000-0005-0000-0000-000069060000}"/>
    <cellStyle name="40% - Accent1 2 30" xfId="2647" xr:uid="{00000000-0005-0000-0000-00006A060000}"/>
    <cellStyle name="40% - Accent1 2 31" xfId="2648" xr:uid="{00000000-0005-0000-0000-00006B060000}"/>
    <cellStyle name="40% - Accent1 2 32" xfId="2649" xr:uid="{00000000-0005-0000-0000-00006C060000}"/>
    <cellStyle name="40% - Accent1 2 33" xfId="2650" xr:uid="{00000000-0005-0000-0000-00006D060000}"/>
    <cellStyle name="40% - Accent1 2 34" xfId="2651" xr:uid="{00000000-0005-0000-0000-00006E060000}"/>
    <cellStyle name="40% - Accent1 2 35" xfId="2652" xr:uid="{00000000-0005-0000-0000-00006F060000}"/>
    <cellStyle name="40% - Accent1 2 36" xfId="2653" xr:uid="{00000000-0005-0000-0000-000070060000}"/>
    <cellStyle name="40% - Accent1 2 37" xfId="2654" xr:uid="{00000000-0005-0000-0000-000071060000}"/>
    <cellStyle name="40% - Accent1 2 38" xfId="2655" xr:uid="{00000000-0005-0000-0000-000072060000}"/>
    <cellStyle name="40% - Accent1 2 39" xfId="2656" xr:uid="{00000000-0005-0000-0000-000073060000}"/>
    <cellStyle name="40% - Accent1 2 4" xfId="2657" xr:uid="{00000000-0005-0000-0000-000074060000}"/>
    <cellStyle name="40% - Accent1 2 4 2" xfId="2658" xr:uid="{00000000-0005-0000-0000-000075060000}"/>
    <cellStyle name="40% - Accent1 2 40" xfId="2659" xr:uid="{00000000-0005-0000-0000-000076060000}"/>
    <cellStyle name="40% - Accent1 2 41" xfId="2660" xr:uid="{00000000-0005-0000-0000-000077060000}"/>
    <cellStyle name="40% - Accent1 2 42" xfId="2661" xr:uid="{00000000-0005-0000-0000-000078060000}"/>
    <cellStyle name="40% - Accent1 2 43" xfId="2662" xr:uid="{00000000-0005-0000-0000-000079060000}"/>
    <cellStyle name="40% - Accent1 2 44" xfId="2663" xr:uid="{00000000-0005-0000-0000-00007A060000}"/>
    <cellStyle name="40% - Accent1 2 45" xfId="2664" xr:uid="{00000000-0005-0000-0000-00007B060000}"/>
    <cellStyle name="40% - Accent1 2 46" xfId="2665" xr:uid="{00000000-0005-0000-0000-00007C060000}"/>
    <cellStyle name="40% - Accent1 2 47" xfId="2666" xr:uid="{00000000-0005-0000-0000-00007D060000}"/>
    <cellStyle name="40% - Accent1 2 48" xfId="2667" xr:uid="{00000000-0005-0000-0000-00007E060000}"/>
    <cellStyle name="40% - Accent1 2 49" xfId="2668" xr:uid="{00000000-0005-0000-0000-00007F060000}"/>
    <cellStyle name="40% - Accent1 2 5" xfId="2669" xr:uid="{00000000-0005-0000-0000-000080060000}"/>
    <cellStyle name="40% - Accent1 2 6" xfId="2670" xr:uid="{00000000-0005-0000-0000-000081060000}"/>
    <cellStyle name="40% - Accent1 2 7" xfId="2671" xr:uid="{00000000-0005-0000-0000-000082060000}"/>
    <cellStyle name="40% - Accent1 2 8" xfId="2672" xr:uid="{00000000-0005-0000-0000-000083060000}"/>
    <cellStyle name="40% - Accent1 2 9" xfId="2673" xr:uid="{00000000-0005-0000-0000-000084060000}"/>
    <cellStyle name="40% - Accent1 3" xfId="2674" xr:uid="{00000000-0005-0000-0000-000085060000}"/>
    <cellStyle name="40% - Accent1 3 2" xfId="2675" xr:uid="{00000000-0005-0000-0000-000086060000}"/>
    <cellStyle name="40% - Accent1 3 2 2" xfId="2676" xr:uid="{00000000-0005-0000-0000-000087060000}"/>
    <cellStyle name="40% - Accent1 3 2 2 2" xfId="2677" xr:uid="{00000000-0005-0000-0000-000088060000}"/>
    <cellStyle name="40% - Accent1 3 2 3" xfId="2678" xr:uid="{00000000-0005-0000-0000-000089060000}"/>
    <cellStyle name="40% - Accent1 3 3" xfId="2679" xr:uid="{00000000-0005-0000-0000-00008A060000}"/>
    <cellStyle name="40% - Accent1 3 3 2" xfId="2680" xr:uid="{00000000-0005-0000-0000-00008B060000}"/>
    <cellStyle name="40% - Accent1 3 4" xfId="2681" xr:uid="{00000000-0005-0000-0000-00008C060000}"/>
    <cellStyle name="40% - Accent1 4" xfId="2682" xr:uid="{00000000-0005-0000-0000-00008D060000}"/>
    <cellStyle name="40% - Accent1 4 2" xfId="2683" xr:uid="{00000000-0005-0000-0000-00008E060000}"/>
    <cellStyle name="40% - Accent1 4 2 2" xfId="2684" xr:uid="{00000000-0005-0000-0000-00008F060000}"/>
    <cellStyle name="40% - Accent1 4 2 2 2" xfId="2685" xr:uid="{00000000-0005-0000-0000-000090060000}"/>
    <cellStyle name="40% - Accent1 4 2 3" xfId="2686" xr:uid="{00000000-0005-0000-0000-000091060000}"/>
    <cellStyle name="40% - Accent1 4 3" xfId="2687" xr:uid="{00000000-0005-0000-0000-000092060000}"/>
    <cellStyle name="40% - Accent1 4 3 2" xfId="2688" xr:uid="{00000000-0005-0000-0000-000093060000}"/>
    <cellStyle name="40% - Accent1 4 4" xfId="2689" xr:uid="{00000000-0005-0000-0000-000094060000}"/>
    <cellStyle name="40% - Accent1 5" xfId="2690" xr:uid="{00000000-0005-0000-0000-000095060000}"/>
    <cellStyle name="40% - Accent1 5 2" xfId="2691" xr:uid="{00000000-0005-0000-0000-000096060000}"/>
    <cellStyle name="40% - Accent1 5 2 2" xfId="2692" xr:uid="{00000000-0005-0000-0000-000097060000}"/>
    <cellStyle name="40% - Accent1 5 2 2 2" xfId="2693" xr:uid="{00000000-0005-0000-0000-000098060000}"/>
    <cellStyle name="40% - Accent1 5 2 3" xfId="2694" xr:uid="{00000000-0005-0000-0000-000099060000}"/>
    <cellStyle name="40% - Accent1 5 3" xfId="2695" xr:uid="{00000000-0005-0000-0000-00009A060000}"/>
    <cellStyle name="40% - Accent1 5 3 2" xfId="2696" xr:uid="{00000000-0005-0000-0000-00009B060000}"/>
    <cellStyle name="40% - Accent1 5 4" xfId="2697" xr:uid="{00000000-0005-0000-0000-00009C060000}"/>
    <cellStyle name="40% - Accent1 6" xfId="2698" xr:uid="{00000000-0005-0000-0000-00009D060000}"/>
    <cellStyle name="40% - Accent1 6 2" xfId="2699" xr:uid="{00000000-0005-0000-0000-00009E060000}"/>
    <cellStyle name="40% - Accent1 6 2 2" xfId="2700" xr:uid="{00000000-0005-0000-0000-00009F060000}"/>
    <cellStyle name="40% - Accent1 6 2 2 2" xfId="2701" xr:uid="{00000000-0005-0000-0000-0000A0060000}"/>
    <cellStyle name="40% - Accent1 6 2 3" xfId="2702" xr:uid="{00000000-0005-0000-0000-0000A1060000}"/>
    <cellStyle name="40% - Accent1 6 3" xfId="2703" xr:uid="{00000000-0005-0000-0000-0000A2060000}"/>
    <cellStyle name="40% - Accent1 6 3 2" xfId="2704" xr:uid="{00000000-0005-0000-0000-0000A3060000}"/>
    <cellStyle name="40% - Accent1 6 4" xfId="2705" xr:uid="{00000000-0005-0000-0000-0000A4060000}"/>
    <cellStyle name="40% - Accent1 7" xfId="2706" xr:uid="{00000000-0005-0000-0000-0000A5060000}"/>
    <cellStyle name="40% - Accent1 7 2" xfId="2707" xr:uid="{00000000-0005-0000-0000-0000A6060000}"/>
    <cellStyle name="40% - Accent1 7 2 2" xfId="2708" xr:uid="{00000000-0005-0000-0000-0000A7060000}"/>
    <cellStyle name="40% - Accent1 7 2 2 2" xfId="2709" xr:uid="{00000000-0005-0000-0000-0000A8060000}"/>
    <cellStyle name="40% - Accent1 7 2 3" xfId="2710" xr:uid="{00000000-0005-0000-0000-0000A9060000}"/>
    <cellStyle name="40% - Accent1 7 3" xfId="2711" xr:uid="{00000000-0005-0000-0000-0000AA060000}"/>
    <cellStyle name="40% - Accent1 7 3 2" xfId="2712" xr:uid="{00000000-0005-0000-0000-0000AB060000}"/>
    <cellStyle name="40% - Accent1 7 4" xfId="2713" xr:uid="{00000000-0005-0000-0000-0000AC060000}"/>
    <cellStyle name="40% - Accent1 8" xfId="2714" xr:uid="{00000000-0005-0000-0000-0000AD060000}"/>
    <cellStyle name="40% - Accent1 8 2" xfId="2715" xr:uid="{00000000-0005-0000-0000-0000AE060000}"/>
    <cellStyle name="40% - Accent1 8 2 2" xfId="2716" xr:uid="{00000000-0005-0000-0000-0000AF060000}"/>
    <cellStyle name="40% - Accent1 8 2 2 2" xfId="2717" xr:uid="{00000000-0005-0000-0000-0000B0060000}"/>
    <cellStyle name="40% - Accent1 8 2 3" xfId="2718" xr:uid="{00000000-0005-0000-0000-0000B1060000}"/>
    <cellStyle name="40% - Accent1 8 3" xfId="2719" xr:uid="{00000000-0005-0000-0000-0000B2060000}"/>
    <cellStyle name="40% - Accent1 8 3 2" xfId="2720" xr:uid="{00000000-0005-0000-0000-0000B3060000}"/>
    <cellStyle name="40% - Accent1 8 4" xfId="2721" xr:uid="{00000000-0005-0000-0000-0000B4060000}"/>
    <cellStyle name="40% - Accent1 9" xfId="2722" xr:uid="{00000000-0005-0000-0000-0000B5060000}"/>
    <cellStyle name="40% - Accent1 9 2" xfId="2723" xr:uid="{00000000-0005-0000-0000-0000B6060000}"/>
    <cellStyle name="40% - Accent1 9 2 2" xfId="2724" xr:uid="{00000000-0005-0000-0000-0000B7060000}"/>
    <cellStyle name="40% - Accent1 9 2 2 2" xfId="2725" xr:uid="{00000000-0005-0000-0000-0000B8060000}"/>
    <cellStyle name="40% - Accent1 9 2 3" xfId="2726" xr:uid="{00000000-0005-0000-0000-0000B9060000}"/>
    <cellStyle name="40% - Accent1 9 3" xfId="2727" xr:uid="{00000000-0005-0000-0000-0000BA060000}"/>
    <cellStyle name="40% - Accent1 9 3 2" xfId="2728" xr:uid="{00000000-0005-0000-0000-0000BB060000}"/>
    <cellStyle name="40% - Accent1 9 4" xfId="2729" xr:uid="{00000000-0005-0000-0000-0000BC060000}"/>
    <cellStyle name="40% - Accent2 10" xfId="2730" xr:uid="{00000000-0005-0000-0000-0000BD060000}"/>
    <cellStyle name="40% - Accent2 10 2" xfId="2731" xr:uid="{00000000-0005-0000-0000-0000BE060000}"/>
    <cellStyle name="40% - Accent2 10 2 2" xfId="2732" xr:uid="{00000000-0005-0000-0000-0000BF060000}"/>
    <cellStyle name="40% - Accent2 10 2 2 2" xfId="2733" xr:uid="{00000000-0005-0000-0000-0000C0060000}"/>
    <cellStyle name="40% - Accent2 10 2 3" xfId="2734" xr:uid="{00000000-0005-0000-0000-0000C1060000}"/>
    <cellStyle name="40% - Accent2 10 3" xfId="2735" xr:uid="{00000000-0005-0000-0000-0000C2060000}"/>
    <cellStyle name="40% - Accent2 10 3 2" xfId="2736" xr:uid="{00000000-0005-0000-0000-0000C3060000}"/>
    <cellStyle name="40% - Accent2 10 4" xfId="2737" xr:uid="{00000000-0005-0000-0000-0000C4060000}"/>
    <cellStyle name="40% - Accent2 11" xfId="2738" xr:uid="{00000000-0005-0000-0000-0000C5060000}"/>
    <cellStyle name="40% - Accent2 11 2" xfId="2739" xr:uid="{00000000-0005-0000-0000-0000C6060000}"/>
    <cellStyle name="40% - Accent2 11 2 2" xfId="2740" xr:uid="{00000000-0005-0000-0000-0000C7060000}"/>
    <cellStyle name="40% - Accent2 11 3" xfId="2741" xr:uid="{00000000-0005-0000-0000-0000C8060000}"/>
    <cellStyle name="40% - Accent2 12" xfId="2742" xr:uid="{00000000-0005-0000-0000-0000C9060000}"/>
    <cellStyle name="40% - Accent2 2" xfId="372" xr:uid="{00000000-0005-0000-0000-0000CA060000}"/>
    <cellStyle name="40% - Accent2 2 10" xfId="2743" xr:uid="{00000000-0005-0000-0000-0000CB060000}"/>
    <cellStyle name="40% - Accent2 2 11" xfId="2744" xr:uid="{00000000-0005-0000-0000-0000CC060000}"/>
    <cellStyle name="40% - Accent2 2 12" xfId="2745" xr:uid="{00000000-0005-0000-0000-0000CD060000}"/>
    <cellStyle name="40% - Accent2 2 13" xfId="2746" xr:uid="{00000000-0005-0000-0000-0000CE060000}"/>
    <cellStyle name="40% - Accent2 2 14" xfId="2747" xr:uid="{00000000-0005-0000-0000-0000CF060000}"/>
    <cellStyle name="40% - Accent2 2 15" xfId="2748" xr:uid="{00000000-0005-0000-0000-0000D0060000}"/>
    <cellStyle name="40% - Accent2 2 16" xfId="2749" xr:uid="{00000000-0005-0000-0000-0000D1060000}"/>
    <cellStyle name="40% - Accent2 2 17" xfId="2750" xr:uid="{00000000-0005-0000-0000-0000D2060000}"/>
    <cellStyle name="40% - Accent2 2 18" xfId="2751" xr:uid="{00000000-0005-0000-0000-0000D3060000}"/>
    <cellStyle name="40% - Accent2 2 19" xfId="2752" xr:uid="{00000000-0005-0000-0000-0000D4060000}"/>
    <cellStyle name="40% - Accent2 2 2" xfId="2753" xr:uid="{00000000-0005-0000-0000-0000D5060000}"/>
    <cellStyle name="40% - Accent2 2 2 2" xfId="2754" xr:uid="{00000000-0005-0000-0000-0000D6060000}"/>
    <cellStyle name="40% - Accent2 2 2 2 2" xfId="2755" xr:uid="{00000000-0005-0000-0000-0000D7060000}"/>
    <cellStyle name="40% - Accent2 2 2 3" xfId="2756" xr:uid="{00000000-0005-0000-0000-0000D8060000}"/>
    <cellStyle name="40% - Accent2 2 2 4" xfId="2757" xr:uid="{00000000-0005-0000-0000-0000D9060000}"/>
    <cellStyle name="40% - Accent2 2 20" xfId="2758" xr:uid="{00000000-0005-0000-0000-0000DA060000}"/>
    <cellStyle name="40% - Accent2 2 21" xfId="2759" xr:uid="{00000000-0005-0000-0000-0000DB060000}"/>
    <cellStyle name="40% - Accent2 2 22" xfId="2760" xr:uid="{00000000-0005-0000-0000-0000DC060000}"/>
    <cellStyle name="40% - Accent2 2 23" xfId="2761" xr:uid="{00000000-0005-0000-0000-0000DD060000}"/>
    <cellStyle name="40% - Accent2 2 24" xfId="2762" xr:uid="{00000000-0005-0000-0000-0000DE060000}"/>
    <cellStyle name="40% - Accent2 2 25" xfId="2763" xr:uid="{00000000-0005-0000-0000-0000DF060000}"/>
    <cellStyle name="40% - Accent2 2 26" xfId="2764" xr:uid="{00000000-0005-0000-0000-0000E0060000}"/>
    <cellStyle name="40% - Accent2 2 27" xfId="2765" xr:uid="{00000000-0005-0000-0000-0000E1060000}"/>
    <cellStyle name="40% - Accent2 2 28" xfId="2766" xr:uid="{00000000-0005-0000-0000-0000E2060000}"/>
    <cellStyle name="40% - Accent2 2 29" xfId="2767" xr:uid="{00000000-0005-0000-0000-0000E3060000}"/>
    <cellStyle name="40% - Accent2 2 3" xfId="2768" xr:uid="{00000000-0005-0000-0000-0000E4060000}"/>
    <cellStyle name="40% - Accent2 2 3 2" xfId="2769" xr:uid="{00000000-0005-0000-0000-0000E5060000}"/>
    <cellStyle name="40% - Accent2 2 3 3" xfId="2770" xr:uid="{00000000-0005-0000-0000-0000E6060000}"/>
    <cellStyle name="40% - Accent2 2 30" xfId="2771" xr:uid="{00000000-0005-0000-0000-0000E7060000}"/>
    <cellStyle name="40% - Accent2 2 31" xfId="2772" xr:uid="{00000000-0005-0000-0000-0000E8060000}"/>
    <cellStyle name="40% - Accent2 2 32" xfId="2773" xr:uid="{00000000-0005-0000-0000-0000E9060000}"/>
    <cellStyle name="40% - Accent2 2 33" xfId="2774" xr:uid="{00000000-0005-0000-0000-0000EA060000}"/>
    <cellStyle name="40% - Accent2 2 34" xfId="2775" xr:uid="{00000000-0005-0000-0000-0000EB060000}"/>
    <cellStyle name="40% - Accent2 2 35" xfId="2776" xr:uid="{00000000-0005-0000-0000-0000EC060000}"/>
    <cellStyle name="40% - Accent2 2 36" xfId="2777" xr:uid="{00000000-0005-0000-0000-0000ED060000}"/>
    <cellStyle name="40% - Accent2 2 37" xfId="2778" xr:uid="{00000000-0005-0000-0000-0000EE060000}"/>
    <cellStyle name="40% - Accent2 2 38" xfId="2779" xr:uid="{00000000-0005-0000-0000-0000EF060000}"/>
    <cellStyle name="40% - Accent2 2 39" xfId="2780" xr:uid="{00000000-0005-0000-0000-0000F0060000}"/>
    <cellStyle name="40% - Accent2 2 4" xfId="2781" xr:uid="{00000000-0005-0000-0000-0000F1060000}"/>
    <cellStyle name="40% - Accent2 2 4 2" xfId="2782" xr:uid="{00000000-0005-0000-0000-0000F2060000}"/>
    <cellStyle name="40% - Accent2 2 40" xfId="2783" xr:uid="{00000000-0005-0000-0000-0000F3060000}"/>
    <cellStyle name="40% - Accent2 2 41" xfId="2784" xr:uid="{00000000-0005-0000-0000-0000F4060000}"/>
    <cellStyle name="40% - Accent2 2 42" xfId="2785" xr:uid="{00000000-0005-0000-0000-0000F5060000}"/>
    <cellStyle name="40% - Accent2 2 43" xfId="2786" xr:uid="{00000000-0005-0000-0000-0000F6060000}"/>
    <cellStyle name="40% - Accent2 2 44" xfId="2787" xr:uid="{00000000-0005-0000-0000-0000F7060000}"/>
    <cellStyle name="40% - Accent2 2 45" xfId="2788" xr:uid="{00000000-0005-0000-0000-0000F8060000}"/>
    <cellStyle name="40% - Accent2 2 46" xfId="2789" xr:uid="{00000000-0005-0000-0000-0000F9060000}"/>
    <cellStyle name="40% - Accent2 2 47" xfId="2790" xr:uid="{00000000-0005-0000-0000-0000FA060000}"/>
    <cellStyle name="40% - Accent2 2 48" xfId="2791" xr:uid="{00000000-0005-0000-0000-0000FB060000}"/>
    <cellStyle name="40% - Accent2 2 49" xfId="2792" xr:uid="{00000000-0005-0000-0000-0000FC060000}"/>
    <cellStyle name="40% - Accent2 2 5" xfId="2793" xr:uid="{00000000-0005-0000-0000-0000FD060000}"/>
    <cellStyle name="40% - Accent2 2 6" xfId="2794" xr:uid="{00000000-0005-0000-0000-0000FE060000}"/>
    <cellStyle name="40% - Accent2 2 7" xfId="2795" xr:uid="{00000000-0005-0000-0000-0000FF060000}"/>
    <cellStyle name="40% - Accent2 2 8" xfId="2796" xr:uid="{00000000-0005-0000-0000-000000070000}"/>
    <cellStyle name="40% - Accent2 2 9" xfId="2797" xr:uid="{00000000-0005-0000-0000-000001070000}"/>
    <cellStyle name="40% - Accent2 3" xfId="2798" xr:uid="{00000000-0005-0000-0000-000002070000}"/>
    <cellStyle name="40% - Accent2 3 2" xfId="2799" xr:uid="{00000000-0005-0000-0000-000003070000}"/>
    <cellStyle name="40% - Accent2 3 2 2" xfId="2800" xr:uid="{00000000-0005-0000-0000-000004070000}"/>
    <cellStyle name="40% - Accent2 3 2 2 2" xfId="2801" xr:uid="{00000000-0005-0000-0000-000005070000}"/>
    <cellStyle name="40% - Accent2 3 2 3" xfId="2802" xr:uid="{00000000-0005-0000-0000-000006070000}"/>
    <cellStyle name="40% - Accent2 3 3" xfId="2803" xr:uid="{00000000-0005-0000-0000-000007070000}"/>
    <cellStyle name="40% - Accent2 3 3 2" xfId="2804" xr:uid="{00000000-0005-0000-0000-000008070000}"/>
    <cellStyle name="40% - Accent2 3 4" xfId="2805" xr:uid="{00000000-0005-0000-0000-000009070000}"/>
    <cellStyle name="40% - Accent2 4" xfId="2806" xr:uid="{00000000-0005-0000-0000-00000A070000}"/>
    <cellStyle name="40% - Accent2 4 2" xfId="2807" xr:uid="{00000000-0005-0000-0000-00000B070000}"/>
    <cellStyle name="40% - Accent2 4 2 2" xfId="2808" xr:uid="{00000000-0005-0000-0000-00000C070000}"/>
    <cellStyle name="40% - Accent2 4 2 2 2" xfId="2809" xr:uid="{00000000-0005-0000-0000-00000D070000}"/>
    <cellStyle name="40% - Accent2 4 2 3" xfId="2810" xr:uid="{00000000-0005-0000-0000-00000E070000}"/>
    <cellStyle name="40% - Accent2 4 3" xfId="2811" xr:uid="{00000000-0005-0000-0000-00000F070000}"/>
    <cellStyle name="40% - Accent2 4 3 2" xfId="2812" xr:uid="{00000000-0005-0000-0000-000010070000}"/>
    <cellStyle name="40% - Accent2 4 4" xfId="2813" xr:uid="{00000000-0005-0000-0000-000011070000}"/>
    <cellStyle name="40% - Accent2 5" xfId="2814" xr:uid="{00000000-0005-0000-0000-000012070000}"/>
    <cellStyle name="40% - Accent2 5 2" xfId="2815" xr:uid="{00000000-0005-0000-0000-000013070000}"/>
    <cellStyle name="40% - Accent2 5 2 2" xfId="2816" xr:uid="{00000000-0005-0000-0000-000014070000}"/>
    <cellStyle name="40% - Accent2 5 2 2 2" xfId="2817" xr:uid="{00000000-0005-0000-0000-000015070000}"/>
    <cellStyle name="40% - Accent2 5 2 3" xfId="2818" xr:uid="{00000000-0005-0000-0000-000016070000}"/>
    <cellStyle name="40% - Accent2 5 3" xfId="2819" xr:uid="{00000000-0005-0000-0000-000017070000}"/>
    <cellStyle name="40% - Accent2 5 3 2" xfId="2820" xr:uid="{00000000-0005-0000-0000-000018070000}"/>
    <cellStyle name="40% - Accent2 5 4" xfId="2821" xr:uid="{00000000-0005-0000-0000-000019070000}"/>
    <cellStyle name="40% - Accent2 6" xfId="2822" xr:uid="{00000000-0005-0000-0000-00001A070000}"/>
    <cellStyle name="40% - Accent2 6 2" xfId="2823" xr:uid="{00000000-0005-0000-0000-00001B070000}"/>
    <cellStyle name="40% - Accent2 6 2 2" xfId="2824" xr:uid="{00000000-0005-0000-0000-00001C070000}"/>
    <cellStyle name="40% - Accent2 6 2 2 2" xfId="2825" xr:uid="{00000000-0005-0000-0000-00001D070000}"/>
    <cellStyle name="40% - Accent2 6 2 3" xfId="2826" xr:uid="{00000000-0005-0000-0000-00001E070000}"/>
    <cellStyle name="40% - Accent2 6 3" xfId="2827" xr:uid="{00000000-0005-0000-0000-00001F070000}"/>
    <cellStyle name="40% - Accent2 6 3 2" xfId="2828" xr:uid="{00000000-0005-0000-0000-000020070000}"/>
    <cellStyle name="40% - Accent2 6 4" xfId="2829" xr:uid="{00000000-0005-0000-0000-000021070000}"/>
    <cellStyle name="40% - Accent2 7" xfId="2830" xr:uid="{00000000-0005-0000-0000-000022070000}"/>
    <cellStyle name="40% - Accent2 7 2" xfId="2831" xr:uid="{00000000-0005-0000-0000-000023070000}"/>
    <cellStyle name="40% - Accent2 7 2 2" xfId="2832" xr:uid="{00000000-0005-0000-0000-000024070000}"/>
    <cellStyle name="40% - Accent2 7 2 2 2" xfId="2833" xr:uid="{00000000-0005-0000-0000-000025070000}"/>
    <cellStyle name="40% - Accent2 7 2 3" xfId="2834" xr:uid="{00000000-0005-0000-0000-000026070000}"/>
    <cellStyle name="40% - Accent2 7 3" xfId="2835" xr:uid="{00000000-0005-0000-0000-000027070000}"/>
    <cellStyle name="40% - Accent2 7 3 2" xfId="2836" xr:uid="{00000000-0005-0000-0000-000028070000}"/>
    <cellStyle name="40% - Accent2 7 4" xfId="2837" xr:uid="{00000000-0005-0000-0000-000029070000}"/>
    <cellStyle name="40% - Accent2 8" xfId="2838" xr:uid="{00000000-0005-0000-0000-00002A070000}"/>
    <cellStyle name="40% - Accent2 8 2" xfId="2839" xr:uid="{00000000-0005-0000-0000-00002B070000}"/>
    <cellStyle name="40% - Accent2 8 2 2" xfId="2840" xr:uid="{00000000-0005-0000-0000-00002C070000}"/>
    <cellStyle name="40% - Accent2 8 2 2 2" xfId="2841" xr:uid="{00000000-0005-0000-0000-00002D070000}"/>
    <cellStyle name="40% - Accent2 8 2 3" xfId="2842" xr:uid="{00000000-0005-0000-0000-00002E070000}"/>
    <cellStyle name="40% - Accent2 8 3" xfId="2843" xr:uid="{00000000-0005-0000-0000-00002F070000}"/>
    <cellStyle name="40% - Accent2 8 3 2" xfId="2844" xr:uid="{00000000-0005-0000-0000-000030070000}"/>
    <cellStyle name="40% - Accent2 8 4" xfId="2845" xr:uid="{00000000-0005-0000-0000-000031070000}"/>
    <cellStyle name="40% - Accent2 9" xfId="2846" xr:uid="{00000000-0005-0000-0000-000032070000}"/>
    <cellStyle name="40% - Accent2 9 2" xfId="2847" xr:uid="{00000000-0005-0000-0000-000033070000}"/>
    <cellStyle name="40% - Accent2 9 2 2" xfId="2848" xr:uid="{00000000-0005-0000-0000-000034070000}"/>
    <cellStyle name="40% - Accent2 9 2 2 2" xfId="2849" xr:uid="{00000000-0005-0000-0000-000035070000}"/>
    <cellStyle name="40% - Accent2 9 2 3" xfId="2850" xr:uid="{00000000-0005-0000-0000-000036070000}"/>
    <cellStyle name="40% - Accent2 9 3" xfId="2851" xr:uid="{00000000-0005-0000-0000-000037070000}"/>
    <cellStyle name="40% - Accent2 9 3 2" xfId="2852" xr:uid="{00000000-0005-0000-0000-000038070000}"/>
    <cellStyle name="40% - Accent2 9 4" xfId="2853" xr:uid="{00000000-0005-0000-0000-000039070000}"/>
    <cellStyle name="40% - Accent3 10" xfId="2854" xr:uid="{00000000-0005-0000-0000-00003A070000}"/>
    <cellStyle name="40% - Accent3 10 2" xfId="2855" xr:uid="{00000000-0005-0000-0000-00003B070000}"/>
    <cellStyle name="40% - Accent3 10 2 2" xfId="2856" xr:uid="{00000000-0005-0000-0000-00003C070000}"/>
    <cellStyle name="40% - Accent3 10 2 2 2" xfId="2857" xr:uid="{00000000-0005-0000-0000-00003D070000}"/>
    <cellStyle name="40% - Accent3 10 2 3" xfId="2858" xr:uid="{00000000-0005-0000-0000-00003E070000}"/>
    <cellStyle name="40% - Accent3 10 3" xfId="2859" xr:uid="{00000000-0005-0000-0000-00003F070000}"/>
    <cellStyle name="40% - Accent3 10 3 2" xfId="2860" xr:uid="{00000000-0005-0000-0000-000040070000}"/>
    <cellStyle name="40% - Accent3 10 4" xfId="2861" xr:uid="{00000000-0005-0000-0000-000041070000}"/>
    <cellStyle name="40% - Accent3 11" xfId="2862" xr:uid="{00000000-0005-0000-0000-000042070000}"/>
    <cellStyle name="40% - Accent3 11 2" xfId="2863" xr:uid="{00000000-0005-0000-0000-000043070000}"/>
    <cellStyle name="40% - Accent3 11 2 2" xfId="2864" xr:uid="{00000000-0005-0000-0000-000044070000}"/>
    <cellStyle name="40% - Accent3 11 3" xfId="2865" xr:uid="{00000000-0005-0000-0000-000045070000}"/>
    <cellStyle name="40% - Accent3 12" xfId="2866" xr:uid="{00000000-0005-0000-0000-000046070000}"/>
    <cellStyle name="40% - Accent3 2" xfId="373" xr:uid="{00000000-0005-0000-0000-000047070000}"/>
    <cellStyle name="40% - Accent3 2 10" xfId="2867" xr:uid="{00000000-0005-0000-0000-000048070000}"/>
    <cellStyle name="40% - Accent3 2 11" xfId="2868" xr:uid="{00000000-0005-0000-0000-000049070000}"/>
    <cellStyle name="40% - Accent3 2 12" xfId="2869" xr:uid="{00000000-0005-0000-0000-00004A070000}"/>
    <cellStyle name="40% - Accent3 2 13" xfId="2870" xr:uid="{00000000-0005-0000-0000-00004B070000}"/>
    <cellStyle name="40% - Accent3 2 14" xfId="2871" xr:uid="{00000000-0005-0000-0000-00004C070000}"/>
    <cellStyle name="40% - Accent3 2 15" xfId="2872" xr:uid="{00000000-0005-0000-0000-00004D070000}"/>
    <cellStyle name="40% - Accent3 2 16" xfId="2873" xr:uid="{00000000-0005-0000-0000-00004E070000}"/>
    <cellStyle name="40% - Accent3 2 17" xfId="2874" xr:uid="{00000000-0005-0000-0000-00004F070000}"/>
    <cellStyle name="40% - Accent3 2 18" xfId="2875" xr:uid="{00000000-0005-0000-0000-000050070000}"/>
    <cellStyle name="40% - Accent3 2 19" xfId="2876" xr:uid="{00000000-0005-0000-0000-000051070000}"/>
    <cellStyle name="40% - Accent3 2 2" xfId="2877" xr:uid="{00000000-0005-0000-0000-000052070000}"/>
    <cellStyle name="40% - Accent3 2 2 2" xfId="2878" xr:uid="{00000000-0005-0000-0000-000053070000}"/>
    <cellStyle name="40% - Accent3 2 2 2 2" xfId="2879" xr:uid="{00000000-0005-0000-0000-000054070000}"/>
    <cellStyle name="40% - Accent3 2 2 3" xfId="2880" xr:uid="{00000000-0005-0000-0000-000055070000}"/>
    <cellStyle name="40% - Accent3 2 2 4" xfId="2881" xr:uid="{00000000-0005-0000-0000-000056070000}"/>
    <cellStyle name="40% - Accent3 2 20" xfId="2882" xr:uid="{00000000-0005-0000-0000-000057070000}"/>
    <cellStyle name="40% - Accent3 2 21" xfId="2883" xr:uid="{00000000-0005-0000-0000-000058070000}"/>
    <cellStyle name="40% - Accent3 2 22" xfId="2884" xr:uid="{00000000-0005-0000-0000-000059070000}"/>
    <cellStyle name="40% - Accent3 2 23" xfId="2885" xr:uid="{00000000-0005-0000-0000-00005A070000}"/>
    <cellStyle name="40% - Accent3 2 24" xfId="2886" xr:uid="{00000000-0005-0000-0000-00005B070000}"/>
    <cellStyle name="40% - Accent3 2 25" xfId="2887" xr:uid="{00000000-0005-0000-0000-00005C070000}"/>
    <cellStyle name="40% - Accent3 2 26" xfId="2888" xr:uid="{00000000-0005-0000-0000-00005D070000}"/>
    <cellStyle name="40% - Accent3 2 27" xfId="2889" xr:uid="{00000000-0005-0000-0000-00005E070000}"/>
    <cellStyle name="40% - Accent3 2 28" xfId="2890" xr:uid="{00000000-0005-0000-0000-00005F070000}"/>
    <cellStyle name="40% - Accent3 2 29" xfId="2891" xr:uid="{00000000-0005-0000-0000-000060070000}"/>
    <cellStyle name="40% - Accent3 2 3" xfId="2892" xr:uid="{00000000-0005-0000-0000-000061070000}"/>
    <cellStyle name="40% - Accent3 2 3 2" xfId="2893" xr:uid="{00000000-0005-0000-0000-000062070000}"/>
    <cellStyle name="40% - Accent3 2 3 3" xfId="2894" xr:uid="{00000000-0005-0000-0000-000063070000}"/>
    <cellStyle name="40% - Accent3 2 30" xfId="2895" xr:uid="{00000000-0005-0000-0000-000064070000}"/>
    <cellStyle name="40% - Accent3 2 31" xfId="2896" xr:uid="{00000000-0005-0000-0000-000065070000}"/>
    <cellStyle name="40% - Accent3 2 32" xfId="2897" xr:uid="{00000000-0005-0000-0000-000066070000}"/>
    <cellStyle name="40% - Accent3 2 33" xfId="2898" xr:uid="{00000000-0005-0000-0000-000067070000}"/>
    <cellStyle name="40% - Accent3 2 34" xfId="2899" xr:uid="{00000000-0005-0000-0000-000068070000}"/>
    <cellStyle name="40% - Accent3 2 35" xfId="2900" xr:uid="{00000000-0005-0000-0000-000069070000}"/>
    <cellStyle name="40% - Accent3 2 36" xfId="2901" xr:uid="{00000000-0005-0000-0000-00006A070000}"/>
    <cellStyle name="40% - Accent3 2 37" xfId="2902" xr:uid="{00000000-0005-0000-0000-00006B070000}"/>
    <cellStyle name="40% - Accent3 2 38" xfId="2903" xr:uid="{00000000-0005-0000-0000-00006C070000}"/>
    <cellStyle name="40% - Accent3 2 39" xfId="2904" xr:uid="{00000000-0005-0000-0000-00006D070000}"/>
    <cellStyle name="40% - Accent3 2 4" xfId="2905" xr:uid="{00000000-0005-0000-0000-00006E070000}"/>
    <cellStyle name="40% - Accent3 2 4 2" xfId="2906" xr:uid="{00000000-0005-0000-0000-00006F070000}"/>
    <cellStyle name="40% - Accent3 2 40" xfId="2907" xr:uid="{00000000-0005-0000-0000-000070070000}"/>
    <cellStyle name="40% - Accent3 2 41" xfId="2908" xr:uid="{00000000-0005-0000-0000-000071070000}"/>
    <cellStyle name="40% - Accent3 2 42" xfId="2909" xr:uid="{00000000-0005-0000-0000-000072070000}"/>
    <cellStyle name="40% - Accent3 2 43" xfId="2910" xr:uid="{00000000-0005-0000-0000-000073070000}"/>
    <cellStyle name="40% - Accent3 2 44" xfId="2911" xr:uid="{00000000-0005-0000-0000-000074070000}"/>
    <cellStyle name="40% - Accent3 2 45" xfId="2912" xr:uid="{00000000-0005-0000-0000-000075070000}"/>
    <cellStyle name="40% - Accent3 2 46" xfId="2913" xr:uid="{00000000-0005-0000-0000-000076070000}"/>
    <cellStyle name="40% - Accent3 2 47" xfId="2914" xr:uid="{00000000-0005-0000-0000-000077070000}"/>
    <cellStyle name="40% - Accent3 2 48" xfId="2915" xr:uid="{00000000-0005-0000-0000-000078070000}"/>
    <cellStyle name="40% - Accent3 2 49" xfId="2916" xr:uid="{00000000-0005-0000-0000-000079070000}"/>
    <cellStyle name="40% - Accent3 2 5" xfId="2917" xr:uid="{00000000-0005-0000-0000-00007A070000}"/>
    <cellStyle name="40% - Accent3 2 6" xfId="2918" xr:uid="{00000000-0005-0000-0000-00007B070000}"/>
    <cellStyle name="40% - Accent3 2 7" xfId="2919" xr:uid="{00000000-0005-0000-0000-00007C070000}"/>
    <cellStyle name="40% - Accent3 2 8" xfId="2920" xr:uid="{00000000-0005-0000-0000-00007D070000}"/>
    <cellStyle name="40% - Accent3 2 9" xfId="2921" xr:uid="{00000000-0005-0000-0000-00007E070000}"/>
    <cellStyle name="40% - Accent3 3" xfId="2922" xr:uid="{00000000-0005-0000-0000-00007F070000}"/>
    <cellStyle name="40% - Accent3 3 2" xfId="2923" xr:uid="{00000000-0005-0000-0000-000080070000}"/>
    <cellStyle name="40% - Accent3 3 2 2" xfId="2924" xr:uid="{00000000-0005-0000-0000-000081070000}"/>
    <cellStyle name="40% - Accent3 3 2 2 2" xfId="2925" xr:uid="{00000000-0005-0000-0000-000082070000}"/>
    <cellStyle name="40% - Accent3 3 2 3" xfId="2926" xr:uid="{00000000-0005-0000-0000-000083070000}"/>
    <cellStyle name="40% - Accent3 3 3" xfId="2927" xr:uid="{00000000-0005-0000-0000-000084070000}"/>
    <cellStyle name="40% - Accent3 3 3 2" xfId="2928" xr:uid="{00000000-0005-0000-0000-000085070000}"/>
    <cellStyle name="40% - Accent3 3 4" xfId="2929" xr:uid="{00000000-0005-0000-0000-000086070000}"/>
    <cellStyle name="40% - Accent3 4" xfId="2930" xr:uid="{00000000-0005-0000-0000-000087070000}"/>
    <cellStyle name="40% - Accent3 4 2" xfId="2931" xr:uid="{00000000-0005-0000-0000-000088070000}"/>
    <cellStyle name="40% - Accent3 4 2 2" xfId="2932" xr:uid="{00000000-0005-0000-0000-000089070000}"/>
    <cellStyle name="40% - Accent3 4 2 2 2" xfId="2933" xr:uid="{00000000-0005-0000-0000-00008A070000}"/>
    <cellStyle name="40% - Accent3 4 2 3" xfId="2934" xr:uid="{00000000-0005-0000-0000-00008B070000}"/>
    <cellStyle name="40% - Accent3 4 3" xfId="2935" xr:uid="{00000000-0005-0000-0000-00008C070000}"/>
    <cellStyle name="40% - Accent3 4 3 2" xfId="2936" xr:uid="{00000000-0005-0000-0000-00008D070000}"/>
    <cellStyle name="40% - Accent3 4 4" xfId="2937" xr:uid="{00000000-0005-0000-0000-00008E070000}"/>
    <cellStyle name="40% - Accent3 5" xfId="2938" xr:uid="{00000000-0005-0000-0000-00008F070000}"/>
    <cellStyle name="40% - Accent3 5 2" xfId="2939" xr:uid="{00000000-0005-0000-0000-000090070000}"/>
    <cellStyle name="40% - Accent3 5 2 2" xfId="2940" xr:uid="{00000000-0005-0000-0000-000091070000}"/>
    <cellStyle name="40% - Accent3 5 2 2 2" xfId="2941" xr:uid="{00000000-0005-0000-0000-000092070000}"/>
    <cellStyle name="40% - Accent3 5 2 3" xfId="2942" xr:uid="{00000000-0005-0000-0000-000093070000}"/>
    <cellStyle name="40% - Accent3 5 3" xfId="2943" xr:uid="{00000000-0005-0000-0000-000094070000}"/>
    <cellStyle name="40% - Accent3 5 3 2" xfId="2944" xr:uid="{00000000-0005-0000-0000-000095070000}"/>
    <cellStyle name="40% - Accent3 5 4" xfId="2945" xr:uid="{00000000-0005-0000-0000-000096070000}"/>
    <cellStyle name="40% - Accent3 6" xfId="2946" xr:uid="{00000000-0005-0000-0000-000097070000}"/>
    <cellStyle name="40% - Accent3 6 2" xfId="2947" xr:uid="{00000000-0005-0000-0000-000098070000}"/>
    <cellStyle name="40% - Accent3 6 2 2" xfId="2948" xr:uid="{00000000-0005-0000-0000-000099070000}"/>
    <cellStyle name="40% - Accent3 6 2 2 2" xfId="2949" xr:uid="{00000000-0005-0000-0000-00009A070000}"/>
    <cellStyle name="40% - Accent3 6 2 3" xfId="2950" xr:uid="{00000000-0005-0000-0000-00009B070000}"/>
    <cellStyle name="40% - Accent3 6 3" xfId="2951" xr:uid="{00000000-0005-0000-0000-00009C070000}"/>
    <cellStyle name="40% - Accent3 6 3 2" xfId="2952" xr:uid="{00000000-0005-0000-0000-00009D070000}"/>
    <cellStyle name="40% - Accent3 6 4" xfId="2953" xr:uid="{00000000-0005-0000-0000-00009E070000}"/>
    <cellStyle name="40% - Accent3 7" xfId="2954" xr:uid="{00000000-0005-0000-0000-00009F070000}"/>
    <cellStyle name="40% - Accent3 7 2" xfId="2955" xr:uid="{00000000-0005-0000-0000-0000A0070000}"/>
    <cellStyle name="40% - Accent3 7 2 2" xfId="2956" xr:uid="{00000000-0005-0000-0000-0000A1070000}"/>
    <cellStyle name="40% - Accent3 7 2 2 2" xfId="2957" xr:uid="{00000000-0005-0000-0000-0000A2070000}"/>
    <cellStyle name="40% - Accent3 7 2 3" xfId="2958" xr:uid="{00000000-0005-0000-0000-0000A3070000}"/>
    <cellStyle name="40% - Accent3 7 3" xfId="2959" xr:uid="{00000000-0005-0000-0000-0000A4070000}"/>
    <cellStyle name="40% - Accent3 7 3 2" xfId="2960" xr:uid="{00000000-0005-0000-0000-0000A5070000}"/>
    <cellStyle name="40% - Accent3 7 4" xfId="2961" xr:uid="{00000000-0005-0000-0000-0000A6070000}"/>
    <cellStyle name="40% - Accent3 8" xfId="2962" xr:uid="{00000000-0005-0000-0000-0000A7070000}"/>
    <cellStyle name="40% - Accent3 8 2" xfId="2963" xr:uid="{00000000-0005-0000-0000-0000A8070000}"/>
    <cellStyle name="40% - Accent3 8 2 2" xfId="2964" xr:uid="{00000000-0005-0000-0000-0000A9070000}"/>
    <cellStyle name="40% - Accent3 8 2 2 2" xfId="2965" xr:uid="{00000000-0005-0000-0000-0000AA070000}"/>
    <cellStyle name="40% - Accent3 8 2 3" xfId="2966" xr:uid="{00000000-0005-0000-0000-0000AB070000}"/>
    <cellStyle name="40% - Accent3 8 3" xfId="2967" xr:uid="{00000000-0005-0000-0000-0000AC070000}"/>
    <cellStyle name="40% - Accent3 8 3 2" xfId="2968" xr:uid="{00000000-0005-0000-0000-0000AD070000}"/>
    <cellStyle name="40% - Accent3 8 4" xfId="2969" xr:uid="{00000000-0005-0000-0000-0000AE070000}"/>
    <cellStyle name="40% - Accent3 9" xfId="2970" xr:uid="{00000000-0005-0000-0000-0000AF070000}"/>
    <cellStyle name="40% - Accent3 9 2" xfId="2971" xr:uid="{00000000-0005-0000-0000-0000B0070000}"/>
    <cellStyle name="40% - Accent3 9 2 2" xfId="2972" xr:uid="{00000000-0005-0000-0000-0000B1070000}"/>
    <cellStyle name="40% - Accent3 9 2 2 2" xfId="2973" xr:uid="{00000000-0005-0000-0000-0000B2070000}"/>
    <cellStyle name="40% - Accent3 9 2 3" xfId="2974" xr:uid="{00000000-0005-0000-0000-0000B3070000}"/>
    <cellStyle name="40% - Accent3 9 3" xfId="2975" xr:uid="{00000000-0005-0000-0000-0000B4070000}"/>
    <cellStyle name="40% - Accent3 9 3 2" xfId="2976" xr:uid="{00000000-0005-0000-0000-0000B5070000}"/>
    <cellStyle name="40% - Accent3 9 4" xfId="2977" xr:uid="{00000000-0005-0000-0000-0000B6070000}"/>
    <cellStyle name="40% - Accent4 10" xfId="2978" xr:uid="{00000000-0005-0000-0000-0000B7070000}"/>
    <cellStyle name="40% - Accent4 10 2" xfId="2979" xr:uid="{00000000-0005-0000-0000-0000B8070000}"/>
    <cellStyle name="40% - Accent4 10 2 2" xfId="2980" xr:uid="{00000000-0005-0000-0000-0000B9070000}"/>
    <cellStyle name="40% - Accent4 10 2 2 2" xfId="2981" xr:uid="{00000000-0005-0000-0000-0000BA070000}"/>
    <cellStyle name="40% - Accent4 10 2 3" xfId="2982" xr:uid="{00000000-0005-0000-0000-0000BB070000}"/>
    <cellStyle name="40% - Accent4 10 3" xfId="2983" xr:uid="{00000000-0005-0000-0000-0000BC070000}"/>
    <cellStyle name="40% - Accent4 10 3 2" xfId="2984" xr:uid="{00000000-0005-0000-0000-0000BD070000}"/>
    <cellStyle name="40% - Accent4 10 4" xfId="2985" xr:uid="{00000000-0005-0000-0000-0000BE070000}"/>
    <cellStyle name="40% - Accent4 11" xfId="2986" xr:uid="{00000000-0005-0000-0000-0000BF070000}"/>
    <cellStyle name="40% - Accent4 11 2" xfId="2987" xr:uid="{00000000-0005-0000-0000-0000C0070000}"/>
    <cellStyle name="40% - Accent4 11 2 2" xfId="2988" xr:uid="{00000000-0005-0000-0000-0000C1070000}"/>
    <cellStyle name="40% - Accent4 11 3" xfId="2989" xr:uid="{00000000-0005-0000-0000-0000C2070000}"/>
    <cellStyle name="40% - Accent4 12" xfId="2990" xr:uid="{00000000-0005-0000-0000-0000C3070000}"/>
    <cellStyle name="40% - Accent4 2" xfId="374" xr:uid="{00000000-0005-0000-0000-0000C4070000}"/>
    <cellStyle name="40% - Accent4 2 10" xfId="2991" xr:uid="{00000000-0005-0000-0000-0000C5070000}"/>
    <cellStyle name="40% - Accent4 2 11" xfId="2992" xr:uid="{00000000-0005-0000-0000-0000C6070000}"/>
    <cellStyle name="40% - Accent4 2 12" xfId="2993" xr:uid="{00000000-0005-0000-0000-0000C7070000}"/>
    <cellStyle name="40% - Accent4 2 13" xfId="2994" xr:uid="{00000000-0005-0000-0000-0000C8070000}"/>
    <cellStyle name="40% - Accent4 2 14" xfId="2995" xr:uid="{00000000-0005-0000-0000-0000C9070000}"/>
    <cellStyle name="40% - Accent4 2 15" xfId="2996" xr:uid="{00000000-0005-0000-0000-0000CA070000}"/>
    <cellStyle name="40% - Accent4 2 16" xfId="2997" xr:uid="{00000000-0005-0000-0000-0000CB070000}"/>
    <cellStyle name="40% - Accent4 2 17" xfId="2998" xr:uid="{00000000-0005-0000-0000-0000CC070000}"/>
    <cellStyle name="40% - Accent4 2 18" xfId="2999" xr:uid="{00000000-0005-0000-0000-0000CD070000}"/>
    <cellStyle name="40% - Accent4 2 19" xfId="3000" xr:uid="{00000000-0005-0000-0000-0000CE070000}"/>
    <cellStyle name="40% - Accent4 2 2" xfId="3001" xr:uid="{00000000-0005-0000-0000-0000CF070000}"/>
    <cellStyle name="40% - Accent4 2 2 2" xfId="3002" xr:uid="{00000000-0005-0000-0000-0000D0070000}"/>
    <cellStyle name="40% - Accent4 2 2 2 2" xfId="3003" xr:uid="{00000000-0005-0000-0000-0000D1070000}"/>
    <cellStyle name="40% - Accent4 2 2 3" xfId="3004" xr:uid="{00000000-0005-0000-0000-0000D2070000}"/>
    <cellStyle name="40% - Accent4 2 2 4" xfId="3005" xr:uid="{00000000-0005-0000-0000-0000D3070000}"/>
    <cellStyle name="40% - Accent4 2 20" xfId="3006" xr:uid="{00000000-0005-0000-0000-0000D4070000}"/>
    <cellStyle name="40% - Accent4 2 21" xfId="3007" xr:uid="{00000000-0005-0000-0000-0000D5070000}"/>
    <cellStyle name="40% - Accent4 2 22" xfId="3008" xr:uid="{00000000-0005-0000-0000-0000D6070000}"/>
    <cellStyle name="40% - Accent4 2 23" xfId="3009" xr:uid="{00000000-0005-0000-0000-0000D7070000}"/>
    <cellStyle name="40% - Accent4 2 24" xfId="3010" xr:uid="{00000000-0005-0000-0000-0000D8070000}"/>
    <cellStyle name="40% - Accent4 2 25" xfId="3011" xr:uid="{00000000-0005-0000-0000-0000D9070000}"/>
    <cellStyle name="40% - Accent4 2 26" xfId="3012" xr:uid="{00000000-0005-0000-0000-0000DA070000}"/>
    <cellStyle name="40% - Accent4 2 27" xfId="3013" xr:uid="{00000000-0005-0000-0000-0000DB070000}"/>
    <cellStyle name="40% - Accent4 2 28" xfId="3014" xr:uid="{00000000-0005-0000-0000-0000DC070000}"/>
    <cellStyle name="40% - Accent4 2 29" xfId="3015" xr:uid="{00000000-0005-0000-0000-0000DD070000}"/>
    <cellStyle name="40% - Accent4 2 3" xfId="3016" xr:uid="{00000000-0005-0000-0000-0000DE070000}"/>
    <cellStyle name="40% - Accent4 2 3 2" xfId="3017" xr:uid="{00000000-0005-0000-0000-0000DF070000}"/>
    <cellStyle name="40% - Accent4 2 3 3" xfId="3018" xr:uid="{00000000-0005-0000-0000-0000E0070000}"/>
    <cellStyle name="40% - Accent4 2 30" xfId="3019" xr:uid="{00000000-0005-0000-0000-0000E1070000}"/>
    <cellStyle name="40% - Accent4 2 31" xfId="3020" xr:uid="{00000000-0005-0000-0000-0000E2070000}"/>
    <cellStyle name="40% - Accent4 2 32" xfId="3021" xr:uid="{00000000-0005-0000-0000-0000E3070000}"/>
    <cellStyle name="40% - Accent4 2 33" xfId="3022" xr:uid="{00000000-0005-0000-0000-0000E4070000}"/>
    <cellStyle name="40% - Accent4 2 34" xfId="3023" xr:uid="{00000000-0005-0000-0000-0000E5070000}"/>
    <cellStyle name="40% - Accent4 2 35" xfId="3024" xr:uid="{00000000-0005-0000-0000-0000E6070000}"/>
    <cellStyle name="40% - Accent4 2 36" xfId="3025" xr:uid="{00000000-0005-0000-0000-0000E7070000}"/>
    <cellStyle name="40% - Accent4 2 37" xfId="3026" xr:uid="{00000000-0005-0000-0000-0000E8070000}"/>
    <cellStyle name="40% - Accent4 2 38" xfId="3027" xr:uid="{00000000-0005-0000-0000-0000E9070000}"/>
    <cellStyle name="40% - Accent4 2 39" xfId="3028" xr:uid="{00000000-0005-0000-0000-0000EA070000}"/>
    <cellStyle name="40% - Accent4 2 4" xfId="3029" xr:uid="{00000000-0005-0000-0000-0000EB070000}"/>
    <cellStyle name="40% - Accent4 2 4 2" xfId="3030" xr:uid="{00000000-0005-0000-0000-0000EC070000}"/>
    <cellStyle name="40% - Accent4 2 40" xfId="3031" xr:uid="{00000000-0005-0000-0000-0000ED070000}"/>
    <cellStyle name="40% - Accent4 2 41" xfId="3032" xr:uid="{00000000-0005-0000-0000-0000EE070000}"/>
    <cellStyle name="40% - Accent4 2 42" xfId="3033" xr:uid="{00000000-0005-0000-0000-0000EF070000}"/>
    <cellStyle name="40% - Accent4 2 43" xfId="3034" xr:uid="{00000000-0005-0000-0000-0000F0070000}"/>
    <cellStyle name="40% - Accent4 2 44" xfId="3035" xr:uid="{00000000-0005-0000-0000-0000F1070000}"/>
    <cellStyle name="40% - Accent4 2 45" xfId="3036" xr:uid="{00000000-0005-0000-0000-0000F2070000}"/>
    <cellStyle name="40% - Accent4 2 46" xfId="3037" xr:uid="{00000000-0005-0000-0000-0000F3070000}"/>
    <cellStyle name="40% - Accent4 2 47" xfId="3038" xr:uid="{00000000-0005-0000-0000-0000F4070000}"/>
    <cellStyle name="40% - Accent4 2 48" xfId="3039" xr:uid="{00000000-0005-0000-0000-0000F5070000}"/>
    <cellStyle name="40% - Accent4 2 49" xfId="3040" xr:uid="{00000000-0005-0000-0000-0000F6070000}"/>
    <cellStyle name="40% - Accent4 2 5" xfId="3041" xr:uid="{00000000-0005-0000-0000-0000F7070000}"/>
    <cellStyle name="40% - Accent4 2 6" xfId="3042" xr:uid="{00000000-0005-0000-0000-0000F8070000}"/>
    <cellStyle name="40% - Accent4 2 7" xfId="3043" xr:uid="{00000000-0005-0000-0000-0000F9070000}"/>
    <cellStyle name="40% - Accent4 2 8" xfId="3044" xr:uid="{00000000-0005-0000-0000-0000FA070000}"/>
    <cellStyle name="40% - Accent4 2 9" xfId="3045" xr:uid="{00000000-0005-0000-0000-0000FB070000}"/>
    <cellStyle name="40% - Accent4 3" xfId="3046" xr:uid="{00000000-0005-0000-0000-0000FC070000}"/>
    <cellStyle name="40% - Accent4 3 2" xfId="3047" xr:uid="{00000000-0005-0000-0000-0000FD070000}"/>
    <cellStyle name="40% - Accent4 3 2 2" xfId="3048" xr:uid="{00000000-0005-0000-0000-0000FE070000}"/>
    <cellStyle name="40% - Accent4 3 2 2 2" xfId="3049" xr:uid="{00000000-0005-0000-0000-0000FF070000}"/>
    <cellStyle name="40% - Accent4 3 2 3" xfId="3050" xr:uid="{00000000-0005-0000-0000-000000080000}"/>
    <cellStyle name="40% - Accent4 3 3" xfId="3051" xr:uid="{00000000-0005-0000-0000-000001080000}"/>
    <cellStyle name="40% - Accent4 3 3 2" xfId="3052" xr:uid="{00000000-0005-0000-0000-000002080000}"/>
    <cellStyle name="40% - Accent4 3 4" xfId="3053" xr:uid="{00000000-0005-0000-0000-000003080000}"/>
    <cellStyle name="40% - Accent4 4" xfId="3054" xr:uid="{00000000-0005-0000-0000-000004080000}"/>
    <cellStyle name="40% - Accent4 4 2" xfId="3055" xr:uid="{00000000-0005-0000-0000-000005080000}"/>
    <cellStyle name="40% - Accent4 4 2 2" xfId="3056" xr:uid="{00000000-0005-0000-0000-000006080000}"/>
    <cellStyle name="40% - Accent4 4 2 2 2" xfId="3057" xr:uid="{00000000-0005-0000-0000-000007080000}"/>
    <cellStyle name="40% - Accent4 4 2 3" xfId="3058" xr:uid="{00000000-0005-0000-0000-000008080000}"/>
    <cellStyle name="40% - Accent4 4 3" xfId="3059" xr:uid="{00000000-0005-0000-0000-000009080000}"/>
    <cellStyle name="40% - Accent4 4 3 2" xfId="3060" xr:uid="{00000000-0005-0000-0000-00000A080000}"/>
    <cellStyle name="40% - Accent4 4 4" xfId="3061" xr:uid="{00000000-0005-0000-0000-00000B080000}"/>
    <cellStyle name="40% - Accent4 5" xfId="3062" xr:uid="{00000000-0005-0000-0000-00000C080000}"/>
    <cellStyle name="40% - Accent4 5 2" xfId="3063" xr:uid="{00000000-0005-0000-0000-00000D080000}"/>
    <cellStyle name="40% - Accent4 5 2 2" xfId="3064" xr:uid="{00000000-0005-0000-0000-00000E080000}"/>
    <cellStyle name="40% - Accent4 5 2 2 2" xfId="3065" xr:uid="{00000000-0005-0000-0000-00000F080000}"/>
    <cellStyle name="40% - Accent4 5 2 3" xfId="3066" xr:uid="{00000000-0005-0000-0000-000010080000}"/>
    <cellStyle name="40% - Accent4 5 3" xfId="3067" xr:uid="{00000000-0005-0000-0000-000011080000}"/>
    <cellStyle name="40% - Accent4 5 3 2" xfId="3068" xr:uid="{00000000-0005-0000-0000-000012080000}"/>
    <cellStyle name="40% - Accent4 5 4" xfId="3069" xr:uid="{00000000-0005-0000-0000-000013080000}"/>
    <cellStyle name="40% - Accent4 6" xfId="3070" xr:uid="{00000000-0005-0000-0000-000014080000}"/>
    <cellStyle name="40% - Accent4 6 2" xfId="3071" xr:uid="{00000000-0005-0000-0000-000015080000}"/>
    <cellStyle name="40% - Accent4 6 2 2" xfId="3072" xr:uid="{00000000-0005-0000-0000-000016080000}"/>
    <cellStyle name="40% - Accent4 6 2 2 2" xfId="3073" xr:uid="{00000000-0005-0000-0000-000017080000}"/>
    <cellStyle name="40% - Accent4 6 2 3" xfId="3074" xr:uid="{00000000-0005-0000-0000-000018080000}"/>
    <cellStyle name="40% - Accent4 6 3" xfId="3075" xr:uid="{00000000-0005-0000-0000-000019080000}"/>
    <cellStyle name="40% - Accent4 6 3 2" xfId="3076" xr:uid="{00000000-0005-0000-0000-00001A080000}"/>
    <cellStyle name="40% - Accent4 6 4" xfId="3077" xr:uid="{00000000-0005-0000-0000-00001B080000}"/>
    <cellStyle name="40% - Accent4 7" xfId="3078" xr:uid="{00000000-0005-0000-0000-00001C080000}"/>
    <cellStyle name="40% - Accent4 7 2" xfId="3079" xr:uid="{00000000-0005-0000-0000-00001D080000}"/>
    <cellStyle name="40% - Accent4 7 2 2" xfId="3080" xr:uid="{00000000-0005-0000-0000-00001E080000}"/>
    <cellStyle name="40% - Accent4 7 2 2 2" xfId="3081" xr:uid="{00000000-0005-0000-0000-00001F080000}"/>
    <cellStyle name="40% - Accent4 7 2 3" xfId="3082" xr:uid="{00000000-0005-0000-0000-000020080000}"/>
    <cellStyle name="40% - Accent4 7 3" xfId="3083" xr:uid="{00000000-0005-0000-0000-000021080000}"/>
    <cellStyle name="40% - Accent4 7 3 2" xfId="3084" xr:uid="{00000000-0005-0000-0000-000022080000}"/>
    <cellStyle name="40% - Accent4 7 4" xfId="3085" xr:uid="{00000000-0005-0000-0000-000023080000}"/>
    <cellStyle name="40% - Accent4 8" xfId="3086" xr:uid="{00000000-0005-0000-0000-000024080000}"/>
    <cellStyle name="40% - Accent4 8 2" xfId="3087" xr:uid="{00000000-0005-0000-0000-000025080000}"/>
    <cellStyle name="40% - Accent4 8 2 2" xfId="3088" xr:uid="{00000000-0005-0000-0000-000026080000}"/>
    <cellStyle name="40% - Accent4 8 2 2 2" xfId="3089" xr:uid="{00000000-0005-0000-0000-000027080000}"/>
    <cellStyle name="40% - Accent4 8 2 3" xfId="3090" xr:uid="{00000000-0005-0000-0000-000028080000}"/>
    <cellStyle name="40% - Accent4 8 3" xfId="3091" xr:uid="{00000000-0005-0000-0000-000029080000}"/>
    <cellStyle name="40% - Accent4 8 3 2" xfId="3092" xr:uid="{00000000-0005-0000-0000-00002A080000}"/>
    <cellStyle name="40% - Accent4 8 4" xfId="3093" xr:uid="{00000000-0005-0000-0000-00002B080000}"/>
    <cellStyle name="40% - Accent4 9" xfId="3094" xr:uid="{00000000-0005-0000-0000-00002C080000}"/>
    <cellStyle name="40% - Accent4 9 2" xfId="3095" xr:uid="{00000000-0005-0000-0000-00002D080000}"/>
    <cellStyle name="40% - Accent4 9 2 2" xfId="3096" xr:uid="{00000000-0005-0000-0000-00002E080000}"/>
    <cellStyle name="40% - Accent4 9 2 2 2" xfId="3097" xr:uid="{00000000-0005-0000-0000-00002F080000}"/>
    <cellStyle name="40% - Accent4 9 2 3" xfId="3098" xr:uid="{00000000-0005-0000-0000-000030080000}"/>
    <cellStyle name="40% - Accent4 9 3" xfId="3099" xr:uid="{00000000-0005-0000-0000-000031080000}"/>
    <cellStyle name="40% - Accent4 9 3 2" xfId="3100" xr:uid="{00000000-0005-0000-0000-000032080000}"/>
    <cellStyle name="40% - Accent4 9 4" xfId="3101" xr:uid="{00000000-0005-0000-0000-000033080000}"/>
    <cellStyle name="40% - Accent5 10" xfId="3102" xr:uid="{00000000-0005-0000-0000-000034080000}"/>
    <cellStyle name="40% - Accent5 10 2" xfId="3103" xr:uid="{00000000-0005-0000-0000-000035080000}"/>
    <cellStyle name="40% - Accent5 10 2 2" xfId="3104" xr:uid="{00000000-0005-0000-0000-000036080000}"/>
    <cellStyle name="40% - Accent5 10 2 2 2" xfId="3105" xr:uid="{00000000-0005-0000-0000-000037080000}"/>
    <cellStyle name="40% - Accent5 10 2 3" xfId="3106" xr:uid="{00000000-0005-0000-0000-000038080000}"/>
    <cellStyle name="40% - Accent5 10 3" xfId="3107" xr:uid="{00000000-0005-0000-0000-000039080000}"/>
    <cellStyle name="40% - Accent5 10 3 2" xfId="3108" xr:uid="{00000000-0005-0000-0000-00003A080000}"/>
    <cellStyle name="40% - Accent5 10 4" xfId="3109" xr:uid="{00000000-0005-0000-0000-00003B080000}"/>
    <cellStyle name="40% - Accent5 11" xfId="3110" xr:uid="{00000000-0005-0000-0000-00003C080000}"/>
    <cellStyle name="40% - Accent5 11 2" xfId="3111" xr:uid="{00000000-0005-0000-0000-00003D080000}"/>
    <cellStyle name="40% - Accent5 11 2 2" xfId="3112" xr:uid="{00000000-0005-0000-0000-00003E080000}"/>
    <cellStyle name="40% - Accent5 11 3" xfId="3113" xr:uid="{00000000-0005-0000-0000-00003F080000}"/>
    <cellStyle name="40% - Accent5 12" xfId="3114" xr:uid="{00000000-0005-0000-0000-000040080000}"/>
    <cellStyle name="40% - Accent5 2" xfId="375" xr:uid="{00000000-0005-0000-0000-000041080000}"/>
    <cellStyle name="40% - Accent5 2 10" xfId="3115" xr:uid="{00000000-0005-0000-0000-000042080000}"/>
    <cellStyle name="40% - Accent5 2 11" xfId="3116" xr:uid="{00000000-0005-0000-0000-000043080000}"/>
    <cellStyle name="40% - Accent5 2 12" xfId="3117" xr:uid="{00000000-0005-0000-0000-000044080000}"/>
    <cellStyle name="40% - Accent5 2 13" xfId="3118" xr:uid="{00000000-0005-0000-0000-000045080000}"/>
    <cellStyle name="40% - Accent5 2 14" xfId="3119" xr:uid="{00000000-0005-0000-0000-000046080000}"/>
    <cellStyle name="40% - Accent5 2 15" xfId="3120" xr:uid="{00000000-0005-0000-0000-000047080000}"/>
    <cellStyle name="40% - Accent5 2 16" xfId="3121" xr:uid="{00000000-0005-0000-0000-000048080000}"/>
    <cellStyle name="40% - Accent5 2 17" xfId="3122" xr:uid="{00000000-0005-0000-0000-000049080000}"/>
    <cellStyle name="40% - Accent5 2 18" xfId="3123" xr:uid="{00000000-0005-0000-0000-00004A080000}"/>
    <cellStyle name="40% - Accent5 2 19" xfId="3124" xr:uid="{00000000-0005-0000-0000-00004B080000}"/>
    <cellStyle name="40% - Accent5 2 2" xfId="3125" xr:uid="{00000000-0005-0000-0000-00004C080000}"/>
    <cellStyle name="40% - Accent5 2 2 2" xfId="3126" xr:uid="{00000000-0005-0000-0000-00004D080000}"/>
    <cellStyle name="40% - Accent5 2 2 2 2" xfId="3127" xr:uid="{00000000-0005-0000-0000-00004E080000}"/>
    <cellStyle name="40% - Accent5 2 2 3" xfId="3128" xr:uid="{00000000-0005-0000-0000-00004F080000}"/>
    <cellStyle name="40% - Accent5 2 2 4" xfId="3129" xr:uid="{00000000-0005-0000-0000-000050080000}"/>
    <cellStyle name="40% - Accent5 2 20" xfId="3130" xr:uid="{00000000-0005-0000-0000-000051080000}"/>
    <cellStyle name="40% - Accent5 2 21" xfId="3131" xr:uid="{00000000-0005-0000-0000-000052080000}"/>
    <cellStyle name="40% - Accent5 2 22" xfId="3132" xr:uid="{00000000-0005-0000-0000-000053080000}"/>
    <cellStyle name="40% - Accent5 2 23" xfId="3133" xr:uid="{00000000-0005-0000-0000-000054080000}"/>
    <cellStyle name="40% - Accent5 2 24" xfId="3134" xr:uid="{00000000-0005-0000-0000-000055080000}"/>
    <cellStyle name="40% - Accent5 2 25" xfId="3135" xr:uid="{00000000-0005-0000-0000-000056080000}"/>
    <cellStyle name="40% - Accent5 2 26" xfId="3136" xr:uid="{00000000-0005-0000-0000-000057080000}"/>
    <cellStyle name="40% - Accent5 2 27" xfId="3137" xr:uid="{00000000-0005-0000-0000-000058080000}"/>
    <cellStyle name="40% - Accent5 2 28" xfId="3138" xr:uid="{00000000-0005-0000-0000-000059080000}"/>
    <cellStyle name="40% - Accent5 2 29" xfId="3139" xr:uid="{00000000-0005-0000-0000-00005A080000}"/>
    <cellStyle name="40% - Accent5 2 3" xfId="3140" xr:uid="{00000000-0005-0000-0000-00005B080000}"/>
    <cellStyle name="40% - Accent5 2 3 2" xfId="3141" xr:uid="{00000000-0005-0000-0000-00005C080000}"/>
    <cellStyle name="40% - Accent5 2 3 3" xfId="3142" xr:uid="{00000000-0005-0000-0000-00005D080000}"/>
    <cellStyle name="40% - Accent5 2 30" xfId="3143" xr:uid="{00000000-0005-0000-0000-00005E080000}"/>
    <cellStyle name="40% - Accent5 2 31" xfId="3144" xr:uid="{00000000-0005-0000-0000-00005F080000}"/>
    <cellStyle name="40% - Accent5 2 32" xfId="3145" xr:uid="{00000000-0005-0000-0000-000060080000}"/>
    <cellStyle name="40% - Accent5 2 33" xfId="3146" xr:uid="{00000000-0005-0000-0000-000061080000}"/>
    <cellStyle name="40% - Accent5 2 34" xfId="3147" xr:uid="{00000000-0005-0000-0000-000062080000}"/>
    <cellStyle name="40% - Accent5 2 35" xfId="3148" xr:uid="{00000000-0005-0000-0000-000063080000}"/>
    <cellStyle name="40% - Accent5 2 36" xfId="3149" xr:uid="{00000000-0005-0000-0000-000064080000}"/>
    <cellStyle name="40% - Accent5 2 37" xfId="3150" xr:uid="{00000000-0005-0000-0000-000065080000}"/>
    <cellStyle name="40% - Accent5 2 38" xfId="3151" xr:uid="{00000000-0005-0000-0000-000066080000}"/>
    <cellStyle name="40% - Accent5 2 39" xfId="3152" xr:uid="{00000000-0005-0000-0000-000067080000}"/>
    <cellStyle name="40% - Accent5 2 4" xfId="3153" xr:uid="{00000000-0005-0000-0000-000068080000}"/>
    <cellStyle name="40% - Accent5 2 4 2" xfId="3154" xr:uid="{00000000-0005-0000-0000-000069080000}"/>
    <cellStyle name="40% - Accent5 2 40" xfId="3155" xr:uid="{00000000-0005-0000-0000-00006A080000}"/>
    <cellStyle name="40% - Accent5 2 41" xfId="3156" xr:uid="{00000000-0005-0000-0000-00006B080000}"/>
    <cellStyle name="40% - Accent5 2 42" xfId="3157" xr:uid="{00000000-0005-0000-0000-00006C080000}"/>
    <cellStyle name="40% - Accent5 2 43" xfId="3158" xr:uid="{00000000-0005-0000-0000-00006D080000}"/>
    <cellStyle name="40% - Accent5 2 44" xfId="3159" xr:uid="{00000000-0005-0000-0000-00006E080000}"/>
    <cellStyle name="40% - Accent5 2 45" xfId="3160" xr:uid="{00000000-0005-0000-0000-00006F080000}"/>
    <cellStyle name="40% - Accent5 2 46" xfId="3161" xr:uid="{00000000-0005-0000-0000-000070080000}"/>
    <cellStyle name="40% - Accent5 2 47" xfId="3162" xr:uid="{00000000-0005-0000-0000-000071080000}"/>
    <cellStyle name="40% - Accent5 2 48" xfId="3163" xr:uid="{00000000-0005-0000-0000-000072080000}"/>
    <cellStyle name="40% - Accent5 2 49" xfId="3164" xr:uid="{00000000-0005-0000-0000-000073080000}"/>
    <cellStyle name="40% - Accent5 2 5" xfId="3165" xr:uid="{00000000-0005-0000-0000-000074080000}"/>
    <cellStyle name="40% - Accent5 2 6" xfId="3166" xr:uid="{00000000-0005-0000-0000-000075080000}"/>
    <cellStyle name="40% - Accent5 2 7" xfId="3167" xr:uid="{00000000-0005-0000-0000-000076080000}"/>
    <cellStyle name="40% - Accent5 2 8" xfId="3168" xr:uid="{00000000-0005-0000-0000-000077080000}"/>
    <cellStyle name="40% - Accent5 2 9" xfId="3169" xr:uid="{00000000-0005-0000-0000-000078080000}"/>
    <cellStyle name="40% - Accent5 3" xfId="3170" xr:uid="{00000000-0005-0000-0000-000079080000}"/>
    <cellStyle name="40% - Accent5 3 2" xfId="3171" xr:uid="{00000000-0005-0000-0000-00007A080000}"/>
    <cellStyle name="40% - Accent5 3 2 2" xfId="3172" xr:uid="{00000000-0005-0000-0000-00007B080000}"/>
    <cellStyle name="40% - Accent5 3 2 2 2" xfId="3173" xr:uid="{00000000-0005-0000-0000-00007C080000}"/>
    <cellStyle name="40% - Accent5 3 2 3" xfId="3174" xr:uid="{00000000-0005-0000-0000-00007D080000}"/>
    <cellStyle name="40% - Accent5 3 3" xfId="3175" xr:uid="{00000000-0005-0000-0000-00007E080000}"/>
    <cellStyle name="40% - Accent5 3 3 2" xfId="3176" xr:uid="{00000000-0005-0000-0000-00007F080000}"/>
    <cellStyle name="40% - Accent5 3 4" xfId="3177" xr:uid="{00000000-0005-0000-0000-000080080000}"/>
    <cellStyle name="40% - Accent5 4" xfId="3178" xr:uid="{00000000-0005-0000-0000-000081080000}"/>
    <cellStyle name="40% - Accent5 4 2" xfId="3179" xr:uid="{00000000-0005-0000-0000-000082080000}"/>
    <cellStyle name="40% - Accent5 4 2 2" xfId="3180" xr:uid="{00000000-0005-0000-0000-000083080000}"/>
    <cellStyle name="40% - Accent5 4 2 2 2" xfId="3181" xr:uid="{00000000-0005-0000-0000-000084080000}"/>
    <cellStyle name="40% - Accent5 4 2 3" xfId="3182" xr:uid="{00000000-0005-0000-0000-000085080000}"/>
    <cellStyle name="40% - Accent5 4 3" xfId="3183" xr:uid="{00000000-0005-0000-0000-000086080000}"/>
    <cellStyle name="40% - Accent5 4 3 2" xfId="3184" xr:uid="{00000000-0005-0000-0000-000087080000}"/>
    <cellStyle name="40% - Accent5 4 4" xfId="3185" xr:uid="{00000000-0005-0000-0000-000088080000}"/>
    <cellStyle name="40% - Accent5 5" xfId="3186" xr:uid="{00000000-0005-0000-0000-000089080000}"/>
    <cellStyle name="40% - Accent5 5 2" xfId="3187" xr:uid="{00000000-0005-0000-0000-00008A080000}"/>
    <cellStyle name="40% - Accent5 5 2 2" xfId="3188" xr:uid="{00000000-0005-0000-0000-00008B080000}"/>
    <cellStyle name="40% - Accent5 5 2 2 2" xfId="3189" xr:uid="{00000000-0005-0000-0000-00008C080000}"/>
    <cellStyle name="40% - Accent5 5 2 3" xfId="3190" xr:uid="{00000000-0005-0000-0000-00008D080000}"/>
    <cellStyle name="40% - Accent5 5 3" xfId="3191" xr:uid="{00000000-0005-0000-0000-00008E080000}"/>
    <cellStyle name="40% - Accent5 5 3 2" xfId="3192" xr:uid="{00000000-0005-0000-0000-00008F080000}"/>
    <cellStyle name="40% - Accent5 5 4" xfId="3193" xr:uid="{00000000-0005-0000-0000-000090080000}"/>
    <cellStyle name="40% - Accent5 6" xfId="3194" xr:uid="{00000000-0005-0000-0000-000091080000}"/>
    <cellStyle name="40% - Accent5 6 2" xfId="3195" xr:uid="{00000000-0005-0000-0000-000092080000}"/>
    <cellStyle name="40% - Accent5 6 2 2" xfId="3196" xr:uid="{00000000-0005-0000-0000-000093080000}"/>
    <cellStyle name="40% - Accent5 6 2 2 2" xfId="3197" xr:uid="{00000000-0005-0000-0000-000094080000}"/>
    <cellStyle name="40% - Accent5 6 2 3" xfId="3198" xr:uid="{00000000-0005-0000-0000-000095080000}"/>
    <cellStyle name="40% - Accent5 6 3" xfId="3199" xr:uid="{00000000-0005-0000-0000-000096080000}"/>
    <cellStyle name="40% - Accent5 6 3 2" xfId="3200" xr:uid="{00000000-0005-0000-0000-000097080000}"/>
    <cellStyle name="40% - Accent5 6 4" xfId="3201" xr:uid="{00000000-0005-0000-0000-000098080000}"/>
    <cellStyle name="40% - Accent5 7" xfId="3202" xr:uid="{00000000-0005-0000-0000-000099080000}"/>
    <cellStyle name="40% - Accent5 7 2" xfId="3203" xr:uid="{00000000-0005-0000-0000-00009A080000}"/>
    <cellStyle name="40% - Accent5 7 2 2" xfId="3204" xr:uid="{00000000-0005-0000-0000-00009B080000}"/>
    <cellStyle name="40% - Accent5 7 2 2 2" xfId="3205" xr:uid="{00000000-0005-0000-0000-00009C080000}"/>
    <cellStyle name="40% - Accent5 7 2 3" xfId="3206" xr:uid="{00000000-0005-0000-0000-00009D080000}"/>
    <cellStyle name="40% - Accent5 7 3" xfId="3207" xr:uid="{00000000-0005-0000-0000-00009E080000}"/>
    <cellStyle name="40% - Accent5 7 3 2" xfId="3208" xr:uid="{00000000-0005-0000-0000-00009F080000}"/>
    <cellStyle name="40% - Accent5 7 4" xfId="3209" xr:uid="{00000000-0005-0000-0000-0000A0080000}"/>
    <cellStyle name="40% - Accent5 8" xfId="3210" xr:uid="{00000000-0005-0000-0000-0000A1080000}"/>
    <cellStyle name="40% - Accent5 8 2" xfId="3211" xr:uid="{00000000-0005-0000-0000-0000A2080000}"/>
    <cellStyle name="40% - Accent5 8 2 2" xfId="3212" xr:uid="{00000000-0005-0000-0000-0000A3080000}"/>
    <cellStyle name="40% - Accent5 8 2 2 2" xfId="3213" xr:uid="{00000000-0005-0000-0000-0000A4080000}"/>
    <cellStyle name="40% - Accent5 8 2 3" xfId="3214" xr:uid="{00000000-0005-0000-0000-0000A5080000}"/>
    <cellStyle name="40% - Accent5 8 3" xfId="3215" xr:uid="{00000000-0005-0000-0000-0000A6080000}"/>
    <cellStyle name="40% - Accent5 8 3 2" xfId="3216" xr:uid="{00000000-0005-0000-0000-0000A7080000}"/>
    <cellStyle name="40% - Accent5 8 4" xfId="3217" xr:uid="{00000000-0005-0000-0000-0000A8080000}"/>
    <cellStyle name="40% - Accent5 9" xfId="3218" xr:uid="{00000000-0005-0000-0000-0000A9080000}"/>
    <cellStyle name="40% - Accent5 9 2" xfId="3219" xr:uid="{00000000-0005-0000-0000-0000AA080000}"/>
    <cellStyle name="40% - Accent5 9 2 2" xfId="3220" xr:uid="{00000000-0005-0000-0000-0000AB080000}"/>
    <cellStyle name="40% - Accent5 9 2 2 2" xfId="3221" xr:uid="{00000000-0005-0000-0000-0000AC080000}"/>
    <cellStyle name="40% - Accent5 9 2 3" xfId="3222" xr:uid="{00000000-0005-0000-0000-0000AD080000}"/>
    <cellStyle name="40% - Accent5 9 3" xfId="3223" xr:uid="{00000000-0005-0000-0000-0000AE080000}"/>
    <cellStyle name="40% - Accent5 9 3 2" xfId="3224" xr:uid="{00000000-0005-0000-0000-0000AF080000}"/>
    <cellStyle name="40% - Accent5 9 4" xfId="3225" xr:uid="{00000000-0005-0000-0000-0000B0080000}"/>
    <cellStyle name="40% - Accent6 10" xfId="3226" xr:uid="{00000000-0005-0000-0000-0000B1080000}"/>
    <cellStyle name="40% - Accent6 10 2" xfId="3227" xr:uid="{00000000-0005-0000-0000-0000B2080000}"/>
    <cellStyle name="40% - Accent6 10 2 2" xfId="3228" xr:uid="{00000000-0005-0000-0000-0000B3080000}"/>
    <cellStyle name="40% - Accent6 10 2 2 2" xfId="3229" xr:uid="{00000000-0005-0000-0000-0000B4080000}"/>
    <cellStyle name="40% - Accent6 10 2 3" xfId="3230" xr:uid="{00000000-0005-0000-0000-0000B5080000}"/>
    <cellStyle name="40% - Accent6 10 3" xfId="3231" xr:uid="{00000000-0005-0000-0000-0000B6080000}"/>
    <cellStyle name="40% - Accent6 10 3 2" xfId="3232" xr:uid="{00000000-0005-0000-0000-0000B7080000}"/>
    <cellStyle name="40% - Accent6 10 4" xfId="3233" xr:uid="{00000000-0005-0000-0000-0000B8080000}"/>
    <cellStyle name="40% - Accent6 11" xfId="3234" xr:uid="{00000000-0005-0000-0000-0000B9080000}"/>
    <cellStyle name="40% - Accent6 11 2" xfId="3235" xr:uid="{00000000-0005-0000-0000-0000BA080000}"/>
    <cellStyle name="40% - Accent6 11 2 2" xfId="3236" xr:uid="{00000000-0005-0000-0000-0000BB080000}"/>
    <cellStyle name="40% - Accent6 11 3" xfId="3237" xr:uid="{00000000-0005-0000-0000-0000BC080000}"/>
    <cellStyle name="40% - Accent6 12" xfId="3238" xr:uid="{00000000-0005-0000-0000-0000BD080000}"/>
    <cellStyle name="40% - Accent6 2" xfId="376" xr:uid="{00000000-0005-0000-0000-0000BE080000}"/>
    <cellStyle name="40% - Accent6 2 10" xfId="3239" xr:uid="{00000000-0005-0000-0000-0000BF080000}"/>
    <cellStyle name="40% - Accent6 2 11" xfId="3240" xr:uid="{00000000-0005-0000-0000-0000C0080000}"/>
    <cellStyle name="40% - Accent6 2 12" xfId="3241" xr:uid="{00000000-0005-0000-0000-0000C1080000}"/>
    <cellStyle name="40% - Accent6 2 13" xfId="3242" xr:uid="{00000000-0005-0000-0000-0000C2080000}"/>
    <cellStyle name="40% - Accent6 2 14" xfId="3243" xr:uid="{00000000-0005-0000-0000-0000C3080000}"/>
    <cellStyle name="40% - Accent6 2 15" xfId="3244" xr:uid="{00000000-0005-0000-0000-0000C4080000}"/>
    <cellStyle name="40% - Accent6 2 16" xfId="3245" xr:uid="{00000000-0005-0000-0000-0000C5080000}"/>
    <cellStyle name="40% - Accent6 2 17" xfId="3246" xr:uid="{00000000-0005-0000-0000-0000C6080000}"/>
    <cellStyle name="40% - Accent6 2 18" xfId="3247" xr:uid="{00000000-0005-0000-0000-0000C7080000}"/>
    <cellStyle name="40% - Accent6 2 19" xfId="3248" xr:uid="{00000000-0005-0000-0000-0000C8080000}"/>
    <cellStyle name="40% - Accent6 2 2" xfId="3249" xr:uid="{00000000-0005-0000-0000-0000C9080000}"/>
    <cellStyle name="40% - Accent6 2 2 2" xfId="3250" xr:uid="{00000000-0005-0000-0000-0000CA080000}"/>
    <cellStyle name="40% - Accent6 2 2 2 2" xfId="3251" xr:uid="{00000000-0005-0000-0000-0000CB080000}"/>
    <cellStyle name="40% - Accent6 2 2 3" xfId="3252" xr:uid="{00000000-0005-0000-0000-0000CC080000}"/>
    <cellStyle name="40% - Accent6 2 2 4" xfId="3253" xr:uid="{00000000-0005-0000-0000-0000CD080000}"/>
    <cellStyle name="40% - Accent6 2 20" xfId="3254" xr:uid="{00000000-0005-0000-0000-0000CE080000}"/>
    <cellStyle name="40% - Accent6 2 21" xfId="3255" xr:uid="{00000000-0005-0000-0000-0000CF080000}"/>
    <cellStyle name="40% - Accent6 2 22" xfId="3256" xr:uid="{00000000-0005-0000-0000-0000D0080000}"/>
    <cellStyle name="40% - Accent6 2 23" xfId="3257" xr:uid="{00000000-0005-0000-0000-0000D1080000}"/>
    <cellStyle name="40% - Accent6 2 24" xfId="3258" xr:uid="{00000000-0005-0000-0000-0000D2080000}"/>
    <cellStyle name="40% - Accent6 2 25" xfId="3259" xr:uid="{00000000-0005-0000-0000-0000D3080000}"/>
    <cellStyle name="40% - Accent6 2 26" xfId="3260" xr:uid="{00000000-0005-0000-0000-0000D4080000}"/>
    <cellStyle name="40% - Accent6 2 27" xfId="3261" xr:uid="{00000000-0005-0000-0000-0000D5080000}"/>
    <cellStyle name="40% - Accent6 2 28" xfId="3262" xr:uid="{00000000-0005-0000-0000-0000D6080000}"/>
    <cellStyle name="40% - Accent6 2 29" xfId="3263" xr:uid="{00000000-0005-0000-0000-0000D7080000}"/>
    <cellStyle name="40% - Accent6 2 3" xfId="3264" xr:uid="{00000000-0005-0000-0000-0000D8080000}"/>
    <cellStyle name="40% - Accent6 2 3 2" xfId="3265" xr:uid="{00000000-0005-0000-0000-0000D9080000}"/>
    <cellStyle name="40% - Accent6 2 3 3" xfId="3266" xr:uid="{00000000-0005-0000-0000-0000DA080000}"/>
    <cellStyle name="40% - Accent6 2 30" xfId="3267" xr:uid="{00000000-0005-0000-0000-0000DB080000}"/>
    <cellStyle name="40% - Accent6 2 31" xfId="3268" xr:uid="{00000000-0005-0000-0000-0000DC080000}"/>
    <cellStyle name="40% - Accent6 2 32" xfId="3269" xr:uid="{00000000-0005-0000-0000-0000DD080000}"/>
    <cellStyle name="40% - Accent6 2 33" xfId="3270" xr:uid="{00000000-0005-0000-0000-0000DE080000}"/>
    <cellStyle name="40% - Accent6 2 34" xfId="3271" xr:uid="{00000000-0005-0000-0000-0000DF080000}"/>
    <cellStyle name="40% - Accent6 2 35" xfId="3272" xr:uid="{00000000-0005-0000-0000-0000E0080000}"/>
    <cellStyle name="40% - Accent6 2 36" xfId="3273" xr:uid="{00000000-0005-0000-0000-0000E1080000}"/>
    <cellStyle name="40% - Accent6 2 37" xfId="3274" xr:uid="{00000000-0005-0000-0000-0000E2080000}"/>
    <cellStyle name="40% - Accent6 2 38" xfId="3275" xr:uid="{00000000-0005-0000-0000-0000E3080000}"/>
    <cellStyle name="40% - Accent6 2 39" xfId="3276" xr:uid="{00000000-0005-0000-0000-0000E4080000}"/>
    <cellStyle name="40% - Accent6 2 4" xfId="3277" xr:uid="{00000000-0005-0000-0000-0000E5080000}"/>
    <cellStyle name="40% - Accent6 2 4 2" xfId="3278" xr:uid="{00000000-0005-0000-0000-0000E6080000}"/>
    <cellStyle name="40% - Accent6 2 40" xfId="3279" xr:uid="{00000000-0005-0000-0000-0000E7080000}"/>
    <cellStyle name="40% - Accent6 2 41" xfId="3280" xr:uid="{00000000-0005-0000-0000-0000E8080000}"/>
    <cellStyle name="40% - Accent6 2 42" xfId="3281" xr:uid="{00000000-0005-0000-0000-0000E9080000}"/>
    <cellStyle name="40% - Accent6 2 43" xfId="3282" xr:uid="{00000000-0005-0000-0000-0000EA080000}"/>
    <cellStyle name="40% - Accent6 2 44" xfId="3283" xr:uid="{00000000-0005-0000-0000-0000EB080000}"/>
    <cellStyle name="40% - Accent6 2 45" xfId="3284" xr:uid="{00000000-0005-0000-0000-0000EC080000}"/>
    <cellStyle name="40% - Accent6 2 46" xfId="3285" xr:uid="{00000000-0005-0000-0000-0000ED080000}"/>
    <cellStyle name="40% - Accent6 2 47" xfId="3286" xr:uid="{00000000-0005-0000-0000-0000EE080000}"/>
    <cellStyle name="40% - Accent6 2 48" xfId="3287" xr:uid="{00000000-0005-0000-0000-0000EF080000}"/>
    <cellStyle name="40% - Accent6 2 49" xfId="3288" xr:uid="{00000000-0005-0000-0000-0000F0080000}"/>
    <cellStyle name="40% - Accent6 2 5" xfId="3289" xr:uid="{00000000-0005-0000-0000-0000F1080000}"/>
    <cellStyle name="40% - Accent6 2 6" xfId="3290" xr:uid="{00000000-0005-0000-0000-0000F2080000}"/>
    <cellStyle name="40% - Accent6 2 7" xfId="3291" xr:uid="{00000000-0005-0000-0000-0000F3080000}"/>
    <cellStyle name="40% - Accent6 2 8" xfId="3292" xr:uid="{00000000-0005-0000-0000-0000F4080000}"/>
    <cellStyle name="40% - Accent6 2 9" xfId="3293" xr:uid="{00000000-0005-0000-0000-0000F5080000}"/>
    <cellStyle name="40% - Accent6 3" xfId="3294" xr:uid="{00000000-0005-0000-0000-0000F6080000}"/>
    <cellStyle name="40% - Accent6 3 2" xfId="3295" xr:uid="{00000000-0005-0000-0000-0000F7080000}"/>
    <cellStyle name="40% - Accent6 3 2 2" xfId="3296" xr:uid="{00000000-0005-0000-0000-0000F8080000}"/>
    <cellStyle name="40% - Accent6 3 2 2 2" xfId="3297" xr:uid="{00000000-0005-0000-0000-0000F9080000}"/>
    <cellStyle name="40% - Accent6 3 2 3" xfId="3298" xr:uid="{00000000-0005-0000-0000-0000FA080000}"/>
    <cellStyle name="40% - Accent6 3 3" xfId="3299" xr:uid="{00000000-0005-0000-0000-0000FB080000}"/>
    <cellStyle name="40% - Accent6 3 3 2" xfId="3300" xr:uid="{00000000-0005-0000-0000-0000FC080000}"/>
    <cellStyle name="40% - Accent6 3 4" xfId="3301" xr:uid="{00000000-0005-0000-0000-0000FD080000}"/>
    <cellStyle name="40% - Accent6 4" xfId="3302" xr:uid="{00000000-0005-0000-0000-0000FE080000}"/>
    <cellStyle name="40% - Accent6 4 2" xfId="3303" xr:uid="{00000000-0005-0000-0000-0000FF080000}"/>
    <cellStyle name="40% - Accent6 4 2 2" xfId="3304" xr:uid="{00000000-0005-0000-0000-000000090000}"/>
    <cellStyle name="40% - Accent6 4 2 2 2" xfId="3305" xr:uid="{00000000-0005-0000-0000-000001090000}"/>
    <cellStyle name="40% - Accent6 4 2 3" xfId="3306" xr:uid="{00000000-0005-0000-0000-000002090000}"/>
    <cellStyle name="40% - Accent6 4 3" xfId="3307" xr:uid="{00000000-0005-0000-0000-000003090000}"/>
    <cellStyle name="40% - Accent6 4 3 2" xfId="3308" xr:uid="{00000000-0005-0000-0000-000004090000}"/>
    <cellStyle name="40% - Accent6 4 4" xfId="3309" xr:uid="{00000000-0005-0000-0000-000005090000}"/>
    <cellStyle name="40% - Accent6 5" xfId="3310" xr:uid="{00000000-0005-0000-0000-000006090000}"/>
    <cellStyle name="40% - Accent6 5 2" xfId="3311" xr:uid="{00000000-0005-0000-0000-000007090000}"/>
    <cellStyle name="40% - Accent6 5 2 2" xfId="3312" xr:uid="{00000000-0005-0000-0000-000008090000}"/>
    <cellStyle name="40% - Accent6 5 2 2 2" xfId="3313" xr:uid="{00000000-0005-0000-0000-000009090000}"/>
    <cellStyle name="40% - Accent6 5 2 3" xfId="3314" xr:uid="{00000000-0005-0000-0000-00000A090000}"/>
    <cellStyle name="40% - Accent6 5 3" xfId="3315" xr:uid="{00000000-0005-0000-0000-00000B090000}"/>
    <cellStyle name="40% - Accent6 5 3 2" xfId="3316" xr:uid="{00000000-0005-0000-0000-00000C090000}"/>
    <cellStyle name="40% - Accent6 5 4" xfId="3317" xr:uid="{00000000-0005-0000-0000-00000D090000}"/>
    <cellStyle name="40% - Accent6 6" xfId="3318" xr:uid="{00000000-0005-0000-0000-00000E090000}"/>
    <cellStyle name="40% - Accent6 6 2" xfId="3319" xr:uid="{00000000-0005-0000-0000-00000F090000}"/>
    <cellStyle name="40% - Accent6 6 2 2" xfId="3320" xr:uid="{00000000-0005-0000-0000-000010090000}"/>
    <cellStyle name="40% - Accent6 6 2 2 2" xfId="3321" xr:uid="{00000000-0005-0000-0000-000011090000}"/>
    <cellStyle name="40% - Accent6 6 2 3" xfId="3322" xr:uid="{00000000-0005-0000-0000-000012090000}"/>
    <cellStyle name="40% - Accent6 6 3" xfId="3323" xr:uid="{00000000-0005-0000-0000-000013090000}"/>
    <cellStyle name="40% - Accent6 6 3 2" xfId="3324" xr:uid="{00000000-0005-0000-0000-000014090000}"/>
    <cellStyle name="40% - Accent6 6 4" xfId="3325" xr:uid="{00000000-0005-0000-0000-000015090000}"/>
    <cellStyle name="40% - Accent6 7" xfId="3326" xr:uid="{00000000-0005-0000-0000-000016090000}"/>
    <cellStyle name="40% - Accent6 7 2" xfId="3327" xr:uid="{00000000-0005-0000-0000-000017090000}"/>
    <cellStyle name="40% - Accent6 7 2 2" xfId="3328" xr:uid="{00000000-0005-0000-0000-000018090000}"/>
    <cellStyle name="40% - Accent6 7 2 2 2" xfId="3329" xr:uid="{00000000-0005-0000-0000-000019090000}"/>
    <cellStyle name="40% - Accent6 7 2 3" xfId="3330" xr:uid="{00000000-0005-0000-0000-00001A090000}"/>
    <cellStyle name="40% - Accent6 7 3" xfId="3331" xr:uid="{00000000-0005-0000-0000-00001B090000}"/>
    <cellStyle name="40% - Accent6 7 3 2" xfId="3332" xr:uid="{00000000-0005-0000-0000-00001C090000}"/>
    <cellStyle name="40% - Accent6 7 4" xfId="3333" xr:uid="{00000000-0005-0000-0000-00001D090000}"/>
    <cellStyle name="40% - Accent6 8" xfId="3334" xr:uid="{00000000-0005-0000-0000-00001E090000}"/>
    <cellStyle name="40% - Accent6 8 2" xfId="3335" xr:uid="{00000000-0005-0000-0000-00001F090000}"/>
    <cellStyle name="40% - Accent6 8 2 2" xfId="3336" xr:uid="{00000000-0005-0000-0000-000020090000}"/>
    <cellStyle name="40% - Accent6 8 2 2 2" xfId="3337" xr:uid="{00000000-0005-0000-0000-000021090000}"/>
    <cellStyle name="40% - Accent6 8 2 3" xfId="3338" xr:uid="{00000000-0005-0000-0000-000022090000}"/>
    <cellStyle name="40% - Accent6 8 3" xfId="3339" xr:uid="{00000000-0005-0000-0000-000023090000}"/>
    <cellStyle name="40% - Accent6 8 3 2" xfId="3340" xr:uid="{00000000-0005-0000-0000-000024090000}"/>
    <cellStyle name="40% - Accent6 8 4" xfId="3341" xr:uid="{00000000-0005-0000-0000-000025090000}"/>
    <cellStyle name="40% - Accent6 9" xfId="3342" xr:uid="{00000000-0005-0000-0000-000026090000}"/>
    <cellStyle name="40% - Accent6 9 2" xfId="3343" xr:uid="{00000000-0005-0000-0000-000027090000}"/>
    <cellStyle name="40% - Accent6 9 2 2" xfId="3344" xr:uid="{00000000-0005-0000-0000-000028090000}"/>
    <cellStyle name="40% - Accent6 9 2 2 2" xfId="3345" xr:uid="{00000000-0005-0000-0000-000029090000}"/>
    <cellStyle name="40% - Accent6 9 2 3" xfId="3346" xr:uid="{00000000-0005-0000-0000-00002A090000}"/>
    <cellStyle name="40% - Accent6 9 3" xfId="3347" xr:uid="{00000000-0005-0000-0000-00002B090000}"/>
    <cellStyle name="40% - Accent6 9 3 2" xfId="3348" xr:uid="{00000000-0005-0000-0000-00002C090000}"/>
    <cellStyle name="40% - Accent6 9 4" xfId="3349" xr:uid="{00000000-0005-0000-0000-00002D090000}"/>
    <cellStyle name="60% - Accent1 10" xfId="3350" xr:uid="{00000000-0005-0000-0000-00002E090000}"/>
    <cellStyle name="60% - Accent1 10 2" xfId="3351" xr:uid="{00000000-0005-0000-0000-00002F090000}"/>
    <cellStyle name="60% - Accent1 10 2 2" xfId="3352" xr:uid="{00000000-0005-0000-0000-000030090000}"/>
    <cellStyle name="60% - Accent1 10 3" xfId="3353" xr:uid="{00000000-0005-0000-0000-000031090000}"/>
    <cellStyle name="60% - Accent1 11" xfId="3354" xr:uid="{00000000-0005-0000-0000-000032090000}"/>
    <cellStyle name="60% - Accent1 11 2" xfId="3355" xr:uid="{00000000-0005-0000-0000-000033090000}"/>
    <cellStyle name="60% - Accent1 12" xfId="3356" xr:uid="{00000000-0005-0000-0000-000034090000}"/>
    <cellStyle name="60% - Accent1 2" xfId="377" xr:uid="{00000000-0005-0000-0000-000035090000}"/>
    <cellStyle name="60% - Accent1 2 10" xfId="3357" xr:uid="{00000000-0005-0000-0000-000036090000}"/>
    <cellStyle name="60% - Accent1 2 11" xfId="3358" xr:uid="{00000000-0005-0000-0000-000037090000}"/>
    <cellStyle name="60% - Accent1 2 12" xfId="3359" xr:uid="{00000000-0005-0000-0000-000038090000}"/>
    <cellStyle name="60% - Accent1 2 13" xfId="3360" xr:uid="{00000000-0005-0000-0000-000039090000}"/>
    <cellStyle name="60% - Accent1 2 14" xfId="3361" xr:uid="{00000000-0005-0000-0000-00003A090000}"/>
    <cellStyle name="60% - Accent1 2 15" xfId="3362" xr:uid="{00000000-0005-0000-0000-00003B090000}"/>
    <cellStyle name="60% - Accent1 2 16" xfId="3363" xr:uid="{00000000-0005-0000-0000-00003C090000}"/>
    <cellStyle name="60% - Accent1 2 17" xfId="3364" xr:uid="{00000000-0005-0000-0000-00003D090000}"/>
    <cellStyle name="60% - Accent1 2 18" xfId="3365" xr:uid="{00000000-0005-0000-0000-00003E090000}"/>
    <cellStyle name="60% - Accent1 2 19" xfId="3366" xr:uid="{00000000-0005-0000-0000-00003F090000}"/>
    <cellStyle name="60% - Accent1 2 2" xfId="3367" xr:uid="{00000000-0005-0000-0000-000040090000}"/>
    <cellStyle name="60% - Accent1 2 2 2" xfId="3368" xr:uid="{00000000-0005-0000-0000-000041090000}"/>
    <cellStyle name="60% - Accent1 2 2 3" xfId="3369" xr:uid="{00000000-0005-0000-0000-000042090000}"/>
    <cellStyle name="60% - Accent1 2 20" xfId="3370" xr:uid="{00000000-0005-0000-0000-000043090000}"/>
    <cellStyle name="60% - Accent1 2 21" xfId="3371" xr:uid="{00000000-0005-0000-0000-000044090000}"/>
    <cellStyle name="60% - Accent1 2 22" xfId="3372" xr:uid="{00000000-0005-0000-0000-000045090000}"/>
    <cellStyle name="60% - Accent1 2 23" xfId="3373" xr:uid="{00000000-0005-0000-0000-000046090000}"/>
    <cellStyle name="60% - Accent1 2 24" xfId="3374" xr:uid="{00000000-0005-0000-0000-000047090000}"/>
    <cellStyle name="60% - Accent1 2 25" xfId="3375" xr:uid="{00000000-0005-0000-0000-000048090000}"/>
    <cellStyle name="60% - Accent1 2 26" xfId="3376" xr:uid="{00000000-0005-0000-0000-000049090000}"/>
    <cellStyle name="60% - Accent1 2 27" xfId="3377" xr:uid="{00000000-0005-0000-0000-00004A090000}"/>
    <cellStyle name="60% - Accent1 2 28" xfId="3378" xr:uid="{00000000-0005-0000-0000-00004B090000}"/>
    <cellStyle name="60% - Accent1 2 29" xfId="3379" xr:uid="{00000000-0005-0000-0000-00004C090000}"/>
    <cellStyle name="60% - Accent1 2 3" xfId="3380" xr:uid="{00000000-0005-0000-0000-00004D090000}"/>
    <cellStyle name="60% - Accent1 2 3 2" xfId="3381" xr:uid="{00000000-0005-0000-0000-00004E090000}"/>
    <cellStyle name="60% - Accent1 2 30" xfId="3382" xr:uid="{00000000-0005-0000-0000-00004F090000}"/>
    <cellStyle name="60% - Accent1 2 31" xfId="3383" xr:uid="{00000000-0005-0000-0000-000050090000}"/>
    <cellStyle name="60% - Accent1 2 32" xfId="3384" xr:uid="{00000000-0005-0000-0000-000051090000}"/>
    <cellStyle name="60% - Accent1 2 33" xfId="3385" xr:uid="{00000000-0005-0000-0000-000052090000}"/>
    <cellStyle name="60% - Accent1 2 34" xfId="3386" xr:uid="{00000000-0005-0000-0000-000053090000}"/>
    <cellStyle name="60% - Accent1 2 35" xfId="3387" xr:uid="{00000000-0005-0000-0000-000054090000}"/>
    <cellStyle name="60% - Accent1 2 36" xfId="3388" xr:uid="{00000000-0005-0000-0000-000055090000}"/>
    <cellStyle name="60% - Accent1 2 37" xfId="3389" xr:uid="{00000000-0005-0000-0000-000056090000}"/>
    <cellStyle name="60% - Accent1 2 38" xfId="3390" xr:uid="{00000000-0005-0000-0000-000057090000}"/>
    <cellStyle name="60% - Accent1 2 39" xfId="3391" xr:uid="{00000000-0005-0000-0000-000058090000}"/>
    <cellStyle name="60% - Accent1 2 4" xfId="3392" xr:uid="{00000000-0005-0000-0000-000059090000}"/>
    <cellStyle name="60% - Accent1 2 40" xfId="3393" xr:uid="{00000000-0005-0000-0000-00005A090000}"/>
    <cellStyle name="60% - Accent1 2 41" xfId="3394" xr:uid="{00000000-0005-0000-0000-00005B090000}"/>
    <cellStyle name="60% - Accent1 2 42" xfId="3395" xr:uid="{00000000-0005-0000-0000-00005C090000}"/>
    <cellStyle name="60% - Accent1 2 43" xfId="3396" xr:uid="{00000000-0005-0000-0000-00005D090000}"/>
    <cellStyle name="60% - Accent1 2 44" xfId="3397" xr:uid="{00000000-0005-0000-0000-00005E090000}"/>
    <cellStyle name="60% - Accent1 2 45" xfId="3398" xr:uid="{00000000-0005-0000-0000-00005F090000}"/>
    <cellStyle name="60% - Accent1 2 46" xfId="3399" xr:uid="{00000000-0005-0000-0000-000060090000}"/>
    <cellStyle name="60% - Accent1 2 47" xfId="3400" xr:uid="{00000000-0005-0000-0000-000061090000}"/>
    <cellStyle name="60% - Accent1 2 48" xfId="3401" xr:uid="{00000000-0005-0000-0000-000062090000}"/>
    <cellStyle name="60% - Accent1 2 49" xfId="3402" xr:uid="{00000000-0005-0000-0000-000063090000}"/>
    <cellStyle name="60% - Accent1 2 5" xfId="3403" xr:uid="{00000000-0005-0000-0000-000064090000}"/>
    <cellStyle name="60% - Accent1 2 6" xfId="3404" xr:uid="{00000000-0005-0000-0000-000065090000}"/>
    <cellStyle name="60% - Accent1 2 7" xfId="3405" xr:uid="{00000000-0005-0000-0000-000066090000}"/>
    <cellStyle name="60% - Accent1 2 8" xfId="3406" xr:uid="{00000000-0005-0000-0000-000067090000}"/>
    <cellStyle name="60% - Accent1 2 9" xfId="3407" xr:uid="{00000000-0005-0000-0000-000068090000}"/>
    <cellStyle name="60% - Accent1 3" xfId="3408" xr:uid="{00000000-0005-0000-0000-000069090000}"/>
    <cellStyle name="60% - Accent1 3 2" xfId="3409" xr:uid="{00000000-0005-0000-0000-00006A090000}"/>
    <cellStyle name="60% - Accent1 3 2 2" xfId="3410" xr:uid="{00000000-0005-0000-0000-00006B090000}"/>
    <cellStyle name="60% - Accent1 3 3" xfId="3411" xr:uid="{00000000-0005-0000-0000-00006C090000}"/>
    <cellStyle name="60% - Accent1 4" xfId="3412" xr:uid="{00000000-0005-0000-0000-00006D090000}"/>
    <cellStyle name="60% - Accent1 4 2" xfId="3413" xr:uid="{00000000-0005-0000-0000-00006E090000}"/>
    <cellStyle name="60% - Accent1 4 2 2" xfId="3414" xr:uid="{00000000-0005-0000-0000-00006F090000}"/>
    <cellStyle name="60% - Accent1 4 3" xfId="3415" xr:uid="{00000000-0005-0000-0000-000070090000}"/>
    <cellStyle name="60% - Accent1 5" xfId="3416" xr:uid="{00000000-0005-0000-0000-000071090000}"/>
    <cellStyle name="60% - Accent1 5 2" xfId="3417" xr:uid="{00000000-0005-0000-0000-000072090000}"/>
    <cellStyle name="60% - Accent1 5 2 2" xfId="3418" xr:uid="{00000000-0005-0000-0000-000073090000}"/>
    <cellStyle name="60% - Accent1 5 3" xfId="3419" xr:uid="{00000000-0005-0000-0000-000074090000}"/>
    <cellStyle name="60% - Accent1 6" xfId="3420" xr:uid="{00000000-0005-0000-0000-000075090000}"/>
    <cellStyle name="60% - Accent1 6 2" xfId="3421" xr:uid="{00000000-0005-0000-0000-000076090000}"/>
    <cellStyle name="60% - Accent1 6 2 2" xfId="3422" xr:uid="{00000000-0005-0000-0000-000077090000}"/>
    <cellStyle name="60% - Accent1 6 3" xfId="3423" xr:uid="{00000000-0005-0000-0000-000078090000}"/>
    <cellStyle name="60% - Accent1 7" xfId="3424" xr:uid="{00000000-0005-0000-0000-000079090000}"/>
    <cellStyle name="60% - Accent1 7 2" xfId="3425" xr:uid="{00000000-0005-0000-0000-00007A090000}"/>
    <cellStyle name="60% - Accent1 7 2 2" xfId="3426" xr:uid="{00000000-0005-0000-0000-00007B090000}"/>
    <cellStyle name="60% - Accent1 7 3" xfId="3427" xr:uid="{00000000-0005-0000-0000-00007C090000}"/>
    <cellStyle name="60% - Accent1 8" xfId="3428" xr:uid="{00000000-0005-0000-0000-00007D090000}"/>
    <cellStyle name="60% - Accent1 8 2" xfId="3429" xr:uid="{00000000-0005-0000-0000-00007E090000}"/>
    <cellStyle name="60% - Accent1 8 2 2" xfId="3430" xr:uid="{00000000-0005-0000-0000-00007F090000}"/>
    <cellStyle name="60% - Accent1 8 3" xfId="3431" xr:uid="{00000000-0005-0000-0000-000080090000}"/>
    <cellStyle name="60% - Accent1 9" xfId="3432" xr:uid="{00000000-0005-0000-0000-000081090000}"/>
    <cellStyle name="60% - Accent1 9 2" xfId="3433" xr:uid="{00000000-0005-0000-0000-000082090000}"/>
    <cellStyle name="60% - Accent1 9 2 2" xfId="3434" xr:uid="{00000000-0005-0000-0000-000083090000}"/>
    <cellStyle name="60% - Accent1 9 3" xfId="3435" xr:uid="{00000000-0005-0000-0000-000084090000}"/>
    <cellStyle name="60% - Accent2 10" xfId="3436" xr:uid="{00000000-0005-0000-0000-000085090000}"/>
    <cellStyle name="60% - Accent2 10 2" xfId="3437" xr:uid="{00000000-0005-0000-0000-000086090000}"/>
    <cellStyle name="60% - Accent2 10 2 2" xfId="3438" xr:uid="{00000000-0005-0000-0000-000087090000}"/>
    <cellStyle name="60% - Accent2 10 3" xfId="3439" xr:uid="{00000000-0005-0000-0000-000088090000}"/>
    <cellStyle name="60% - Accent2 11" xfId="3440" xr:uid="{00000000-0005-0000-0000-000089090000}"/>
    <cellStyle name="60% - Accent2 11 2" xfId="3441" xr:uid="{00000000-0005-0000-0000-00008A090000}"/>
    <cellStyle name="60% - Accent2 12" xfId="3442" xr:uid="{00000000-0005-0000-0000-00008B090000}"/>
    <cellStyle name="60% - Accent2 2" xfId="378" xr:uid="{00000000-0005-0000-0000-00008C090000}"/>
    <cellStyle name="60% - Accent2 2 10" xfId="3443" xr:uid="{00000000-0005-0000-0000-00008D090000}"/>
    <cellStyle name="60% - Accent2 2 11" xfId="3444" xr:uid="{00000000-0005-0000-0000-00008E090000}"/>
    <cellStyle name="60% - Accent2 2 12" xfId="3445" xr:uid="{00000000-0005-0000-0000-00008F090000}"/>
    <cellStyle name="60% - Accent2 2 13" xfId="3446" xr:uid="{00000000-0005-0000-0000-000090090000}"/>
    <cellStyle name="60% - Accent2 2 14" xfId="3447" xr:uid="{00000000-0005-0000-0000-000091090000}"/>
    <cellStyle name="60% - Accent2 2 15" xfId="3448" xr:uid="{00000000-0005-0000-0000-000092090000}"/>
    <cellStyle name="60% - Accent2 2 16" xfId="3449" xr:uid="{00000000-0005-0000-0000-000093090000}"/>
    <cellStyle name="60% - Accent2 2 17" xfId="3450" xr:uid="{00000000-0005-0000-0000-000094090000}"/>
    <cellStyle name="60% - Accent2 2 18" xfId="3451" xr:uid="{00000000-0005-0000-0000-000095090000}"/>
    <cellStyle name="60% - Accent2 2 19" xfId="3452" xr:uid="{00000000-0005-0000-0000-000096090000}"/>
    <cellStyle name="60% - Accent2 2 2" xfId="3453" xr:uid="{00000000-0005-0000-0000-000097090000}"/>
    <cellStyle name="60% - Accent2 2 2 2" xfId="3454" xr:uid="{00000000-0005-0000-0000-000098090000}"/>
    <cellStyle name="60% - Accent2 2 2 3" xfId="3455" xr:uid="{00000000-0005-0000-0000-000099090000}"/>
    <cellStyle name="60% - Accent2 2 20" xfId="3456" xr:uid="{00000000-0005-0000-0000-00009A090000}"/>
    <cellStyle name="60% - Accent2 2 21" xfId="3457" xr:uid="{00000000-0005-0000-0000-00009B090000}"/>
    <cellStyle name="60% - Accent2 2 22" xfId="3458" xr:uid="{00000000-0005-0000-0000-00009C090000}"/>
    <cellStyle name="60% - Accent2 2 23" xfId="3459" xr:uid="{00000000-0005-0000-0000-00009D090000}"/>
    <cellStyle name="60% - Accent2 2 24" xfId="3460" xr:uid="{00000000-0005-0000-0000-00009E090000}"/>
    <cellStyle name="60% - Accent2 2 25" xfId="3461" xr:uid="{00000000-0005-0000-0000-00009F090000}"/>
    <cellStyle name="60% - Accent2 2 26" xfId="3462" xr:uid="{00000000-0005-0000-0000-0000A0090000}"/>
    <cellStyle name="60% - Accent2 2 27" xfId="3463" xr:uid="{00000000-0005-0000-0000-0000A1090000}"/>
    <cellStyle name="60% - Accent2 2 28" xfId="3464" xr:uid="{00000000-0005-0000-0000-0000A2090000}"/>
    <cellStyle name="60% - Accent2 2 29" xfId="3465" xr:uid="{00000000-0005-0000-0000-0000A3090000}"/>
    <cellStyle name="60% - Accent2 2 3" xfId="3466" xr:uid="{00000000-0005-0000-0000-0000A4090000}"/>
    <cellStyle name="60% - Accent2 2 3 2" xfId="3467" xr:uid="{00000000-0005-0000-0000-0000A5090000}"/>
    <cellStyle name="60% - Accent2 2 30" xfId="3468" xr:uid="{00000000-0005-0000-0000-0000A6090000}"/>
    <cellStyle name="60% - Accent2 2 31" xfId="3469" xr:uid="{00000000-0005-0000-0000-0000A7090000}"/>
    <cellStyle name="60% - Accent2 2 32" xfId="3470" xr:uid="{00000000-0005-0000-0000-0000A8090000}"/>
    <cellStyle name="60% - Accent2 2 33" xfId="3471" xr:uid="{00000000-0005-0000-0000-0000A9090000}"/>
    <cellStyle name="60% - Accent2 2 34" xfId="3472" xr:uid="{00000000-0005-0000-0000-0000AA090000}"/>
    <cellStyle name="60% - Accent2 2 35" xfId="3473" xr:uid="{00000000-0005-0000-0000-0000AB090000}"/>
    <cellStyle name="60% - Accent2 2 36" xfId="3474" xr:uid="{00000000-0005-0000-0000-0000AC090000}"/>
    <cellStyle name="60% - Accent2 2 37" xfId="3475" xr:uid="{00000000-0005-0000-0000-0000AD090000}"/>
    <cellStyle name="60% - Accent2 2 38" xfId="3476" xr:uid="{00000000-0005-0000-0000-0000AE090000}"/>
    <cellStyle name="60% - Accent2 2 39" xfId="3477" xr:uid="{00000000-0005-0000-0000-0000AF090000}"/>
    <cellStyle name="60% - Accent2 2 4" xfId="3478" xr:uid="{00000000-0005-0000-0000-0000B0090000}"/>
    <cellStyle name="60% - Accent2 2 40" xfId="3479" xr:uid="{00000000-0005-0000-0000-0000B1090000}"/>
    <cellStyle name="60% - Accent2 2 41" xfId="3480" xr:uid="{00000000-0005-0000-0000-0000B2090000}"/>
    <cellStyle name="60% - Accent2 2 42" xfId="3481" xr:uid="{00000000-0005-0000-0000-0000B3090000}"/>
    <cellStyle name="60% - Accent2 2 43" xfId="3482" xr:uid="{00000000-0005-0000-0000-0000B4090000}"/>
    <cellStyle name="60% - Accent2 2 44" xfId="3483" xr:uid="{00000000-0005-0000-0000-0000B5090000}"/>
    <cellStyle name="60% - Accent2 2 45" xfId="3484" xr:uid="{00000000-0005-0000-0000-0000B6090000}"/>
    <cellStyle name="60% - Accent2 2 46" xfId="3485" xr:uid="{00000000-0005-0000-0000-0000B7090000}"/>
    <cellStyle name="60% - Accent2 2 47" xfId="3486" xr:uid="{00000000-0005-0000-0000-0000B8090000}"/>
    <cellStyle name="60% - Accent2 2 48" xfId="3487" xr:uid="{00000000-0005-0000-0000-0000B9090000}"/>
    <cellStyle name="60% - Accent2 2 49" xfId="3488" xr:uid="{00000000-0005-0000-0000-0000BA090000}"/>
    <cellStyle name="60% - Accent2 2 5" xfId="3489" xr:uid="{00000000-0005-0000-0000-0000BB090000}"/>
    <cellStyle name="60% - Accent2 2 6" xfId="3490" xr:uid="{00000000-0005-0000-0000-0000BC090000}"/>
    <cellStyle name="60% - Accent2 2 7" xfId="3491" xr:uid="{00000000-0005-0000-0000-0000BD090000}"/>
    <cellStyle name="60% - Accent2 2 8" xfId="3492" xr:uid="{00000000-0005-0000-0000-0000BE090000}"/>
    <cellStyle name="60% - Accent2 2 9" xfId="3493" xr:uid="{00000000-0005-0000-0000-0000BF090000}"/>
    <cellStyle name="60% - Accent2 3" xfId="3494" xr:uid="{00000000-0005-0000-0000-0000C0090000}"/>
    <cellStyle name="60% - Accent2 3 2" xfId="3495" xr:uid="{00000000-0005-0000-0000-0000C1090000}"/>
    <cellStyle name="60% - Accent2 3 2 2" xfId="3496" xr:uid="{00000000-0005-0000-0000-0000C2090000}"/>
    <cellStyle name="60% - Accent2 3 3" xfId="3497" xr:uid="{00000000-0005-0000-0000-0000C3090000}"/>
    <cellStyle name="60% - Accent2 4" xfId="3498" xr:uid="{00000000-0005-0000-0000-0000C4090000}"/>
    <cellStyle name="60% - Accent2 4 2" xfId="3499" xr:uid="{00000000-0005-0000-0000-0000C5090000}"/>
    <cellStyle name="60% - Accent2 4 2 2" xfId="3500" xr:uid="{00000000-0005-0000-0000-0000C6090000}"/>
    <cellStyle name="60% - Accent2 4 3" xfId="3501" xr:uid="{00000000-0005-0000-0000-0000C7090000}"/>
    <cellStyle name="60% - Accent2 5" xfId="3502" xr:uid="{00000000-0005-0000-0000-0000C8090000}"/>
    <cellStyle name="60% - Accent2 5 2" xfId="3503" xr:uid="{00000000-0005-0000-0000-0000C9090000}"/>
    <cellStyle name="60% - Accent2 5 2 2" xfId="3504" xr:uid="{00000000-0005-0000-0000-0000CA090000}"/>
    <cellStyle name="60% - Accent2 5 3" xfId="3505" xr:uid="{00000000-0005-0000-0000-0000CB090000}"/>
    <cellStyle name="60% - Accent2 6" xfId="3506" xr:uid="{00000000-0005-0000-0000-0000CC090000}"/>
    <cellStyle name="60% - Accent2 6 2" xfId="3507" xr:uid="{00000000-0005-0000-0000-0000CD090000}"/>
    <cellStyle name="60% - Accent2 6 2 2" xfId="3508" xr:uid="{00000000-0005-0000-0000-0000CE090000}"/>
    <cellStyle name="60% - Accent2 6 3" xfId="3509" xr:uid="{00000000-0005-0000-0000-0000CF090000}"/>
    <cellStyle name="60% - Accent2 7" xfId="3510" xr:uid="{00000000-0005-0000-0000-0000D0090000}"/>
    <cellStyle name="60% - Accent2 7 2" xfId="3511" xr:uid="{00000000-0005-0000-0000-0000D1090000}"/>
    <cellStyle name="60% - Accent2 7 2 2" xfId="3512" xr:uid="{00000000-0005-0000-0000-0000D2090000}"/>
    <cellStyle name="60% - Accent2 7 3" xfId="3513" xr:uid="{00000000-0005-0000-0000-0000D3090000}"/>
    <cellStyle name="60% - Accent2 8" xfId="3514" xr:uid="{00000000-0005-0000-0000-0000D4090000}"/>
    <cellStyle name="60% - Accent2 8 2" xfId="3515" xr:uid="{00000000-0005-0000-0000-0000D5090000}"/>
    <cellStyle name="60% - Accent2 8 2 2" xfId="3516" xr:uid="{00000000-0005-0000-0000-0000D6090000}"/>
    <cellStyle name="60% - Accent2 8 3" xfId="3517" xr:uid="{00000000-0005-0000-0000-0000D7090000}"/>
    <cellStyle name="60% - Accent2 9" xfId="3518" xr:uid="{00000000-0005-0000-0000-0000D8090000}"/>
    <cellStyle name="60% - Accent2 9 2" xfId="3519" xr:uid="{00000000-0005-0000-0000-0000D9090000}"/>
    <cellStyle name="60% - Accent2 9 2 2" xfId="3520" xr:uid="{00000000-0005-0000-0000-0000DA090000}"/>
    <cellStyle name="60% - Accent2 9 3" xfId="3521" xr:uid="{00000000-0005-0000-0000-0000DB090000}"/>
    <cellStyle name="60% - Accent3 10" xfId="3522" xr:uid="{00000000-0005-0000-0000-0000DC090000}"/>
    <cellStyle name="60% - Accent3 10 2" xfId="3523" xr:uid="{00000000-0005-0000-0000-0000DD090000}"/>
    <cellStyle name="60% - Accent3 10 2 2" xfId="3524" xr:uid="{00000000-0005-0000-0000-0000DE090000}"/>
    <cellStyle name="60% - Accent3 10 3" xfId="3525" xr:uid="{00000000-0005-0000-0000-0000DF090000}"/>
    <cellStyle name="60% - Accent3 11" xfId="3526" xr:uid="{00000000-0005-0000-0000-0000E0090000}"/>
    <cellStyle name="60% - Accent3 11 2" xfId="3527" xr:uid="{00000000-0005-0000-0000-0000E1090000}"/>
    <cellStyle name="60% - Accent3 12" xfId="3528" xr:uid="{00000000-0005-0000-0000-0000E2090000}"/>
    <cellStyle name="60% - Accent3 2" xfId="379" xr:uid="{00000000-0005-0000-0000-0000E3090000}"/>
    <cellStyle name="60% - Accent3 2 10" xfId="3529" xr:uid="{00000000-0005-0000-0000-0000E4090000}"/>
    <cellStyle name="60% - Accent3 2 11" xfId="3530" xr:uid="{00000000-0005-0000-0000-0000E5090000}"/>
    <cellStyle name="60% - Accent3 2 12" xfId="3531" xr:uid="{00000000-0005-0000-0000-0000E6090000}"/>
    <cellStyle name="60% - Accent3 2 13" xfId="3532" xr:uid="{00000000-0005-0000-0000-0000E7090000}"/>
    <cellStyle name="60% - Accent3 2 14" xfId="3533" xr:uid="{00000000-0005-0000-0000-0000E8090000}"/>
    <cellStyle name="60% - Accent3 2 15" xfId="3534" xr:uid="{00000000-0005-0000-0000-0000E9090000}"/>
    <cellStyle name="60% - Accent3 2 16" xfId="3535" xr:uid="{00000000-0005-0000-0000-0000EA090000}"/>
    <cellStyle name="60% - Accent3 2 17" xfId="3536" xr:uid="{00000000-0005-0000-0000-0000EB090000}"/>
    <cellStyle name="60% - Accent3 2 18" xfId="3537" xr:uid="{00000000-0005-0000-0000-0000EC090000}"/>
    <cellStyle name="60% - Accent3 2 19" xfId="3538" xr:uid="{00000000-0005-0000-0000-0000ED090000}"/>
    <cellStyle name="60% - Accent3 2 2" xfId="3539" xr:uid="{00000000-0005-0000-0000-0000EE090000}"/>
    <cellStyle name="60% - Accent3 2 2 2" xfId="3540" xr:uid="{00000000-0005-0000-0000-0000EF090000}"/>
    <cellStyle name="60% - Accent3 2 2 3" xfId="3541" xr:uid="{00000000-0005-0000-0000-0000F0090000}"/>
    <cellStyle name="60% - Accent3 2 20" xfId="3542" xr:uid="{00000000-0005-0000-0000-0000F1090000}"/>
    <cellStyle name="60% - Accent3 2 21" xfId="3543" xr:uid="{00000000-0005-0000-0000-0000F2090000}"/>
    <cellStyle name="60% - Accent3 2 22" xfId="3544" xr:uid="{00000000-0005-0000-0000-0000F3090000}"/>
    <cellStyle name="60% - Accent3 2 23" xfId="3545" xr:uid="{00000000-0005-0000-0000-0000F4090000}"/>
    <cellStyle name="60% - Accent3 2 24" xfId="3546" xr:uid="{00000000-0005-0000-0000-0000F5090000}"/>
    <cellStyle name="60% - Accent3 2 25" xfId="3547" xr:uid="{00000000-0005-0000-0000-0000F6090000}"/>
    <cellStyle name="60% - Accent3 2 26" xfId="3548" xr:uid="{00000000-0005-0000-0000-0000F7090000}"/>
    <cellStyle name="60% - Accent3 2 27" xfId="3549" xr:uid="{00000000-0005-0000-0000-0000F8090000}"/>
    <cellStyle name="60% - Accent3 2 28" xfId="3550" xr:uid="{00000000-0005-0000-0000-0000F9090000}"/>
    <cellStyle name="60% - Accent3 2 29" xfId="3551" xr:uid="{00000000-0005-0000-0000-0000FA090000}"/>
    <cellStyle name="60% - Accent3 2 3" xfId="3552" xr:uid="{00000000-0005-0000-0000-0000FB090000}"/>
    <cellStyle name="60% - Accent3 2 3 2" xfId="3553" xr:uid="{00000000-0005-0000-0000-0000FC090000}"/>
    <cellStyle name="60% - Accent3 2 30" xfId="3554" xr:uid="{00000000-0005-0000-0000-0000FD090000}"/>
    <cellStyle name="60% - Accent3 2 31" xfId="3555" xr:uid="{00000000-0005-0000-0000-0000FE090000}"/>
    <cellStyle name="60% - Accent3 2 32" xfId="3556" xr:uid="{00000000-0005-0000-0000-0000FF090000}"/>
    <cellStyle name="60% - Accent3 2 33" xfId="3557" xr:uid="{00000000-0005-0000-0000-0000000A0000}"/>
    <cellStyle name="60% - Accent3 2 34" xfId="3558" xr:uid="{00000000-0005-0000-0000-0000010A0000}"/>
    <cellStyle name="60% - Accent3 2 35" xfId="3559" xr:uid="{00000000-0005-0000-0000-0000020A0000}"/>
    <cellStyle name="60% - Accent3 2 36" xfId="3560" xr:uid="{00000000-0005-0000-0000-0000030A0000}"/>
    <cellStyle name="60% - Accent3 2 37" xfId="3561" xr:uid="{00000000-0005-0000-0000-0000040A0000}"/>
    <cellStyle name="60% - Accent3 2 38" xfId="3562" xr:uid="{00000000-0005-0000-0000-0000050A0000}"/>
    <cellStyle name="60% - Accent3 2 39" xfId="3563" xr:uid="{00000000-0005-0000-0000-0000060A0000}"/>
    <cellStyle name="60% - Accent3 2 4" xfId="3564" xr:uid="{00000000-0005-0000-0000-0000070A0000}"/>
    <cellStyle name="60% - Accent3 2 40" xfId="3565" xr:uid="{00000000-0005-0000-0000-0000080A0000}"/>
    <cellStyle name="60% - Accent3 2 41" xfId="3566" xr:uid="{00000000-0005-0000-0000-0000090A0000}"/>
    <cellStyle name="60% - Accent3 2 42" xfId="3567" xr:uid="{00000000-0005-0000-0000-00000A0A0000}"/>
    <cellStyle name="60% - Accent3 2 43" xfId="3568" xr:uid="{00000000-0005-0000-0000-00000B0A0000}"/>
    <cellStyle name="60% - Accent3 2 44" xfId="3569" xr:uid="{00000000-0005-0000-0000-00000C0A0000}"/>
    <cellStyle name="60% - Accent3 2 45" xfId="3570" xr:uid="{00000000-0005-0000-0000-00000D0A0000}"/>
    <cellStyle name="60% - Accent3 2 46" xfId="3571" xr:uid="{00000000-0005-0000-0000-00000E0A0000}"/>
    <cellStyle name="60% - Accent3 2 47" xfId="3572" xr:uid="{00000000-0005-0000-0000-00000F0A0000}"/>
    <cellStyle name="60% - Accent3 2 48" xfId="3573" xr:uid="{00000000-0005-0000-0000-0000100A0000}"/>
    <cellStyle name="60% - Accent3 2 49" xfId="3574" xr:uid="{00000000-0005-0000-0000-0000110A0000}"/>
    <cellStyle name="60% - Accent3 2 5" xfId="3575" xr:uid="{00000000-0005-0000-0000-0000120A0000}"/>
    <cellStyle name="60% - Accent3 2 6" xfId="3576" xr:uid="{00000000-0005-0000-0000-0000130A0000}"/>
    <cellStyle name="60% - Accent3 2 7" xfId="3577" xr:uid="{00000000-0005-0000-0000-0000140A0000}"/>
    <cellStyle name="60% - Accent3 2 8" xfId="3578" xr:uid="{00000000-0005-0000-0000-0000150A0000}"/>
    <cellStyle name="60% - Accent3 2 9" xfId="3579" xr:uid="{00000000-0005-0000-0000-0000160A0000}"/>
    <cellStyle name="60% - Accent3 3" xfId="3580" xr:uid="{00000000-0005-0000-0000-0000170A0000}"/>
    <cellStyle name="60% - Accent3 3 2" xfId="3581" xr:uid="{00000000-0005-0000-0000-0000180A0000}"/>
    <cellStyle name="60% - Accent3 3 2 2" xfId="3582" xr:uid="{00000000-0005-0000-0000-0000190A0000}"/>
    <cellStyle name="60% - Accent3 3 3" xfId="3583" xr:uid="{00000000-0005-0000-0000-00001A0A0000}"/>
    <cellStyle name="60% - Accent3 4" xfId="3584" xr:uid="{00000000-0005-0000-0000-00001B0A0000}"/>
    <cellStyle name="60% - Accent3 4 2" xfId="3585" xr:uid="{00000000-0005-0000-0000-00001C0A0000}"/>
    <cellStyle name="60% - Accent3 4 2 2" xfId="3586" xr:uid="{00000000-0005-0000-0000-00001D0A0000}"/>
    <cellStyle name="60% - Accent3 4 3" xfId="3587" xr:uid="{00000000-0005-0000-0000-00001E0A0000}"/>
    <cellStyle name="60% - Accent3 5" xfId="3588" xr:uid="{00000000-0005-0000-0000-00001F0A0000}"/>
    <cellStyle name="60% - Accent3 5 2" xfId="3589" xr:uid="{00000000-0005-0000-0000-0000200A0000}"/>
    <cellStyle name="60% - Accent3 5 2 2" xfId="3590" xr:uid="{00000000-0005-0000-0000-0000210A0000}"/>
    <cellStyle name="60% - Accent3 5 3" xfId="3591" xr:uid="{00000000-0005-0000-0000-0000220A0000}"/>
    <cellStyle name="60% - Accent3 6" xfId="3592" xr:uid="{00000000-0005-0000-0000-0000230A0000}"/>
    <cellStyle name="60% - Accent3 6 2" xfId="3593" xr:uid="{00000000-0005-0000-0000-0000240A0000}"/>
    <cellStyle name="60% - Accent3 6 2 2" xfId="3594" xr:uid="{00000000-0005-0000-0000-0000250A0000}"/>
    <cellStyle name="60% - Accent3 6 3" xfId="3595" xr:uid="{00000000-0005-0000-0000-0000260A0000}"/>
    <cellStyle name="60% - Accent3 7" xfId="3596" xr:uid="{00000000-0005-0000-0000-0000270A0000}"/>
    <cellStyle name="60% - Accent3 7 2" xfId="3597" xr:uid="{00000000-0005-0000-0000-0000280A0000}"/>
    <cellStyle name="60% - Accent3 7 2 2" xfId="3598" xr:uid="{00000000-0005-0000-0000-0000290A0000}"/>
    <cellStyle name="60% - Accent3 7 3" xfId="3599" xr:uid="{00000000-0005-0000-0000-00002A0A0000}"/>
    <cellStyle name="60% - Accent3 8" xfId="3600" xr:uid="{00000000-0005-0000-0000-00002B0A0000}"/>
    <cellStyle name="60% - Accent3 8 2" xfId="3601" xr:uid="{00000000-0005-0000-0000-00002C0A0000}"/>
    <cellStyle name="60% - Accent3 8 2 2" xfId="3602" xr:uid="{00000000-0005-0000-0000-00002D0A0000}"/>
    <cellStyle name="60% - Accent3 8 3" xfId="3603" xr:uid="{00000000-0005-0000-0000-00002E0A0000}"/>
    <cellStyle name="60% - Accent3 9" xfId="3604" xr:uid="{00000000-0005-0000-0000-00002F0A0000}"/>
    <cellStyle name="60% - Accent3 9 2" xfId="3605" xr:uid="{00000000-0005-0000-0000-0000300A0000}"/>
    <cellStyle name="60% - Accent3 9 2 2" xfId="3606" xr:uid="{00000000-0005-0000-0000-0000310A0000}"/>
    <cellStyle name="60% - Accent3 9 3" xfId="3607" xr:uid="{00000000-0005-0000-0000-0000320A0000}"/>
    <cellStyle name="60% - Accent4 10" xfId="3608" xr:uid="{00000000-0005-0000-0000-0000330A0000}"/>
    <cellStyle name="60% - Accent4 10 2" xfId="3609" xr:uid="{00000000-0005-0000-0000-0000340A0000}"/>
    <cellStyle name="60% - Accent4 10 2 2" xfId="3610" xr:uid="{00000000-0005-0000-0000-0000350A0000}"/>
    <cellStyle name="60% - Accent4 10 3" xfId="3611" xr:uid="{00000000-0005-0000-0000-0000360A0000}"/>
    <cellStyle name="60% - Accent4 11" xfId="3612" xr:uid="{00000000-0005-0000-0000-0000370A0000}"/>
    <cellStyle name="60% - Accent4 11 2" xfId="3613" xr:uid="{00000000-0005-0000-0000-0000380A0000}"/>
    <cellStyle name="60% - Accent4 12" xfId="3614" xr:uid="{00000000-0005-0000-0000-0000390A0000}"/>
    <cellStyle name="60% - Accent4 2" xfId="380" xr:uid="{00000000-0005-0000-0000-00003A0A0000}"/>
    <cellStyle name="60% - Accent4 2 10" xfId="3615" xr:uid="{00000000-0005-0000-0000-00003B0A0000}"/>
    <cellStyle name="60% - Accent4 2 11" xfId="3616" xr:uid="{00000000-0005-0000-0000-00003C0A0000}"/>
    <cellStyle name="60% - Accent4 2 12" xfId="3617" xr:uid="{00000000-0005-0000-0000-00003D0A0000}"/>
    <cellStyle name="60% - Accent4 2 13" xfId="3618" xr:uid="{00000000-0005-0000-0000-00003E0A0000}"/>
    <cellStyle name="60% - Accent4 2 14" xfId="3619" xr:uid="{00000000-0005-0000-0000-00003F0A0000}"/>
    <cellStyle name="60% - Accent4 2 15" xfId="3620" xr:uid="{00000000-0005-0000-0000-0000400A0000}"/>
    <cellStyle name="60% - Accent4 2 16" xfId="3621" xr:uid="{00000000-0005-0000-0000-0000410A0000}"/>
    <cellStyle name="60% - Accent4 2 17" xfId="3622" xr:uid="{00000000-0005-0000-0000-0000420A0000}"/>
    <cellStyle name="60% - Accent4 2 18" xfId="3623" xr:uid="{00000000-0005-0000-0000-0000430A0000}"/>
    <cellStyle name="60% - Accent4 2 19" xfId="3624" xr:uid="{00000000-0005-0000-0000-0000440A0000}"/>
    <cellStyle name="60% - Accent4 2 2" xfId="3625" xr:uid="{00000000-0005-0000-0000-0000450A0000}"/>
    <cellStyle name="60% - Accent4 2 2 2" xfId="3626" xr:uid="{00000000-0005-0000-0000-0000460A0000}"/>
    <cellStyle name="60% - Accent4 2 2 3" xfId="3627" xr:uid="{00000000-0005-0000-0000-0000470A0000}"/>
    <cellStyle name="60% - Accent4 2 20" xfId="3628" xr:uid="{00000000-0005-0000-0000-0000480A0000}"/>
    <cellStyle name="60% - Accent4 2 21" xfId="3629" xr:uid="{00000000-0005-0000-0000-0000490A0000}"/>
    <cellStyle name="60% - Accent4 2 22" xfId="3630" xr:uid="{00000000-0005-0000-0000-00004A0A0000}"/>
    <cellStyle name="60% - Accent4 2 23" xfId="3631" xr:uid="{00000000-0005-0000-0000-00004B0A0000}"/>
    <cellStyle name="60% - Accent4 2 24" xfId="3632" xr:uid="{00000000-0005-0000-0000-00004C0A0000}"/>
    <cellStyle name="60% - Accent4 2 25" xfId="3633" xr:uid="{00000000-0005-0000-0000-00004D0A0000}"/>
    <cellStyle name="60% - Accent4 2 26" xfId="3634" xr:uid="{00000000-0005-0000-0000-00004E0A0000}"/>
    <cellStyle name="60% - Accent4 2 27" xfId="3635" xr:uid="{00000000-0005-0000-0000-00004F0A0000}"/>
    <cellStyle name="60% - Accent4 2 28" xfId="3636" xr:uid="{00000000-0005-0000-0000-0000500A0000}"/>
    <cellStyle name="60% - Accent4 2 29" xfId="3637" xr:uid="{00000000-0005-0000-0000-0000510A0000}"/>
    <cellStyle name="60% - Accent4 2 3" xfId="3638" xr:uid="{00000000-0005-0000-0000-0000520A0000}"/>
    <cellStyle name="60% - Accent4 2 3 2" xfId="3639" xr:uid="{00000000-0005-0000-0000-0000530A0000}"/>
    <cellStyle name="60% - Accent4 2 30" xfId="3640" xr:uid="{00000000-0005-0000-0000-0000540A0000}"/>
    <cellStyle name="60% - Accent4 2 31" xfId="3641" xr:uid="{00000000-0005-0000-0000-0000550A0000}"/>
    <cellStyle name="60% - Accent4 2 32" xfId="3642" xr:uid="{00000000-0005-0000-0000-0000560A0000}"/>
    <cellStyle name="60% - Accent4 2 33" xfId="3643" xr:uid="{00000000-0005-0000-0000-0000570A0000}"/>
    <cellStyle name="60% - Accent4 2 34" xfId="3644" xr:uid="{00000000-0005-0000-0000-0000580A0000}"/>
    <cellStyle name="60% - Accent4 2 35" xfId="3645" xr:uid="{00000000-0005-0000-0000-0000590A0000}"/>
    <cellStyle name="60% - Accent4 2 36" xfId="3646" xr:uid="{00000000-0005-0000-0000-00005A0A0000}"/>
    <cellStyle name="60% - Accent4 2 37" xfId="3647" xr:uid="{00000000-0005-0000-0000-00005B0A0000}"/>
    <cellStyle name="60% - Accent4 2 38" xfId="3648" xr:uid="{00000000-0005-0000-0000-00005C0A0000}"/>
    <cellStyle name="60% - Accent4 2 39" xfId="3649" xr:uid="{00000000-0005-0000-0000-00005D0A0000}"/>
    <cellStyle name="60% - Accent4 2 4" xfId="3650" xr:uid="{00000000-0005-0000-0000-00005E0A0000}"/>
    <cellStyle name="60% - Accent4 2 40" xfId="3651" xr:uid="{00000000-0005-0000-0000-00005F0A0000}"/>
    <cellStyle name="60% - Accent4 2 41" xfId="3652" xr:uid="{00000000-0005-0000-0000-0000600A0000}"/>
    <cellStyle name="60% - Accent4 2 42" xfId="3653" xr:uid="{00000000-0005-0000-0000-0000610A0000}"/>
    <cellStyle name="60% - Accent4 2 43" xfId="3654" xr:uid="{00000000-0005-0000-0000-0000620A0000}"/>
    <cellStyle name="60% - Accent4 2 44" xfId="3655" xr:uid="{00000000-0005-0000-0000-0000630A0000}"/>
    <cellStyle name="60% - Accent4 2 45" xfId="3656" xr:uid="{00000000-0005-0000-0000-0000640A0000}"/>
    <cellStyle name="60% - Accent4 2 46" xfId="3657" xr:uid="{00000000-0005-0000-0000-0000650A0000}"/>
    <cellStyle name="60% - Accent4 2 47" xfId="3658" xr:uid="{00000000-0005-0000-0000-0000660A0000}"/>
    <cellStyle name="60% - Accent4 2 48" xfId="3659" xr:uid="{00000000-0005-0000-0000-0000670A0000}"/>
    <cellStyle name="60% - Accent4 2 49" xfId="3660" xr:uid="{00000000-0005-0000-0000-0000680A0000}"/>
    <cellStyle name="60% - Accent4 2 5" xfId="3661" xr:uid="{00000000-0005-0000-0000-0000690A0000}"/>
    <cellStyle name="60% - Accent4 2 6" xfId="3662" xr:uid="{00000000-0005-0000-0000-00006A0A0000}"/>
    <cellStyle name="60% - Accent4 2 7" xfId="3663" xr:uid="{00000000-0005-0000-0000-00006B0A0000}"/>
    <cellStyle name="60% - Accent4 2 8" xfId="3664" xr:uid="{00000000-0005-0000-0000-00006C0A0000}"/>
    <cellStyle name="60% - Accent4 2 9" xfId="3665" xr:uid="{00000000-0005-0000-0000-00006D0A0000}"/>
    <cellStyle name="60% - Accent4 3" xfId="3666" xr:uid="{00000000-0005-0000-0000-00006E0A0000}"/>
    <cellStyle name="60% - Accent4 3 2" xfId="3667" xr:uid="{00000000-0005-0000-0000-00006F0A0000}"/>
    <cellStyle name="60% - Accent4 3 2 2" xfId="3668" xr:uid="{00000000-0005-0000-0000-0000700A0000}"/>
    <cellStyle name="60% - Accent4 3 3" xfId="3669" xr:uid="{00000000-0005-0000-0000-0000710A0000}"/>
    <cellStyle name="60% - Accent4 4" xfId="3670" xr:uid="{00000000-0005-0000-0000-0000720A0000}"/>
    <cellStyle name="60% - Accent4 4 2" xfId="3671" xr:uid="{00000000-0005-0000-0000-0000730A0000}"/>
    <cellStyle name="60% - Accent4 4 2 2" xfId="3672" xr:uid="{00000000-0005-0000-0000-0000740A0000}"/>
    <cellStyle name="60% - Accent4 4 3" xfId="3673" xr:uid="{00000000-0005-0000-0000-0000750A0000}"/>
    <cellStyle name="60% - Accent4 5" xfId="3674" xr:uid="{00000000-0005-0000-0000-0000760A0000}"/>
    <cellStyle name="60% - Accent4 5 2" xfId="3675" xr:uid="{00000000-0005-0000-0000-0000770A0000}"/>
    <cellStyle name="60% - Accent4 5 2 2" xfId="3676" xr:uid="{00000000-0005-0000-0000-0000780A0000}"/>
    <cellStyle name="60% - Accent4 5 3" xfId="3677" xr:uid="{00000000-0005-0000-0000-0000790A0000}"/>
    <cellStyle name="60% - Accent4 6" xfId="3678" xr:uid="{00000000-0005-0000-0000-00007A0A0000}"/>
    <cellStyle name="60% - Accent4 6 2" xfId="3679" xr:uid="{00000000-0005-0000-0000-00007B0A0000}"/>
    <cellStyle name="60% - Accent4 6 2 2" xfId="3680" xr:uid="{00000000-0005-0000-0000-00007C0A0000}"/>
    <cellStyle name="60% - Accent4 6 3" xfId="3681" xr:uid="{00000000-0005-0000-0000-00007D0A0000}"/>
    <cellStyle name="60% - Accent4 7" xfId="3682" xr:uid="{00000000-0005-0000-0000-00007E0A0000}"/>
    <cellStyle name="60% - Accent4 7 2" xfId="3683" xr:uid="{00000000-0005-0000-0000-00007F0A0000}"/>
    <cellStyle name="60% - Accent4 7 2 2" xfId="3684" xr:uid="{00000000-0005-0000-0000-0000800A0000}"/>
    <cellStyle name="60% - Accent4 7 3" xfId="3685" xr:uid="{00000000-0005-0000-0000-0000810A0000}"/>
    <cellStyle name="60% - Accent4 8" xfId="3686" xr:uid="{00000000-0005-0000-0000-0000820A0000}"/>
    <cellStyle name="60% - Accent4 8 2" xfId="3687" xr:uid="{00000000-0005-0000-0000-0000830A0000}"/>
    <cellStyle name="60% - Accent4 8 2 2" xfId="3688" xr:uid="{00000000-0005-0000-0000-0000840A0000}"/>
    <cellStyle name="60% - Accent4 8 3" xfId="3689" xr:uid="{00000000-0005-0000-0000-0000850A0000}"/>
    <cellStyle name="60% - Accent4 9" xfId="3690" xr:uid="{00000000-0005-0000-0000-0000860A0000}"/>
    <cellStyle name="60% - Accent4 9 2" xfId="3691" xr:uid="{00000000-0005-0000-0000-0000870A0000}"/>
    <cellStyle name="60% - Accent4 9 2 2" xfId="3692" xr:uid="{00000000-0005-0000-0000-0000880A0000}"/>
    <cellStyle name="60% - Accent4 9 3" xfId="3693" xr:uid="{00000000-0005-0000-0000-0000890A0000}"/>
    <cellStyle name="60% - Accent5 10" xfId="3694" xr:uid="{00000000-0005-0000-0000-00008A0A0000}"/>
    <cellStyle name="60% - Accent5 10 2" xfId="3695" xr:uid="{00000000-0005-0000-0000-00008B0A0000}"/>
    <cellStyle name="60% - Accent5 10 2 2" xfId="3696" xr:uid="{00000000-0005-0000-0000-00008C0A0000}"/>
    <cellStyle name="60% - Accent5 10 3" xfId="3697" xr:uid="{00000000-0005-0000-0000-00008D0A0000}"/>
    <cellStyle name="60% - Accent5 11" xfId="3698" xr:uid="{00000000-0005-0000-0000-00008E0A0000}"/>
    <cellStyle name="60% - Accent5 11 2" xfId="3699" xr:uid="{00000000-0005-0000-0000-00008F0A0000}"/>
    <cellStyle name="60% - Accent5 12" xfId="3700" xr:uid="{00000000-0005-0000-0000-0000900A0000}"/>
    <cellStyle name="60% - Accent5 12 2" xfId="3701" xr:uid="{00000000-0005-0000-0000-0000910A0000}"/>
    <cellStyle name="60% - Accent5 13" xfId="3702" xr:uid="{00000000-0005-0000-0000-0000920A0000}"/>
    <cellStyle name="60% - Accent5 2" xfId="381" xr:uid="{00000000-0005-0000-0000-0000930A0000}"/>
    <cellStyle name="60% - Accent5 2 10" xfId="3703" xr:uid="{00000000-0005-0000-0000-0000940A0000}"/>
    <cellStyle name="60% - Accent5 2 11" xfId="3704" xr:uid="{00000000-0005-0000-0000-0000950A0000}"/>
    <cellStyle name="60% - Accent5 2 12" xfId="3705" xr:uid="{00000000-0005-0000-0000-0000960A0000}"/>
    <cellStyle name="60% - Accent5 2 13" xfId="3706" xr:uid="{00000000-0005-0000-0000-0000970A0000}"/>
    <cellStyle name="60% - Accent5 2 14" xfId="3707" xr:uid="{00000000-0005-0000-0000-0000980A0000}"/>
    <cellStyle name="60% - Accent5 2 15" xfId="3708" xr:uid="{00000000-0005-0000-0000-0000990A0000}"/>
    <cellStyle name="60% - Accent5 2 16" xfId="3709" xr:uid="{00000000-0005-0000-0000-00009A0A0000}"/>
    <cellStyle name="60% - Accent5 2 17" xfId="3710" xr:uid="{00000000-0005-0000-0000-00009B0A0000}"/>
    <cellStyle name="60% - Accent5 2 18" xfId="3711" xr:uid="{00000000-0005-0000-0000-00009C0A0000}"/>
    <cellStyle name="60% - Accent5 2 19" xfId="3712" xr:uid="{00000000-0005-0000-0000-00009D0A0000}"/>
    <cellStyle name="60% - Accent5 2 2" xfId="382" xr:uid="{00000000-0005-0000-0000-00009E0A0000}"/>
    <cellStyle name="60% - Accent5 2 2 2" xfId="3713" xr:uid="{00000000-0005-0000-0000-00009F0A0000}"/>
    <cellStyle name="60% - Accent5 2 2 3" xfId="3714" xr:uid="{00000000-0005-0000-0000-0000A00A0000}"/>
    <cellStyle name="60% - Accent5 2 20" xfId="3715" xr:uid="{00000000-0005-0000-0000-0000A10A0000}"/>
    <cellStyle name="60% - Accent5 2 21" xfId="3716" xr:uid="{00000000-0005-0000-0000-0000A20A0000}"/>
    <cellStyle name="60% - Accent5 2 22" xfId="3717" xr:uid="{00000000-0005-0000-0000-0000A30A0000}"/>
    <cellStyle name="60% - Accent5 2 23" xfId="3718" xr:uid="{00000000-0005-0000-0000-0000A40A0000}"/>
    <cellStyle name="60% - Accent5 2 24" xfId="3719" xr:uid="{00000000-0005-0000-0000-0000A50A0000}"/>
    <cellStyle name="60% - Accent5 2 25" xfId="3720" xr:uid="{00000000-0005-0000-0000-0000A60A0000}"/>
    <cellStyle name="60% - Accent5 2 26" xfId="3721" xr:uid="{00000000-0005-0000-0000-0000A70A0000}"/>
    <cellStyle name="60% - Accent5 2 27" xfId="3722" xr:uid="{00000000-0005-0000-0000-0000A80A0000}"/>
    <cellStyle name="60% - Accent5 2 28" xfId="3723" xr:uid="{00000000-0005-0000-0000-0000A90A0000}"/>
    <cellStyle name="60% - Accent5 2 29" xfId="3724" xr:uid="{00000000-0005-0000-0000-0000AA0A0000}"/>
    <cellStyle name="60% - Accent5 2 3" xfId="3725" xr:uid="{00000000-0005-0000-0000-0000AB0A0000}"/>
    <cellStyle name="60% - Accent5 2 3 2" xfId="3726" xr:uid="{00000000-0005-0000-0000-0000AC0A0000}"/>
    <cellStyle name="60% - Accent5 2 30" xfId="3727" xr:uid="{00000000-0005-0000-0000-0000AD0A0000}"/>
    <cellStyle name="60% - Accent5 2 31" xfId="3728" xr:uid="{00000000-0005-0000-0000-0000AE0A0000}"/>
    <cellStyle name="60% - Accent5 2 32" xfId="3729" xr:uid="{00000000-0005-0000-0000-0000AF0A0000}"/>
    <cellStyle name="60% - Accent5 2 33" xfId="3730" xr:uid="{00000000-0005-0000-0000-0000B00A0000}"/>
    <cellStyle name="60% - Accent5 2 34" xfId="3731" xr:uid="{00000000-0005-0000-0000-0000B10A0000}"/>
    <cellStyle name="60% - Accent5 2 35" xfId="3732" xr:uid="{00000000-0005-0000-0000-0000B20A0000}"/>
    <cellStyle name="60% - Accent5 2 36" xfId="3733" xr:uid="{00000000-0005-0000-0000-0000B30A0000}"/>
    <cellStyle name="60% - Accent5 2 37" xfId="3734" xr:uid="{00000000-0005-0000-0000-0000B40A0000}"/>
    <cellStyle name="60% - Accent5 2 38" xfId="3735" xr:uid="{00000000-0005-0000-0000-0000B50A0000}"/>
    <cellStyle name="60% - Accent5 2 39" xfId="3736" xr:uid="{00000000-0005-0000-0000-0000B60A0000}"/>
    <cellStyle name="60% - Accent5 2 4" xfId="3737" xr:uid="{00000000-0005-0000-0000-0000B70A0000}"/>
    <cellStyle name="60% - Accent5 2 40" xfId="3738" xr:uid="{00000000-0005-0000-0000-0000B80A0000}"/>
    <cellStyle name="60% - Accent5 2 41" xfId="3739" xr:uid="{00000000-0005-0000-0000-0000B90A0000}"/>
    <cellStyle name="60% - Accent5 2 42" xfId="3740" xr:uid="{00000000-0005-0000-0000-0000BA0A0000}"/>
    <cellStyle name="60% - Accent5 2 43" xfId="3741" xr:uid="{00000000-0005-0000-0000-0000BB0A0000}"/>
    <cellStyle name="60% - Accent5 2 44" xfId="3742" xr:uid="{00000000-0005-0000-0000-0000BC0A0000}"/>
    <cellStyle name="60% - Accent5 2 45" xfId="3743" xr:uid="{00000000-0005-0000-0000-0000BD0A0000}"/>
    <cellStyle name="60% - Accent5 2 46" xfId="3744" xr:uid="{00000000-0005-0000-0000-0000BE0A0000}"/>
    <cellStyle name="60% - Accent5 2 47" xfId="3745" xr:uid="{00000000-0005-0000-0000-0000BF0A0000}"/>
    <cellStyle name="60% - Accent5 2 48" xfId="3746" xr:uid="{00000000-0005-0000-0000-0000C00A0000}"/>
    <cellStyle name="60% - Accent5 2 49" xfId="3747" xr:uid="{00000000-0005-0000-0000-0000C10A0000}"/>
    <cellStyle name="60% - Accent5 2 5" xfId="3748" xr:uid="{00000000-0005-0000-0000-0000C20A0000}"/>
    <cellStyle name="60% - Accent5 2 50" xfId="3749" xr:uid="{00000000-0005-0000-0000-0000C30A0000}"/>
    <cellStyle name="60% - Accent5 2 51" xfId="3750" xr:uid="{00000000-0005-0000-0000-0000C40A0000}"/>
    <cellStyle name="60% - Accent5 2 6" xfId="3751" xr:uid="{00000000-0005-0000-0000-0000C50A0000}"/>
    <cellStyle name="60% - Accent5 2 7" xfId="3752" xr:uid="{00000000-0005-0000-0000-0000C60A0000}"/>
    <cellStyle name="60% - Accent5 2 8" xfId="3753" xr:uid="{00000000-0005-0000-0000-0000C70A0000}"/>
    <cellStyle name="60% - Accent5 2 9" xfId="3754" xr:uid="{00000000-0005-0000-0000-0000C80A0000}"/>
    <cellStyle name="60% - Accent5 3" xfId="3755" xr:uid="{00000000-0005-0000-0000-0000C90A0000}"/>
    <cellStyle name="60% - Accent5 3 2" xfId="3756" xr:uid="{00000000-0005-0000-0000-0000CA0A0000}"/>
    <cellStyle name="60% - Accent5 3 2 2" xfId="3757" xr:uid="{00000000-0005-0000-0000-0000CB0A0000}"/>
    <cellStyle name="60% - Accent5 3 3" xfId="3758" xr:uid="{00000000-0005-0000-0000-0000CC0A0000}"/>
    <cellStyle name="60% - Accent5 4" xfId="3759" xr:uid="{00000000-0005-0000-0000-0000CD0A0000}"/>
    <cellStyle name="60% - Accent5 4 2" xfId="3760" xr:uid="{00000000-0005-0000-0000-0000CE0A0000}"/>
    <cellStyle name="60% - Accent5 4 2 2" xfId="3761" xr:uid="{00000000-0005-0000-0000-0000CF0A0000}"/>
    <cellStyle name="60% - Accent5 4 3" xfId="3762" xr:uid="{00000000-0005-0000-0000-0000D00A0000}"/>
    <cellStyle name="60% - Accent5 5" xfId="3763" xr:uid="{00000000-0005-0000-0000-0000D10A0000}"/>
    <cellStyle name="60% - Accent5 5 2" xfId="3764" xr:uid="{00000000-0005-0000-0000-0000D20A0000}"/>
    <cellStyle name="60% - Accent5 5 2 2" xfId="3765" xr:uid="{00000000-0005-0000-0000-0000D30A0000}"/>
    <cellStyle name="60% - Accent5 5 3" xfId="3766" xr:uid="{00000000-0005-0000-0000-0000D40A0000}"/>
    <cellStyle name="60% - Accent5 6" xfId="3767" xr:uid="{00000000-0005-0000-0000-0000D50A0000}"/>
    <cellStyle name="60% - Accent5 6 2" xfId="3768" xr:uid="{00000000-0005-0000-0000-0000D60A0000}"/>
    <cellStyle name="60% - Accent5 6 2 2" xfId="3769" xr:uid="{00000000-0005-0000-0000-0000D70A0000}"/>
    <cellStyle name="60% - Accent5 6 3" xfId="3770" xr:uid="{00000000-0005-0000-0000-0000D80A0000}"/>
    <cellStyle name="60% - Accent5 7" xfId="3771" xr:uid="{00000000-0005-0000-0000-0000D90A0000}"/>
    <cellStyle name="60% - Accent5 7 2" xfId="3772" xr:uid="{00000000-0005-0000-0000-0000DA0A0000}"/>
    <cellStyle name="60% - Accent5 7 2 2" xfId="3773" xr:uid="{00000000-0005-0000-0000-0000DB0A0000}"/>
    <cellStyle name="60% - Accent5 7 3" xfId="3774" xr:uid="{00000000-0005-0000-0000-0000DC0A0000}"/>
    <cellStyle name="60% - Accent5 8" xfId="3775" xr:uid="{00000000-0005-0000-0000-0000DD0A0000}"/>
    <cellStyle name="60% - Accent5 8 2" xfId="3776" xr:uid="{00000000-0005-0000-0000-0000DE0A0000}"/>
    <cellStyle name="60% - Accent5 8 2 2" xfId="3777" xr:uid="{00000000-0005-0000-0000-0000DF0A0000}"/>
    <cellStyle name="60% - Accent5 8 3" xfId="3778" xr:uid="{00000000-0005-0000-0000-0000E00A0000}"/>
    <cellStyle name="60% - Accent5 9" xfId="3779" xr:uid="{00000000-0005-0000-0000-0000E10A0000}"/>
    <cellStyle name="60% - Accent5 9 2" xfId="3780" xr:uid="{00000000-0005-0000-0000-0000E20A0000}"/>
    <cellStyle name="60% - Accent5 9 2 2" xfId="3781" xr:uid="{00000000-0005-0000-0000-0000E30A0000}"/>
    <cellStyle name="60% - Accent5 9 3" xfId="3782" xr:uid="{00000000-0005-0000-0000-0000E40A0000}"/>
    <cellStyle name="60% - Accent6 10" xfId="3783" xr:uid="{00000000-0005-0000-0000-0000E50A0000}"/>
    <cellStyle name="60% - Accent6 10 2" xfId="3784" xr:uid="{00000000-0005-0000-0000-0000E60A0000}"/>
    <cellStyle name="60% - Accent6 10 2 2" xfId="3785" xr:uid="{00000000-0005-0000-0000-0000E70A0000}"/>
    <cellStyle name="60% - Accent6 10 3" xfId="3786" xr:uid="{00000000-0005-0000-0000-0000E80A0000}"/>
    <cellStyle name="60% - Accent6 11" xfId="3787" xr:uid="{00000000-0005-0000-0000-0000E90A0000}"/>
    <cellStyle name="60% - Accent6 11 2" xfId="3788" xr:uid="{00000000-0005-0000-0000-0000EA0A0000}"/>
    <cellStyle name="60% - Accent6 12" xfId="3789" xr:uid="{00000000-0005-0000-0000-0000EB0A0000}"/>
    <cellStyle name="60% - Accent6 2" xfId="383" xr:uid="{00000000-0005-0000-0000-0000EC0A0000}"/>
    <cellStyle name="60% - Accent6 2 10" xfId="3790" xr:uid="{00000000-0005-0000-0000-0000ED0A0000}"/>
    <cellStyle name="60% - Accent6 2 11" xfId="3791" xr:uid="{00000000-0005-0000-0000-0000EE0A0000}"/>
    <cellStyle name="60% - Accent6 2 12" xfId="3792" xr:uid="{00000000-0005-0000-0000-0000EF0A0000}"/>
    <cellStyle name="60% - Accent6 2 13" xfId="3793" xr:uid="{00000000-0005-0000-0000-0000F00A0000}"/>
    <cellStyle name="60% - Accent6 2 14" xfId="3794" xr:uid="{00000000-0005-0000-0000-0000F10A0000}"/>
    <cellStyle name="60% - Accent6 2 15" xfId="3795" xr:uid="{00000000-0005-0000-0000-0000F20A0000}"/>
    <cellStyle name="60% - Accent6 2 16" xfId="3796" xr:uid="{00000000-0005-0000-0000-0000F30A0000}"/>
    <cellStyle name="60% - Accent6 2 17" xfId="3797" xr:uid="{00000000-0005-0000-0000-0000F40A0000}"/>
    <cellStyle name="60% - Accent6 2 18" xfId="3798" xr:uid="{00000000-0005-0000-0000-0000F50A0000}"/>
    <cellStyle name="60% - Accent6 2 19" xfId="3799" xr:uid="{00000000-0005-0000-0000-0000F60A0000}"/>
    <cellStyle name="60% - Accent6 2 2" xfId="384" xr:uid="{00000000-0005-0000-0000-0000F70A0000}"/>
    <cellStyle name="60% - Accent6 2 2 2" xfId="3800" xr:uid="{00000000-0005-0000-0000-0000F80A0000}"/>
    <cellStyle name="60% - Accent6 2 2 3" xfId="3801" xr:uid="{00000000-0005-0000-0000-0000F90A0000}"/>
    <cellStyle name="60% - Accent6 2 20" xfId="3802" xr:uid="{00000000-0005-0000-0000-0000FA0A0000}"/>
    <cellStyle name="60% - Accent6 2 21" xfId="3803" xr:uid="{00000000-0005-0000-0000-0000FB0A0000}"/>
    <cellStyle name="60% - Accent6 2 22" xfId="3804" xr:uid="{00000000-0005-0000-0000-0000FC0A0000}"/>
    <cellStyle name="60% - Accent6 2 23" xfId="3805" xr:uid="{00000000-0005-0000-0000-0000FD0A0000}"/>
    <cellStyle name="60% - Accent6 2 24" xfId="3806" xr:uid="{00000000-0005-0000-0000-0000FE0A0000}"/>
    <cellStyle name="60% - Accent6 2 25" xfId="3807" xr:uid="{00000000-0005-0000-0000-0000FF0A0000}"/>
    <cellStyle name="60% - Accent6 2 26" xfId="3808" xr:uid="{00000000-0005-0000-0000-0000000B0000}"/>
    <cellStyle name="60% - Accent6 2 27" xfId="3809" xr:uid="{00000000-0005-0000-0000-0000010B0000}"/>
    <cellStyle name="60% - Accent6 2 28" xfId="3810" xr:uid="{00000000-0005-0000-0000-0000020B0000}"/>
    <cellStyle name="60% - Accent6 2 29" xfId="3811" xr:uid="{00000000-0005-0000-0000-0000030B0000}"/>
    <cellStyle name="60% - Accent6 2 3" xfId="3812" xr:uid="{00000000-0005-0000-0000-0000040B0000}"/>
    <cellStyle name="60% - Accent6 2 3 2" xfId="3813" xr:uid="{00000000-0005-0000-0000-0000050B0000}"/>
    <cellStyle name="60% - Accent6 2 30" xfId="3814" xr:uid="{00000000-0005-0000-0000-0000060B0000}"/>
    <cellStyle name="60% - Accent6 2 31" xfId="3815" xr:uid="{00000000-0005-0000-0000-0000070B0000}"/>
    <cellStyle name="60% - Accent6 2 32" xfId="3816" xr:uid="{00000000-0005-0000-0000-0000080B0000}"/>
    <cellStyle name="60% - Accent6 2 33" xfId="3817" xr:uid="{00000000-0005-0000-0000-0000090B0000}"/>
    <cellStyle name="60% - Accent6 2 34" xfId="3818" xr:uid="{00000000-0005-0000-0000-00000A0B0000}"/>
    <cellStyle name="60% - Accent6 2 35" xfId="3819" xr:uid="{00000000-0005-0000-0000-00000B0B0000}"/>
    <cellStyle name="60% - Accent6 2 36" xfId="3820" xr:uid="{00000000-0005-0000-0000-00000C0B0000}"/>
    <cellStyle name="60% - Accent6 2 37" xfId="3821" xr:uid="{00000000-0005-0000-0000-00000D0B0000}"/>
    <cellStyle name="60% - Accent6 2 38" xfId="3822" xr:uid="{00000000-0005-0000-0000-00000E0B0000}"/>
    <cellStyle name="60% - Accent6 2 39" xfId="3823" xr:uid="{00000000-0005-0000-0000-00000F0B0000}"/>
    <cellStyle name="60% - Accent6 2 4" xfId="3824" xr:uid="{00000000-0005-0000-0000-0000100B0000}"/>
    <cellStyle name="60% - Accent6 2 40" xfId="3825" xr:uid="{00000000-0005-0000-0000-0000110B0000}"/>
    <cellStyle name="60% - Accent6 2 41" xfId="3826" xr:uid="{00000000-0005-0000-0000-0000120B0000}"/>
    <cellStyle name="60% - Accent6 2 42" xfId="3827" xr:uid="{00000000-0005-0000-0000-0000130B0000}"/>
    <cellStyle name="60% - Accent6 2 43" xfId="3828" xr:uid="{00000000-0005-0000-0000-0000140B0000}"/>
    <cellStyle name="60% - Accent6 2 44" xfId="3829" xr:uid="{00000000-0005-0000-0000-0000150B0000}"/>
    <cellStyle name="60% - Accent6 2 45" xfId="3830" xr:uid="{00000000-0005-0000-0000-0000160B0000}"/>
    <cellStyle name="60% - Accent6 2 46" xfId="3831" xr:uid="{00000000-0005-0000-0000-0000170B0000}"/>
    <cellStyle name="60% - Accent6 2 47" xfId="3832" xr:uid="{00000000-0005-0000-0000-0000180B0000}"/>
    <cellStyle name="60% - Accent6 2 48" xfId="3833" xr:uid="{00000000-0005-0000-0000-0000190B0000}"/>
    <cellStyle name="60% - Accent6 2 49" xfId="3834" xr:uid="{00000000-0005-0000-0000-00001A0B0000}"/>
    <cellStyle name="60% - Accent6 2 5" xfId="3835" xr:uid="{00000000-0005-0000-0000-00001B0B0000}"/>
    <cellStyle name="60% - Accent6 2 50" xfId="3836" xr:uid="{00000000-0005-0000-0000-00001C0B0000}"/>
    <cellStyle name="60% - Accent6 2 51" xfId="3837" xr:uid="{00000000-0005-0000-0000-00001D0B0000}"/>
    <cellStyle name="60% - Accent6 2 6" xfId="3838" xr:uid="{00000000-0005-0000-0000-00001E0B0000}"/>
    <cellStyle name="60% - Accent6 2 7" xfId="3839" xr:uid="{00000000-0005-0000-0000-00001F0B0000}"/>
    <cellStyle name="60% - Accent6 2 8" xfId="3840" xr:uid="{00000000-0005-0000-0000-0000200B0000}"/>
    <cellStyle name="60% - Accent6 2 9" xfId="3841" xr:uid="{00000000-0005-0000-0000-0000210B0000}"/>
    <cellStyle name="60% - Accent6 3" xfId="3842" xr:uid="{00000000-0005-0000-0000-0000220B0000}"/>
    <cellStyle name="60% - Accent6 3 2" xfId="3843" xr:uid="{00000000-0005-0000-0000-0000230B0000}"/>
    <cellStyle name="60% - Accent6 3 2 2" xfId="3844" xr:uid="{00000000-0005-0000-0000-0000240B0000}"/>
    <cellStyle name="60% - Accent6 3 3" xfId="3845" xr:uid="{00000000-0005-0000-0000-0000250B0000}"/>
    <cellStyle name="60% - Accent6 4" xfId="3846" xr:uid="{00000000-0005-0000-0000-0000260B0000}"/>
    <cellStyle name="60% - Accent6 4 2" xfId="3847" xr:uid="{00000000-0005-0000-0000-0000270B0000}"/>
    <cellStyle name="60% - Accent6 4 2 2" xfId="3848" xr:uid="{00000000-0005-0000-0000-0000280B0000}"/>
    <cellStyle name="60% - Accent6 4 3" xfId="3849" xr:uid="{00000000-0005-0000-0000-0000290B0000}"/>
    <cellStyle name="60% - Accent6 5" xfId="3850" xr:uid="{00000000-0005-0000-0000-00002A0B0000}"/>
    <cellStyle name="60% - Accent6 5 2" xfId="3851" xr:uid="{00000000-0005-0000-0000-00002B0B0000}"/>
    <cellStyle name="60% - Accent6 5 2 2" xfId="3852" xr:uid="{00000000-0005-0000-0000-00002C0B0000}"/>
    <cellStyle name="60% - Accent6 5 3" xfId="3853" xr:uid="{00000000-0005-0000-0000-00002D0B0000}"/>
    <cellStyle name="60% - Accent6 6" xfId="3854" xr:uid="{00000000-0005-0000-0000-00002E0B0000}"/>
    <cellStyle name="60% - Accent6 6 2" xfId="3855" xr:uid="{00000000-0005-0000-0000-00002F0B0000}"/>
    <cellStyle name="60% - Accent6 6 2 2" xfId="3856" xr:uid="{00000000-0005-0000-0000-0000300B0000}"/>
    <cellStyle name="60% - Accent6 6 3" xfId="3857" xr:uid="{00000000-0005-0000-0000-0000310B0000}"/>
    <cellStyle name="60% - Accent6 7" xfId="3858" xr:uid="{00000000-0005-0000-0000-0000320B0000}"/>
    <cellStyle name="60% - Accent6 7 2" xfId="3859" xr:uid="{00000000-0005-0000-0000-0000330B0000}"/>
    <cellStyle name="60% - Accent6 7 2 2" xfId="3860" xr:uid="{00000000-0005-0000-0000-0000340B0000}"/>
    <cellStyle name="60% - Accent6 7 3" xfId="3861" xr:uid="{00000000-0005-0000-0000-0000350B0000}"/>
    <cellStyle name="60% - Accent6 8" xfId="3862" xr:uid="{00000000-0005-0000-0000-0000360B0000}"/>
    <cellStyle name="60% - Accent6 8 2" xfId="3863" xr:uid="{00000000-0005-0000-0000-0000370B0000}"/>
    <cellStyle name="60% - Accent6 8 2 2" xfId="3864" xr:uid="{00000000-0005-0000-0000-0000380B0000}"/>
    <cellStyle name="60% - Accent6 8 3" xfId="3865" xr:uid="{00000000-0005-0000-0000-0000390B0000}"/>
    <cellStyle name="60% - Accent6 9" xfId="3866" xr:uid="{00000000-0005-0000-0000-00003A0B0000}"/>
    <cellStyle name="60% - Accent6 9 2" xfId="3867" xr:uid="{00000000-0005-0000-0000-00003B0B0000}"/>
    <cellStyle name="60% - Accent6 9 2 2" xfId="3868" xr:uid="{00000000-0005-0000-0000-00003C0B0000}"/>
    <cellStyle name="60% - Accent6 9 3" xfId="3869" xr:uid="{00000000-0005-0000-0000-00003D0B0000}"/>
    <cellStyle name="75" xfId="385" xr:uid="{00000000-0005-0000-0000-00003E0B0000}"/>
    <cellStyle name="75 2" xfId="1455" xr:uid="{00000000-0005-0000-0000-00003F0B0000}"/>
    <cellStyle name="A4 Small 210 x 297 mm" xfId="386" xr:uid="{00000000-0005-0000-0000-0000400B0000}"/>
    <cellStyle name="Accent1 10" xfId="3870" xr:uid="{00000000-0005-0000-0000-0000410B0000}"/>
    <cellStyle name="Accent1 10 2" xfId="3871" xr:uid="{00000000-0005-0000-0000-0000420B0000}"/>
    <cellStyle name="Accent1 10 2 2" xfId="3872" xr:uid="{00000000-0005-0000-0000-0000430B0000}"/>
    <cellStyle name="Accent1 10 3" xfId="3873" xr:uid="{00000000-0005-0000-0000-0000440B0000}"/>
    <cellStyle name="Accent1 11" xfId="3874" xr:uid="{00000000-0005-0000-0000-0000450B0000}"/>
    <cellStyle name="Accent1 11 2" xfId="3875" xr:uid="{00000000-0005-0000-0000-0000460B0000}"/>
    <cellStyle name="Accent1 12" xfId="3876" xr:uid="{00000000-0005-0000-0000-0000470B0000}"/>
    <cellStyle name="Accent1 2" xfId="387" xr:uid="{00000000-0005-0000-0000-0000480B0000}"/>
    <cellStyle name="Accent1 2 10" xfId="3877" xr:uid="{00000000-0005-0000-0000-0000490B0000}"/>
    <cellStyle name="Accent1 2 11" xfId="3878" xr:uid="{00000000-0005-0000-0000-00004A0B0000}"/>
    <cellStyle name="Accent1 2 12" xfId="3879" xr:uid="{00000000-0005-0000-0000-00004B0B0000}"/>
    <cellStyle name="Accent1 2 13" xfId="3880" xr:uid="{00000000-0005-0000-0000-00004C0B0000}"/>
    <cellStyle name="Accent1 2 14" xfId="3881" xr:uid="{00000000-0005-0000-0000-00004D0B0000}"/>
    <cellStyle name="Accent1 2 15" xfId="3882" xr:uid="{00000000-0005-0000-0000-00004E0B0000}"/>
    <cellStyle name="Accent1 2 16" xfId="3883" xr:uid="{00000000-0005-0000-0000-00004F0B0000}"/>
    <cellStyle name="Accent1 2 17" xfId="3884" xr:uid="{00000000-0005-0000-0000-0000500B0000}"/>
    <cellStyle name="Accent1 2 18" xfId="3885" xr:uid="{00000000-0005-0000-0000-0000510B0000}"/>
    <cellStyle name="Accent1 2 19" xfId="3886" xr:uid="{00000000-0005-0000-0000-0000520B0000}"/>
    <cellStyle name="Accent1 2 2" xfId="3887" xr:uid="{00000000-0005-0000-0000-0000530B0000}"/>
    <cellStyle name="Accent1 2 2 2" xfId="3888" xr:uid="{00000000-0005-0000-0000-0000540B0000}"/>
    <cellStyle name="Accent1 2 2 3" xfId="3889" xr:uid="{00000000-0005-0000-0000-0000550B0000}"/>
    <cellStyle name="Accent1 2 20" xfId="3890" xr:uid="{00000000-0005-0000-0000-0000560B0000}"/>
    <cellStyle name="Accent1 2 21" xfId="3891" xr:uid="{00000000-0005-0000-0000-0000570B0000}"/>
    <cellStyle name="Accent1 2 22" xfId="3892" xr:uid="{00000000-0005-0000-0000-0000580B0000}"/>
    <cellStyle name="Accent1 2 23" xfId="3893" xr:uid="{00000000-0005-0000-0000-0000590B0000}"/>
    <cellStyle name="Accent1 2 24" xfId="3894" xr:uid="{00000000-0005-0000-0000-00005A0B0000}"/>
    <cellStyle name="Accent1 2 25" xfId="3895" xr:uid="{00000000-0005-0000-0000-00005B0B0000}"/>
    <cellStyle name="Accent1 2 26" xfId="3896" xr:uid="{00000000-0005-0000-0000-00005C0B0000}"/>
    <cellStyle name="Accent1 2 27" xfId="3897" xr:uid="{00000000-0005-0000-0000-00005D0B0000}"/>
    <cellStyle name="Accent1 2 28" xfId="3898" xr:uid="{00000000-0005-0000-0000-00005E0B0000}"/>
    <cellStyle name="Accent1 2 29" xfId="3899" xr:uid="{00000000-0005-0000-0000-00005F0B0000}"/>
    <cellStyle name="Accent1 2 3" xfId="3900" xr:uid="{00000000-0005-0000-0000-0000600B0000}"/>
    <cellStyle name="Accent1 2 3 2" xfId="3901" xr:uid="{00000000-0005-0000-0000-0000610B0000}"/>
    <cellStyle name="Accent1 2 30" xfId="3902" xr:uid="{00000000-0005-0000-0000-0000620B0000}"/>
    <cellStyle name="Accent1 2 31" xfId="3903" xr:uid="{00000000-0005-0000-0000-0000630B0000}"/>
    <cellStyle name="Accent1 2 32" xfId="3904" xr:uid="{00000000-0005-0000-0000-0000640B0000}"/>
    <cellStyle name="Accent1 2 33" xfId="3905" xr:uid="{00000000-0005-0000-0000-0000650B0000}"/>
    <cellStyle name="Accent1 2 34" xfId="3906" xr:uid="{00000000-0005-0000-0000-0000660B0000}"/>
    <cellStyle name="Accent1 2 35" xfId="3907" xr:uid="{00000000-0005-0000-0000-0000670B0000}"/>
    <cellStyle name="Accent1 2 36" xfId="3908" xr:uid="{00000000-0005-0000-0000-0000680B0000}"/>
    <cellStyle name="Accent1 2 37" xfId="3909" xr:uid="{00000000-0005-0000-0000-0000690B0000}"/>
    <cellStyle name="Accent1 2 38" xfId="3910" xr:uid="{00000000-0005-0000-0000-00006A0B0000}"/>
    <cellStyle name="Accent1 2 39" xfId="3911" xr:uid="{00000000-0005-0000-0000-00006B0B0000}"/>
    <cellStyle name="Accent1 2 4" xfId="3912" xr:uid="{00000000-0005-0000-0000-00006C0B0000}"/>
    <cellStyle name="Accent1 2 40" xfId="3913" xr:uid="{00000000-0005-0000-0000-00006D0B0000}"/>
    <cellStyle name="Accent1 2 41" xfId="3914" xr:uid="{00000000-0005-0000-0000-00006E0B0000}"/>
    <cellStyle name="Accent1 2 42" xfId="3915" xr:uid="{00000000-0005-0000-0000-00006F0B0000}"/>
    <cellStyle name="Accent1 2 43" xfId="3916" xr:uid="{00000000-0005-0000-0000-0000700B0000}"/>
    <cellStyle name="Accent1 2 44" xfId="3917" xr:uid="{00000000-0005-0000-0000-0000710B0000}"/>
    <cellStyle name="Accent1 2 45" xfId="3918" xr:uid="{00000000-0005-0000-0000-0000720B0000}"/>
    <cellStyle name="Accent1 2 46" xfId="3919" xr:uid="{00000000-0005-0000-0000-0000730B0000}"/>
    <cellStyle name="Accent1 2 47" xfId="3920" xr:uid="{00000000-0005-0000-0000-0000740B0000}"/>
    <cellStyle name="Accent1 2 48" xfId="3921" xr:uid="{00000000-0005-0000-0000-0000750B0000}"/>
    <cellStyle name="Accent1 2 49" xfId="3922" xr:uid="{00000000-0005-0000-0000-0000760B0000}"/>
    <cellStyle name="Accent1 2 5" xfId="3923" xr:uid="{00000000-0005-0000-0000-0000770B0000}"/>
    <cellStyle name="Accent1 2 6" xfId="3924" xr:uid="{00000000-0005-0000-0000-0000780B0000}"/>
    <cellStyle name="Accent1 2 7" xfId="3925" xr:uid="{00000000-0005-0000-0000-0000790B0000}"/>
    <cellStyle name="Accent1 2 8" xfId="3926" xr:uid="{00000000-0005-0000-0000-00007A0B0000}"/>
    <cellStyle name="Accent1 2 9" xfId="3927" xr:uid="{00000000-0005-0000-0000-00007B0B0000}"/>
    <cellStyle name="Accent1 3" xfId="3928" xr:uid="{00000000-0005-0000-0000-00007C0B0000}"/>
    <cellStyle name="Accent1 3 2" xfId="3929" xr:uid="{00000000-0005-0000-0000-00007D0B0000}"/>
    <cellStyle name="Accent1 3 2 2" xfId="3930" xr:uid="{00000000-0005-0000-0000-00007E0B0000}"/>
    <cellStyle name="Accent1 3 3" xfId="3931" xr:uid="{00000000-0005-0000-0000-00007F0B0000}"/>
    <cellStyle name="Accent1 4" xfId="3932" xr:uid="{00000000-0005-0000-0000-0000800B0000}"/>
    <cellStyle name="Accent1 4 2" xfId="3933" xr:uid="{00000000-0005-0000-0000-0000810B0000}"/>
    <cellStyle name="Accent1 4 2 2" xfId="3934" xr:uid="{00000000-0005-0000-0000-0000820B0000}"/>
    <cellStyle name="Accent1 4 3" xfId="3935" xr:uid="{00000000-0005-0000-0000-0000830B0000}"/>
    <cellStyle name="Accent1 5" xfId="3936" xr:uid="{00000000-0005-0000-0000-0000840B0000}"/>
    <cellStyle name="Accent1 5 2" xfId="3937" xr:uid="{00000000-0005-0000-0000-0000850B0000}"/>
    <cellStyle name="Accent1 5 2 2" xfId="3938" xr:uid="{00000000-0005-0000-0000-0000860B0000}"/>
    <cellStyle name="Accent1 5 3" xfId="3939" xr:uid="{00000000-0005-0000-0000-0000870B0000}"/>
    <cellStyle name="Accent1 6" xfId="3940" xr:uid="{00000000-0005-0000-0000-0000880B0000}"/>
    <cellStyle name="Accent1 6 2" xfId="3941" xr:uid="{00000000-0005-0000-0000-0000890B0000}"/>
    <cellStyle name="Accent1 6 2 2" xfId="3942" xr:uid="{00000000-0005-0000-0000-00008A0B0000}"/>
    <cellStyle name="Accent1 6 3" xfId="3943" xr:uid="{00000000-0005-0000-0000-00008B0B0000}"/>
    <cellStyle name="Accent1 7" xfId="3944" xr:uid="{00000000-0005-0000-0000-00008C0B0000}"/>
    <cellStyle name="Accent1 7 2" xfId="3945" xr:uid="{00000000-0005-0000-0000-00008D0B0000}"/>
    <cellStyle name="Accent1 7 2 2" xfId="3946" xr:uid="{00000000-0005-0000-0000-00008E0B0000}"/>
    <cellStyle name="Accent1 7 3" xfId="3947" xr:uid="{00000000-0005-0000-0000-00008F0B0000}"/>
    <cellStyle name="Accent1 8" xfId="3948" xr:uid="{00000000-0005-0000-0000-0000900B0000}"/>
    <cellStyle name="Accent1 8 2" xfId="3949" xr:uid="{00000000-0005-0000-0000-0000910B0000}"/>
    <cellStyle name="Accent1 8 2 2" xfId="3950" xr:uid="{00000000-0005-0000-0000-0000920B0000}"/>
    <cellStyle name="Accent1 8 3" xfId="3951" xr:uid="{00000000-0005-0000-0000-0000930B0000}"/>
    <cellStyle name="Accent1 9" xfId="3952" xr:uid="{00000000-0005-0000-0000-0000940B0000}"/>
    <cellStyle name="Accent1 9 2" xfId="3953" xr:uid="{00000000-0005-0000-0000-0000950B0000}"/>
    <cellStyle name="Accent1 9 2 2" xfId="3954" xr:uid="{00000000-0005-0000-0000-0000960B0000}"/>
    <cellStyle name="Accent1 9 3" xfId="3955" xr:uid="{00000000-0005-0000-0000-0000970B0000}"/>
    <cellStyle name="Accent2 10" xfId="3956" xr:uid="{00000000-0005-0000-0000-0000980B0000}"/>
    <cellStyle name="Accent2 10 2" xfId="3957" xr:uid="{00000000-0005-0000-0000-0000990B0000}"/>
    <cellStyle name="Accent2 10 2 2" xfId="3958" xr:uid="{00000000-0005-0000-0000-00009A0B0000}"/>
    <cellStyle name="Accent2 10 3" xfId="3959" xr:uid="{00000000-0005-0000-0000-00009B0B0000}"/>
    <cellStyle name="Accent2 11" xfId="3960" xr:uid="{00000000-0005-0000-0000-00009C0B0000}"/>
    <cellStyle name="Accent2 11 2" xfId="3961" xr:uid="{00000000-0005-0000-0000-00009D0B0000}"/>
    <cellStyle name="Accent2 12" xfId="3962" xr:uid="{00000000-0005-0000-0000-00009E0B0000}"/>
    <cellStyle name="Accent2 2" xfId="388" xr:uid="{00000000-0005-0000-0000-00009F0B0000}"/>
    <cellStyle name="Accent2 2 10" xfId="3963" xr:uid="{00000000-0005-0000-0000-0000A00B0000}"/>
    <cellStyle name="Accent2 2 11" xfId="3964" xr:uid="{00000000-0005-0000-0000-0000A10B0000}"/>
    <cellStyle name="Accent2 2 12" xfId="3965" xr:uid="{00000000-0005-0000-0000-0000A20B0000}"/>
    <cellStyle name="Accent2 2 13" xfId="3966" xr:uid="{00000000-0005-0000-0000-0000A30B0000}"/>
    <cellStyle name="Accent2 2 14" xfId="3967" xr:uid="{00000000-0005-0000-0000-0000A40B0000}"/>
    <cellStyle name="Accent2 2 15" xfId="3968" xr:uid="{00000000-0005-0000-0000-0000A50B0000}"/>
    <cellStyle name="Accent2 2 16" xfId="3969" xr:uid="{00000000-0005-0000-0000-0000A60B0000}"/>
    <cellStyle name="Accent2 2 17" xfId="3970" xr:uid="{00000000-0005-0000-0000-0000A70B0000}"/>
    <cellStyle name="Accent2 2 18" xfId="3971" xr:uid="{00000000-0005-0000-0000-0000A80B0000}"/>
    <cellStyle name="Accent2 2 19" xfId="3972" xr:uid="{00000000-0005-0000-0000-0000A90B0000}"/>
    <cellStyle name="Accent2 2 2" xfId="3973" xr:uid="{00000000-0005-0000-0000-0000AA0B0000}"/>
    <cellStyle name="Accent2 2 2 2" xfId="3974" xr:uid="{00000000-0005-0000-0000-0000AB0B0000}"/>
    <cellStyle name="Accent2 2 2 3" xfId="3975" xr:uid="{00000000-0005-0000-0000-0000AC0B0000}"/>
    <cellStyle name="Accent2 2 20" xfId="3976" xr:uid="{00000000-0005-0000-0000-0000AD0B0000}"/>
    <cellStyle name="Accent2 2 21" xfId="3977" xr:uid="{00000000-0005-0000-0000-0000AE0B0000}"/>
    <cellStyle name="Accent2 2 22" xfId="3978" xr:uid="{00000000-0005-0000-0000-0000AF0B0000}"/>
    <cellStyle name="Accent2 2 23" xfId="3979" xr:uid="{00000000-0005-0000-0000-0000B00B0000}"/>
    <cellStyle name="Accent2 2 24" xfId="3980" xr:uid="{00000000-0005-0000-0000-0000B10B0000}"/>
    <cellStyle name="Accent2 2 25" xfId="3981" xr:uid="{00000000-0005-0000-0000-0000B20B0000}"/>
    <cellStyle name="Accent2 2 26" xfId="3982" xr:uid="{00000000-0005-0000-0000-0000B30B0000}"/>
    <cellStyle name="Accent2 2 27" xfId="3983" xr:uid="{00000000-0005-0000-0000-0000B40B0000}"/>
    <cellStyle name="Accent2 2 28" xfId="3984" xr:uid="{00000000-0005-0000-0000-0000B50B0000}"/>
    <cellStyle name="Accent2 2 29" xfId="3985" xr:uid="{00000000-0005-0000-0000-0000B60B0000}"/>
    <cellStyle name="Accent2 2 3" xfId="128" xr:uid="{00000000-0005-0000-0000-0000B70B0000}"/>
    <cellStyle name="Accent2 2 3 2" xfId="3987" xr:uid="{00000000-0005-0000-0000-0000B80B0000}"/>
    <cellStyle name="Accent2 2 3 3" xfId="3986" xr:uid="{00000000-0005-0000-0000-0000B90B0000}"/>
    <cellStyle name="Accent2 2 30" xfId="3988" xr:uid="{00000000-0005-0000-0000-0000BA0B0000}"/>
    <cellStyle name="Accent2 2 31" xfId="3989" xr:uid="{00000000-0005-0000-0000-0000BB0B0000}"/>
    <cellStyle name="Accent2 2 32" xfId="3990" xr:uid="{00000000-0005-0000-0000-0000BC0B0000}"/>
    <cellStyle name="Accent2 2 33" xfId="3991" xr:uid="{00000000-0005-0000-0000-0000BD0B0000}"/>
    <cellStyle name="Accent2 2 34" xfId="3992" xr:uid="{00000000-0005-0000-0000-0000BE0B0000}"/>
    <cellStyle name="Accent2 2 35" xfId="3993" xr:uid="{00000000-0005-0000-0000-0000BF0B0000}"/>
    <cellStyle name="Accent2 2 36" xfId="3994" xr:uid="{00000000-0005-0000-0000-0000C00B0000}"/>
    <cellStyle name="Accent2 2 37" xfId="3995" xr:uid="{00000000-0005-0000-0000-0000C10B0000}"/>
    <cellStyle name="Accent2 2 38" xfId="3996" xr:uid="{00000000-0005-0000-0000-0000C20B0000}"/>
    <cellStyle name="Accent2 2 39" xfId="3997" xr:uid="{00000000-0005-0000-0000-0000C30B0000}"/>
    <cellStyle name="Accent2 2 4" xfId="3998" xr:uid="{00000000-0005-0000-0000-0000C40B0000}"/>
    <cellStyle name="Accent2 2 40" xfId="3999" xr:uid="{00000000-0005-0000-0000-0000C50B0000}"/>
    <cellStyle name="Accent2 2 41" xfId="4000" xr:uid="{00000000-0005-0000-0000-0000C60B0000}"/>
    <cellStyle name="Accent2 2 42" xfId="4001" xr:uid="{00000000-0005-0000-0000-0000C70B0000}"/>
    <cellStyle name="Accent2 2 43" xfId="4002" xr:uid="{00000000-0005-0000-0000-0000C80B0000}"/>
    <cellStyle name="Accent2 2 44" xfId="4003" xr:uid="{00000000-0005-0000-0000-0000C90B0000}"/>
    <cellStyle name="Accent2 2 45" xfId="4004" xr:uid="{00000000-0005-0000-0000-0000CA0B0000}"/>
    <cellStyle name="Accent2 2 46" xfId="4005" xr:uid="{00000000-0005-0000-0000-0000CB0B0000}"/>
    <cellStyle name="Accent2 2 47" xfId="4006" xr:uid="{00000000-0005-0000-0000-0000CC0B0000}"/>
    <cellStyle name="Accent2 2 48" xfId="4007" xr:uid="{00000000-0005-0000-0000-0000CD0B0000}"/>
    <cellStyle name="Accent2 2 49" xfId="4008" xr:uid="{00000000-0005-0000-0000-0000CE0B0000}"/>
    <cellStyle name="Accent2 2 5" xfId="4009" xr:uid="{00000000-0005-0000-0000-0000CF0B0000}"/>
    <cellStyle name="Accent2 2 6" xfId="4010" xr:uid="{00000000-0005-0000-0000-0000D00B0000}"/>
    <cellStyle name="Accent2 2 7" xfId="4011" xr:uid="{00000000-0005-0000-0000-0000D10B0000}"/>
    <cellStyle name="Accent2 2 8" xfId="4012" xr:uid="{00000000-0005-0000-0000-0000D20B0000}"/>
    <cellStyle name="Accent2 2 9" xfId="4013" xr:uid="{00000000-0005-0000-0000-0000D30B0000}"/>
    <cellStyle name="Accent2 3" xfId="4014" xr:uid="{00000000-0005-0000-0000-0000D40B0000}"/>
    <cellStyle name="Accent2 3 2" xfId="4015" xr:uid="{00000000-0005-0000-0000-0000D50B0000}"/>
    <cellStyle name="Accent2 3 2 2" xfId="4016" xr:uid="{00000000-0005-0000-0000-0000D60B0000}"/>
    <cellStyle name="Accent2 3 3" xfId="4017" xr:uid="{00000000-0005-0000-0000-0000D70B0000}"/>
    <cellStyle name="Accent2 4" xfId="4018" xr:uid="{00000000-0005-0000-0000-0000D80B0000}"/>
    <cellStyle name="Accent2 4 2" xfId="4019" xr:uid="{00000000-0005-0000-0000-0000D90B0000}"/>
    <cellStyle name="Accent2 4 2 2" xfId="4020" xr:uid="{00000000-0005-0000-0000-0000DA0B0000}"/>
    <cellStyle name="Accent2 4 3" xfId="4021" xr:uid="{00000000-0005-0000-0000-0000DB0B0000}"/>
    <cellStyle name="Accent2 5" xfId="4022" xr:uid="{00000000-0005-0000-0000-0000DC0B0000}"/>
    <cellStyle name="Accent2 5 2" xfId="4023" xr:uid="{00000000-0005-0000-0000-0000DD0B0000}"/>
    <cellStyle name="Accent2 5 2 2" xfId="4024" xr:uid="{00000000-0005-0000-0000-0000DE0B0000}"/>
    <cellStyle name="Accent2 5 3" xfId="4025" xr:uid="{00000000-0005-0000-0000-0000DF0B0000}"/>
    <cellStyle name="Accent2 6" xfId="4026" xr:uid="{00000000-0005-0000-0000-0000E00B0000}"/>
    <cellStyle name="Accent2 6 2" xfId="4027" xr:uid="{00000000-0005-0000-0000-0000E10B0000}"/>
    <cellStyle name="Accent2 6 2 2" xfId="4028" xr:uid="{00000000-0005-0000-0000-0000E20B0000}"/>
    <cellStyle name="Accent2 6 3" xfId="4029" xr:uid="{00000000-0005-0000-0000-0000E30B0000}"/>
    <cellStyle name="Accent2 7" xfId="4030" xr:uid="{00000000-0005-0000-0000-0000E40B0000}"/>
    <cellStyle name="Accent2 7 2" xfId="4031" xr:uid="{00000000-0005-0000-0000-0000E50B0000}"/>
    <cellStyle name="Accent2 7 2 2" xfId="4032" xr:uid="{00000000-0005-0000-0000-0000E60B0000}"/>
    <cellStyle name="Accent2 7 3" xfId="4033" xr:uid="{00000000-0005-0000-0000-0000E70B0000}"/>
    <cellStyle name="Accent2 8" xfId="4034" xr:uid="{00000000-0005-0000-0000-0000E80B0000}"/>
    <cellStyle name="Accent2 8 2" xfId="4035" xr:uid="{00000000-0005-0000-0000-0000E90B0000}"/>
    <cellStyle name="Accent2 8 2 2" xfId="4036" xr:uid="{00000000-0005-0000-0000-0000EA0B0000}"/>
    <cellStyle name="Accent2 8 3" xfId="4037" xr:uid="{00000000-0005-0000-0000-0000EB0B0000}"/>
    <cellStyle name="Accent2 9" xfId="4038" xr:uid="{00000000-0005-0000-0000-0000EC0B0000}"/>
    <cellStyle name="Accent2 9 2" xfId="4039" xr:uid="{00000000-0005-0000-0000-0000ED0B0000}"/>
    <cellStyle name="Accent2 9 2 2" xfId="4040" xr:uid="{00000000-0005-0000-0000-0000EE0B0000}"/>
    <cellStyle name="Accent2 9 3" xfId="4041" xr:uid="{00000000-0005-0000-0000-0000EF0B0000}"/>
    <cellStyle name="Accent3 10" xfId="4042" xr:uid="{00000000-0005-0000-0000-0000F00B0000}"/>
    <cellStyle name="Accent3 10 2" xfId="4043" xr:uid="{00000000-0005-0000-0000-0000F10B0000}"/>
    <cellStyle name="Accent3 10 2 2" xfId="4044" xr:uid="{00000000-0005-0000-0000-0000F20B0000}"/>
    <cellStyle name="Accent3 10 3" xfId="4045" xr:uid="{00000000-0005-0000-0000-0000F30B0000}"/>
    <cellStyle name="Accent3 11" xfId="4046" xr:uid="{00000000-0005-0000-0000-0000F40B0000}"/>
    <cellStyle name="Accent3 11 2" xfId="4047" xr:uid="{00000000-0005-0000-0000-0000F50B0000}"/>
    <cellStyle name="Accent3 12" xfId="4048" xr:uid="{00000000-0005-0000-0000-0000F60B0000}"/>
    <cellStyle name="Accent3 2" xfId="389" xr:uid="{00000000-0005-0000-0000-0000F70B0000}"/>
    <cellStyle name="Accent3 2 10" xfId="4049" xr:uid="{00000000-0005-0000-0000-0000F80B0000}"/>
    <cellStyle name="Accent3 2 11" xfId="4050" xr:uid="{00000000-0005-0000-0000-0000F90B0000}"/>
    <cellStyle name="Accent3 2 12" xfId="4051" xr:uid="{00000000-0005-0000-0000-0000FA0B0000}"/>
    <cellStyle name="Accent3 2 13" xfId="4052" xr:uid="{00000000-0005-0000-0000-0000FB0B0000}"/>
    <cellStyle name="Accent3 2 14" xfId="4053" xr:uid="{00000000-0005-0000-0000-0000FC0B0000}"/>
    <cellStyle name="Accent3 2 15" xfId="4054" xr:uid="{00000000-0005-0000-0000-0000FD0B0000}"/>
    <cellStyle name="Accent3 2 16" xfId="4055" xr:uid="{00000000-0005-0000-0000-0000FE0B0000}"/>
    <cellStyle name="Accent3 2 17" xfId="4056" xr:uid="{00000000-0005-0000-0000-0000FF0B0000}"/>
    <cellStyle name="Accent3 2 18" xfId="4057" xr:uid="{00000000-0005-0000-0000-0000000C0000}"/>
    <cellStyle name="Accent3 2 19" xfId="4058" xr:uid="{00000000-0005-0000-0000-0000010C0000}"/>
    <cellStyle name="Accent3 2 2" xfId="4059" xr:uid="{00000000-0005-0000-0000-0000020C0000}"/>
    <cellStyle name="Accent3 2 2 2" xfId="4060" xr:uid="{00000000-0005-0000-0000-0000030C0000}"/>
    <cellStyle name="Accent3 2 2 3" xfId="4061" xr:uid="{00000000-0005-0000-0000-0000040C0000}"/>
    <cellStyle name="Accent3 2 20" xfId="4062" xr:uid="{00000000-0005-0000-0000-0000050C0000}"/>
    <cellStyle name="Accent3 2 21" xfId="4063" xr:uid="{00000000-0005-0000-0000-0000060C0000}"/>
    <cellStyle name="Accent3 2 22" xfId="4064" xr:uid="{00000000-0005-0000-0000-0000070C0000}"/>
    <cellStyle name="Accent3 2 23" xfId="4065" xr:uid="{00000000-0005-0000-0000-0000080C0000}"/>
    <cellStyle name="Accent3 2 24" xfId="4066" xr:uid="{00000000-0005-0000-0000-0000090C0000}"/>
    <cellStyle name="Accent3 2 25" xfId="4067" xr:uid="{00000000-0005-0000-0000-00000A0C0000}"/>
    <cellStyle name="Accent3 2 26" xfId="4068" xr:uid="{00000000-0005-0000-0000-00000B0C0000}"/>
    <cellStyle name="Accent3 2 27" xfId="4069" xr:uid="{00000000-0005-0000-0000-00000C0C0000}"/>
    <cellStyle name="Accent3 2 28" xfId="4070" xr:uid="{00000000-0005-0000-0000-00000D0C0000}"/>
    <cellStyle name="Accent3 2 29" xfId="4071" xr:uid="{00000000-0005-0000-0000-00000E0C0000}"/>
    <cellStyle name="Accent3 2 3" xfId="4072" xr:uid="{00000000-0005-0000-0000-00000F0C0000}"/>
    <cellStyle name="Accent3 2 3 2" xfId="4073" xr:uid="{00000000-0005-0000-0000-0000100C0000}"/>
    <cellStyle name="Accent3 2 30" xfId="4074" xr:uid="{00000000-0005-0000-0000-0000110C0000}"/>
    <cellStyle name="Accent3 2 31" xfId="4075" xr:uid="{00000000-0005-0000-0000-0000120C0000}"/>
    <cellStyle name="Accent3 2 32" xfId="4076" xr:uid="{00000000-0005-0000-0000-0000130C0000}"/>
    <cellStyle name="Accent3 2 33" xfId="4077" xr:uid="{00000000-0005-0000-0000-0000140C0000}"/>
    <cellStyle name="Accent3 2 34" xfId="4078" xr:uid="{00000000-0005-0000-0000-0000150C0000}"/>
    <cellStyle name="Accent3 2 35" xfId="4079" xr:uid="{00000000-0005-0000-0000-0000160C0000}"/>
    <cellStyle name="Accent3 2 36" xfId="4080" xr:uid="{00000000-0005-0000-0000-0000170C0000}"/>
    <cellStyle name="Accent3 2 37" xfId="4081" xr:uid="{00000000-0005-0000-0000-0000180C0000}"/>
    <cellStyle name="Accent3 2 38" xfId="4082" xr:uid="{00000000-0005-0000-0000-0000190C0000}"/>
    <cellStyle name="Accent3 2 39" xfId="4083" xr:uid="{00000000-0005-0000-0000-00001A0C0000}"/>
    <cellStyle name="Accent3 2 4" xfId="4084" xr:uid="{00000000-0005-0000-0000-00001B0C0000}"/>
    <cellStyle name="Accent3 2 40" xfId="4085" xr:uid="{00000000-0005-0000-0000-00001C0C0000}"/>
    <cellStyle name="Accent3 2 41" xfId="4086" xr:uid="{00000000-0005-0000-0000-00001D0C0000}"/>
    <cellStyle name="Accent3 2 42" xfId="4087" xr:uid="{00000000-0005-0000-0000-00001E0C0000}"/>
    <cellStyle name="Accent3 2 43" xfId="4088" xr:uid="{00000000-0005-0000-0000-00001F0C0000}"/>
    <cellStyle name="Accent3 2 44" xfId="4089" xr:uid="{00000000-0005-0000-0000-0000200C0000}"/>
    <cellStyle name="Accent3 2 45" xfId="4090" xr:uid="{00000000-0005-0000-0000-0000210C0000}"/>
    <cellStyle name="Accent3 2 46" xfId="4091" xr:uid="{00000000-0005-0000-0000-0000220C0000}"/>
    <cellStyle name="Accent3 2 47" xfId="4092" xr:uid="{00000000-0005-0000-0000-0000230C0000}"/>
    <cellStyle name="Accent3 2 48" xfId="4093" xr:uid="{00000000-0005-0000-0000-0000240C0000}"/>
    <cellStyle name="Accent3 2 49" xfId="4094" xr:uid="{00000000-0005-0000-0000-0000250C0000}"/>
    <cellStyle name="Accent3 2 5" xfId="4095" xr:uid="{00000000-0005-0000-0000-0000260C0000}"/>
    <cellStyle name="Accent3 2 6" xfId="4096" xr:uid="{00000000-0005-0000-0000-0000270C0000}"/>
    <cellStyle name="Accent3 2 7" xfId="4097" xr:uid="{00000000-0005-0000-0000-0000280C0000}"/>
    <cellStyle name="Accent3 2 8" xfId="4098" xr:uid="{00000000-0005-0000-0000-0000290C0000}"/>
    <cellStyle name="Accent3 2 9" xfId="4099" xr:uid="{00000000-0005-0000-0000-00002A0C0000}"/>
    <cellStyle name="Accent3 3" xfId="4100" xr:uid="{00000000-0005-0000-0000-00002B0C0000}"/>
    <cellStyle name="Accent3 3 2" xfId="4101" xr:uid="{00000000-0005-0000-0000-00002C0C0000}"/>
    <cellStyle name="Accent3 3 2 2" xfId="4102" xr:uid="{00000000-0005-0000-0000-00002D0C0000}"/>
    <cellStyle name="Accent3 3 3" xfId="4103" xr:uid="{00000000-0005-0000-0000-00002E0C0000}"/>
    <cellStyle name="Accent3 4" xfId="4104" xr:uid="{00000000-0005-0000-0000-00002F0C0000}"/>
    <cellStyle name="Accent3 4 2" xfId="4105" xr:uid="{00000000-0005-0000-0000-0000300C0000}"/>
    <cellStyle name="Accent3 4 2 2" xfId="4106" xr:uid="{00000000-0005-0000-0000-0000310C0000}"/>
    <cellStyle name="Accent3 4 3" xfId="4107" xr:uid="{00000000-0005-0000-0000-0000320C0000}"/>
    <cellStyle name="Accent3 5" xfId="4108" xr:uid="{00000000-0005-0000-0000-0000330C0000}"/>
    <cellStyle name="Accent3 5 2" xfId="4109" xr:uid="{00000000-0005-0000-0000-0000340C0000}"/>
    <cellStyle name="Accent3 5 2 2" xfId="4110" xr:uid="{00000000-0005-0000-0000-0000350C0000}"/>
    <cellStyle name="Accent3 5 3" xfId="4111" xr:uid="{00000000-0005-0000-0000-0000360C0000}"/>
    <cellStyle name="Accent3 6" xfId="4112" xr:uid="{00000000-0005-0000-0000-0000370C0000}"/>
    <cellStyle name="Accent3 6 2" xfId="4113" xr:uid="{00000000-0005-0000-0000-0000380C0000}"/>
    <cellStyle name="Accent3 6 2 2" xfId="4114" xr:uid="{00000000-0005-0000-0000-0000390C0000}"/>
    <cellStyle name="Accent3 6 3" xfId="4115" xr:uid="{00000000-0005-0000-0000-00003A0C0000}"/>
    <cellStyle name="Accent3 7" xfId="4116" xr:uid="{00000000-0005-0000-0000-00003B0C0000}"/>
    <cellStyle name="Accent3 7 2" xfId="4117" xr:uid="{00000000-0005-0000-0000-00003C0C0000}"/>
    <cellStyle name="Accent3 7 2 2" xfId="4118" xr:uid="{00000000-0005-0000-0000-00003D0C0000}"/>
    <cellStyle name="Accent3 7 3" xfId="4119" xr:uid="{00000000-0005-0000-0000-00003E0C0000}"/>
    <cellStyle name="Accent3 8" xfId="4120" xr:uid="{00000000-0005-0000-0000-00003F0C0000}"/>
    <cellStyle name="Accent3 8 2" xfId="4121" xr:uid="{00000000-0005-0000-0000-0000400C0000}"/>
    <cellStyle name="Accent3 8 2 2" xfId="4122" xr:uid="{00000000-0005-0000-0000-0000410C0000}"/>
    <cellStyle name="Accent3 8 3" xfId="4123" xr:uid="{00000000-0005-0000-0000-0000420C0000}"/>
    <cellStyle name="Accent3 9" xfId="4124" xr:uid="{00000000-0005-0000-0000-0000430C0000}"/>
    <cellStyle name="Accent3 9 2" xfId="4125" xr:uid="{00000000-0005-0000-0000-0000440C0000}"/>
    <cellStyle name="Accent3 9 2 2" xfId="4126" xr:uid="{00000000-0005-0000-0000-0000450C0000}"/>
    <cellStyle name="Accent3 9 3" xfId="4127" xr:uid="{00000000-0005-0000-0000-0000460C0000}"/>
    <cellStyle name="Accent4 10" xfId="4128" xr:uid="{00000000-0005-0000-0000-0000470C0000}"/>
    <cellStyle name="Accent4 10 2" xfId="4129" xr:uid="{00000000-0005-0000-0000-0000480C0000}"/>
    <cellStyle name="Accent4 10 2 2" xfId="4130" xr:uid="{00000000-0005-0000-0000-0000490C0000}"/>
    <cellStyle name="Accent4 10 3" xfId="4131" xr:uid="{00000000-0005-0000-0000-00004A0C0000}"/>
    <cellStyle name="Accent4 11" xfId="4132" xr:uid="{00000000-0005-0000-0000-00004B0C0000}"/>
    <cellStyle name="Accent4 11 2" xfId="4133" xr:uid="{00000000-0005-0000-0000-00004C0C0000}"/>
    <cellStyle name="Accent4 12" xfId="4134" xr:uid="{00000000-0005-0000-0000-00004D0C0000}"/>
    <cellStyle name="Accent4 2" xfId="390" xr:uid="{00000000-0005-0000-0000-00004E0C0000}"/>
    <cellStyle name="Accent4 2 10" xfId="4135" xr:uid="{00000000-0005-0000-0000-00004F0C0000}"/>
    <cellStyle name="Accent4 2 11" xfId="4136" xr:uid="{00000000-0005-0000-0000-0000500C0000}"/>
    <cellStyle name="Accent4 2 12" xfId="4137" xr:uid="{00000000-0005-0000-0000-0000510C0000}"/>
    <cellStyle name="Accent4 2 13" xfId="4138" xr:uid="{00000000-0005-0000-0000-0000520C0000}"/>
    <cellStyle name="Accent4 2 14" xfId="4139" xr:uid="{00000000-0005-0000-0000-0000530C0000}"/>
    <cellStyle name="Accent4 2 15" xfId="4140" xr:uid="{00000000-0005-0000-0000-0000540C0000}"/>
    <cellStyle name="Accent4 2 16" xfId="4141" xr:uid="{00000000-0005-0000-0000-0000550C0000}"/>
    <cellStyle name="Accent4 2 17" xfId="4142" xr:uid="{00000000-0005-0000-0000-0000560C0000}"/>
    <cellStyle name="Accent4 2 18" xfId="4143" xr:uid="{00000000-0005-0000-0000-0000570C0000}"/>
    <cellStyle name="Accent4 2 19" xfId="4144" xr:uid="{00000000-0005-0000-0000-0000580C0000}"/>
    <cellStyle name="Accent4 2 2" xfId="4145" xr:uid="{00000000-0005-0000-0000-0000590C0000}"/>
    <cellStyle name="Accent4 2 2 2" xfId="4146" xr:uid="{00000000-0005-0000-0000-00005A0C0000}"/>
    <cellStyle name="Accent4 2 2 3" xfId="4147" xr:uid="{00000000-0005-0000-0000-00005B0C0000}"/>
    <cellStyle name="Accent4 2 20" xfId="4148" xr:uid="{00000000-0005-0000-0000-00005C0C0000}"/>
    <cellStyle name="Accent4 2 21" xfId="4149" xr:uid="{00000000-0005-0000-0000-00005D0C0000}"/>
    <cellStyle name="Accent4 2 22" xfId="4150" xr:uid="{00000000-0005-0000-0000-00005E0C0000}"/>
    <cellStyle name="Accent4 2 23" xfId="4151" xr:uid="{00000000-0005-0000-0000-00005F0C0000}"/>
    <cellStyle name="Accent4 2 24" xfId="4152" xr:uid="{00000000-0005-0000-0000-0000600C0000}"/>
    <cellStyle name="Accent4 2 25" xfId="4153" xr:uid="{00000000-0005-0000-0000-0000610C0000}"/>
    <cellStyle name="Accent4 2 26" xfId="4154" xr:uid="{00000000-0005-0000-0000-0000620C0000}"/>
    <cellStyle name="Accent4 2 27" xfId="4155" xr:uid="{00000000-0005-0000-0000-0000630C0000}"/>
    <cellStyle name="Accent4 2 28" xfId="4156" xr:uid="{00000000-0005-0000-0000-0000640C0000}"/>
    <cellStyle name="Accent4 2 29" xfId="4157" xr:uid="{00000000-0005-0000-0000-0000650C0000}"/>
    <cellStyle name="Accent4 2 3" xfId="4158" xr:uid="{00000000-0005-0000-0000-0000660C0000}"/>
    <cellStyle name="Accent4 2 3 2" xfId="4159" xr:uid="{00000000-0005-0000-0000-0000670C0000}"/>
    <cellStyle name="Accent4 2 30" xfId="4160" xr:uid="{00000000-0005-0000-0000-0000680C0000}"/>
    <cellStyle name="Accent4 2 31" xfId="4161" xr:uid="{00000000-0005-0000-0000-0000690C0000}"/>
    <cellStyle name="Accent4 2 32" xfId="4162" xr:uid="{00000000-0005-0000-0000-00006A0C0000}"/>
    <cellStyle name="Accent4 2 33" xfId="4163" xr:uid="{00000000-0005-0000-0000-00006B0C0000}"/>
    <cellStyle name="Accent4 2 34" xfId="4164" xr:uid="{00000000-0005-0000-0000-00006C0C0000}"/>
    <cellStyle name="Accent4 2 35" xfId="4165" xr:uid="{00000000-0005-0000-0000-00006D0C0000}"/>
    <cellStyle name="Accent4 2 36" xfId="4166" xr:uid="{00000000-0005-0000-0000-00006E0C0000}"/>
    <cellStyle name="Accent4 2 37" xfId="4167" xr:uid="{00000000-0005-0000-0000-00006F0C0000}"/>
    <cellStyle name="Accent4 2 38" xfId="4168" xr:uid="{00000000-0005-0000-0000-0000700C0000}"/>
    <cellStyle name="Accent4 2 39" xfId="4169" xr:uid="{00000000-0005-0000-0000-0000710C0000}"/>
    <cellStyle name="Accent4 2 4" xfId="4170" xr:uid="{00000000-0005-0000-0000-0000720C0000}"/>
    <cellStyle name="Accent4 2 40" xfId="4171" xr:uid="{00000000-0005-0000-0000-0000730C0000}"/>
    <cellStyle name="Accent4 2 41" xfId="4172" xr:uid="{00000000-0005-0000-0000-0000740C0000}"/>
    <cellStyle name="Accent4 2 42" xfId="4173" xr:uid="{00000000-0005-0000-0000-0000750C0000}"/>
    <cellStyle name="Accent4 2 43" xfId="4174" xr:uid="{00000000-0005-0000-0000-0000760C0000}"/>
    <cellStyle name="Accent4 2 44" xfId="4175" xr:uid="{00000000-0005-0000-0000-0000770C0000}"/>
    <cellStyle name="Accent4 2 45" xfId="4176" xr:uid="{00000000-0005-0000-0000-0000780C0000}"/>
    <cellStyle name="Accent4 2 46" xfId="4177" xr:uid="{00000000-0005-0000-0000-0000790C0000}"/>
    <cellStyle name="Accent4 2 47" xfId="4178" xr:uid="{00000000-0005-0000-0000-00007A0C0000}"/>
    <cellStyle name="Accent4 2 48" xfId="4179" xr:uid="{00000000-0005-0000-0000-00007B0C0000}"/>
    <cellStyle name="Accent4 2 49" xfId="4180" xr:uid="{00000000-0005-0000-0000-00007C0C0000}"/>
    <cellStyle name="Accent4 2 5" xfId="4181" xr:uid="{00000000-0005-0000-0000-00007D0C0000}"/>
    <cellStyle name="Accent4 2 6" xfId="4182" xr:uid="{00000000-0005-0000-0000-00007E0C0000}"/>
    <cellStyle name="Accent4 2 7" xfId="4183" xr:uid="{00000000-0005-0000-0000-00007F0C0000}"/>
    <cellStyle name="Accent4 2 8" xfId="4184" xr:uid="{00000000-0005-0000-0000-0000800C0000}"/>
    <cellStyle name="Accent4 2 9" xfId="4185" xr:uid="{00000000-0005-0000-0000-0000810C0000}"/>
    <cellStyle name="Accent4 3" xfId="4186" xr:uid="{00000000-0005-0000-0000-0000820C0000}"/>
    <cellStyle name="Accent4 3 2" xfId="4187" xr:uid="{00000000-0005-0000-0000-0000830C0000}"/>
    <cellStyle name="Accent4 3 2 2" xfId="4188" xr:uid="{00000000-0005-0000-0000-0000840C0000}"/>
    <cellStyle name="Accent4 3 3" xfId="4189" xr:uid="{00000000-0005-0000-0000-0000850C0000}"/>
    <cellStyle name="Accent4 4" xfId="4190" xr:uid="{00000000-0005-0000-0000-0000860C0000}"/>
    <cellStyle name="Accent4 4 2" xfId="4191" xr:uid="{00000000-0005-0000-0000-0000870C0000}"/>
    <cellStyle name="Accent4 4 2 2" xfId="4192" xr:uid="{00000000-0005-0000-0000-0000880C0000}"/>
    <cellStyle name="Accent4 4 3" xfId="4193" xr:uid="{00000000-0005-0000-0000-0000890C0000}"/>
    <cellStyle name="Accent4 5" xfId="4194" xr:uid="{00000000-0005-0000-0000-00008A0C0000}"/>
    <cellStyle name="Accent4 5 2" xfId="4195" xr:uid="{00000000-0005-0000-0000-00008B0C0000}"/>
    <cellStyle name="Accent4 5 2 2" xfId="4196" xr:uid="{00000000-0005-0000-0000-00008C0C0000}"/>
    <cellStyle name="Accent4 5 3" xfId="4197" xr:uid="{00000000-0005-0000-0000-00008D0C0000}"/>
    <cellStyle name="Accent4 6" xfId="4198" xr:uid="{00000000-0005-0000-0000-00008E0C0000}"/>
    <cellStyle name="Accent4 6 2" xfId="4199" xr:uid="{00000000-0005-0000-0000-00008F0C0000}"/>
    <cellStyle name="Accent4 6 2 2" xfId="4200" xr:uid="{00000000-0005-0000-0000-0000900C0000}"/>
    <cellStyle name="Accent4 6 3" xfId="4201" xr:uid="{00000000-0005-0000-0000-0000910C0000}"/>
    <cellStyle name="Accent4 7" xfId="4202" xr:uid="{00000000-0005-0000-0000-0000920C0000}"/>
    <cellStyle name="Accent4 7 2" xfId="4203" xr:uid="{00000000-0005-0000-0000-0000930C0000}"/>
    <cellStyle name="Accent4 7 2 2" xfId="4204" xr:uid="{00000000-0005-0000-0000-0000940C0000}"/>
    <cellStyle name="Accent4 7 3" xfId="4205" xr:uid="{00000000-0005-0000-0000-0000950C0000}"/>
    <cellStyle name="Accent4 8" xfId="4206" xr:uid="{00000000-0005-0000-0000-0000960C0000}"/>
    <cellStyle name="Accent4 8 2" xfId="4207" xr:uid="{00000000-0005-0000-0000-0000970C0000}"/>
    <cellStyle name="Accent4 8 2 2" xfId="4208" xr:uid="{00000000-0005-0000-0000-0000980C0000}"/>
    <cellStyle name="Accent4 8 3" xfId="4209" xr:uid="{00000000-0005-0000-0000-0000990C0000}"/>
    <cellStyle name="Accent4 9" xfId="4210" xr:uid="{00000000-0005-0000-0000-00009A0C0000}"/>
    <cellStyle name="Accent4 9 2" xfId="4211" xr:uid="{00000000-0005-0000-0000-00009B0C0000}"/>
    <cellStyle name="Accent4 9 2 2" xfId="4212" xr:uid="{00000000-0005-0000-0000-00009C0C0000}"/>
    <cellStyle name="Accent4 9 3" xfId="4213" xr:uid="{00000000-0005-0000-0000-00009D0C0000}"/>
    <cellStyle name="Accent5 10" xfId="4214" xr:uid="{00000000-0005-0000-0000-00009E0C0000}"/>
    <cellStyle name="Accent5 10 2" xfId="4215" xr:uid="{00000000-0005-0000-0000-00009F0C0000}"/>
    <cellStyle name="Accent5 10 2 2" xfId="4216" xr:uid="{00000000-0005-0000-0000-0000A00C0000}"/>
    <cellStyle name="Accent5 10 3" xfId="4217" xr:uid="{00000000-0005-0000-0000-0000A10C0000}"/>
    <cellStyle name="Accent5 11" xfId="4218" xr:uid="{00000000-0005-0000-0000-0000A20C0000}"/>
    <cellStyle name="Accent5 11 2" xfId="4219" xr:uid="{00000000-0005-0000-0000-0000A30C0000}"/>
    <cellStyle name="Accent5 12" xfId="4220" xr:uid="{00000000-0005-0000-0000-0000A40C0000}"/>
    <cellStyle name="Accent5 2" xfId="391" xr:uid="{00000000-0005-0000-0000-0000A50C0000}"/>
    <cellStyle name="Accent5 2 10" xfId="4221" xr:uid="{00000000-0005-0000-0000-0000A60C0000}"/>
    <cellStyle name="Accent5 2 11" xfId="4222" xr:uid="{00000000-0005-0000-0000-0000A70C0000}"/>
    <cellStyle name="Accent5 2 12" xfId="4223" xr:uid="{00000000-0005-0000-0000-0000A80C0000}"/>
    <cellStyle name="Accent5 2 13" xfId="4224" xr:uid="{00000000-0005-0000-0000-0000A90C0000}"/>
    <cellStyle name="Accent5 2 14" xfId="4225" xr:uid="{00000000-0005-0000-0000-0000AA0C0000}"/>
    <cellStyle name="Accent5 2 15" xfId="4226" xr:uid="{00000000-0005-0000-0000-0000AB0C0000}"/>
    <cellStyle name="Accent5 2 16" xfId="4227" xr:uid="{00000000-0005-0000-0000-0000AC0C0000}"/>
    <cellStyle name="Accent5 2 17" xfId="4228" xr:uid="{00000000-0005-0000-0000-0000AD0C0000}"/>
    <cellStyle name="Accent5 2 18" xfId="4229" xr:uid="{00000000-0005-0000-0000-0000AE0C0000}"/>
    <cellStyle name="Accent5 2 19" xfId="4230" xr:uid="{00000000-0005-0000-0000-0000AF0C0000}"/>
    <cellStyle name="Accent5 2 2" xfId="4231" xr:uid="{00000000-0005-0000-0000-0000B00C0000}"/>
    <cellStyle name="Accent5 2 2 2" xfId="4232" xr:uid="{00000000-0005-0000-0000-0000B10C0000}"/>
    <cellStyle name="Accent5 2 2 3" xfId="4233" xr:uid="{00000000-0005-0000-0000-0000B20C0000}"/>
    <cellStyle name="Accent5 2 20" xfId="4234" xr:uid="{00000000-0005-0000-0000-0000B30C0000}"/>
    <cellStyle name="Accent5 2 21" xfId="4235" xr:uid="{00000000-0005-0000-0000-0000B40C0000}"/>
    <cellStyle name="Accent5 2 22" xfId="4236" xr:uid="{00000000-0005-0000-0000-0000B50C0000}"/>
    <cellStyle name="Accent5 2 23" xfId="4237" xr:uid="{00000000-0005-0000-0000-0000B60C0000}"/>
    <cellStyle name="Accent5 2 24" xfId="4238" xr:uid="{00000000-0005-0000-0000-0000B70C0000}"/>
    <cellStyle name="Accent5 2 25" xfId="4239" xr:uid="{00000000-0005-0000-0000-0000B80C0000}"/>
    <cellStyle name="Accent5 2 26" xfId="4240" xr:uid="{00000000-0005-0000-0000-0000B90C0000}"/>
    <cellStyle name="Accent5 2 27" xfId="4241" xr:uid="{00000000-0005-0000-0000-0000BA0C0000}"/>
    <cellStyle name="Accent5 2 28" xfId="4242" xr:uid="{00000000-0005-0000-0000-0000BB0C0000}"/>
    <cellStyle name="Accent5 2 29" xfId="4243" xr:uid="{00000000-0005-0000-0000-0000BC0C0000}"/>
    <cellStyle name="Accent5 2 3" xfId="4244" xr:uid="{00000000-0005-0000-0000-0000BD0C0000}"/>
    <cellStyle name="Accent5 2 3 2" xfId="4245" xr:uid="{00000000-0005-0000-0000-0000BE0C0000}"/>
    <cellStyle name="Accent5 2 30" xfId="4246" xr:uid="{00000000-0005-0000-0000-0000BF0C0000}"/>
    <cellStyle name="Accent5 2 31" xfId="4247" xr:uid="{00000000-0005-0000-0000-0000C00C0000}"/>
    <cellStyle name="Accent5 2 32" xfId="4248" xr:uid="{00000000-0005-0000-0000-0000C10C0000}"/>
    <cellStyle name="Accent5 2 33" xfId="4249" xr:uid="{00000000-0005-0000-0000-0000C20C0000}"/>
    <cellStyle name="Accent5 2 34" xfId="4250" xr:uid="{00000000-0005-0000-0000-0000C30C0000}"/>
    <cellStyle name="Accent5 2 35" xfId="4251" xr:uid="{00000000-0005-0000-0000-0000C40C0000}"/>
    <cellStyle name="Accent5 2 36" xfId="4252" xr:uid="{00000000-0005-0000-0000-0000C50C0000}"/>
    <cellStyle name="Accent5 2 37" xfId="4253" xr:uid="{00000000-0005-0000-0000-0000C60C0000}"/>
    <cellStyle name="Accent5 2 38" xfId="4254" xr:uid="{00000000-0005-0000-0000-0000C70C0000}"/>
    <cellStyle name="Accent5 2 39" xfId="4255" xr:uid="{00000000-0005-0000-0000-0000C80C0000}"/>
    <cellStyle name="Accent5 2 4" xfId="4256" xr:uid="{00000000-0005-0000-0000-0000C90C0000}"/>
    <cellStyle name="Accent5 2 40" xfId="4257" xr:uid="{00000000-0005-0000-0000-0000CA0C0000}"/>
    <cellStyle name="Accent5 2 41" xfId="4258" xr:uid="{00000000-0005-0000-0000-0000CB0C0000}"/>
    <cellStyle name="Accent5 2 42" xfId="4259" xr:uid="{00000000-0005-0000-0000-0000CC0C0000}"/>
    <cellStyle name="Accent5 2 43" xfId="4260" xr:uid="{00000000-0005-0000-0000-0000CD0C0000}"/>
    <cellStyle name="Accent5 2 44" xfId="4261" xr:uid="{00000000-0005-0000-0000-0000CE0C0000}"/>
    <cellStyle name="Accent5 2 45" xfId="4262" xr:uid="{00000000-0005-0000-0000-0000CF0C0000}"/>
    <cellStyle name="Accent5 2 46" xfId="4263" xr:uid="{00000000-0005-0000-0000-0000D00C0000}"/>
    <cellStyle name="Accent5 2 47" xfId="4264" xr:uid="{00000000-0005-0000-0000-0000D10C0000}"/>
    <cellStyle name="Accent5 2 48" xfId="4265" xr:uid="{00000000-0005-0000-0000-0000D20C0000}"/>
    <cellStyle name="Accent5 2 49" xfId="4266" xr:uid="{00000000-0005-0000-0000-0000D30C0000}"/>
    <cellStyle name="Accent5 2 5" xfId="4267" xr:uid="{00000000-0005-0000-0000-0000D40C0000}"/>
    <cellStyle name="Accent5 2 6" xfId="4268" xr:uid="{00000000-0005-0000-0000-0000D50C0000}"/>
    <cellStyle name="Accent5 2 7" xfId="4269" xr:uid="{00000000-0005-0000-0000-0000D60C0000}"/>
    <cellStyle name="Accent5 2 8" xfId="4270" xr:uid="{00000000-0005-0000-0000-0000D70C0000}"/>
    <cellStyle name="Accent5 2 9" xfId="4271" xr:uid="{00000000-0005-0000-0000-0000D80C0000}"/>
    <cellStyle name="Accent5 3" xfId="4272" xr:uid="{00000000-0005-0000-0000-0000D90C0000}"/>
    <cellStyle name="Accent5 3 2" xfId="4273" xr:uid="{00000000-0005-0000-0000-0000DA0C0000}"/>
    <cellStyle name="Accent5 3 2 2" xfId="4274" xr:uid="{00000000-0005-0000-0000-0000DB0C0000}"/>
    <cellStyle name="Accent5 3 3" xfId="4275" xr:uid="{00000000-0005-0000-0000-0000DC0C0000}"/>
    <cellStyle name="Accent5 4" xfId="4276" xr:uid="{00000000-0005-0000-0000-0000DD0C0000}"/>
    <cellStyle name="Accent5 4 2" xfId="4277" xr:uid="{00000000-0005-0000-0000-0000DE0C0000}"/>
    <cellStyle name="Accent5 4 2 2" xfId="4278" xr:uid="{00000000-0005-0000-0000-0000DF0C0000}"/>
    <cellStyle name="Accent5 4 3" xfId="4279" xr:uid="{00000000-0005-0000-0000-0000E00C0000}"/>
    <cellStyle name="Accent5 5" xfId="4280" xr:uid="{00000000-0005-0000-0000-0000E10C0000}"/>
    <cellStyle name="Accent5 5 2" xfId="4281" xr:uid="{00000000-0005-0000-0000-0000E20C0000}"/>
    <cellStyle name="Accent5 5 2 2" xfId="4282" xr:uid="{00000000-0005-0000-0000-0000E30C0000}"/>
    <cellStyle name="Accent5 5 3" xfId="4283" xr:uid="{00000000-0005-0000-0000-0000E40C0000}"/>
    <cellStyle name="Accent5 6" xfId="4284" xr:uid="{00000000-0005-0000-0000-0000E50C0000}"/>
    <cellStyle name="Accent5 6 2" xfId="4285" xr:uid="{00000000-0005-0000-0000-0000E60C0000}"/>
    <cellStyle name="Accent5 6 2 2" xfId="4286" xr:uid="{00000000-0005-0000-0000-0000E70C0000}"/>
    <cellStyle name="Accent5 6 3" xfId="4287" xr:uid="{00000000-0005-0000-0000-0000E80C0000}"/>
    <cellStyle name="Accent5 7" xfId="4288" xr:uid="{00000000-0005-0000-0000-0000E90C0000}"/>
    <cellStyle name="Accent5 7 2" xfId="4289" xr:uid="{00000000-0005-0000-0000-0000EA0C0000}"/>
    <cellStyle name="Accent5 7 2 2" xfId="4290" xr:uid="{00000000-0005-0000-0000-0000EB0C0000}"/>
    <cellStyle name="Accent5 7 3" xfId="4291" xr:uid="{00000000-0005-0000-0000-0000EC0C0000}"/>
    <cellStyle name="Accent5 8" xfId="4292" xr:uid="{00000000-0005-0000-0000-0000ED0C0000}"/>
    <cellStyle name="Accent5 8 2" xfId="4293" xr:uid="{00000000-0005-0000-0000-0000EE0C0000}"/>
    <cellStyle name="Accent5 8 2 2" xfId="4294" xr:uid="{00000000-0005-0000-0000-0000EF0C0000}"/>
    <cellStyle name="Accent5 8 3" xfId="4295" xr:uid="{00000000-0005-0000-0000-0000F00C0000}"/>
    <cellStyle name="Accent5 9" xfId="4296" xr:uid="{00000000-0005-0000-0000-0000F10C0000}"/>
    <cellStyle name="Accent5 9 2" xfId="4297" xr:uid="{00000000-0005-0000-0000-0000F20C0000}"/>
    <cellStyle name="Accent5 9 2 2" xfId="4298" xr:uid="{00000000-0005-0000-0000-0000F30C0000}"/>
    <cellStyle name="Accent5 9 3" xfId="4299" xr:uid="{00000000-0005-0000-0000-0000F40C0000}"/>
    <cellStyle name="Accent6 10" xfId="136" xr:uid="{00000000-0005-0000-0000-0000F50C0000}"/>
    <cellStyle name="Accent6 10 2" xfId="4301" xr:uid="{00000000-0005-0000-0000-0000F60C0000}"/>
    <cellStyle name="Accent6 10 2 2" xfId="4302" xr:uid="{00000000-0005-0000-0000-0000F70C0000}"/>
    <cellStyle name="Accent6 10 3" xfId="4303" xr:uid="{00000000-0005-0000-0000-0000F80C0000}"/>
    <cellStyle name="Accent6 10 4" xfId="4300" xr:uid="{00000000-0005-0000-0000-0000F90C0000}"/>
    <cellStyle name="Accent6 11" xfId="4304" xr:uid="{00000000-0005-0000-0000-0000FA0C0000}"/>
    <cellStyle name="Accent6 11 2" xfId="4305" xr:uid="{00000000-0005-0000-0000-0000FB0C0000}"/>
    <cellStyle name="Accent6 12" xfId="4306" xr:uid="{00000000-0005-0000-0000-0000FC0C0000}"/>
    <cellStyle name="Accent6 2" xfId="392" xr:uid="{00000000-0005-0000-0000-0000FD0C0000}"/>
    <cellStyle name="Accent6 2 10" xfId="4307" xr:uid="{00000000-0005-0000-0000-0000FE0C0000}"/>
    <cellStyle name="Accent6 2 11" xfId="4308" xr:uid="{00000000-0005-0000-0000-0000FF0C0000}"/>
    <cellStyle name="Accent6 2 12" xfId="4309" xr:uid="{00000000-0005-0000-0000-0000000D0000}"/>
    <cellStyle name="Accent6 2 13" xfId="4310" xr:uid="{00000000-0005-0000-0000-0000010D0000}"/>
    <cellStyle name="Accent6 2 14" xfId="4311" xr:uid="{00000000-0005-0000-0000-0000020D0000}"/>
    <cellStyle name="Accent6 2 15" xfId="4312" xr:uid="{00000000-0005-0000-0000-0000030D0000}"/>
    <cellStyle name="Accent6 2 16" xfId="4313" xr:uid="{00000000-0005-0000-0000-0000040D0000}"/>
    <cellStyle name="Accent6 2 17" xfId="4314" xr:uid="{00000000-0005-0000-0000-0000050D0000}"/>
    <cellStyle name="Accent6 2 18" xfId="4315" xr:uid="{00000000-0005-0000-0000-0000060D0000}"/>
    <cellStyle name="Accent6 2 19" xfId="4316" xr:uid="{00000000-0005-0000-0000-0000070D0000}"/>
    <cellStyle name="Accent6 2 2" xfId="393" xr:uid="{00000000-0005-0000-0000-0000080D0000}"/>
    <cellStyle name="Accent6 2 2 2" xfId="4318" xr:uid="{00000000-0005-0000-0000-0000090D0000}"/>
    <cellStyle name="Accent6 2 2 3" xfId="4319" xr:uid="{00000000-0005-0000-0000-00000A0D0000}"/>
    <cellStyle name="Accent6 2 2 4" xfId="4317" xr:uid="{00000000-0005-0000-0000-00000B0D0000}"/>
    <cellStyle name="Accent6 2 20" xfId="4320" xr:uid="{00000000-0005-0000-0000-00000C0D0000}"/>
    <cellStyle name="Accent6 2 21" xfId="4321" xr:uid="{00000000-0005-0000-0000-00000D0D0000}"/>
    <cellStyle name="Accent6 2 22" xfId="4322" xr:uid="{00000000-0005-0000-0000-00000E0D0000}"/>
    <cellStyle name="Accent6 2 23" xfId="4323" xr:uid="{00000000-0005-0000-0000-00000F0D0000}"/>
    <cellStyle name="Accent6 2 24" xfId="4324" xr:uid="{00000000-0005-0000-0000-0000100D0000}"/>
    <cellStyle name="Accent6 2 25" xfId="4325" xr:uid="{00000000-0005-0000-0000-0000110D0000}"/>
    <cellStyle name="Accent6 2 26" xfId="4326" xr:uid="{00000000-0005-0000-0000-0000120D0000}"/>
    <cellStyle name="Accent6 2 27" xfId="4327" xr:uid="{00000000-0005-0000-0000-0000130D0000}"/>
    <cellStyle name="Accent6 2 28" xfId="4328" xr:uid="{00000000-0005-0000-0000-0000140D0000}"/>
    <cellStyle name="Accent6 2 29" xfId="4329" xr:uid="{00000000-0005-0000-0000-0000150D0000}"/>
    <cellStyle name="Accent6 2 3" xfId="4330" xr:uid="{00000000-0005-0000-0000-0000160D0000}"/>
    <cellStyle name="Accent6 2 3 2" xfId="4331" xr:uid="{00000000-0005-0000-0000-0000170D0000}"/>
    <cellStyle name="Accent6 2 30" xfId="4332" xr:uid="{00000000-0005-0000-0000-0000180D0000}"/>
    <cellStyle name="Accent6 2 31" xfId="4333" xr:uid="{00000000-0005-0000-0000-0000190D0000}"/>
    <cellStyle name="Accent6 2 32" xfId="4334" xr:uid="{00000000-0005-0000-0000-00001A0D0000}"/>
    <cellStyle name="Accent6 2 33" xfId="4335" xr:uid="{00000000-0005-0000-0000-00001B0D0000}"/>
    <cellStyle name="Accent6 2 34" xfId="4336" xr:uid="{00000000-0005-0000-0000-00001C0D0000}"/>
    <cellStyle name="Accent6 2 35" xfId="4337" xr:uid="{00000000-0005-0000-0000-00001D0D0000}"/>
    <cellStyle name="Accent6 2 36" xfId="4338" xr:uid="{00000000-0005-0000-0000-00001E0D0000}"/>
    <cellStyle name="Accent6 2 37" xfId="4339" xr:uid="{00000000-0005-0000-0000-00001F0D0000}"/>
    <cellStyle name="Accent6 2 38" xfId="4340" xr:uid="{00000000-0005-0000-0000-0000200D0000}"/>
    <cellStyle name="Accent6 2 39" xfId="4341" xr:uid="{00000000-0005-0000-0000-0000210D0000}"/>
    <cellStyle name="Accent6 2 4" xfId="4342" xr:uid="{00000000-0005-0000-0000-0000220D0000}"/>
    <cellStyle name="Accent6 2 40" xfId="4343" xr:uid="{00000000-0005-0000-0000-0000230D0000}"/>
    <cellStyle name="Accent6 2 41" xfId="4344" xr:uid="{00000000-0005-0000-0000-0000240D0000}"/>
    <cellStyle name="Accent6 2 42" xfId="4345" xr:uid="{00000000-0005-0000-0000-0000250D0000}"/>
    <cellStyle name="Accent6 2 43" xfId="4346" xr:uid="{00000000-0005-0000-0000-0000260D0000}"/>
    <cellStyle name="Accent6 2 44" xfId="4347" xr:uid="{00000000-0005-0000-0000-0000270D0000}"/>
    <cellStyle name="Accent6 2 45" xfId="4348" xr:uid="{00000000-0005-0000-0000-0000280D0000}"/>
    <cellStyle name="Accent6 2 46" xfId="4349" xr:uid="{00000000-0005-0000-0000-0000290D0000}"/>
    <cellStyle name="Accent6 2 47" xfId="4350" xr:uid="{00000000-0005-0000-0000-00002A0D0000}"/>
    <cellStyle name="Accent6 2 48" xfId="4351" xr:uid="{00000000-0005-0000-0000-00002B0D0000}"/>
    <cellStyle name="Accent6 2 49" xfId="4352" xr:uid="{00000000-0005-0000-0000-00002C0D0000}"/>
    <cellStyle name="Accent6 2 5" xfId="4353" xr:uid="{00000000-0005-0000-0000-00002D0D0000}"/>
    <cellStyle name="Accent6 2 6" xfId="4354" xr:uid="{00000000-0005-0000-0000-00002E0D0000}"/>
    <cellStyle name="Accent6 2 7" xfId="4355" xr:uid="{00000000-0005-0000-0000-00002F0D0000}"/>
    <cellStyle name="Accent6 2 8" xfId="4356" xr:uid="{00000000-0005-0000-0000-0000300D0000}"/>
    <cellStyle name="Accent6 2 9" xfId="4357" xr:uid="{00000000-0005-0000-0000-0000310D0000}"/>
    <cellStyle name="Accent6 3" xfId="4358" xr:uid="{00000000-0005-0000-0000-0000320D0000}"/>
    <cellStyle name="Accent6 3 2" xfId="4359" xr:uid="{00000000-0005-0000-0000-0000330D0000}"/>
    <cellStyle name="Accent6 3 2 2" xfId="4360" xr:uid="{00000000-0005-0000-0000-0000340D0000}"/>
    <cellStyle name="Accent6 3 3" xfId="4361" xr:uid="{00000000-0005-0000-0000-0000350D0000}"/>
    <cellStyle name="Accent6 4" xfId="4362" xr:uid="{00000000-0005-0000-0000-0000360D0000}"/>
    <cellStyle name="Accent6 4 2" xfId="4363" xr:uid="{00000000-0005-0000-0000-0000370D0000}"/>
    <cellStyle name="Accent6 4 2 2" xfId="4364" xr:uid="{00000000-0005-0000-0000-0000380D0000}"/>
    <cellStyle name="Accent6 4 3" xfId="4365" xr:uid="{00000000-0005-0000-0000-0000390D0000}"/>
    <cellStyle name="Accent6 5" xfId="4366" xr:uid="{00000000-0005-0000-0000-00003A0D0000}"/>
    <cellStyle name="Accent6 5 2" xfId="4367" xr:uid="{00000000-0005-0000-0000-00003B0D0000}"/>
    <cellStyle name="Accent6 5 2 2" xfId="4368" xr:uid="{00000000-0005-0000-0000-00003C0D0000}"/>
    <cellStyle name="Accent6 5 3" xfId="4369" xr:uid="{00000000-0005-0000-0000-00003D0D0000}"/>
    <cellStyle name="Accent6 6" xfId="4370" xr:uid="{00000000-0005-0000-0000-00003E0D0000}"/>
    <cellStyle name="Accent6 6 2" xfId="4371" xr:uid="{00000000-0005-0000-0000-00003F0D0000}"/>
    <cellStyle name="Accent6 6 2 2" xfId="4372" xr:uid="{00000000-0005-0000-0000-0000400D0000}"/>
    <cellStyle name="Accent6 6 3" xfId="4373" xr:uid="{00000000-0005-0000-0000-0000410D0000}"/>
    <cellStyle name="Accent6 7" xfId="4374" xr:uid="{00000000-0005-0000-0000-0000420D0000}"/>
    <cellStyle name="Accent6 7 2" xfId="4375" xr:uid="{00000000-0005-0000-0000-0000430D0000}"/>
    <cellStyle name="Accent6 7 2 2" xfId="4376" xr:uid="{00000000-0005-0000-0000-0000440D0000}"/>
    <cellStyle name="Accent6 7 3" xfId="4377" xr:uid="{00000000-0005-0000-0000-0000450D0000}"/>
    <cellStyle name="Accent6 8" xfId="4378" xr:uid="{00000000-0005-0000-0000-0000460D0000}"/>
    <cellStyle name="Accent6 8 2" xfId="4379" xr:uid="{00000000-0005-0000-0000-0000470D0000}"/>
    <cellStyle name="Accent6 8 2 2" xfId="4380" xr:uid="{00000000-0005-0000-0000-0000480D0000}"/>
    <cellStyle name="Accent6 8 3" xfId="4381" xr:uid="{00000000-0005-0000-0000-0000490D0000}"/>
    <cellStyle name="Accent6 9" xfId="4382" xr:uid="{00000000-0005-0000-0000-00004A0D0000}"/>
    <cellStyle name="Accent6 9 2" xfId="4383" xr:uid="{00000000-0005-0000-0000-00004B0D0000}"/>
    <cellStyle name="Accent6 9 2 2" xfId="4384" xr:uid="{00000000-0005-0000-0000-00004C0D0000}"/>
    <cellStyle name="Accent6 9 3" xfId="4385" xr:uid="{00000000-0005-0000-0000-00004D0D0000}"/>
    <cellStyle name="ÅëÈ­ [0]_±âÅ¸" xfId="394" xr:uid="{00000000-0005-0000-0000-00004E0D0000}"/>
    <cellStyle name="ÅëÈ­_±âÅ¸" xfId="395" xr:uid="{00000000-0005-0000-0000-00004F0D0000}"/>
    <cellStyle name="AMAR1" xfId="396" xr:uid="{00000000-0005-0000-0000-0000500D0000}"/>
    <cellStyle name="Arial1 - Style1" xfId="397" xr:uid="{00000000-0005-0000-0000-0000510D0000}"/>
    <cellStyle name="Arial1 - Style2" xfId="398" xr:uid="{00000000-0005-0000-0000-0000520D0000}"/>
    <cellStyle name="Arial10" xfId="399" xr:uid="{00000000-0005-0000-0000-0000530D0000}"/>
    <cellStyle name="ÄÞ¸¶ [0]_±âÅ¸" xfId="400" xr:uid="{00000000-0005-0000-0000-0000540D0000}"/>
    <cellStyle name="ÄÞ¸¶_±âÅ¸" xfId="401" xr:uid="{00000000-0005-0000-0000-0000550D0000}"/>
    <cellStyle name="b1x" xfId="402" xr:uid="{00000000-0005-0000-0000-0000560D0000}"/>
    <cellStyle name="Bad 10" xfId="4386" xr:uid="{00000000-0005-0000-0000-0000570D0000}"/>
    <cellStyle name="Bad 10 2" xfId="4387" xr:uid="{00000000-0005-0000-0000-0000580D0000}"/>
    <cellStyle name="Bad 10 2 2" xfId="4388" xr:uid="{00000000-0005-0000-0000-0000590D0000}"/>
    <cellStyle name="Bad 10 3" xfId="4389" xr:uid="{00000000-0005-0000-0000-00005A0D0000}"/>
    <cellStyle name="Bad 11" xfId="4390" xr:uid="{00000000-0005-0000-0000-00005B0D0000}"/>
    <cellStyle name="Bad 11 2" xfId="4391" xr:uid="{00000000-0005-0000-0000-00005C0D0000}"/>
    <cellStyle name="Bad 12" xfId="4392" xr:uid="{00000000-0005-0000-0000-00005D0D0000}"/>
    <cellStyle name="Bad 2" xfId="403" xr:uid="{00000000-0005-0000-0000-00005E0D0000}"/>
    <cellStyle name="Bad 2 10" xfId="4393" xr:uid="{00000000-0005-0000-0000-00005F0D0000}"/>
    <cellStyle name="Bad 2 11" xfId="4394" xr:uid="{00000000-0005-0000-0000-0000600D0000}"/>
    <cellStyle name="Bad 2 12" xfId="4395" xr:uid="{00000000-0005-0000-0000-0000610D0000}"/>
    <cellStyle name="Bad 2 13" xfId="4396" xr:uid="{00000000-0005-0000-0000-0000620D0000}"/>
    <cellStyle name="Bad 2 14" xfId="4397" xr:uid="{00000000-0005-0000-0000-0000630D0000}"/>
    <cellStyle name="Bad 2 15" xfId="4398" xr:uid="{00000000-0005-0000-0000-0000640D0000}"/>
    <cellStyle name="Bad 2 16" xfId="4399" xr:uid="{00000000-0005-0000-0000-0000650D0000}"/>
    <cellStyle name="Bad 2 17" xfId="4400" xr:uid="{00000000-0005-0000-0000-0000660D0000}"/>
    <cellStyle name="Bad 2 18" xfId="4401" xr:uid="{00000000-0005-0000-0000-0000670D0000}"/>
    <cellStyle name="Bad 2 19" xfId="4402" xr:uid="{00000000-0005-0000-0000-0000680D0000}"/>
    <cellStyle name="Bad 2 2" xfId="4403" xr:uid="{00000000-0005-0000-0000-0000690D0000}"/>
    <cellStyle name="Bad 2 2 2" xfId="4404" xr:uid="{00000000-0005-0000-0000-00006A0D0000}"/>
    <cellStyle name="Bad 2 2 3" xfId="4405" xr:uid="{00000000-0005-0000-0000-00006B0D0000}"/>
    <cellStyle name="Bad 2 20" xfId="4406" xr:uid="{00000000-0005-0000-0000-00006C0D0000}"/>
    <cellStyle name="Bad 2 21" xfId="4407" xr:uid="{00000000-0005-0000-0000-00006D0D0000}"/>
    <cellStyle name="Bad 2 22" xfId="4408" xr:uid="{00000000-0005-0000-0000-00006E0D0000}"/>
    <cellStyle name="Bad 2 23" xfId="4409" xr:uid="{00000000-0005-0000-0000-00006F0D0000}"/>
    <cellStyle name="Bad 2 24" xfId="4410" xr:uid="{00000000-0005-0000-0000-0000700D0000}"/>
    <cellStyle name="Bad 2 25" xfId="4411" xr:uid="{00000000-0005-0000-0000-0000710D0000}"/>
    <cellStyle name="Bad 2 26" xfId="4412" xr:uid="{00000000-0005-0000-0000-0000720D0000}"/>
    <cellStyle name="Bad 2 27" xfId="4413" xr:uid="{00000000-0005-0000-0000-0000730D0000}"/>
    <cellStyle name="Bad 2 28" xfId="4414" xr:uid="{00000000-0005-0000-0000-0000740D0000}"/>
    <cellStyle name="Bad 2 29" xfId="4415" xr:uid="{00000000-0005-0000-0000-0000750D0000}"/>
    <cellStyle name="Bad 2 3" xfId="4416" xr:uid="{00000000-0005-0000-0000-0000760D0000}"/>
    <cellStyle name="Bad 2 3 2" xfId="4417" xr:uid="{00000000-0005-0000-0000-0000770D0000}"/>
    <cellStyle name="Bad 2 30" xfId="4418" xr:uid="{00000000-0005-0000-0000-0000780D0000}"/>
    <cellStyle name="Bad 2 31" xfId="4419" xr:uid="{00000000-0005-0000-0000-0000790D0000}"/>
    <cellStyle name="Bad 2 32" xfId="4420" xr:uid="{00000000-0005-0000-0000-00007A0D0000}"/>
    <cellStyle name="Bad 2 33" xfId="4421" xr:uid="{00000000-0005-0000-0000-00007B0D0000}"/>
    <cellStyle name="Bad 2 34" xfId="4422" xr:uid="{00000000-0005-0000-0000-00007C0D0000}"/>
    <cellStyle name="Bad 2 35" xfId="4423" xr:uid="{00000000-0005-0000-0000-00007D0D0000}"/>
    <cellStyle name="Bad 2 36" xfId="4424" xr:uid="{00000000-0005-0000-0000-00007E0D0000}"/>
    <cellStyle name="Bad 2 37" xfId="4425" xr:uid="{00000000-0005-0000-0000-00007F0D0000}"/>
    <cellStyle name="Bad 2 38" xfId="4426" xr:uid="{00000000-0005-0000-0000-0000800D0000}"/>
    <cellStyle name="Bad 2 39" xfId="4427" xr:uid="{00000000-0005-0000-0000-0000810D0000}"/>
    <cellStyle name="Bad 2 4" xfId="4428" xr:uid="{00000000-0005-0000-0000-0000820D0000}"/>
    <cellStyle name="Bad 2 40" xfId="4429" xr:uid="{00000000-0005-0000-0000-0000830D0000}"/>
    <cellStyle name="Bad 2 41" xfId="4430" xr:uid="{00000000-0005-0000-0000-0000840D0000}"/>
    <cellStyle name="Bad 2 42" xfId="4431" xr:uid="{00000000-0005-0000-0000-0000850D0000}"/>
    <cellStyle name="Bad 2 43" xfId="4432" xr:uid="{00000000-0005-0000-0000-0000860D0000}"/>
    <cellStyle name="Bad 2 44" xfId="4433" xr:uid="{00000000-0005-0000-0000-0000870D0000}"/>
    <cellStyle name="Bad 2 45" xfId="4434" xr:uid="{00000000-0005-0000-0000-0000880D0000}"/>
    <cellStyle name="Bad 2 46" xfId="4435" xr:uid="{00000000-0005-0000-0000-0000890D0000}"/>
    <cellStyle name="Bad 2 47" xfId="4436" xr:uid="{00000000-0005-0000-0000-00008A0D0000}"/>
    <cellStyle name="Bad 2 48" xfId="4437" xr:uid="{00000000-0005-0000-0000-00008B0D0000}"/>
    <cellStyle name="Bad 2 49" xfId="4438" xr:uid="{00000000-0005-0000-0000-00008C0D0000}"/>
    <cellStyle name="Bad 2 5" xfId="4439" xr:uid="{00000000-0005-0000-0000-00008D0D0000}"/>
    <cellStyle name="Bad 2 6" xfId="4440" xr:uid="{00000000-0005-0000-0000-00008E0D0000}"/>
    <cellStyle name="Bad 2 7" xfId="4441" xr:uid="{00000000-0005-0000-0000-00008F0D0000}"/>
    <cellStyle name="Bad 2 8" xfId="4442" xr:uid="{00000000-0005-0000-0000-0000900D0000}"/>
    <cellStyle name="Bad 2 9" xfId="4443" xr:uid="{00000000-0005-0000-0000-0000910D0000}"/>
    <cellStyle name="Bad 3" xfId="4444" xr:uid="{00000000-0005-0000-0000-0000920D0000}"/>
    <cellStyle name="Bad 3 2" xfId="4445" xr:uid="{00000000-0005-0000-0000-0000930D0000}"/>
    <cellStyle name="Bad 3 2 2" xfId="4446" xr:uid="{00000000-0005-0000-0000-0000940D0000}"/>
    <cellStyle name="Bad 3 3" xfId="4447" xr:uid="{00000000-0005-0000-0000-0000950D0000}"/>
    <cellStyle name="Bad 4" xfId="4448" xr:uid="{00000000-0005-0000-0000-0000960D0000}"/>
    <cellStyle name="Bad 4 2" xfId="4449" xr:uid="{00000000-0005-0000-0000-0000970D0000}"/>
    <cellStyle name="Bad 4 2 2" xfId="4450" xr:uid="{00000000-0005-0000-0000-0000980D0000}"/>
    <cellStyle name="Bad 4 3" xfId="4451" xr:uid="{00000000-0005-0000-0000-0000990D0000}"/>
    <cellStyle name="Bad 5" xfId="4452" xr:uid="{00000000-0005-0000-0000-00009A0D0000}"/>
    <cellStyle name="Bad 5 2" xfId="4453" xr:uid="{00000000-0005-0000-0000-00009B0D0000}"/>
    <cellStyle name="Bad 5 2 2" xfId="4454" xr:uid="{00000000-0005-0000-0000-00009C0D0000}"/>
    <cellStyle name="Bad 5 3" xfId="4455" xr:uid="{00000000-0005-0000-0000-00009D0D0000}"/>
    <cellStyle name="Bad 6" xfId="4456" xr:uid="{00000000-0005-0000-0000-00009E0D0000}"/>
    <cellStyle name="Bad 6 2" xfId="4457" xr:uid="{00000000-0005-0000-0000-00009F0D0000}"/>
    <cellStyle name="Bad 6 2 2" xfId="4458" xr:uid="{00000000-0005-0000-0000-0000A00D0000}"/>
    <cellStyle name="Bad 6 3" xfId="4459" xr:uid="{00000000-0005-0000-0000-0000A10D0000}"/>
    <cellStyle name="Bad 7" xfId="4460" xr:uid="{00000000-0005-0000-0000-0000A20D0000}"/>
    <cellStyle name="Bad 7 2" xfId="4461" xr:uid="{00000000-0005-0000-0000-0000A30D0000}"/>
    <cellStyle name="Bad 7 2 2" xfId="4462" xr:uid="{00000000-0005-0000-0000-0000A40D0000}"/>
    <cellStyle name="Bad 7 3" xfId="4463" xr:uid="{00000000-0005-0000-0000-0000A50D0000}"/>
    <cellStyle name="Bad 8" xfId="4464" xr:uid="{00000000-0005-0000-0000-0000A60D0000}"/>
    <cellStyle name="Bad 8 2" xfId="4465" xr:uid="{00000000-0005-0000-0000-0000A70D0000}"/>
    <cellStyle name="Bad 8 2 2" xfId="4466" xr:uid="{00000000-0005-0000-0000-0000A80D0000}"/>
    <cellStyle name="Bad 8 3" xfId="4467" xr:uid="{00000000-0005-0000-0000-0000A90D0000}"/>
    <cellStyle name="Bad 9" xfId="4468" xr:uid="{00000000-0005-0000-0000-0000AA0D0000}"/>
    <cellStyle name="Bad 9 2" xfId="4469" xr:uid="{00000000-0005-0000-0000-0000AB0D0000}"/>
    <cellStyle name="Bad 9 2 2" xfId="4470" xr:uid="{00000000-0005-0000-0000-0000AC0D0000}"/>
    <cellStyle name="Bad 9 3" xfId="4471" xr:uid="{00000000-0005-0000-0000-0000AD0D0000}"/>
    <cellStyle name="Body" xfId="404" xr:uid="{00000000-0005-0000-0000-0000AE0D0000}"/>
    <cellStyle name="Ç¥ÁØ_¿¬°£´©°è¿¹»ó" xfId="405" xr:uid="{00000000-0005-0000-0000-0000AF0D0000}"/>
    <cellStyle name="Calc Currency (0)" xfId="406" xr:uid="{00000000-0005-0000-0000-0000B00D0000}"/>
    <cellStyle name="Calc Currency (2)" xfId="407" xr:uid="{00000000-0005-0000-0000-0000B10D0000}"/>
    <cellStyle name="Calc Percent (0)" xfId="408" xr:uid="{00000000-0005-0000-0000-0000B20D0000}"/>
    <cellStyle name="Calc Percent (1)" xfId="409" xr:uid="{00000000-0005-0000-0000-0000B30D0000}"/>
    <cellStyle name="Calc Percent (2)" xfId="410" xr:uid="{00000000-0005-0000-0000-0000B40D0000}"/>
    <cellStyle name="Calc Units (0)" xfId="411" xr:uid="{00000000-0005-0000-0000-0000B50D0000}"/>
    <cellStyle name="Calc Units (1)" xfId="412" xr:uid="{00000000-0005-0000-0000-0000B60D0000}"/>
    <cellStyle name="Calc Units (2)" xfId="413" xr:uid="{00000000-0005-0000-0000-0000B70D0000}"/>
    <cellStyle name="Calculation 10" xfId="4472" xr:uid="{00000000-0005-0000-0000-0000B80D0000}"/>
    <cellStyle name="Calculation 10 2" xfId="4473" xr:uid="{00000000-0005-0000-0000-0000B90D0000}"/>
    <cellStyle name="Calculation 10 2 2" xfId="4474" xr:uid="{00000000-0005-0000-0000-0000BA0D0000}"/>
    <cellStyle name="Calculation 10 2 2 2" xfId="6241" xr:uid="{00000000-0005-0000-0000-0000BB0D0000}"/>
    <cellStyle name="Calculation 10 2 3" xfId="6240" xr:uid="{00000000-0005-0000-0000-0000BC0D0000}"/>
    <cellStyle name="Calculation 10 3" xfId="4475" xr:uid="{00000000-0005-0000-0000-0000BD0D0000}"/>
    <cellStyle name="Calculation 10 3 2" xfId="6242" xr:uid="{00000000-0005-0000-0000-0000BE0D0000}"/>
    <cellStyle name="Calculation 10 4" xfId="6239" xr:uid="{00000000-0005-0000-0000-0000BF0D0000}"/>
    <cellStyle name="Calculation 11" xfId="4476" xr:uid="{00000000-0005-0000-0000-0000C00D0000}"/>
    <cellStyle name="Calculation 11 2" xfId="4477" xr:uid="{00000000-0005-0000-0000-0000C10D0000}"/>
    <cellStyle name="Calculation 11 2 2" xfId="6244" xr:uid="{00000000-0005-0000-0000-0000C20D0000}"/>
    <cellStyle name="Calculation 11 3" xfId="6243" xr:uid="{00000000-0005-0000-0000-0000C30D0000}"/>
    <cellStyle name="Calculation 12" xfId="4478" xr:uid="{00000000-0005-0000-0000-0000C40D0000}"/>
    <cellStyle name="Calculation 12 2" xfId="6245" xr:uid="{00000000-0005-0000-0000-0000C50D0000}"/>
    <cellStyle name="Calculation 2" xfId="414" xr:uid="{00000000-0005-0000-0000-0000C60D0000}"/>
    <cellStyle name="Calculation 2 10" xfId="4479" xr:uid="{00000000-0005-0000-0000-0000C70D0000}"/>
    <cellStyle name="Calculation 2 10 2" xfId="6246" xr:uid="{00000000-0005-0000-0000-0000C80D0000}"/>
    <cellStyle name="Calculation 2 11" xfId="4480" xr:uid="{00000000-0005-0000-0000-0000C90D0000}"/>
    <cellStyle name="Calculation 2 11 2" xfId="6247" xr:uid="{00000000-0005-0000-0000-0000CA0D0000}"/>
    <cellStyle name="Calculation 2 12" xfId="4481" xr:uid="{00000000-0005-0000-0000-0000CB0D0000}"/>
    <cellStyle name="Calculation 2 12 2" xfId="6248" xr:uid="{00000000-0005-0000-0000-0000CC0D0000}"/>
    <cellStyle name="Calculation 2 13" xfId="4482" xr:uid="{00000000-0005-0000-0000-0000CD0D0000}"/>
    <cellStyle name="Calculation 2 13 2" xfId="6249" xr:uid="{00000000-0005-0000-0000-0000CE0D0000}"/>
    <cellStyle name="Calculation 2 14" xfId="4483" xr:uid="{00000000-0005-0000-0000-0000CF0D0000}"/>
    <cellStyle name="Calculation 2 14 2" xfId="6250" xr:uid="{00000000-0005-0000-0000-0000D00D0000}"/>
    <cellStyle name="Calculation 2 15" xfId="4484" xr:uid="{00000000-0005-0000-0000-0000D10D0000}"/>
    <cellStyle name="Calculation 2 15 2" xfId="6251" xr:uid="{00000000-0005-0000-0000-0000D20D0000}"/>
    <cellStyle name="Calculation 2 16" xfId="4485" xr:uid="{00000000-0005-0000-0000-0000D30D0000}"/>
    <cellStyle name="Calculation 2 16 2" xfId="6252" xr:uid="{00000000-0005-0000-0000-0000D40D0000}"/>
    <cellStyle name="Calculation 2 17" xfId="4486" xr:uid="{00000000-0005-0000-0000-0000D50D0000}"/>
    <cellStyle name="Calculation 2 17 2" xfId="6253" xr:uid="{00000000-0005-0000-0000-0000D60D0000}"/>
    <cellStyle name="Calculation 2 18" xfId="4487" xr:uid="{00000000-0005-0000-0000-0000D70D0000}"/>
    <cellStyle name="Calculation 2 18 2" xfId="6254" xr:uid="{00000000-0005-0000-0000-0000D80D0000}"/>
    <cellStyle name="Calculation 2 19" xfId="4488" xr:uid="{00000000-0005-0000-0000-0000D90D0000}"/>
    <cellStyle name="Calculation 2 19 2" xfId="6255" xr:uid="{00000000-0005-0000-0000-0000DA0D0000}"/>
    <cellStyle name="Calculation 2 2" xfId="415" xr:uid="{00000000-0005-0000-0000-0000DB0D0000}"/>
    <cellStyle name="Calculation 2 2 2" xfId="416" xr:uid="{00000000-0005-0000-0000-0000DC0D0000}"/>
    <cellStyle name="Calculation 2 2 2 2" xfId="4489" xr:uid="{00000000-0005-0000-0000-0000DD0D0000}"/>
    <cellStyle name="Calculation 2 2 2 2 2" xfId="7335" xr:uid="{00000000-0005-0000-0000-0000DE0D0000}"/>
    <cellStyle name="Calculation 2 2 2 3" xfId="6256" xr:uid="{00000000-0005-0000-0000-0000DF0D0000}"/>
    <cellStyle name="Calculation 2 2 2 4" xfId="6438" xr:uid="{00000000-0005-0000-0000-0000E00D0000}"/>
    <cellStyle name="Calculation 2 2 3" xfId="417" xr:uid="{00000000-0005-0000-0000-0000E10D0000}"/>
    <cellStyle name="Calculation 2 2 3 2" xfId="4490" xr:uid="{00000000-0005-0000-0000-0000E20D0000}"/>
    <cellStyle name="Calculation 2 2 3 2 2" xfId="7336" xr:uid="{00000000-0005-0000-0000-0000E30D0000}"/>
    <cellStyle name="Calculation 2 2 3 3" xfId="6257" xr:uid="{00000000-0005-0000-0000-0000E40D0000}"/>
    <cellStyle name="Calculation 2 20" xfId="4491" xr:uid="{00000000-0005-0000-0000-0000E50D0000}"/>
    <cellStyle name="Calculation 2 20 2" xfId="6258" xr:uid="{00000000-0005-0000-0000-0000E60D0000}"/>
    <cellStyle name="Calculation 2 21" xfId="4492" xr:uid="{00000000-0005-0000-0000-0000E70D0000}"/>
    <cellStyle name="Calculation 2 21 2" xfId="6259" xr:uid="{00000000-0005-0000-0000-0000E80D0000}"/>
    <cellStyle name="Calculation 2 22" xfId="4493" xr:uid="{00000000-0005-0000-0000-0000E90D0000}"/>
    <cellStyle name="Calculation 2 22 2" xfId="6260" xr:uid="{00000000-0005-0000-0000-0000EA0D0000}"/>
    <cellStyle name="Calculation 2 23" xfId="4494" xr:uid="{00000000-0005-0000-0000-0000EB0D0000}"/>
    <cellStyle name="Calculation 2 23 2" xfId="6261" xr:uid="{00000000-0005-0000-0000-0000EC0D0000}"/>
    <cellStyle name="Calculation 2 24" xfId="4495" xr:uid="{00000000-0005-0000-0000-0000ED0D0000}"/>
    <cellStyle name="Calculation 2 24 2" xfId="6262" xr:uid="{00000000-0005-0000-0000-0000EE0D0000}"/>
    <cellStyle name="Calculation 2 25" xfId="4496" xr:uid="{00000000-0005-0000-0000-0000EF0D0000}"/>
    <cellStyle name="Calculation 2 25 2" xfId="6263" xr:uid="{00000000-0005-0000-0000-0000F00D0000}"/>
    <cellStyle name="Calculation 2 26" xfId="4497" xr:uid="{00000000-0005-0000-0000-0000F10D0000}"/>
    <cellStyle name="Calculation 2 26 2" xfId="6264" xr:uid="{00000000-0005-0000-0000-0000F20D0000}"/>
    <cellStyle name="Calculation 2 27" xfId="4498" xr:uid="{00000000-0005-0000-0000-0000F30D0000}"/>
    <cellStyle name="Calculation 2 27 2" xfId="6265" xr:uid="{00000000-0005-0000-0000-0000F40D0000}"/>
    <cellStyle name="Calculation 2 28" xfId="4499" xr:uid="{00000000-0005-0000-0000-0000F50D0000}"/>
    <cellStyle name="Calculation 2 28 2" xfId="6266" xr:uid="{00000000-0005-0000-0000-0000F60D0000}"/>
    <cellStyle name="Calculation 2 29" xfId="4500" xr:uid="{00000000-0005-0000-0000-0000F70D0000}"/>
    <cellStyle name="Calculation 2 29 2" xfId="6267" xr:uid="{00000000-0005-0000-0000-0000F80D0000}"/>
    <cellStyle name="Calculation 2 3" xfId="418" xr:uid="{00000000-0005-0000-0000-0000F90D0000}"/>
    <cellStyle name="Calculation 2 3 2" xfId="4502" xr:uid="{00000000-0005-0000-0000-0000FA0D0000}"/>
    <cellStyle name="Calculation 2 3 2 2" xfId="6269" xr:uid="{00000000-0005-0000-0000-0000FB0D0000}"/>
    <cellStyle name="Calculation 2 3 3" xfId="4501" xr:uid="{00000000-0005-0000-0000-0000FC0D0000}"/>
    <cellStyle name="Calculation 2 3 3 2" xfId="7337" xr:uid="{00000000-0005-0000-0000-0000FD0D0000}"/>
    <cellStyle name="Calculation 2 3 4" xfId="6268" xr:uid="{00000000-0005-0000-0000-0000FE0D0000}"/>
    <cellStyle name="Calculation 2 30" xfId="4503" xr:uid="{00000000-0005-0000-0000-0000FF0D0000}"/>
    <cellStyle name="Calculation 2 30 2" xfId="6270" xr:uid="{00000000-0005-0000-0000-0000000E0000}"/>
    <cellStyle name="Calculation 2 31" xfId="4504" xr:uid="{00000000-0005-0000-0000-0000010E0000}"/>
    <cellStyle name="Calculation 2 31 2" xfId="6271" xr:uid="{00000000-0005-0000-0000-0000020E0000}"/>
    <cellStyle name="Calculation 2 32" xfId="4505" xr:uid="{00000000-0005-0000-0000-0000030E0000}"/>
    <cellStyle name="Calculation 2 32 2" xfId="6272" xr:uid="{00000000-0005-0000-0000-0000040E0000}"/>
    <cellStyle name="Calculation 2 33" xfId="4506" xr:uid="{00000000-0005-0000-0000-0000050E0000}"/>
    <cellStyle name="Calculation 2 33 2" xfId="6273" xr:uid="{00000000-0005-0000-0000-0000060E0000}"/>
    <cellStyle name="Calculation 2 34" xfId="4507" xr:uid="{00000000-0005-0000-0000-0000070E0000}"/>
    <cellStyle name="Calculation 2 34 2" xfId="6274" xr:uid="{00000000-0005-0000-0000-0000080E0000}"/>
    <cellStyle name="Calculation 2 35" xfId="4508" xr:uid="{00000000-0005-0000-0000-0000090E0000}"/>
    <cellStyle name="Calculation 2 35 2" xfId="6275" xr:uid="{00000000-0005-0000-0000-00000A0E0000}"/>
    <cellStyle name="Calculation 2 36" xfId="4509" xr:uid="{00000000-0005-0000-0000-00000B0E0000}"/>
    <cellStyle name="Calculation 2 36 2" xfId="6276" xr:uid="{00000000-0005-0000-0000-00000C0E0000}"/>
    <cellStyle name="Calculation 2 37" xfId="4510" xr:uid="{00000000-0005-0000-0000-00000D0E0000}"/>
    <cellStyle name="Calculation 2 37 2" xfId="6277" xr:uid="{00000000-0005-0000-0000-00000E0E0000}"/>
    <cellStyle name="Calculation 2 38" xfId="4511" xr:uid="{00000000-0005-0000-0000-00000F0E0000}"/>
    <cellStyle name="Calculation 2 38 2" xfId="6278" xr:uid="{00000000-0005-0000-0000-0000100E0000}"/>
    <cellStyle name="Calculation 2 39" xfId="4512" xr:uid="{00000000-0005-0000-0000-0000110E0000}"/>
    <cellStyle name="Calculation 2 39 2" xfId="6279" xr:uid="{00000000-0005-0000-0000-0000120E0000}"/>
    <cellStyle name="Calculation 2 4" xfId="419" xr:uid="{00000000-0005-0000-0000-0000130E0000}"/>
    <cellStyle name="Calculation 2 4 2" xfId="4513" xr:uid="{00000000-0005-0000-0000-0000140E0000}"/>
    <cellStyle name="Calculation 2 4 2 2" xfId="7338" xr:uid="{00000000-0005-0000-0000-0000150E0000}"/>
    <cellStyle name="Calculation 2 4 3" xfId="6280" xr:uid="{00000000-0005-0000-0000-0000160E0000}"/>
    <cellStyle name="Calculation 2 4 4" xfId="6439" xr:uid="{00000000-0005-0000-0000-0000170E0000}"/>
    <cellStyle name="Calculation 2 40" xfId="4514" xr:uid="{00000000-0005-0000-0000-0000180E0000}"/>
    <cellStyle name="Calculation 2 40 2" xfId="6281" xr:uid="{00000000-0005-0000-0000-0000190E0000}"/>
    <cellStyle name="Calculation 2 41" xfId="4515" xr:uid="{00000000-0005-0000-0000-00001A0E0000}"/>
    <cellStyle name="Calculation 2 41 2" xfId="6282" xr:uid="{00000000-0005-0000-0000-00001B0E0000}"/>
    <cellStyle name="Calculation 2 42" xfId="4516" xr:uid="{00000000-0005-0000-0000-00001C0E0000}"/>
    <cellStyle name="Calculation 2 42 2" xfId="6283" xr:uid="{00000000-0005-0000-0000-00001D0E0000}"/>
    <cellStyle name="Calculation 2 43" xfId="4517" xr:uid="{00000000-0005-0000-0000-00001E0E0000}"/>
    <cellStyle name="Calculation 2 43 2" xfId="6284" xr:uid="{00000000-0005-0000-0000-00001F0E0000}"/>
    <cellStyle name="Calculation 2 44" xfId="4518" xr:uid="{00000000-0005-0000-0000-0000200E0000}"/>
    <cellStyle name="Calculation 2 44 2" xfId="6285" xr:uid="{00000000-0005-0000-0000-0000210E0000}"/>
    <cellStyle name="Calculation 2 45" xfId="4519" xr:uid="{00000000-0005-0000-0000-0000220E0000}"/>
    <cellStyle name="Calculation 2 45 2" xfId="6286" xr:uid="{00000000-0005-0000-0000-0000230E0000}"/>
    <cellStyle name="Calculation 2 46" xfId="4520" xr:uid="{00000000-0005-0000-0000-0000240E0000}"/>
    <cellStyle name="Calculation 2 46 2" xfId="6287" xr:uid="{00000000-0005-0000-0000-0000250E0000}"/>
    <cellStyle name="Calculation 2 47" xfId="4521" xr:uid="{00000000-0005-0000-0000-0000260E0000}"/>
    <cellStyle name="Calculation 2 47 2" xfId="6288" xr:uid="{00000000-0005-0000-0000-0000270E0000}"/>
    <cellStyle name="Calculation 2 48" xfId="4522" xr:uid="{00000000-0005-0000-0000-0000280E0000}"/>
    <cellStyle name="Calculation 2 48 2" xfId="6289" xr:uid="{00000000-0005-0000-0000-0000290E0000}"/>
    <cellStyle name="Calculation 2 49" xfId="4523" xr:uid="{00000000-0005-0000-0000-00002A0E0000}"/>
    <cellStyle name="Calculation 2 49 2" xfId="6290" xr:uid="{00000000-0005-0000-0000-00002B0E0000}"/>
    <cellStyle name="Calculation 2 5" xfId="4524" xr:uid="{00000000-0005-0000-0000-00002C0E0000}"/>
    <cellStyle name="Calculation 2 5 2" xfId="6291" xr:uid="{00000000-0005-0000-0000-00002D0E0000}"/>
    <cellStyle name="Calculation 2 50" xfId="4525" xr:uid="{00000000-0005-0000-0000-00002E0E0000}"/>
    <cellStyle name="Calculation 2 50 2" xfId="6292" xr:uid="{00000000-0005-0000-0000-00002F0E0000}"/>
    <cellStyle name="Calculation 2 51" xfId="4526" xr:uid="{00000000-0005-0000-0000-0000300E0000}"/>
    <cellStyle name="Calculation 2 52" xfId="1456" xr:uid="{00000000-0005-0000-0000-0000310E0000}"/>
    <cellStyle name="Calculation 2 6" xfId="4527" xr:uid="{00000000-0005-0000-0000-0000320E0000}"/>
    <cellStyle name="Calculation 2 6 2" xfId="6293" xr:uid="{00000000-0005-0000-0000-0000330E0000}"/>
    <cellStyle name="Calculation 2 7" xfId="4528" xr:uid="{00000000-0005-0000-0000-0000340E0000}"/>
    <cellStyle name="Calculation 2 7 2" xfId="6294" xr:uid="{00000000-0005-0000-0000-0000350E0000}"/>
    <cellStyle name="Calculation 2 8" xfId="4529" xr:uid="{00000000-0005-0000-0000-0000360E0000}"/>
    <cellStyle name="Calculation 2 8 2" xfId="6295" xr:uid="{00000000-0005-0000-0000-0000370E0000}"/>
    <cellStyle name="Calculation 2 9" xfId="4530" xr:uid="{00000000-0005-0000-0000-0000380E0000}"/>
    <cellStyle name="Calculation 2 9 2" xfId="6296" xr:uid="{00000000-0005-0000-0000-0000390E0000}"/>
    <cellStyle name="Calculation 3" xfId="4531" xr:uid="{00000000-0005-0000-0000-00003A0E0000}"/>
    <cellStyle name="Calculation 3 2" xfId="4532" xr:uid="{00000000-0005-0000-0000-00003B0E0000}"/>
    <cellStyle name="Calculation 3 2 2" xfId="4533" xr:uid="{00000000-0005-0000-0000-00003C0E0000}"/>
    <cellStyle name="Calculation 3 2 2 2" xfId="6299" xr:uid="{00000000-0005-0000-0000-00003D0E0000}"/>
    <cellStyle name="Calculation 3 2 3" xfId="6298" xr:uid="{00000000-0005-0000-0000-00003E0E0000}"/>
    <cellStyle name="Calculation 3 3" xfId="4534" xr:uid="{00000000-0005-0000-0000-00003F0E0000}"/>
    <cellStyle name="Calculation 3 3 2" xfId="6300" xr:uid="{00000000-0005-0000-0000-0000400E0000}"/>
    <cellStyle name="Calculation 3 4" xfId="6297" xr:uid="{00000000-0005-0000-0000-0000410E0000}"/>
    <cellStyle name="Calculation 4" xfId="4535" xr:uid="{00000000-0005-0000-0000-0000420E0000}"/>
    <cellStyle name="Calculation 4 2" xfId="4536" xr:uid="{00000000-0005-0000-0000-0000430E0000}"/>
    <cellStyle name="Calculation 4 2 2" xfId="4537" xr:uid="{00000000-0005-0000-0000-0000440E0000}"/>
    <cellStyle name="Calculation 4 2 2 2" xfId="6303" xr:uid="{00000000-0005-0000-0000-0000450E0000}"/>
    <cellStyle name="Calculation 4 2 3" xfId="6302" xr:uid="{00000000-0005-0000-0000-0000460E0000}"/>
    <cellStyle name="Calculation 4 3" xfId="4538" xr:uid="{00000000-0005-0000-0000-0000470E0000}"/>
    <cellStyle name="Calculation 4 3 2" xfId="6304" xr:uid="{00000000-0005-0000-0000-0000480E0000}"/>
    <cellStyle name="Calculation 4 4" xfId="6301" xr:uid="{00000000-0005-0000-0000-0000490E0000}"/>
    <cellStyle name="Calculation 5" xfId="4539" xr:uid="{00000000-0005-0000-0000-00004A0E0000}"/>
    <cellStyle name="Calculation 5 2" xfId="4540" xr:uid="{00000000-0005-0000-0000-00004B0E0000}"/>
    <cellStyle name="Calculation 5 2 2" xfId="4541" xr:uid="{00000000-0005-0000-0000-00004C0E0000}"/>
    <cellStyle name="Calculation 5 2 2 2" xfId="6307" xr:uid="{00000000-0005-0000-0000-00004D0E0000}"/>
    <cellStyle name="Calculation 5 2 3" xfId="6306" xr:uid="{00000000-0005-0000-0000-00004E0E0000}"/>
    <cellStyle name="Calculation 5 3" xfId="4542" xr:uid="{00000000-0005-0000-0000-00004F0E0000}"/>
    <cellStyle name="Calculation 5 3 2" xfId="6308" xr:uid="{00000000-0005-0000-0000-0000500E0000}"/>
    <cellStyle name="Calculation 5 4" xfId="6305" xr:uid="{00000000-0005-0000-0000-0000510E0000}"/>
    <cellStyle name="Calculation 6" xfId="4543" xr:uid="{00000000-0005-0000-0000-0000520E0000}"/>
    <cellStyle name="Calculation 6 2" xfId="4544" xr:uid="{00000000-0005-0000-0000-0000530E0000}"/>
    <cellStyle name="Calculation 6 2 2" xfId="4545" xr:uid="{00000000-0005-0000-0000-0000540E0000}"/>
    <cellStyle name="Calculation 6 2 2 2" xfId="6311" xr:uid="{00000000-0005-0000-0000-0000550E0000}"/>
    <cellStyle name="Calculation 6 2 3" xfId="6310" xr:uid="{00000000-0005-0000-0000-0000560E0000}"/>
    <cellStyle name="Calculation 6 3" xfId="4546" xr:uid="{00000000-0005-0000-0000-0000570E0000}"/>
    <cellStyle name="Calculation 6 3 2" xfId="6312" xr:uid="{00000000-0005-0000-0000-0000580E0000}"/>
    <cellStyle name="Calculation 6 4" xfId="6309" xr:uid="{00000000-0005-0000-0000-0000590E0000}"/>
    <cellStyle name="Calculation 7" xfId="4547" xr:uid="{00000000-0005-0000-0000-00005A0E0000}"/>
    <cellStyle name="Calculation 7 2" xfId="4548" xr:uid="{00000000-0005-0000-0000-00005B0E0000}"/>
    <cellStyle name="Calculation 7 2 2" xfId="4549" xr:uid="{00000000-0005-0000-0000-00005C0E0000}"/>
    <cellStyle name="Calculation 7 2 2 2" xfId="6315" xr:uid="{00000000-0005-0000-0000-00005D0E0000}"/>
    <cellStyle name="Calculation 7 2 3" xfId="6314" xr:uid="{00000000-0005-0000-0000-00005E0E0000}"/>
    <cellStyle name="Calculation 7 3" xfId="4550" xr:uid="{00000000-0005-0000-0000-00005F0E0000}"/>
    <cellStyle name="Calculation 7 3 2" xfId="6316" xr:uid="{00000000-0005-0000-0000-0000600E0000}"/>
    <cellStyle name="Calculation 7 4" xfId="6313" xr:uid="{00000000-0005-0000-0000-0000610E0000}"/>
    <cellStyle name="Calculation 8" xfId="4551" xr:uid="{00000000-0005-0000-0000-0000620E0000}"/>
    <cellStyle name="Calculation 8 2" xfId="4552" xr:uid="{00000000-0005-0000-0000-0000630E0000}"/>
    <cellStyle name="Calculation 8 2 2" xfId="4553" xr:uid="{00000000-0005-0000-0000-0000640E0000}"/>
    <cellStyle name="Calculation 8 2 2 2" xfId="6319" xr:uid="{00000000-0005-0000-0000-0000650E0000}"/>
    <cellStyle name="Calculation 8 2 3" xfId="6318" xr:uid="{00000000-0005-0000-0000-0000660E0000}"/>
    <cellStyle name="Calculation 8 3" xfId="4554" xr:uid="{00000000-0005-0000-0000-0000670E0000}"/>
    <cellStyle name="Calculation 8 3 2" xfId="6320" xr:uid="{00000000-0005-0000-0000-0000680E0000}"/>
    <cellStyle name="Calculation 8 4" xfId="6317" xr:uid="{00000000-0005-0000-0000-0000690E0000}"/>
    <cellStyle name="Calculation 9" xfId="4555" xr:uid="{00000000-0005-0000-0000-00006A0E0000}"/>
    <cellStyle name="Calculation 9 2" xfId="4556" xr:uid="{00000000-0005-0000-0000-00006B0E0000}"/>
    <cellStyle name="Calculation 9 2 2" xfId="4557" xr:uid="{00000000-0005-0000-0000-00006C0E0000}"/>
    <cellStyle name="Calculation 9 2 2 2" xfId="6323" xr:uid="{00000000-0005-0000-0000-00006D0E0000}"/>
    <cellStyle name="Calculation 9 2 3" xfId="6322" xr:uid="{00000000-0005-0000-0000-00006E0E0000}"/>
    <cellStyle name="Calculation 9 3" xfId="4558" xr:uid="{00000000-0005-0000-0000-00006F0E0000}"/>
    <cellStyle name="Calculation 9 3 2" xfId="6324" xr:uid="{00000000-0005-0000-0000-0000700E0000}"/>
    <cellStyle name="Calculation 9 4" xfId="6321" xr:uid="{00000000-0005-0000-0000-0000710E0000}"/>
    <cellStyle name="Check Cell 10" xfId="4559" xr:uid="{00000000-0005-0000-0000-0000720E0000}"/>
    <cellStyle name="Check Cell 10 2" xfId="4560" xr:uid="{00000000-0005-0000-0000-0000730E0000}"/>
    <cellStyle name="Check Cell 10 2 2" xfId="4561" xr:uid="{00000000-0005-0000-0000-0000740E0000}"/>
    <cellStyle name="Check Cell 10 3" xfId="4562" xr:uid="{00000000-0005-0000-0000-0000750E0000}"/>
    <cellStyle name="Check Cell 11" xfId="4563" xr:uid="{00000000-0005-0000-0000-0000760E0000}"/>
    <cellStyle name="Check Cell 11 2" xfId="4564" xr:uid="{00000000-0005-0000-0000-0000770E0000}"/>
    <cellStyle name="Check Cell 12" xfId="4565" xr:uid="{00000000-0005-0000-0000-0000780E0000}"/>
    <cellStyle name="Check Cell 2" xfId="420" xr:uid="{00000000-0005-0000-0000-0000790E0000}"/>
    <cellStyle name="Check Cell 2 10" xfId="4566" xr:uid="{00000000-0005-0000-0000-00007A0E0000}"/>
    <cellStyle name="Check Cell 2 11" xfId="4567" xr:uid="{00000000-0005-0000-0000-00007B0E0000}"/>
    <cellStyle name="Check Cell 2 12" xfId="4568" xr:uid="{00000000-0005-0000-0000-00007C0E0000}"/>
    <cellStyle name="Check Cell 2 13" xfId="4569" xr:uid="{00000000-0005-0000-0000-00007D0E0000}"/>
    <cellStyle name="Check Cell 2 14" xfId="4570" xr:uid="{00000000-0005-0000-0000-00007E0E0000}"/>
    <cellStyle name="Check Cell 2 15" xfId="4571" xr:uid="{00000000-0005-0000-0000-00007F0E0000}"/>
    <cellStyle name="Check Cell 2 16" xfId="4572" xr:uid="{00000000-0005-0000-0000-0000800E0000}"/>
    <cellStyle name="Check Cell 2 17" xfId="4573" xr:uid="{00000000-0005-0000-0000-0000810E0000}"/>
    <cellStyle name="Check Cell 2 18" xfId="4574" xr:uid="{00000000-0005-0000-0000-0000820E0000}"/>
    <cellStyle name="Check Cell 2 19" xfId="4575" xr:uid="{00000000-0005-0000-0000-0000830E0000}"/>
    <cellStyle name="Check Cell 2 2" xfId="4576" xr:uid="{00000000-0005-0000-0000-0000840E0000}"/>
    <cellStyle name="Check Cell 2 2 2" xfId="4577" xr:uid="{00000000-0005-0000-0000-0000850E0000}"/>
    <cellStyle name="Check Cell 2 2 3" xfId="4578" xr:uid="{00000000-0005-0000-0000-0000860E0000}"/>
    <cellStyle name="Check Cell 2 20" xfId="4579" xr:uid="{00000000-0005-0000-0000-0000870E0000}"/>
    <cellStyle name="Check Cell 2 21" xfId="4580" xr:uid="{00000000-0005-0000-0000-0000880E0000}"/>
    <cellStyle name="Check Cell 2 22" xfId="4581" xr:uid="{00000000-0005-0000-0000-0000890E0000}"/>
    <cellStyle name="Check Cell 2 23" xfId="4582" xr:uid="{00000000-0005-0000-0000-00008A0E0000}"/>
    <cellStyle name="Check Cell 2 24" xfId="4583" xr:uid="{00000000-0005-0000-0000-00008B0E0000}"/>
    <cellStyle name="Check Cell 2 25" xfId="4584" xr:uid="{00000000-0005-0000-0000-00008C0E0000}"/>
    <cellStyle name="Check Cell 2 26" xfId="4585" xr:uid="{00000000-0005-0000-0000-00008D0E0000}"/>
    <cellStyle name="Check Cell 2 27" xfId="4586" xr:uid="{00000000-0005-0000-0000-00008E0E0000}"/>
    <cellStyle name="Check Cell 2 28" xfId="4587" xr:uid="{00000000-0005-0000-0000-00008F0E0000}"/>
    <cellStyle name="Check Cell 2 29" xfId="4588" xr:uid="{00000000-0005-0000-0000-0000900E0000}"/>
    <cellStyle name="Check Cell 2 3" xfId="4589" xr:uid="{00000000-0005-0000-0000-0000910E0000}"/>
    <cellStyle name="Check Cell 2 3 2" xfId="4590" xr:uid="{00000000-0005-0000-0000-0000920E0000}"/>
    <cellStyle name="Check Cell 2 30" xfId="4591" xr:uid="{00000000-0005-0000-0000-0000930E0000}"/>
    <cellStyle name="Check Cell 2 31" xfId="4592" xr:uid="{00000000-0005-0000-0000-0000940E0000}"/>
    <cellStyle name="Check Cell 2 32" xfId="4593" xr:uid="{00000000-0005-0000-0000-0000950E0000}"/>
    <cellStyle name="Check Cell 2 33" xfId="4594" xr:uid="{00000000-0005-0000-0000-0000960E0000}"/>
    <cellStyle name="Check Cell 2 34" xfId="4595" xr:uid="{00000000-0005-0000-0000-0000970E0000}"/>
    <cellStyle name="Check Cell 2 35" xfId="4596" xr:uid="{00000000-0005-0000-0000-0000980E0000}"/>
    <cellStyle name="Check Cell 2 36" xfId="4597" xr:uid="{00000000-0005-0000-0000-0000990E0000}"/>
    <cellStyle name="Check Cell 2 37" xfId="4598" xr:uid="{00000000-0005-0000-0000-00009A0E0000}"/>
    <cellStyle name="Check Cell 2 38" xfId="4599" xr:uid="{00000000-0005-0000-0000-00009B0E0000}"/>
    <cellStyle name="Check Cell 2 39" xfId="4600" xr:uid="{00000000-0005-0000-0000-00009C0E0000}"/>
    <cellStyle name="Check Cell 2 4" xfId="4601" xr:uid="{00000000-0005-0000-0000-00009D0E0000}"/>
    <cellStyle name="Check Cell 2 40" xfId="4602" xr:uid="{00000000-0005-0000-0000-00009E0E0000}"/>
    <cellStyle name="Check Cell 2 41" xfId="4603" xr:uid="{00000000-0005-0000-0000-00009F0E0000}"/>
    <cellStyle name="Check Cell 2 42" xfId="4604" xr:uid="{00000000-0005-0000-0000-0000A00E0000}"/>
    <cellStyle name="Check Cell 2 43" xfId="4605" xr:uid="{00000000-0005-0000-0000-0000A10E0000}"/>
    <cellStyle name="Check Cell 2 44" xfId="4606" xr:uid="{00000000-0005-0000-0000-0000A20E0000}"/>
    <cellStyle name="Check Cell 2 45" xfId="4607" xr:uid="{00000000-0005-0000-0000-0000A30E0000}"/>
    <cellStyle name="Check Cell 2 46" xfId="4608" xr:uid="{00000000-0005-0000-0000-0000A40E0000}"/>
    <cellStyle name="Check Cell 2 47" xfId="4609" xr:uid="{00000000-0005-0000-0000-0000A50E0000}"/>
    <cellStyle name="Check Cell 2 48" xfId="4610" xr:uid="{00000000-0005-0000-0000-0000A60E0000}"/>
    <cellStyle name="Check Cell 2 49" xfId="4611" xr:uid="{00000000-0005-0000-0000-0000A70E0000}"/>
    <cellStyle name="Check Cell 2 5" xfId="4612" xr:uid="{00000000-0005-0000-0000-0000A80E0000}"/>
    <cellStyle name="Check Cell 2 6" xfId="4613" xr:uid="{00000000-0005-0000-0000-0000A90E0000}"/>
    <cellStyle name="Check Cell 2 7" xfId="4614" xr:uid="{00000000-0005-0000-0000-0000AA0E0000}"/>
    <cellStyle name="Check Cell 2 8" xfId="4615" xr:uid="{00000000-0005-0000-0000-0000AB0E0000}"/>
    <cellStyle name="Check Cell 2 9" xfId="4616" xr:uid="{00000000-0005-0000-0000-0000AC0E0000}"/>
    <cellStyle name="Check Cell 3" xfId="421" xr:uid="{00000000-0005-0000-0000-0000AD0E0000}"/>
    <cellStyle name="Check Cell 3 2" xfId="4617" xr:uid="{00000000-0005-0000-0000-0000AE0E0000}"/>
    <cellStyle name="Check Cell 3 2 2" xfId="4618" xr:uid="{00000000-0005-0000-0000-0000AF0E0000}"/>
    <cellStyle name="Check Cell 3 3" xfId="4619" xr:uid="{00000000-0005-0000-0000-0000B00E0000}"/>
    <cellStyle name="Check Cell 4" xfId="4620" xr:uid="{00000000-0005-0000-0000-0000B10E0000}"/>
    <cellStyle name="Check Cell 4 2" xfId="4621" xr:uid="{00000000-0005-0000-0000-0000B20E0000}"/>
    <cellStyle name="Check Cell 4 2 2" xfId="4622" xr:uid="{00000000-0005-0000-0000-0000B30E0000}"/>
    <cellStyle name="Check Cell 4 3" xfId="4623" xr:uid="{00000000-0005-0000-0000-0000B40E0000}"/>
    <cellStyle name="Check Cell 5" xfId="4624" xr:uid="{00000000-0005-0000-0000-0000B50E0000}"/>
    <cellStyle name="Check Cell 5 2" xfId="4625" xr:uid="{00000000-0005-0000-0000-0000B60E0000}"/>
    <cellStyle name="Check Cell 5 2 2" xfId="4626" xr:uid="{00000000-0005-0000-0000-0000B70E0000}"/>
    <cellStyle name="Check Cell 5 3" xfId="4627" xr:uid="{00000000-0005-0000-0000-0000B80E0000}"/>
    <cellStyle name="Check Cell 6" xfId="4628" xr:uid="{00000000-0005-0000-0000-0000B90E0000}"/>
    <cellStyle name="Check Cell 6 2" xfId="4629" xr:uid="{00000000-0005-0000-0000-0000BA0E0000}"/>
    <cellStyle name="Check Cell 6 2 2" xfId="4630" xr:uid="{00000000-0005-0000-0000-0000BB0E0000}"/>
    <cellStyle name="Check Cell 6 3" xfId="4631" xr:uid="{00000000-0005-0000-0000-0000BC0E0000}"/>
    <cellStyle name="Check Cell 7" xfId="4632" xr:uid="{00000000-0005-0000-0000-0000BD0E0000}"/>
    <cellStyle name="Check Cell 7 2" xfId="4633" xr:uid="{00000000-0005-0000-0000-0000BE0E0000}"/>
    <cellStyle name="Check Cell 7 2 2" xfId="4634" xr:uid="{00000000-0005-0000-0000-0000BF0E0000}"/>
    <cellStyle name="Check Cell 7 3" xfId="4635" xr:uid="{00000000-0005-0000-0000-0000C00E0000}"/>
    <cellStyle name="Check Cell 8" xfId="4636" xr:uid="{00000000-0005-0000-0000-0000C10E0000}"/>
    <cellStyle name="Check Cell 8 2" xfId="4637" xr:uid="{00000000-0005-0000-0000-0000C20E0000}"/>
    <cellStyle name="Check Cell 8 2 2" xfId="4638" xr:uid="{00000000-0005-0000-0000-0000C30E0000}"/>
    <cellStyle name="Check Cell 8 3" xfId="4639" xr:uid="{00000000-0005-0000-0000-0000C40E0000}"/>
    <cellStyle name="Check Cell 9" xfId="4640" xr:uid="{00000000-0005-0000-0000-0000C50E0000}"/>
    <cellStyle name="Check Cell 9 2" xfId="4641" xr:uid="{00000000-0005-0000-0000-0000C60E0000}"/>
    <cellStyle name="Check Cell 9 2 2" xfId="4642" xr:uid="{00000000-0005-0000-0000-0000C70E0000}"/>
    <cellStyle name="Check Cell 9 3" xfId="4643" xr:uid="{00000000-0005-0000-0000-0000C80E0000}"/>
    <cellStyle name="Comma" xfId="1" builtinId="3"/>
    <cellStyle name="Comma  - Style1" xfId="423" xr:uid="{00000000-0005-0000-0000-0000CA0E0000}"/>
    <cellStyle name="Comma  - Style2" xfId="424" xr:uid="{00000000-0005-0000-0000-0000CB0E0000}"/>
    <cellStyle name="Comma  - Style3" xfId="425" xr:uid="{00000000-0005-0000-0000-0000CC0E0000}"/>
    <cellStyle name="Comma  - Style4" xfId="426" xr:uid="{00000000-0005-0000-0000-0000CD0E0000}"/>
    <cellStyle name="Comma  - Style5" xfId="427" xr:uid="{00000000-0005-0000-0000-0000CE0E0000}"/>
    <cellStyle name="Comma  - Style6" xfId="428" xr:uid="{00000000-0005-0000-0000-0000CF0E0000}"/>
    <cellStyle name="Comma  - Style7" xfId="429" xr:uid="{00000000-0005-0000-0000-0000D00E0000}"/>
    <cellStyle name="Comma  - Style8" xfId="430" xr:uid="{00000000-0005-0000-0000-0000D10E0000}"/>
    <cellStyle name="Comma [0] 2" xfId="431" xr:uid="{00000000-0005-0000-0000-0000D20E0000}"/>
    <cellStyle name="Comma [00]" xfId="432" xr:uid="{00000000-0005-0000-0000-0000D30E0000}"/>
    <cellStyle name="Comma 10" xfId="17" xr:uid="{00000000-0005-0000-0000-0000D40E0000}"/>
    <cellStyle name="Comma 10 14 2" xfId="137" xr:uid="{00000000-0005-0000-0000-0000D50E0000}"/>
    <cellStyle name="Comma 10 14 2 2" xfId="130" xr:uid="{00000000-0005-0000-0000-0000D60E0000}"/>
    <cellStyle name="Comma 10 14 2 2 2" xfId="1150" xr:uid="{00000000-0005-0000-0000-0000D70E0000}"/>
    <cellStyle name="Comma 10 14 2 2 2 2" xfId="6868" xr:uid="{00000000-0005-0000-0000-0000D80E0000}"/>
    <cellStyle name="Comma 10 14 2 2 2 2 2" xfId="9575" xr:uid="{00000000-0005-0000-0000-0000D90E0000}"/>
    <cellStyle name="Comma 10 14 2 2 2 3" xfId="8236" xr:uid="{00000000-0005-0000-0000-0000DA0E0000}"/>
    <cellStyle name="Comma 10 14 2 2 3" xfId="874" xr:uid="{00000000-0005-0000-0000-0000DB0E0000}"/>
    <cellStyle name="Comma 10 14 2 2 3 2" xfId="6607" xr:uid="{00000000-0005-0000-0000-0000DC0E0000}"/>
    <cellStyle name="Comma 10 14 2 2 3 2 2" xfId="9314" xr:uid="{00000000-0005-0000-0000-0000DD0E0000}"/>
    <cellStyle name="Comma 10 14 2 2 3 3" xfId="7975" xr:uid="{00000000-0005-0000-0000-0000DE0E0000}"/>
    <cellStyle name="Comma 10 14 2 2 4" xfId="1353" xr:uid="{00000000-0005-0000-0000-0000DF0E0000}"/>
    <cellStyle name="Comma 10 14 2 2 4 2" xfId="7058" xr:uid="{00000000-0005-0000-0000-0000E00E0000}"/>
    <cellStyle name="Comma 10 14 2 2 4 2 2" xfId="9765" xr:uid="{00000000-0005-0000-0000-0000E10E0000}"/>
    <cellStyle name="Comma 10 14 2 2 4 3" xfId="8426" xr:uid="{00000000-0005-0000-0000-0000E20E0000}"/>
    <cellStyle name="Comma 10 14 2 2 5" xfId="6221" xr:uid="{00000000-0005-0000-0000-0000E30E0000}"/>
    <cellStyle name="Comma 10 14 2 2 5 2" xfId="7699" xr:uid="{00000000-0005-0000-0000-0000E40E0000}"/>
    <cellStyle name="Comma 10 14 2 2 5 2 2" xfId="10380" xr:uid="{00000000-0005-0000-0000-0000E50E0000}"/>
    <cellStyle name="Comma 10 14 2 2 5 3" xfId="9040" xr:uid="{00000000-0005-0000-0000-0000E60E0000}"/>
    <cellStyle name="Comma 10 14 2 2 6" xfId="6335" xr:uid="{00000000-0005-0000-0000-0000E70E0000}"/>
    <cellStyle name="Comma 10 14 2 2 6 2" xfId="9054" xr:uid="{00000000-0005-0000-0000-0000E80E0000}"/>
    <cellStyle name="Comma 10 14 2 2 7" xfId="7715" xr:uid="{00000000-0005-0000-0000-0000E90E0000}"/>
    <cellStyle name="Comma 10 14 2 3" xfId="1058" xr:uid="{00000000-0005-0000-0000-0000EA0E0000}"/>
    <cellStyle name="Comma 10 14 2 3 2" xfId="6789" xr:uid="{00000000-0005-0000-0000-0000EB0E0000}"/>
    <cellStyle name="Comma 10 14 2 3 2 2" xfId="9496" xr:uid="{00000000-0005-0000-0000-0000EC0E0000}"/>
    <cellStyle name="Comma 10 14 2 3 3" xfId="8157" xr:uid="{00000000-0005-0000-0000-0000ED0E0000}"/>
    <cellStyle name="Comma 10 14 2 4" xfId="434" xr:uid="{00000000-0005-0000-0000-0000EE0E0000}"/>
    <cellStyle name="Comma 10 14 2 4 2" xfId="6442" xr:uid="{00000000-0005-0000-0000-0000EF0E0000}"/>
    <cellStyle name="Comma 10 14 2 4 2 2" xfId="9159" xr:uid="{00000000-0005-0000-0000-0000F00E0000}"/>
    <cellStyle name="Comma 10 14 2 4 3" xfId="7820" xr:uid="{00000000-0005-0000-0000-0000F10E0000}"/>
    <cellStyle name="Comma 10 14 2 5" xfId="1358" xr:uid="{00000000-0005-0000-0000-0000F20E0000}"/>
    <cellStyle name="Comma 10 14 2 5 2" xfId="7063" xr:uid="{00000000-0005-0000-0000-0000F30E0000}"/>
    <cellStyle name="Comma 10 14 2 5 2 2" xfId="9769" xr:uid="{00000000-0005-0000-0000-0000F40E0000}"/>
    <cellStyle name="Comma 10 14 2 5 3" xfId="8430" xr:uid="{00000000-0005-0000-0000-0000F50E0000}"/>
    <cellStyle name="Comma 10 14 2 6" xfId="6220" xr:uid="{00000000-0005-0000-0000-0000F60E0000}"/>
    <cellStyle name="Comma 10 14 2 6 2" xfId="7698" xr:uid="{00000000-0005-0000-0000-0000F70E0000}"/>
    <cellStyle name="Comma 10 14 2 6 2 2" xfId="10379" xr:uid="{00000000-0005-0000-0000-0000F80E0000}"/>
    <cellStyle name="Comma 10 14 2 6 3" xfId="9039" xr:uid="{00000000-0005-0000-0000-0000F90E0000}"/>
    <cellStyle name="Comma 10 14 2 7" xfId="6339" xr:uid="{00000000-0005-0000-0000-0000FA0E0000}"/>
    <cellStyle name="Comma 10 14 2 7 2" xfId="9058" xr:uid="{00000000-0005-0000-0000-0000FB0E0000}"/>
    <cellStyle name="Comma 10 14 2 8" xfId="7719" xr:uid="{00000000-0005-0000-0000-0000FC0E0000}"/>
    <cellStyle name="Comma 10 2" xfId="77" xr:uid="{00000000-0005-0000-0000-0000FD0E0000}"/>
    <cellStyle name="Comma 10 2 10" xfId="46" xr:uid="{00000000-0005-0000-0000-0000FE0E0000}"/>
    <cellStyle name="Comma 10 2 10 2" xfId="138" xr:uid="{00000000-0005-0000-0000-0000FF0E0000}"/>
    <cellStyle name="Comma 10 2 10 2 2" xfId="10554" xr:uid="{00000000-0005-0000-0000-0000000F0000}"/>
    <cellStyle name="Comma 10 2 10 3" xfId="10485" xr:uid="{00000000-0005-0000-0000-0000010F0000}"/>
    <cellStyle name="Comma 10 2 11" xfId="38" xr:uid="{00000000-0005-0000-0000-0000020F0000}"/>
    <cellStyle name="Comma 10 2 13" xfId="10495" xr:uid="{00000000-0005-0000-0000-0000030F0000}"/>
    <cellStyle name="Comma 10 2 2" xfId="81" xr:uid="{00000000-0005-0000-0000-0000040F0000}"/>
    <cellStyle name="Comma 10 2 2 10" xfId="134" xr:uid="{00000000-0005-0000-0000-0000050F0000}"/>
    <cellStyle name="Comma 10 2 2 2" xfId="80" xr:uid="{00000000-0005-0000-0000-0000060F0000}"/>
    <cellStyle name="Comma 10 2 2 2 2" xfId="104" xr:uid="{00000000-0005-0000-0000-0000070F0000}"/>
    <cellStyle name="Comma 10 2 2 2 2 2" xfId="6870" xr:uid="{00000000-0005-0000-0000-0000080F0000}"/>
    <cellStyle name="Comma 10 2 2 2 2 2 2" xfId="9577" xr:uid="{00000000-0005-0000-0000-0000090F0000}"/>
    <cellStyle name="Comma 10 2 2 2 2 3" xfId="8238" xr:uid="{00000000-0005-0000-0000-00000A0F0000}"/>
    <cellStyle name="Comma 10 2 2 2 2 4" xfId="1152" xr:uid="{00000000-0005-0000-0000-00000B0F0000}"/>
    <cellStyle name="Comma 10 2 2 2 3" xfId="4644" xr:uid="{00000000-0005-0000-0000-00000C0F0000}"/>
    <cellStyle name="Comma 10 2 2 2 3 2" xfId="7339" xr:uid="{00000000-0005-0000-0000-00000D0F0000}"/>
    <cellStyle name="Comma 10 2 2 2 3 2 2" xfId="10038" xr:uid="{00000000-0005-0000-0000-00000E0F0000}"/>
    <cellStyle name="Comma 10 2 2 2 3 3" xfId="8698" xr:uid="{00000000-0005-0000-0000-00000F0F0000}"/>
    <cellStyle name="Comma 10 2 2 2 4" xfId="6609" xr:uid="{00000000-0005-0000-0000-0000100F0000}"/>
    <cellStyle name="Comma 10 2 2 2 4 2" xfId="9316" xr:uid="{00000000-0005-0000-0000-0000110F0000}"/>
    <cellStyle name="Comma 10 2 2 2 5" xfId="7977" xr:uid="{00000000-0005-0000-0000-0000120F0000}"/>
    <cellStyle name="Comma 10 2 2 2 6" xfId="876" xr:uid="{00000000-0005-0000-0000-0000130F0000}"/>
    <cellStyle name="Comma 10 2 2 3" xfId="79" xr:uid="{00000000-0005-0000-0000-0000140F0000}"/>
    <cellStyle name="Comma 10 2 2 3 2" xfId="103" xr:uid="{00000000-0005-0000-0000-0000150F0000}"/>
    <cellStyle name="Comma 10 2 2 3 2 2" xfId="7340" xr:uid="{00000000-0005-0000-0000-0000160F0000}"/>
    <cellStyle name="Comma 10 2 2 3 2 2 2" xfId="10039" xr:uid="{00000000-0005-0000-0000-0000170F0000}"/>
    <cellStyle name="Comma 10 2 2 3 2 3" xfId="8699" xr:uid="{00000000-0005-0000-0000-0000180F0000}"/>
    <cellStyle name="Comma 10 2 2 3 2 4" xfId="4645" xr:uid="{00000000-0005-0000-0000-0000190F0000}"/>
    <cellStyle name="Comma 10 2 2 3 3" xfId="7018" xr:uid="{00000000-0005-0000-0000-00001A0F0000}"/>
    <cellStyle name="Comma 10 2 2 3 3 2" xfId="9725" xr:uid="{00000000-0005-0000-0000-00001B0F0000}"/>
    <cellStyle name="Comma 10 2 2 3 4" xfId="8386" xr:uid="{00000000-0005-0000-0000-00001C0F0000}"/>
    <cellStyle name="Comma 10 2 2 3 5" xfId="1308" xr:uid="{00000000-0005-0000-0000-00001D0F0000}"/>
    <cellStyle name="Comma 10 2 2 4" xfId="105" xr:uid="{00000000-0005-0000-0000-00001E0F0000}"/>
    <cellStyle name="Comma 10 2 2 4 2" xfId="6791" xr:uid="{00000000-0005-0000-0000-00001F0F0000}"/>
    <cellStyle name="Comma 10 2 2 4 2 2" xfId="9498" xr:uid="{00000000-0005-0000-0000-0000200F0000}"/>
    <cellStyle name="Comma 10 2 2 4 3" xfId="8159" xr:uid="{00000000-0005-0000-0000-0000210F0000}"/>
    <cellStyle name="Comma 10 2 2 4 4" xfId="1060" xr:uid="{00000000-0005-0000-0000-0000220F0000}"/>
    <cellStyle name="Comma 10 2 2 5" xfId="436" xr:uid="{00000000-0005-0000-0000-0000230F0000}"/>
    <cellStyle name="Comma 10 2 2 5 2" xfId="6444" xr:uid="{00000000-0005-0000-0000-0000240F0000}"/>
    <cellStyle name="Comma 10 2 2 5 2 2" xfId="9161" xr:uid="{00000000-0005-0000-0000-0000250F0000}"/>
    <cellStyle name="Comma 10 2 2 5 3" xfId="7822" xr:uid="{00000000-0005-0000-0000-0000260F0000}"/>
    <cellStyle name="Comma 10 2 2 6" xfId="1356" xr:uid="{00000000-0005-0000-0000-0000270F0000}"/>
    <cellStyle name="Comma 10 2 2 6 2" xfId="7061" xr:uid="{00000000-0005-0000-0000-0000280F0000}"/>
    <cellStyle name="Comma 10 2 2 6 2 2" xfId="9767" xr:uid="{00000000-0005-0000-0000-0000290F0000}"/>
    <cellStyle name="Comma 10 2 2 6 3" xfId="8428" xr:uid="{00000000-0005-0000-0000-00002A0F0000}"/>
    <cellStyle name="Comma 10 2 2 7" xfId="1442" xr:uid="{00000000-0005-0000-0000-00002B0F0000}"/>
    <cellStyle name="Comma 10 2 2 7 2" xfId="7138" xr:uid="{00000000-0005-0000-0000-00002C0F0000}"/>
    <cellStyle name="Comma 10 2 2 7 2 2" xfId="9841" xr:uid="{00000000-0005-0000-0000-00002D0F0000}"/>
    <cellStyle name="Comma 10 2 2 7 3" xfId="8501" xr:uid="{00000000-0005-0000-0000-00002E0F0000}"/>
    <cellStyle name="Comma 10 2 2 8" xfId="6337" xr:uid="{00000000-0005-0000-0000-00002F0F0000}"/>
    <cellStyle name="Comma 10 2 2 8 2" xfId="9056" xr:uid="{00000000-0005-0000-0000-0000300F0000}"/>
    <cellStyle name="Comma 10 2 2 9" xfId="7717" xr:uid="{00000000-0005-0000-0000-0000310F0000}"/>
    <cellStyle name="Comma 10 2 3" xfId="232" xr:uid="{00000000-0005-0000-0000-0000320F0000}"/>
    <cellStyle name="Comma 10 2 3 2" xfId="1251" xr:uid="{00000000-0005-0000-0000-0000330F0000}"/>
    <cellStyle name="Comma 10 2 3 2 2" xfId="6969" xr:uid="{00000000-0005-0000-0000-0000340F0000}"/>
    <cellStyle name="Comma 10 2 3 2 2 2" xfId="9676" xr:uid="{00000000-0005-0000-0000-0000350F0000}"/>
    <cellStyle name="Comma 10 2 3 2 3" xfId="8337" xr:uid="{00000000-0005-0000-0000-0000360F0000}"/>
    <cellStyle name="Comma 10 2 3 3" xfId="1151" xr:uid="{00000000-0005-0000-0000-0000370F0000}"/>
    <cellStyle name="Comma 10 2 3 3 2" xfId="6869" xr:uid="{00000000-0005-0000-0000-0000380F0000}"/>
    <cellStyle name="Comma 10 2 3 3 2 2" xfId="9576" xr:uid="{00000000-0005-0000-0000-0000390F0000}"/>
    <cellStyle name="Comma 10 2 3 3 3" xfId="8237" xr:uid="{00000000-0005-0000-0000-00003A0F0000}"/>
    <cellStyle name="Comma 10 2 3 4" xfId="875" xr:uid="{00000000-0005-0000-0000-00003B0F0000}"/>
    <cellStyle name="Comma 10 2 3 4 2" xfId="6608" xr:uid="{00000000-0005-0000-0000-00003C0F0000}"/>
    <cellStyle name="Comma 10 2 3 4 2 2" xfId="9315" xr:uid="{00000000-0005-0000-0000-00003D0F0000}"/>
    <cellStyle name="Comma 10 2 3 4 3" xfId="7976" xr:uid="{00000000-0005-0000-0000-00003E0F0000}"/>
    <cellStyle name="Comma 10 2 3 5" xfId="4646" xr:uid="{00000000-0005-0000-0000-00003F0F0000}"/>
    <cellStyle name="Comma 10 2 3 5 2" xfId="7341" xr:uid="{00000000-0005-0000-0000-0000400F0000}"/>
    <cellStyle name="Comma 10 2 3 5 2 2" xfId="10040" xr:uid="{00000000-0005-0000-0000-0000410F0000}"/>
    <cellStyle name="Comma 10 2 3 5 3" xfId="8700" xr:uid="{00000000-0005-0000-0000-0000420F0000}"/>
    <cellStyle name="Comma 10 2 4" xfId="1059" xr:uid="{00000000-0005-0000-0000-0000430F0000}"/>
    <cellStyle name="Comma 10 2 4 2" xfId="6790" xr:uid="{00000000-0005-0000-0000-0000440F0000}"/>
    <cellStyle name="Comma 10 2 4 2 2" xfId="9497" xr:uid="{00000000-0005-0000-0000-0000450F0000}"/>
    <cellStyle name="Comma 10 2 4 3" xfId="8158" xr:uid="{00000000-0005-0000-0000-0000460F0000}"/>
    <cellStyle name="Comma 10 2 5" xfId="435" xr:uid="{00000000-0005-0000-0000-0000470F0000}"/>
    <cellStyle name="Comma 10 2 5 2" xfId="6443" xr:uid="{00000000-0005-0000-0000-0000480F0000}"/>
    <cellStyle name="Comma 10 2 5 2 2" xfId="9160" xr:uid="{00000000-0005-0000-0000-0000490F0000}"/>
    <cellStyle name="Comma 10 2 5 3" xfId="7821" xr:uid="{00000000-0005-0000-0000-00004A0F0000}"/>
    <cellStyle name="Comma 10 2 6" xfId="1359" xr:uid="{00000000-0005-0000-0000-00004B0F0000}"/>
    <cellStyle name="Comma 10 2 6 2" xfId="7064" xr:uid="{00000000-0005-0000-0000-00004C0F0000}"/>
    <cellStyle name="Comma 10 2 6 2 2" xfId="9770" xr:uid="{00000000-0005-0000-0000-00004D0F0000}"/>
    <cellStyle name="Comma 10 2 6 3" xfId="8431" xr:uid="{00000000-0005-0000-0000-00004E0F0000}"/>
    <cellStyle name="Comma 10 2 7" xfId="6340" xr:uid="{00000000-0005-0000-0000-00004F0F0000}"/>
    <cellStyle name="Comma 10 2 7 2" xfId="9059" xr:uid="{00000000-0005-0000-0000-0000500F0000}"/>
    <cellStyle name="Comma 10 2 8" xfId="7720" xr:uid="{00000000-0005-0000-0000-0000510F0000}"/>
    <cellStyle name="Comma 10 2 9" xfId="10391" xr:uid="{00000000-0005-0000-0000-0000520F0000}"/>
    <cellStyle name="Comma 10 3" xfId="437" xr:uid="{00000000-0005-0000-0000-0000530F0000}"/>
    <cellStyle name="Comma 10 3 2" xfId="877" xr:uid="{00000000-0005-0000-0000-0000540F0000}"/>
    <cellStyle name="Comma 10 3 2 2" xfId="1153" xr:uid="{00000000-0005-0000-0000-0000550F0000}"/>
    <cellStyle name="Comma 10 3 2 2 2" xfId="6871" xr:uid="{00000000-0005-0000-0000-0000560F0000}"/>
    <cellStyle name="Comma 10 3 2 2 2 2" xfId="9578" xr:uid="{00000000-0005-0000-0000-0000570F0000}"/>
    <cellStyle name="Comma 10 3 2 2 3" xfId="8239" xr:uid="{00000000-0005-0000-0000-0000580F0000}"/>
    <cellStyle name="Comma 10 3 2 3" xfId="4647" xr:uid="{00000000-0005-0000-0000-0000590F0000}"/>
    <cellStyle name="Comma 10 3 2 3 2" xfId="7342" xr:uid="{00000000-0005-0000-0000-00005A0F0000}"/>
    <cellStyle name="Comma 10 3 2 3 2 2" xfId="10041" xr:uid="{00000000-0005-0000-0000-00005B0F0000}"/>
    <cellStyle name="Comma 10 3 2 3 3" xfId="8701" xr:uid="{00000000-0005-0000-0000-00005C0F0000}"/>
    <cellStyle name="Comma 10 3 2 4" xfId="6610" xr:uid="{00000000-0005-0000-0000-00005D0F0000}"/>
    <cellStyle name="Comma 10 3 2 4 2" xfId="9317" xr:uid="{00000000-0005-0000-0000-00005E0F0000}"/>
    <cellStyle name="Comma 10 3 2 5" xfId="7978" xr:uid="{00000000-0005-0000-0000-00005F0F0000}"/>
    <cellStyle name="Comma 10 3 3" xfId="1061" xr:uid="{00000000-0005-0000-0000-0000600F0000}"/>
    <cellStyle name="Comma 10 3 3 2" xfId="4648" xr:uid="{00000000-0005-0000-0000-0000610F0000}"/>
    <cellStyle name="Comma 10 3 3 2 2" xfId="7343" xr:uid="{00000000-0005-0000-0000-0000620F0000}"/>
    <cellStyle name="Comma 10 3 3 2 2 2" xfId="10042" xr:uid="{00000000-0005-0000-0000-0000630F0000}"/>
    <cellStyle name="Comma 10 3 3 2 3" xfId="8702" xr:uid="{00000000-0005-0000-0000-0000640F0000}"/>
    <cellStyle name="Comma 10 3 3 3" xfId="6792" xr:uid="{00000000-0005-0000-0000-0000650F0000}"/>
    <cellStyle name="Comma 10 3 3 3 2" xfId="9499" xr:uid="{00000000-0005-0000-0000-0000660F0000}"/>
    <cellStyle name="Comma 10 3 3 4" xfId="8160" xr:uid="{00000000-0005-0000-0000-0000670F0000}"/>
    <cellStyle name="Comma 10 3 4" xfId="1458" xr:uid="{00000000-0005-0000-0000-0000680F0000}"/>
    <cellStyle name="Comma 10 3 4 2" xfId="7151" xr:uid="{00000000-0005-0000-0000-0000690F0000}"/>
    <cellStyle name="Comma 10 3 4 2 2" xfId="9854" xr:uid="{00000000-0005-0000-0000-00006A0F0000}"/>
    <cellStyle name="Comma 10 3 4 3" xfId="8514" xr:uid="{00000000-0005-0000-0000-00006B0F0000}"/>
    <cellStyle name="Comma 10 3 5" xfId="6445" xr:uid="{00000000-0005-0000-0000-00006C0F0000}"/>
    <cellStyle name="Comma 10 3 5 2" xfId="9162" xr:uid="{00000000-0005-0000-0000-00006D0F0000}"/>
    <cellStyle name="Comma 10 3 6" xfId="7823" xr:uid="{00000000-0005-0000-0000-00006E0F0000}"/>
    <cellStyle name="Comma 10 3 7" xfId="22" xr:uid="{00000000-0005-0000-0000-00006F0F0000}"/>
    <cellStyle name="Comma 10 4" xfId="873" xr:uid="{00000000-0005-0000-0000-0000700F0000}"/>
    <cellStyle name="Comma 10 4 2" xfId="1149" xr:uid="{00000000-0005-0000-0000-0000710F0000}"/>
    <cellStyle name="Comma 10 4 2 2" xfId="6867" xr:uid="{00000000-0005-0000-0000-0000720F0000}"/>
    <cellStyle name="Comma 10 4 2 2 2" xfId="9574" xr:uid="{00000000-0005-0000-0000-0000730F0000}"/>
    <cellStyle name="Comma 10 4 2 3" xfId="8235" xr:uid="{00000000-0005-0000-0000-0000740F0000}"/>
    <cellStyle name="Comma 10 4 3" xfId="6606" xr:uid="{00000000-0005-0000-0000-0000750F0000}"/>
    <cellStyle name="Comma 10 4 3 2" xfId="9313" xr:uid="{00000000-0005-0000-0000-0000760F0000}"/>
    <cellStyle name="Comma 10 4 4" xfId="7974" xr:uid="{00000000-0005-0000-0000-0000770F0000}"/>
    <cellStyle name="Comma 10 5" xfId="1057" xr:uid="{00000000-0005-0000-0000-0000780F0000}"/>
    <cellStyle name="Comma 10 5 2" xfId="6788" xr:uid="{00000000-0005-0000-0000-0000790F0000}"/>
    <cellStyle name="Comma 10 5 2 2" xfId="9495" xr:uid="{00000000-0005-0000-0000-00007A0F0000}"/>
    <cellStyle name="Comma 10 5 3" xfId="8156" xr:uid="{00000000-0005-0000-0000-00007B0F0000}"/>
    <cellStyle name="Comma 10 6" xfId="433" xr:uid="{00000000-0005-0000-0000-00007C0F0000}"/>
    <cellStyle name="Comma 10 6 2" xfId="6441" xr:uid="{00000000-0005-0000-0000-00007D0F0000}"/>
    <cellStyle name="Comma 10 6 2 2" xfId="9158" xr:uid="{00000000-0005-0000-0000-00007E0F0000}"/>
    <cellStyle name="Comma 10 6 3" xfId="7819" xr:uid="{00000000-0005-0000-0000-00007F0F0000}"/>
    <cellStyle name="Comma 100" xfId="68" xr:uid="{00000000-0005-0000-0000-0000800F0000}"/>
    <cellStyle name="Comma 100 2" xfId="97" xr:uid="{00000000-0005-0000-0000-0000810F0000}"/>
    <cellStyle name="Comma 101" xfId="10476" xr:uid="{00000000-0005-0000-0000-0000820F0000}"/>
    <cellStyle name="Comma 101 3 2" xfId="10606" xr:uid="{00000000-0005-0000-0000-0000830F0000}"/>
    <cellStyle name="Comma 102" xfId="10585" xr:uid="{00000000-0005-0000-0000-0000840F0000}"/>
    <cellStyle name="Comma 102 2" xfId="10617" xr:uid="{760C037F-B47A-4B3D-B0AC-8C0F411F4B9A}"/>
    <cellStyle name="Comma 103 2 2 2" xfId="63" xr:uid="{00000000-0005-0000-0000-0000850F0000}"/>
    <cellStyle name="Comma 103 2 2 2 2" xfId="94" xr:uid="{00000000-0005-0000-0000-0000860F0000}"/>
    <cellStyle name="Comma 104" xfId="3" xr:uid="{00000000-0005-0000-0000-0000870F0000}"/>
    <cellStyle name="Comma 105" xfId="4649" xr:uid="{00000000-0005-0000-0000-0000880F0000}"/>
    <cellStyle name="Comma 105 2" xfId="4650" xr:uid="{00000000-0005-0000-0000-0000890F0000}"/>
    <cellStyle name="Comma 105 2 2" xfId="7345" xr:uid="{00000000-0005-0000-0000-00008A0F0000}"/>
    <cellStyle name="Comma 105 2 2 2" xfId="10044" xr:uid="{00000000-0005-0000-0000-00008B0F0000}"/>
    <cellStyle name="Comma 105 2 3" xfId="8704" xr:uid="{00000000-0005-0000-0000-00008C0F0000}"/>
    <cellStyle name="Comma 105 3" xfId="7344" xr:uid="{00000000-0005-0000-0000-00008D0F0000}"/>
    <cellStyle name="Comma 105 3 2" xfId="10043" xr:uid="{00000000-0005-0000-0000-00008E0F0000}"/>
    <cellStyle name="Comma 105 4" xfId="8703" xr:uid="{00000000-0005-0000-0000-00008F0F0000}"/>
    <cellStyle name="Comma 106" xfId="10530" xr:uid="{00000000-0005-0000-0000-0000900F0000}"/>
    <cellStyle name="Comma 106 2" xfId="10558" xr:uid="{00000000-0005-0000-0000-0000910F0000}"/>
    <cellStyle name="Comma 11" xfId="118" xr:uid="{00000000-0005-0000-0000-0000920F0000}"/>
    <cellStyle name="Comma 11 2" xfId="439" xr:uid="{00000000-0005-0000-0000-0000930F0000}"/>
    <cellStyle name="Comma 11 2 2" xfId="879" xr:uid="{00000000-0005-0000-0000-0000940F0000}"/>
    <cellStyle name="Comma 11 2 2 2" xfId="1155" xr:uid="{00000000-0005-0000-0000-0000950F0000}"/>
    <cellStyle name="Comma 11 2 2 2 2" xfId="4652" xr:uid="{00000000-0005-0000-0000-0000960F0000}"/>
    <cellStyle name="Comma 11 2 2 2 2 2" xfId="7347" xr:uid="{00000000-0005-0000-0000-0000970F0000}"/>
    <cellStyle name="Comma 11 2 2 2 2 2 2" xfId="10046" xr:uid="{00000000-0005-0000-0000-0000980F0000}"/>
    <cellStyle name="Comma 11 2 2 2 2 3" xfId="8706" xr:uid="{00000000-0005-0000-0000-0000990F0000}"/>
    <cellStyle name="Comma 11 2 2 2 3" xfId="6873" xr:uid="{00000000-0005-0000-0000-00009A0F0000}"/>
    <cellStyle name="Comma 11 2 2 2 3 2" xfId="9580" xr:uid="{00000000-0005-0000-0000-00009B0F0000}"/>
    <cellStyle name="Comma 11 2 2 2 4" xfId="8241" xr:uid="{00000000-0005-0000-0000-00009C0F0000}"/>
    <cellStyle name="Comma 11 2 2 3" xfId="4651" xr:uid="{00000000-0005-0000-0000-00009D0F0000}"/>
    <cellStyle name="Comma 11 2 2 3 2" xfId="7346" xr:uid="{00000000-0005-0000-0000-00009E0F0000}"/>
    <cellStyle name="Comma 11 2 2 3 2 2" xfId="10045" xr:uid="{00000000-0005-0000-0000-00009F0F0000}"/>
    <cellStyle name="Comma 11 2 2 3 3" xfId="8705" xr:uid="{00000000-0005-0000-0000-0000A00F0000}"/>
    <cellStyle name="Comma 11 2 2 4" xfId="6612" xr:uid="{00000000-0005-0000-0000-0000A10F0000}"/>
    <cellStyle name="Comma 11 2 2 4 2" xfId="9319" xr:uid="{00000000-0005-0000-0000-0000A20F0000}"/>
    <cellStyle name="Comma 11 2 2 5" xfId="7980" xr:uid="{00000000-0005-0000-0000-0000A30F0000}"/>
    <cellStyle name="Comma 11 2 3" xfId="1063" xr:uid="{00000000-0005-0000-0000-0000A40F0000}"/>
    <cellStyle name="Comma 11 2 3 2" xfId="4653" xr:uid="{00000000-0005-0000-0000-0000A50F0000}"/>
    <cellStyle name="Comma 11 2 3 2 2" xfId="7348" xr:uid="{00000000-0005-0000-0000-0000A60F0000}"/>
    <cellStyle name="Comma 11 2 3 2 2 2" xfId="10047" xr:uid="{00000000-0005-0000-0000-0000A70F0000}"/>
    <cellStyle name="Comma 11 2 3 2 3" xfId="8707" xr:uid="{00000000-0005-0000-0000-0000A80F0000}"/>
    <cellStyle name="Comma 11 2 3 3" xfId="6794" xr:uid="{00000000-0005-0000-0000-0000A90F0000}"/>
    <cellStyle name="Comma 11 2 3 3 2" xfId="9501" xr:uid="{00000000-0005-0000-0000-0000AA0F0000}"/>
    <cellStyle name="Comma 11 2 3 4" xfId="8162" xr:uid="{00000000-0005-0000-0000-0000AB0F0000}"/>
    <cellStyle name="Comma 11 2 4" xfId="6447" xr:uid="{00000000-0005-0000-0000-0000AC0F0000}"/>
    <cellStyle name="Comma 11 2 4 2" xfId="9164" xr:uid="{00000000-0005-0000-0000-0000AD0F0000}"/>
    <cellStyle name="Comma 11 2 5" xfId="7825" xr:uid="{00000000-0005-0000-0000-0000AE0F0000}"/>
    <cellStyle name="Comma 11 3" xfId="878" xr:uid="{00000000-0005-0000-0000-0000AF0F0000}"/>
    <cellStyle name="Comma 11 3 2" xfId="1154" xr:uid="{00000000-0005-0000-0000-0000B00F0000}"/>
    <cellStyle name="Comma 11 3 2 2" xfId="4656" xr:uid="{00000000-0005-0000-0000-0000B10F0000}"/>
    <cellStyle name="Comma 11 3 2 2 2" xfId="7351" xr:uid="{00000000-0005-0000-0000-0000B20F0000}"/>
    <cellStyle name="Comma 11 3 2 2 2 2" xfId="10050" xr:uid="{00000000-0005-0000-0000-0000B30F0000}"/>
    <cellStyle name="Comma 11 3 2 2 3" xfId="8710" xr:uid="{00000000-0005-0000-0000-0000B40F0000}"/>
    <cellStyle name="Comma 11 3 2 3" xfId="4655" xr:uid="{00000000-0005-0000-0000-0000B50F0000}"/>
    <cellStyle name="Comma 11 3 2 3 2" xfId="7350" xr:uid="{00000000-0005-0000-0000-0000B60F0000}"/>
    <cellStyle name="Comma 11 3 2 3 2 2" xfId="10049" xr:uid="{00000000-0005-0000-0000-0000B70F0000}"/>
    <cellStyle name="Comma 11 3 2 3 3" xfId="8709" xr:uid="{00000000-0005-0000-0000-0000B80F0000}"/>
    <cellStyle name="Comma 11 3 2 4" xfId="6872" xr:uid="{00000000-0005-0000-0000-0000B90F0000}"/>
    <cellStyle name="Comma 11 3 2 4 2" xfId="9579" xr:uid="{00000000-0005-0000-0000-0000BA0F0000}"/>
    <cellStyle name="Comma 11 3 2 5" xfId="8240" xr:uid="{00000000-0005-0000-0000-0000BB0F0000}"/>
    <cellStyle name="Comma 11 3 3" xfId="4657" xr:uid="{00000000-0005-0000-0000-0000BC0F0000}"/>
    <cellStyle name="Comma 11 3 3 2" xfId="7352" xr:uid="{00000000-0005-0000-0000-0000BD0F0000}"/>
    <cellStyle name="Comma 11 3 3 2 2" xfId="10051" xr:uid="{00000000-0005-0000-0000-0000BE0F0000}"/>
    <cellStyle name="Comma 11 3 3 3" xfId="8711" xr:uid="{00000000-0005-0000-0000-0000BF0F0000}"/>
    <cellStyle name="Comma 11 3 4" xfId="4654" xr:uid="{00000000-0005-0000-0000-0000C00F0000}"/>
    <cellStyle name="Comma 11 3 4 2" xfId="7349" xr:uid="{00000000-0005-0000-0000-0000C10F0000}"/>
    <cellStyle name="Comma 11 3 4 2 2" xfId="10048" xr:uid="{00000000-0005-0000-0000-0000C20F0000}"/>
    <cellStyle name="Comma 11 3 4 3" xfId="8708" xr:uid="{00000000-0005-0000-0000-0000C30F0000}"/>
    <cellStyle name="Comma 11 3 5" xfId="6611" xr:uid="{00000000-0005-0000-0000-0000C40F0000}"/>
    <cellStyle name="Comma 11 3 5 2" xfId="9318" xr:uid="{00000000-0005-0000-0000-0000C50F0000}"/>
    <cellStyle name="Comma 11 3 6" xfId="7979" xr:uid="{00000000-0005-0000-0000-0000C60F0000}"/>
    <cellStyle name="Comma 11 3 7" xfId="10517" xr:uid="{00000000-0005-0000-0000-0000C70F0000}"/>
    <cellStyle name="Comma 11 3 7 2" xfId="10548" xr:uid="{00000000-0005-0000-0000-0000C80F0000}"/>
    <cellStyle name="Comma 11 3 7 2 2" xfId="10577" xr:uid="{00000000-0005-0000-0000-0000C90F0000}"/>
    <cellStyle name="Comma 11 3 7 4" xfId="10595" xr:uid="{00000000-0005-0000-0000-0000CA0F0000}"/>
    <cellStyle name="Comma 11 3 7 4 2" xfId="10624" xr:uid="{C3209DA7-895F-4724-B043-03686B13583E}"/>
    <cellStyle name="Comma 11 3 8" xfId="4658" xr:uid="{00000000-0005-0000-0000-0000CB0F0000}"/>
    <cellStyle name="Comma 11 3 8 2" xfId="7353" xr:uid="{00000000-0005-0000-0000-0000CC0F0000}"/>
    <cellStyle name="Comma 11 3 8 2 2" xfId="10052" xr:uid="{00000000-0005-0000-0000-0000CD0F0000}"/>
    <cellStyle name="Comma 11 3 8 3" xfId="8712" xr:uid="{00000000-0005-0000-0000-0000CE0F0000}"/>
    <cellStyle name="Comma 11 4" xfId="1310" xr:uid="{00000000-0005-0000-0000-0000CF0F0000}"/>
    <cellStyle name="Comma 11 4 2" xfId="4660" xr:uid="{00000000-0005-0000-0000-0000D00F0000}"/>
    <cellStyle name="Comma 11 4 2 2" xfId="7355" xr:uid="{00000000-0005-0000-0000-0000D10F0000}"/>
    <cellStyle name="Comma 11 4 2 2 2" xfId="10054" xr:uid="{00000000-0005-0000-0000-0000D20F0000}"/>
    <cellStyle name="Comma 11 4 2 3" xfId="8714" xr:uid="{00000000-0005-0000-0000-0000D30F0000}"/>
    <cellStyle name="Comma 11 4 3" xfId="4659" xr:uid="{00000000-0005-0000-0000-0000D40F0000}"/>
    <cellStyle name="Comma 11 4 3 2" xfId="7354" xr:uid="{00000000-0005-0000-0000-0000D50F0000}"/>
    <cellStyle name="Comma 11 4 3 2 2" xfId="10053" xr:uid="{00000000-0005-0000-0000-0000D60F0000}"/>
    <cellStyle name="Comma 11 4 3 3" xfId="8713" xr:uid="{00000000-0005-0000-0000-0000D70F0000}"/>
    <cellStyle name="Comma 11 5" xfId="1062" xr:uid="{00000000-0005-0000-0000-0000D80F0000}"/>
    <cellStyle name="Comma 11 5 2" xfId="4661" xr:uid="{00000000-0005-0000-0000-0000D90F0000}"/>
    <cellStyle name="Comma 11 5 2 2" xfId="7356" xr:uid="{00000000-0005-0000-0000-0000DA0F0000}"/>
    <cellStyle name="Comma 11 5 2 2 2" xfId="10055" xr:uid="{00000000-0005-0000-0000-0000DB0F0000}"/>
    <cellStyle name="Comma 11 5 2 3" xfId="8715" xr:uid="{00000000-0005-0000-0000-0000DC0F0000}"/>
    <cellStyle name="Comma 11 5 3" xfId="6793" xr:uid="{00000000-0005-0000-0000-0000DD0F0000}"/>
    <cellStyle name="Comma 11 5 3 2" xfId="9500" xr:uid="{00000000-0005-0000-0000-0000DE0F0000}"/>
    <cellStyle name="Comma 11 5 4" xfId="8161" xr:uid="{00000000-0005-0000-0000-0000DF0F0000}"/>
    <cellStyle name="Comma 11 6" xfId="438" xr:uid="{00000000-0005-0000-0000-0000E00F0000}"/>
    <cellStyle name="Comma 11 6 2" xfId="4662" xr:uid="{00000000-0005-0000-0000-0000E10F0000}"/>
    <cellStyle name="Comma 11 6 2 2" xfId="7357" xr:uid="{00000000-0005-0000-0000-0000E20F0000}"/>
    <cellStyle name="Comma 11 6 2 2 2" xfId="10056" xr:uid="{00000000-0005-0000-0000-0000E30F0000}"/>
    <cellStyle name="Comma 11 6 2 3" xfId="8716" xr:uid="{00000000-0005-0000-0000-0000E40F0000}"/>
    <cellStyle name="Comma 11 6 3" xfId="6446" xr:uid="{00000000-0005-0000-0000-0000E50F0000}"/>
    <cellStyle name="Comma 11 6 3 2" xfId="9163" xr:uid="{00000000-0005-0000-0000-0000E60F0000}"/>
    <cellStyle name="Comma 11 6 4" xfId="7824" xr:uid="{00000000-0005-0000-0000-0000E70F0000}"/>
    <cellStyle name="Comma 11 7" xfId="1354" xr:uid="{00000000-0005-0000-0000-0000E80F0000}"/>
    <cellStyle name="Comma 11 7 2" xfId="4663" xr:uid="{00000000-0005-0000-0000-0000E90F0000}"/>
    <cellStyle name="Comma 11 7 2 2" xfId="7358" xr:uid="{00000000-0005-0000-0000-0000EA0F0000}"/>
    <cellStyle name="Comma 11 7 2 2 2" xfId="10057" xr:uid="{00000000-0005-0000-0000-0000EB0F0000}"/>
    <cellStyle name="Comma 11 7 2 3" xfId="8717" xr:uid="{00000000-0005-0000-0000-0000EC0F0000}"/>
    <cellStyle name="Comma 11 7 3" xfId="7059" xr:uid="{00000000-0005-0000-0000-0000ED0F0000}"/>
    <cellStyle name="Comma 11 8" xfId="132" xr:uid="{00000000-0005-0000-0000-0000EE0F0000}"/>
    <cellStyle name="Comma 12" xfId="228" xr:uid="{00000000-0005-0000-0000-0000EF0F0000}"/>
    <cellStyle name="Comma 12 10" xfId="6393" xr:uid="{00000000-0005-0000-0000-0000F00F0000}"/>
    <cellStyle name="Comma 12 10 2" xfId="9112" xr:uid="{00000000-0005-0000-0000-0000F10F0000}"/>
    <cellStyle name="Comma 12 11" xfId="7773" xr:uid="{00000000-0005-0000-0000-0000F20F0000}"/>
    <cellStyle name="Comma 12 2" xfId="441" xr:uid="{00000000-0005-0000-0000-0000F30F0000}"/>
    <cellStyle name="Comma 12 2 2" xfId="4664" xr:uid="{00000000-0005-0000-0000-0000F40F0000}"/>
    <cellStyle name="Comma 12 2 2 2" xfId="4665" xr:uid="{00000000-0005-0000-0000-0000F50F0000}"/>
    <cellStyle name="Comma 12 2 2 2 2" xfId="7360" xr:uid="{00000000-0005-0000-0000-0000F60F0000}"/>
    <cellStyle name="Comma 12 2 2 2 2 2" xfId="10059" xr:uid="{00000000-0005-0000-0000-0000F70F0000}"/>
    <cellStyle name="Comma 12 2 2 2 3" xfId="8719" xr:uid="{00000000-0005-0000-0000-0000F80F0000}"/>
    <cellStyle name="Comma 12 2 2 3" xfId="4666" xr:uid="{00000000-0005-0000-0000-0000F90F0000}"/>
    <cellStyle name="Comma 12 2 2 3 2" xfId="7361" xr:uid="{00000000-0005-0000-0000-0000FA0F0000}"/>
    <cellStyle name="Comma 12 2 2 3 2 2" xfId="10060" xr:uid="{00000000-0005-0000-0000-0000FB0F0000}"/>
    <cellStyle name="Comma 12 2 2 3 3" xfId="8720" xr:uid="{00000000-0005-0000-0000-0000FC0F0000}"/>
    <cellStyle name="Comma 12 2 2 4" xfId="7359" xr:uid="{00000000-0005-0000-0000-0000FD0F0000}"/>
    <cellStyle name="Comma 12 2 2 4 2" xfId="10058" xr:uid="{00000000-0005-0000-0000-0000FE0F0000}"/>
    <cellStyle name="Comma 12 2 2 5" xfId="8718" xr:uid="{00000000-0005-0000-0000-0000FF0F0000}"/>
    <cellStyle name="Comma 12 2 4 2" xfId="65" xr:uid="{00000000-0005-0000-0000-000000100000}"/>
    <cellStyle name="Comma 12 2 4 2 2" xfId="95" xr:uid="{00000000-0005-0000-0000-000001100000}"/>
    <cellStyle name="Comma 12 3" xfId="442" xr:uid="{00000000-0005-0000-0000-000002100000}"/>
    <cellStyle name="Comma 12 3 2" xfId="881" xr:uid="{00000000-0005-0000-0000-000003100000}"/>
    <cellStyle name="Comma 12 3 2 2" xfId="1157" xr:uid="{00000000-0005-0000-0000-000004100000}"/>
    <cellStyle name="Comma 12 3 2 2 2" xfId="6875" xr:uid="{00000000-0005-0000-0000-000005100000}"/>
    <cellStyle name="Comma 12 3 2 2 2 2" xfId="9582" xr:uid="{00000000-0005-0000-0000-000006100000}"/>
    <cellStyle name="Comma 12 3 2 2 3" xfId="8243" xr:uid="{00000000-0005-0000-0000-000007100000}"/>
    <cellStyle name="Comma 12 3 2 3" xfId="4667" xr:uid="{00000000-0005-0000-0000-000008100000}"/>
    <cellStyle name="Comma 12 3 2 3 2" xfId="7362" xr:uid="{00000000-0005-0000-0000-000009100000}"/>
    <cellStyle name="Comma 12 3 2 3 2 2" xfId="10061" xr:uid="{00000000-0005-0000-0000-00000A100000}"/>
    <cellStyle name="Comma 12 3 2 3 3" xfId="8721" xr:uid="{00000000-0005-0000-0000-00000B100000}"/>
    <cellStyle name="Comma 12 3 2 4" xfId="6614" xr:uid="{00000000-0005-0000-0000-00000C100000}"/>
    <cellStyle name="Comma 12 3 2 4 2" xfId="9321" xr:uid="{00000000-0005-0000-0000-00000D100000}"/>
    <cellStyle name="Comma 12 3 2 5" xfId="7982" xr:uid="{00000000-0005-0000-0000-00000E100000}"/>
    <cellStyle name="Comma 12 3 3" xfId="1065" xr:uid="{00000000-0005-0000-0000-00000F100000}"/>
    <cellStyle name="Comma 12 3 3 2" xfId="4668" xr:uid="{00000000-0005-0000-0000-000010100000}"/>
    <cellStyle name="Comma 12 3 3 2 2" xfId="7363" xr:uid="{00000000-0005-0000-0000-000011100000}"/>
    <cellStyle name="Comma 12 3 3 2 2 2" xfId="10062" xr:uid="{00000000-0005-0000-0000-000012100000}"/>
    <cellStyle name="Comma 12 3 3 2 3" xfId="8722" xr:uid="{00000000-0005-0000-0000-000013100000}"/>
    <cellStyle name="Comma 12 3 3 3" xfId="6796" xr:uid="{00000000-0005-0000-0000-000014100000}"/>
    <cellStyle name="Comma 12 3 3 3 2" xfId="9503" xr:uid="{00000000-0005-0000-0000-000015100000}"/>
    <cellStyle name="Comma 12 3 3 4" xfId="8164" xr:uid="{00000000-0005-0000-0000-000016100000}"/>
    <cellStyle name="Comma 12 3 4" xfId="1460" xr:uid="{00000000-0005-0000-0000-000017100000}"/>
    <cellStyle name="Comma 12 3 4 2" xfId="7153" xr:uid="{00000000-0005-0000-0000-000018100000}"/>
    <cellStyle name="Comma 12 3 4 2 2" xfId="9856" xr:uid="{00000000-0005-0000-0000-000019100000}"/>
    <cellStyle name="Comma 12 3 4 3" xfId="8516" xr:uid="{00000000-0005-0000-0000-00001A100000}"/>
    <cellStyle name="Comma 12 3 5" xfId="6449" xr:uid="{00000000-0005-0000-0000-00001B100000}"/>
    <cellStyle name="Comma 12 3 5 2" xfId="9166" xr:uid="{00000000-0005-0000-0000-00001C100000}"/>
    <cellStyle name="Comma 12 3 6" xfId="7827" xr:uid="{00000000-0005-0000-0000-00001D100000}"/>
    <cellStyle name="Comma 12 4" xfId="880" xr:uid="{00000000-0005-0000-0000-00001E100000}"/>
    <cellStyle name="Comma 12 4 2" xfId="1156" xr:uid="{00000000-0005-0000-0000-00001F100000}"/>
    <cellStyle name="Comma 12 4 2 2" xfId="6874" xr:uid="{00000000-0005-0000-0000-000020100000}"/>
    <cellStyle name="Comma 12 4 2 2 2" xfId="9581" xr:uid="{00000000-0005-0000-0000-000021100000}"/>
    <cellStyle name="Comma 12 4 2 3" xfId="8242" xr:uid="{00000000-0005-0000-0000-000022100000}"/>
    <cellStyle name="Comma 12 4 3" xfId="4669" xr:uid="{00000000-0005-0000-0000-000023100000}"/>
    <cellStyle name="Comma 12 4 3 2" xfId="7364" xr:uid="{00000000-0005-0000-0000-000024100000}"/>
    <cellStyle name="Comma 12 4 3 2 2" xfId="10063" xr:uid="{00000000-0005-0000-0000-000025100000}"/>
    <cellStyle name="Comma 12 4 3 3" xfId="8723" xr:uid="{00000000-0005-0000-0000-000026100000}"/>
    <cellStyle name="Comma 12 4 4" xfId="6613" xr:uid="{00000000-0005-0000-0000-000027100000}"/>
    <cellStyle name="Comma 12 4 4 2" xfId="9320" xr:uid="{00000000-0005-0000-0000-000028100000}"/>
    <cellStyle name="Comma 12 4 5" xfId="7981" xr:uid="{00000000-0005-0000-0000-000029100000}"/>
    <cellStyle name="Comma 12 5" xfId="1064" xr:uid="{00000000-0005-0000-0000-00002A100000}"/>
    <cellStyle name="Comma 12 5 2" xfId="6795" xr:uid="{00000000-0005-0000-0000-00002B100000}"/>
    <cellStyle name="Comma 12 5 2 2" xfId="9502" xr:uid="{00000000-0005-0000-0000-00002C100000}"/>
    <cellStyle name="Comma 12 5 3" xfId="8163" xr:uid="{00000000-0005-0000-0000-00002D100000}"/>
    <cellStyle name="Comma 12 6" xfId="440" xr:uid="{00000000-0005-0000-0000-00002E100000}"/>
    <cellStyle name="Comma 12 6 2" xfId="6448" xr:uid="{00000000-0005-0000-0000-00002F100000}"/>
    <cellStyle name="Comma 12 6 2 2" xfId="9165" xr:uid="{00000000-0005-0000-0000-000030100000}"/>
    <cellStyle name="Comma 12 6 3" xfId="7826" xr:uid="{00000000-0005-0000-0000-000031100000}"/>
    <cellStyle name="Comma 12 7" xfId="1415" xr:uid="{00000000-0005-0000-0000-000032100000}"/>
    <cellStyle name="Comma 12 7 2" xfId="7120" xr:uid="{00000000-0005-0000-0000-000033100000}"/>
    <cellStyle name="Comma 12 7 2 2" xfId="9823" xr:uid="{00000000-0005-0000-0000-000034100000}"/>
    <cellStyle name="Comma 12 7 3" xfId="8484" xr:uid="{00000000-0005-0000-0000-000035100000}"/>
    <cellStyle name="Comma 12 8" xfId="4670" xr:uid="{00000000-0005-0000-0000-000036100000}"/>
    <cellStyle name="Comma 12 9" xfId="1459" xr:uid="{00000000-0005-0000-0000-000037100000}"/>
    <cellStyle name="Comma 12 9 2" xfId="7152" xr:uid="{00000000-0005-0000-0000-000038100000}"/>
    <cellStyle name="Comma 12 9 2 2" xfId="9855" xr:uid="{00000000-0005-0000-0000-000039100000}"/>
    <cellStyle name="Comma 12 9 3" xfId="8515" xr:uid="{00000000-0005-0000-0000-00003A100000}"/>
    <cellStyle name="Comma 120 2" xfId="443" xr:uid="{00000000-0005-0000-0000-00003B100000}"/>
    <cellStyle name="Comma 123" xfId="10451" xr:uid="{00000000-0005-0000-0000-00003C100000}"/>
    <cellStyle name="Comma 126 2" xfId="10514" xr:uid="{00000000-0005-0000-0000-00003D100000}"/>
    <cellStyle name="Comma 126 2 2" xfId="10545" xr:uid="{00000000-0005-0000-0000-00003E100000}"/>
    <cellStyle name="Comma 126 2 2 2" xfId="10573" xr:uid="{00000000-0005-0000-0000-00003F100000}"/>
    <cellStyle name="Comma 126 2 3" xfId="10592" xr:uid="{00000000-0005-0000-0000-000040100000}"/>
    <cellStyle name="Comma 126 2 3 2" xfId="10621" xr:uid="{6922A057-15AB-41EB-8B7D-C12C0BA9DF17}"/>
    <cellStyle name="Comma 128" xfId="10505" xr:uid="{00000000-0005-0000-0000-000041100000}"/>
    <cellStyle name="Comma 128 2" xfId="10539" xr:uid="{00000000-0005-0000-0000-000042100000}"/>
    <cellStyle name="Comma 129" xfId="10583" xr:uid="{00000000-0005-0000-0000-000043100000}"/>
    <cellStyle name="Comma 129 2" xfId="10520" xr:uid="{00000000-0005-0000-0000-000044100000}"/>
    <cellStyle name="Comma 13" xfId="133" xr:uid="{00000000-0005-0000-0000-000045100000}"/>
    <cellStyle name="Comma 13 2" xfId="126" xr:uid="{00000000-0005-0000-0000-000046100000}"/>
    <cellStyle name="Comma 13 2 2" xfId="1158" xr:uid="{00000000-0005-0000-0000-000047100000}"/>
    <cellStyle name="Comma 13 2 2 2" xfId="4672" xr:uid="{00000000-0005-0000-0000-000048100000}"/>
    <cellStyle name="Comma 13 2 2 2 2" xfId="7366" xr:uid="{00000000-0005-0000-0000-000049100000}"/>
    <cellStyle name="Comma 13 2 2 2 2 2" xfId="10065" xr:uid="{00000000-0005-0000-0000-00004A100000}"/>
    <cellStyle name="Comma 13 2 2 2 3" xfId="8725" xr:uid="{00000000-0005-0000-0000-00004B100000}"/>
    <cellStyle name="Comma 13 2 2 3" xfId="4673" xr:uid="{00000000-0005-0000-0000-00004C100000}"/>
    <cellStyle name="Comma 13 2 2 3 2" xfId="7367" xr:uid="{00000000-0005-0000-0000-00004D100000}"/>
    <cellStyle name="Comma 13 2 2 3 2 2" xfId="10066" xr:uid="{00000000-0005-0000-0000-00004E100000}"/>
    <cellStyle name="Comma 13 2 2 3 3" xfId="8726" xr:uid="{00000000-0005-0000-0000-00004F100000}"/>
    <cellStyle name="Comma 13 2 2 4" xfId="4671" xr:uid="{00000000-0005-0000-0000-000050100000}"/>
    <cellStyle name="Comma 13 2 2 4 2" xfId="7365" xr:uid="{00000000-0005-0000-0000-000051100000}"/>
    <cellStyle name="Comma 13 2 2 4 2 2" xfId="10064" xr:uid="{00000000-0005-0000-0000-000052100000}"/>
    <cellStyle name="Comma 13 2 2 4 3" xfId="8724" xr:uid="{00000000-0005-0000-0000-000053100000}"/>
    <cellStyle name="Comma 13 2 2 5" xfId="6876" xr:uid="{00000000-0005-0000-0000-000054100000}"/>
    <cellStyle name="Comma 13 2 2 5 2" xfId="9583" xr:uid="{00000000-0005-0000-0000-000055100000}"/>
    <cellStyle name="Comma 13 2 2 6" xfId="8244" xr:uid="{00000000-0005-0000-0000-000056100000}"/>
    <cellStyle name="Comma 13 2 3" xfId="882" xr:uid="{00000000-0005-0000-0000-000057100000}"/>
    <cellStyle name="Comma 13 2 3 2" xfId="6615" xr:uid="{00000000-0005-0000-0000-000058100000}"/>
    <cellStyle name="Comma 13 2 3 2 2" xfId="9322" xr:uid="{00000000-0005-0000-0000-000059100000}"/>
    <cellStyle name="Comma 13 2 3 3" xfId="7983" xr:uid="{00000000-0005-0000-0000-00005A100000}"/>
    <cellStyle name="Comma 13 2 4" xfId="1351" xr:uid="{00000000-0005-0000-0000-00005B100000}"/>
    <cellStyle name="Comma 13 2 4 2" xfId="7056" xr:uid="{00000000-0005-0000-0000-00005C100000}"/>
    <cellStyle name="Comma 13 2 4 2 2" xfId="9763" xr:uid="{00000000-0005-0000-0000-00005D100000}"/>
    <cellStyle name="Comma 13 2 4 3" xfId="8424" xr:uid="{00000000-0005-0000-0000-00005E100000}"/>
    <cellStyle name="Comma 13 2 5" xfId="6333" xr:uid="{00000000-0005-0000-0000-00005F100000}"/>
    <cellStyle name="Comma 13 2 5 2" xfId="9052" xr:uid="{00000000-0005-0000-0000-000060100000}"/>
    <cellStyle name="Comma 13 2 6" xfId="7713" xr:uid="{00000000-0005-0000-0000-000061100000}"/>
    <cellStyle name="Comma 13 3" xfId="1066" xr:uid="{00000000-0005-0000-0000-000062100000}"/>
    <cellStyle name="Comma 13 3 2" xfId="4675" xr:uid="{00000000-0005-0000-0000-000063100000}"/>
    <cellStyle name="Comma 13 3 2 2" xfId="7369" xr:uid="{00000000-0005-0000-0000-000064100000}"/>
    <cellStyle name="Comma 13 3 2 2 2" xfId="10068" xr:uid="{00000000-0005-0000-0000-000065100000}"/>
    <cellStyle name="Comma 13 3 2 3" xfId="8728" xr:uid="{00000000-0005-0000-0000-000066100000}"/>
    <cellStyle name="Comma 13 3 3" xfId="4676" xr:uid="{00000000-0005-0000-0000-000067100000}"/>
    <cellStyle name="Comma 13 3 3 2" xfId="7370" xr:uid="{00000000-0005-0000-0000-000068100000}"/>
    <cellStyle name="Comma 13 3 3 2 2" xfId="10069" xr:uid="{00000000-0005-0000-0000-000069100000}"/>
    <cellStyle name="Comma 13 3 3 3" xfId="8729" xr:uid="{00000000-0005-0000-0000-00006A100000}"/>
    <cellStyle name="Comma 13 3 4" xfId="4674" xr:uid="{00000000-0005-0000-0000-00006B100000}"/>
    <cellStyle name="Comma 13 3 4 2" xfId="7368" xr:uid="{00000000-0005-0000-0000-00006C100000}"/>
    <cellStyle name="Comma 13 3 4 2 2" xfId="10067" xr:uid="{00000000-0005-0000-0000-00006D100000}"/>
    <cellStyle name="Comma 13 3 4 3" xfId="8727" xr:uid="{00000000-0005-0000-0000-00006E100000}"/>
    <cellStyle name="Comma 13 3 5" xfId="6797" xr:uid="{00000000-0005-0000-0000-00006F100000}"/>
    <cellStyle name="Comma 13 3 5 2" xfId="9504" xr:uid="{00000000-0005-0000-0000-000070100000}"/>
    <cellStyle name="Comma 13 3 6" xfId="8165" xr:uid="{00000000-0005-0000-0000-000071100000}"/>
    <cellStyle name="Comma 13 4" xfId="444" xr:uid="{00000000-0005-0000-0000-000072100000}"/>
    <cellStyle name="Comma 13 4 2" xfId="6450" xr:uid="{00000000-0005-0000-0000-000073100000}"/>
    <cellStyle name="Comma 13 4 2 2" xfId="9167" xr:uid="{00000000-0005-0000-0000-000074100000}"/>
    <cellStyle name="Comma 13 4 3" xfId="7828" xr:uid="{00000000-0005-0000-0000-000075100000}"/>
    <cellStyle name="Comma 13 5" xfId="1355" xr:uid="{00000000-0005-0000-0000-000076100000}"/>
    <cellStyle name="Comma 13 5 2" xfId="7060" xr:uid="{00000000-0005-0000-0000-000077100000}"/>
    <cellStyle name="Comma 13 5 2 2" xfId="9766" xr:uid="{00000000-0005-0000-0000-000078100000}"/>
    <cellStyle name="Comma 13 5 3" xfId="8427" xr:uid="{00000000-0005-0000-0000-000079100000}"/>
    <cellStyle name="Comma 13 6" xfId="6336" xr:uid="{00000000-0005-0000-0000-00007A100000}"/>
    <cellStyle name="Comma 13 6 2" xfId="9055" xr:uid="{00000000-0005-0000-0000-00007B100000}"/>
    <cellStyle name="Comma 13 7" xfId="7716" xr:uid="{00000000-0005-0000-0000-00007C100000}"/>
    <cellStyle name="Comma 130" xfId="10493" xr:uid="{00000000-0005-0000-0000-00007D100000}"/>
    <cellStyle name="Comma 130 2" xfId="10607" xr:uid="{00000000-0005-0000-0000-00007E100000}"/>
    <cellStyle name="Comma 131" xfId="10491" xr:uid="{00000000-0005-0000-0000-00007F100000}"/>
    <cellStyle name="Comma 131 2" xfId="10535" xr:uid="{00000000-0005-0000-0000-000080100000}"/>
    <cellStyle name="Comma 131 2 2" xfId="10562" xr:uid="{00000000-0005-0000-0000-000081100000}"/>
    <cellStyle name="Comma 14" xfId="240" xr:uid="{00000000-0005-0000-0000-000082100000}"/>
    <cellStyle name="Comma 14 2" xfId="268" xr:uid="{00000000-0005-0000-0000-000083100000}"/>
    <cellStyle name="Comma 14 2 2" xfId="447" xr:uid="{00000000-0005-0000-0000-000084100000}"/>
    <cellStyle name="Comma 14 2 2 2" xfId="966" xr:uid="{00000000-0005-0000-0000-000085100000}"/>
    <cellStyle name="Comma 14 2 2 2 2" xfId="4678" xr:uid="{00000000-0005-0000-0000-000086100000}"/>
    <cellStyle name="Comma 14 2 2 2 2 2" xfId="7372" xr:uid="{00000000-0005-0000-0000-000087100000}"/>
    <cellStyle name="Comma 14 2 2 2 2 2 2" xfId="10071" xr:uid="{00000000-0005-0000-0000-000088100000}"/>
    <cellStyle name="Comma 14 2 2 2 2 3" xfId="8731" xr:uid="{00000000-0005-0000-0000-000089100000}"/>
    <cellStyle name="Comma 14 2 2 2 3" xfId="6698" xr:uid="{00000000-0005-0000-0000-00008A100000}"/>
    <cellStyle name="Comma 14 2 2 2 3 2" xfId="9405" xr:uid="{00000000-0005-0000-0000-00008B100000}"/>
    <cellStyle name="Comma 14 2 2 2 4" xfId="8066" xr:uid="{00000000-0005-0000-0000-00008C100000}"/>
    <cellStyle name="Comma 14 2 2 3" xfId="981" xr:uid="{00000000-0005-0000-0000-00008D100000}"/>
    <cellStyle name="Comma 14 2 2 3 2" xfId="1300" xr:uid="{00000000-0005-0000-0000-00008E100000}"/>
    <cellStyle name="Comma 14 2 2 3 2 2" xfId="7010" xr:uid="{00000000-0005-0000-0000-00008F100000}"/>
    <cellStyle name="Comma 14 2 2 3 2 2 2" xfId="9717" xr:uid="{00000000-0005-0000-0000-000090100000}"/>
    <cellStyle name="Comma 14 2 2 3 2 3" xfId="8378" xr:uid="{00000000-0005-0000-0000-000091100000}"/>
    <cellStyle name="Comma 14 2 2 3 3" xfId="4679" xr:uid="{00000000-0005-0000-0000-000092100000}"/>
    <cellStyle name="Comma 14 2 2 3 3 2" xfId="7373" xr:uid="{00000000-0005-0000-0000-000093100000}"/>
    <cellStyle name="Comma 14 2 2 3 3 2 2" xfId="10072" xr:uid="{00000000-0005-0000-0000-000094100000}"/>
    <cellStyle name="Comma 14 2 2 3 3 3" xfId="8732" xr:uid="{00000000-0005-0000-0000-000095100000}"/>
    <cellStyle name="Comma 14 2 2 3 4" xfId="6713" xr:uid="{00000000-0005-0000-0000-000096100000}"/>
    <cellStyle name="Comma 14 2 2 3 4 2" xfId="9420" xr:uid="{00000000-0005-0000-0000-000097100000}"/>
    <cellStyle name="Comma 14 2 2 3 5" xfId="8081" xr:uid="{00000000-0005-0000-0000-000098100000}"/>
    <cellStyle name="Comma 14 2 2 4" xfId="1042" xr:uid="{00000000-0005-0000-0000-000099100000}"/>
    <cellStyle name="Comma 14 2 2 4 2" xfId="6773" xr:uid="{00000000-0005-0000-0000-00009A100000}"/>
    <cellStyle name="Comma 14 2 2 4 2 2" xfId="9480" xr:uid="{00000000-0005-0000-0000-00009B100000}"/>
    <cellStyle name="Comma 14 2 2 4 3" xfId="8141" xr:uid="{00000000-0005-0000-0000-00009C100000}"/>
    <cellStyle name="Comma 14 2 2 5" xfId="4677" xr:uid="{00000000-0005-0000-0000-00009D100000}"/>
    <cellStyle name="Comma 14 2 2 5 2" xfId="7371" xr:uid="{00000000-0005-0000-0000-00009E100000}"/>
    <cellStyle name="Comma 14 2 2 5 2 2" xfId="10070" xr:uid="{00000000-0005-0000-0000-00009F100000}"/>
    <cellStyle name="Comma 14 2 2 5 3" xfId="8730" xr:uid="{00000000-0005-0000-0000-0000A0100000}"/>
    <cellStyle name="Comma 14 2 2 6" xfId="6453" xr:uid="{00000000-0005-0000-0000-0000A1100000}"/>
    <cellStyle name="Comma 14 2 2 6 2" xfId="9170" xr:uid="{00000000-0005-0000-0000-0000A2100000}"/>
    <cellStyle name="Comma 14 2 2 7" xfId="7831" xr:uid="{00000000-0005-0000-0000-0000A3100000}"/>
    <cellStyle name="Comma 14 2 3" xfId="446" xr:uid="{00000000-0005-0000-0000-0000A4100000}"/>
    <cellStyle name="Comma 14 2 3 2" xfId="1160" xr:uid="{00000000-0005-0000-0000-0000A5100000}"/>
    <cellStyle name="Comma 14 2 3 2 2" xfId="6878" xr:uid="{00000000-0005-0000-0000-0000A6100000}"/>
    <cellStyle name="Comma 14 2 3 2 2 2" xfId="9585" xr:uid="{00000000-0005-0000-0000-0000A7100000}"/>
    <cellStyle name="Comma 14 2 3 2 3" xfId="8246" xr:uid="{00000000-0005-0000-0000-0000A8100000}"/>
    <cellStyle name="Comma 14 2 3 3" xfId="6452" xr:uid="{00000000-0005-0000-0000-0000A9100000}"/>
    <cellStyle name="Comma 14 2 3 3 2" xfId="9169" xr:uid="{00000000-0005-0000-0000-0000AA100000}"/>
    <cellStyle name="Comma 14 2 3 4" xfId="7830" xr:uid="{00000000-0005-0000-0000-0000AB100000}"/>
    <cellStyle name="Comma 14 2 4" xfId="884" xr:uid="{00000000-0005-0000-0000-0000AC100000}"/>
    <cellStyle name="Comma 14 2 4 2" xfId="6617" xr:uid="{00000000-0005-0000-0000-0000AD100000}"/>
    <cellStyle name="Comma 14 2 4 2 2" xfId="9324" xr:uid="{00000000-0005-0000-0000-0000AE100000}"/>
    <cellStyle name="Comma 14 2 4 3" xfId="7985" xr:uid="{00000000-0005-0000-0000-0000AF100000}"/>
    <cellStyle name="Comma 14 2 5" xfId="1014" xr:uid="{00000000-0005-0000-0000-0000B0100000}"/>
    <cellStyle name="Comma 14 2 5 2" xfId="6745" xr:uid="{00000000-0005-0000-0000-0000B1100000}"/>
    <cellStyle name="Comma 14 2 5 2 2" xfId="9452" xr:uid="{00000000-0005-0000-0000-0000B2100000}"/>
    <cellStyle name="Comma 14 2 5 3" xfId="8113" xr:uid="{00000000-0005-0000-0000-0000B3100000}"/>
    <cellStyle name="Comma 14 2 6" xfId="1436" xr:uid="{00000000-0005-0000-0000-0000B4100000}"/>
    <cellStyle name="Comma 14 2 6 2" xfId="7132" xr:uid="{00000000-0005-0000-0000-0000B5100000}"/>
    <cellStyle name="Comma 14 2 6 2 2" xfId="9835" xr:uid="{00000000-0005-0000-0000-0000B6100000}"/>
    <cellStyle name="Comma 14 2 6 3" xfId="8495" xr:uid="{00000000-0005-0000-0000-0000B7100000}"/>
    <cellStyle name="Comma 14 2 7" xfId="6419" xr:uid="{00000000-0005-0000-0000-0000B8100000}"/>
    <cellStyle name="Comma 14 2 7 2" xfId="9138" xr:uid="{00000000-0005-0000-0000-0000B9100000}"/>
    <cellStyle name="Comma 14 2 8" xfId="7799" xr:uid="{00000000-0005-0000-0000-0000BA100000}"/>
    <cellStyle name="Comma 14 3" xfId="448" xr:uid="{00000000-0005-0000-0000-0000BB100000}"/>
    <cellStyle name="Comma 14 3 2" xfId="999" xr:uid="{00000000-0005-0000-0000-0000BC100000}"/>
    <cellStyle name="Comma 14 3 2 2" xfId="4681" xr:uid="{00000000-0005-0000-0000-0000BD100000}"/>
    <cellStyle name="Comma 14 3 2 2 2" xfId="7375" xr:uid="{00000000-0005-0000-0000-0000BE100000}"/>
    <cellStyle name="Comma 14 3 2 2 2 2" xfId="10074" xr:uid="{00000000-0005-0000-0000-0000BF100000}"/>
    <cellStyle name="Comma 14 3 2 2 3" xfId="8734" xr:uid="{00000000-0005-0000-0000-0000C0100000}"/>
    <cellStyle name="Comma 14 3 2 3" xfId="6730" xr:uid="{00000000-0005-0000-0000-0000C1100000}"/>
    <cellStyle name="Comma 14 3 2 3 2" xfId="9437" xr:uid="{00000000-0005-0000-0000-0000C2100000}"/>
    <cellStyle name="Comma 14 3 2 4" xfId="8098" xr:uid="{00000000-0005-0000-0000-0000C3100000}"/>
    <cellStyle name="Comma 14 3 3" xfId="991" xr:uid="{00000000-0005-0000-0000-0000C4100000}"/>
    <cellStyle name="Comma 14 3 3 2" xfId="1317" xr:uid="{00000000-0005-0000-0000-0000C5100000}"/>
    <cellStyle name="Comma 14 3 3 2 2" xfId="7023" xr:uid="{00000000-0005-0000-0000-0000C6100000}"/>
    <cellStyle name="Comma 14 3 3 2 2 2" xfId="9730" xr:uid="{00000000-0005-0000-0000-0000C7100000}"/>
    <cellStyle name="Comma 14 3 3 2 3" xfId="8391" xr:uid="{00000000-0005-0000-0000-0000C8100000}"/>
    <cellStyle name="Comma 14 3 3 3" xfId="4682" xr:uid="{00000000-0005-0000-0000-0000C9100000}"/>
    <cellStyle name="Comma 14 3 3 3 2" xfId="7376" xr:uid="{00000000-0005-0000-0000-0000CA100000}"/>
    <cellStyle name="Comma 14 3 3 3 2 2" xfId="10075" xr:uid="{00000000-0005-0000-0000-0000CB100000}"/>
    <cellStyle name="Comma 14 3 3 3 3" xfId="8735" xr:uid="{00000000-0005-0000-0000-0000CC100000}"/>
    <cellStyle name="Comma 14 3 3 4" xfId="6723" xr:uid="{00000000-0005-0000-0000-0000CD100000}"/>
    <cellStyle name="Comma 14 3 3 4 2" xfId="9430" xr:uid="{00000000-0005-0000-0000-0000CE100000}"/>
    <cellStyle name="Comma 14 3 3 5" xfId="8091" xr:uid="{00000000-0005-0000-0000-0000CF100000}"/>
    <cellStyle name="Comma 14 3 4" xfId="1029" xr:uid="{00000000-0005-0000-0000-0000D0100000}"/>
    <cellStyle name="Comma 14 3 4 2" xfId="6760" xr:uid="{00000000-0005-0000-0000-0000D1100000}"/>
    <cellStyle name="Comma 14 3 4 2 2" xfId="9467" xr:uid="{00000000-0005-0000-0000-0000D2100000}"/>
    <cellStyle name="Comma 14 3 4 3" xfId="8128" xr:uid="{00000000-0005-0000-0000-0000D3100000}"/>
    <cellStyle name="Comma 14 3 5" xfId="4680" xr:uid="{00000000-0005-0000-0000-0000D4100000}"/>
    <cellStyle name="Comma 14 3 5 2" xfId="7374" xr:uid="{00000000-0005-0000-0000-0000D5100000}"/>
    <cellStyle name="Comma 14 3 5 2 2" xfId="10073" xr:uid="{00000000-0005-0000-0000-0000D6100000}"/>
    <cellStyle name="Comma 14 3 5 3" xfId="8733" xr:uid="{00000000-0005-0000-0000-0000D7100000}"/>
    <cellStyle name="Comma 14 3 6" xfId="6454" xr:uid="{00000000-0005-0000-0000-0000D8100000}"/>
    <cellStyle name="Comma 14 3 6 2" xfId="9171" xr:uid="{00000000-0005-0000-0000-0000D9100000}"/>
    <cellStyle name="Comma 14 3 7" xfId="7832" xr:uid="{00000000-0005-0000-0000-0000DA100000}"/>
    <cellStyle name="Comma 14 4" xfId="445" xr:uid="{00000000-0005-0000-0000-0000DB100000}"/>
    <cellStyle name="Comma 14 4 2" xfId="1159" xr:uid="{00000000-0005-0000-0000-0000DC100000}"/>
    <cellStyle name="Comma 14 4 2 2" xfId="6877" xr:uid="{00000000-0005-0000-0000-0000DD100000}"/>
    <cellStyle name="Comma 14 4 2 2 2" xfId="9584" xr:uid="{00000000-0005-0000-0000-0000DE100000}"/>
    <cellStyle name="Comma 14 4 2 3" xfId="8245" xr:uid="{00000000-0005-0000-0000-0000DF100000}"/>
    <cellStyle name="Comma 14 4 3" xfId="6451" xr:uid="{00000000-0005-0000-0000-0000E0100000}"/>
    <cellStyle name="Comma 14 4 3 2" xfId="9168" xr:uid="{00000000-0005-0000-0000-0000E1100000}"/>
    <cellStyle name="Comma 14 4 4" xfId="7829" xr:uid="{00000000-0005-0000-0000-0000E2100000}"/>
    <cellStyle name="Comma 14 5" xfId="883" xr:uid="{00000000-0005-0000-0000-0000E3100000}"/>
    <cellStyle name="Comma 14 5 2" xfId="6616" xr:uid="{00000000-0005-0000-0000-0000E4100000}"/>
    <cellStyle name="Comma 14 5 2 2" xfId="9323" xr:uid="{00000000-0005-0000-0000-0000E5100000}"/>
    <cellStyle name="Comma 14 5 3" xfId="7984" xr:uid="{00000000-0005-0000-0000-0000E6100000}"/>
    <cellStyle name="Comma 14 6" xfId="1003" xr:uid="{00000000-0005-0000-0000-0000E7100000}"/>
    <cellStyle name="Comma 14 6 2" xfId="6734" xr:uid="{00000000-0005-0000-0000-0000E8100000}"/>
    <cellStyle name="Comma 14 6 2 2" xfId="9441" xr:uid="{00000000-0005-0000-0000-0000E9100000}"/>
    <cellStyle name="Comma 14 6 3" xfId="8102" xr:uid="{00000000-0005-0000-0000-0000EA100000}"/>
    <cellStyle name="Comma 14 7" xfId="1461" xr:uid="{00000000-0005-0000-0000-0000EB100000}"/>
    <cellStyle name="Comma 14 7 2" xfId="7154" xr:uid="{00000000-0005-0000-0000-0000EC100000}"/>
    <cellStyle name="Comma 14 7 2 2" xfId="9857" xr:uid="{00000000-0005-0000-0000-0000ED100000}"/>
    <cellStyle name="Comma 14 7 3" xfId="8517" xr:uid="{00000000-0005-0000-0000-0000EE100000}"/>
    <cellStyle name="Comma 14 8" xfId="6401" xr:uid="{00000000-0005-0000-0000-0000EF100000}"/>
    <cellStyle name="Comma 14 8 2" xfId="9120" xr:uid="{00000000-0005-0000-0000-0000F0100000}"/>
    <cellStyle name="Comma 14 9" xfId="7781" xr:uid="{00000000-0005-0000-0000-0000F1100000}"/>
    <cellStyle name="Comma 15" xfId="241" xr:uid="{00000000-0005-0000-0000-0000F2100000}"/>
    <cellStyle name="Comma 15 2" xfId="117" xr:uid="{00000000-0005-0000-0000-0000F3100000}"/>
    <cellStyle name="Comma 15 2 2" xfId="450" xr:uid="{00000000-0005-0000-0000-0000F4100000}"/>
    <cellStyle name="Comma 15 2 2 2" xfId="886" xr:uid="{00000000-0005-0000-0000-0000F5100000}"/>
    <cellStyle name="Comma 15 2 2 2 2" xfId="1325" xr:uid="{00000000-0005-0000-0000-0000F6100000}"/>
    <cellStyle name="Comma 15 2 2 2 2 2" xfId="7031" xr:uid="{00000000-0005-0000-0000-0000F7100000}"/>
    <cellStyle name="Comma 15 2 2 2 2 2 2" xfId="9738" xr:uid="{00000000-0005-0000-0000-0000F8100000}"/>
    <cellStyle name="Comma 15 2 2 2 2 3" xfId="8399" xr:uid="{00000000-0005-0000-0000-0000F9100000}"/>
    <cellStyle name="Comma 15 2 2 2 3" xfId="1067" xr:uid="{00000000-0005-0000-0000-0000FA100000}"/>
    <cellStyle name="Comma 15 2 2 2 3 2" xfId="6798" xr:uid="{00000000-0005-0000-0000-0000FB100000}"/>
    <cellStyle name="Comma 15 2 2 2 3 2 2" xfId="9505" xr:uid="{00000000-0005-0000-0000-0000FC100000}"/>
    <cellStyle name="Comma 15 2 2 2 3 3" xfId="8166" xr:uid="{00000000-0005-0000-0000-0000FD100000}"/>
    <cellStyle name="Comma 15 2 2 2 4" xfId="4684" xr:uid="{00000000-0005-0000-0000-0000FE100000}"/>
    <cellStyle name="Comma 15 2 2 2 4 2" xfId="7378" xr:uid="{00000000-0005-0000-0000-0000FF100000}"/>
    <cellStyle name="Comma 15 2 2 2 4 2 2" xfId="10077" xr:uid="{00000000-0005-0000-0000-000000110000}"/>
    <cellStyle name="Comma 15 2 2 2 4 3" xfId="8737" xr:uid="{00000000-0005-0000-0000-000001110000}"/>
    <cellStyle name="Comma 15 2 2 2 5" xfId="6619" xr:uid="{00000000-0005-0000-0000-000002110000}"/>
    <cellStyle name="Comma 15 2 2 2 5 2" xfId="9326" xr:uid="{00000000-0005-0000-0000-000003110000}"/>
    <cellStyle name="Comma 15 2 2 2 6" xfId="7987" xr:uid="{00000000-0005-0000-0000-000004110000}"/>
    <cellStyle name="Comma 15 2 2 3" xfId="980" xr:uid="{00000000-0005-0000-0000-000005110000}"/>
    <cellStyle name="Comma 15 2 2 3 2" xfId="1162" xr:uid="{00000000-0005-0000-0000-000006110000}"/>
    <cellStyle name="Comma 15 2 2 3 2 2" xfId="6880" xr:uid="{00000000-0005-0000-0000-000007110000}"/>
    <cellStyle name="Comma 15 2 2 3 2 2 2" xfId="9587" xr:uid="{00000000-0005-0000-0000-000008110000}"/>
    <cellStyle name="Comma 15 2 2 3 2 3" xfId="8248" xr:uid="{00000000-0005-0000-0000-000009110000}"/>
    <cellStyle name="Comma 15 2 2 3 3" xfId="4685" xr:uid="{00000000-0005-0000-0000-00000A110000}"/>
    <cellStyle name="Comma 15 2 2 3 3 2" xfId="7379" xr:uid="{00000000-0005-0000-0000-00000B110000}"/>
    <cellStyle name="Comma 15 2 2 3 3 2 2" xfId="10078" xr:uid="{00000000-0005-0000-0000-00000C110000}"/>
    <cellStyle name="Comma 15 2 2 3 3 3" xfId="8738" xr:uid="{00000000-0005-0000-0000-00000D110000}"/>
    <cellStyle name="Comma 15 2 2 3 4" xfId="6712" xr:uid="{00000000-0005-0000-0000-00000E110000}"/>
    <cellStyle name="Comma 15 2 2 3 4 2" xfId="9419" xr:uid="{00000000-0005-0000-0000-00000F110000}"/>
    <cellStyle name="Comma 15 2 2 3 5" xfId="8080" xr:uid="{00000000-0005-0000-0000-000010110000}"/>
    <cellStyle name="Comma 15 2 2 4" xfId="1299" xr:uid="{00000000-0005-0000-0000-000011110000}"/>
    <cellStyle name="Comma 15 2 2 4 2" xfId="7009" xr:uid="{00000000-0005-0000-0000-000012110000}"/>
    <cellStyle name="Comma 15 2 2 4 2 2" xfId="9716" xr:uid="{00000000-0005-0000-0000-000013110000}"/>
    <cellStyle name="Comma 15 2 2 4 3" xfId="8377" xr:uid="{00000000-0005-0000-0000-000014110000}"/>
    <cellStyle name="Comma 15 2 2 5" xfId="1043" xr:uid="{00000000-0005-0000-0000-000015110000}"/>
    <cellStyle name="Comma 15 2 2 5 2" xfId="6774" xr:uid="{00000000-0005-0000-0000-000016110000}"/>
    <cellStyle name="Comma 15 2 2 5 2 2" xfId="9481" xr:uid="{00000000-0005-0000-0000-000017110000}"/>
    <cellStyle name="Comma 15 2 2 5 3" xfId="8142" xr:uid="{00000000-0005-0000-0000-000018110000}"/>
    <cellStyle name="Comma 15 2 2 6" xfId="4683" xr:uid="{00000000-0005-0000-0000-000019110000}"/>
    <cellStyle name="Comma 15 2 2 6 2" xfId="7377" xr:uid="{00000000-0005-0000-0000-00001A110000}"/>
    <cellStyle name="Comma 15 2 2 6 2 2" xfId="10076" xr:uid="{00000000-0005-0000-0000-00001B110000}"/>
    <cellStyle name="Comma 15 2 2 6 3" xfId="8736" xr:uid="{00000000-0005-0000-0000-00001C110000}"/>
    <cellStyle name="Comma 15 2 2 7" xfId="6456" xr:uid="{00000000-0005-0000-0000-00001D110000}"/>
    <cellStyle name="Comma 15 2 2 7 2" xfId="9173" xr:uid="{00000000-0005-0000-0000-00001E110000}"/>
    <cellStyle name="Comma 15 2 2 8" xfId="7834" xr:uid="{00000000-0005-0000-0000-00001F110000}"/>
    <cellStyle name="Comma 15 2 3" xfId="449" xr:uid="{00000000-0005-0000-0000-000020110000}"/>
    <cellStyle name="Comma 15 2 3 2" xfId="1161" xr:uid="{00000000-0005-0000-0000-000021110000}"/>
    <cellStyle name="Comma 15 2 3 2 2" xfId="6879" xr:uid="{00000000-0005-0000-0000-000022110000}"/>
    <cellStyle name="Comma 15 2 3 2 2 2" xfId="9586" xr:uid="{00000000-0005-0000-0000-000023110000}"/>
    <cellStyle name="Comma 15 2 3 2 3" xfId="8247" xr:uid="{00000000-0005-0000-0000-000024110000}"/>
    <cellStyle name="Comma 15 2 3 3" xfId="6455" xr:uid="{00000000-0005-0000-0000-000025110000}"/>
    <cellStyle name="Comma 15 2 3 3 2" xfId="9172" xr:uid="{00000000-0005-0000-0000-000026110000}"/>
    <cellStyle name="Comma 15 2 3 3 2 2" xfId="10525" xr:uid="{00000000-0005-0000-0000-000027110000}"/>
    <cellStyle name="Comma 15 2 3 3 2 2 2" xfId="10551" xr:uid="{00000000-0005-0000-0000-000028110000}"/>
    <cellStyle name="Comma 15 2 3 4" xfId="7833" xr:uid="{00000000-0005-0000-0000-000029110000}"/>
    <cellStyle name="Comma 15 2 3 5" xfId="10509" xr:uid="{00000000-0005-0000-0000-00002A110000}"/>
    <cellStyle name="Comma 15 2 3 6" xfId="10542" xr:uid="{00000000-0005-0000-0000-00002B110000}"/>
    <cellStyle name="Comma 15 2 4" xfId="885" xr:uid="{00000000-0005-0000-0000-00002C110000}"/>
    <cellStyle name="Comma 15 2 4 2" xfId="6618" xr:uid="{00000000-0005-0000-0000-00002D110000}"/>
    <cellStyle name="Comma 15 2 4 2 2" xfId="9325" xr:uid="{00000000-0005-0000-0000-00002E110000}"/>
    <cellStyle name="Comma 15 2 4 3" xfId="7986" xr:uid="{00000000-0005-0000-0000-00002F110000}"/>
    <cellStyle name="Comma 15 2 5" xfId="1015" xr:uid="{00000000-0005-0000-0000-000030110000}"/>
    <cellStyle name="Comma 15 2 5 2" xfId="6746" xr:uid="{00000000-0005-0000-0000-000031110000}"/>
    <cellStyle name="Comma 15 2 5 2 2" xfId="9453" xr:uid="{00000000-0005-0000-0000-000032110000}"/>
    <cellStyle name="Comma 15 2 5 3" xfId="8114" xr:uid="{00000000-0005-0000-0000-000033110000}"/>
    <cellStyle name="Comma 15 2 6" xfId="6420" xr:uid="{00000000-0005-0000-0000-000034110000}"/>
    <cellStyle name="Comma 15 2 6 2" xfId="9139" xr:uid="{00000000-0005-0000-0000-000035110000}"/>
    <cellStyle name="Comma 15 2 7" xfId="7800" xr:uid="{00000000-0005-0000-0000-000036110000}"/>
    <cellStyle name="Comma 15 2 8" xfId="269" xr:uid="{00000000-0005-0000-0000-000037110000}"/>
    <cellStyle name="Comma 15 3" xfId="451" xr:uid="{00000000-0005-0000-0000-000038110000}"/>
    <cellStyle name="Comma 15 3 2" xfId="887" xr:uid="{00000000-0005-0000-0000-000039110000}"/>
    <cellStyle name="Comma 15 3 2 2" xfId="1163" xr:uid="{00000000-0005-0000-0000-00003A110000}"/>
    <cellStyle name="Comma 15 3 2 2 2" xfId="6881" xr:uid="{00000000-0005-0000-0000-00003B110000}"/>
    <cellStyle name="Comma 15 3 2 2 2 2" xfId="9588" xr:uid="{00000000-0005-0000-0000-00003C110000}"/>
    <cellStyle name="Comma 15 3 2 2 3" xfId="8249" xr:uid="{00000000-0005-0000-0000-00003D110000}"/>
    <cellStyle name="Comma 15 3 2 3" xfId="4687" xr:uid="{00000000-0005-0000-0000-00003E110000}"/>
    <cellStyle name="Comma 15 3 2 3 2" xfId="7381" xr:uid="{00000000-0005-0000-0000-00003F110000}"/>
    <cellStyle name="Comma 15 3 2 3 2 2" xfId="10080" xr:uid="{00000000-0005-0000-0000-000040110000}"/>
    <cellStyle name="Comma 15 3 2 3 3" xfId="8740" xr:uid="{00000000-0005-0000-0000-000041110000}"/>
    <cellStyle name="Comma 15 3 2 4" xfId="6620" xr:uid="{00000000-0005-0000-0000-000042110000}"/>
    <cellStyle name="Comma 15 3 2 4 2" xfId="9327" xr:uid="{00000000-0005-0000-0000-000043110000}"/>
    <cellStyle name="Comma 15 3 2 5" xfId="7988" xr:uid="{00000000-0005-0000-0000-000044110000}"/>
    <cellStyle name="Comma 15 3 3" xfId="1068" xr:uid="{00000000-0005-0000-0000-000045110000}"/>
    <cellStyle name="Comma 15 3 3 2" xfId="4688" xr:uid="{00000000-0005-0000-0000-000046110000}"/>
    <cellStyle name="Comma 15 3 3 2 2" xfId="7382" xr:uid="{00000000-0005-0000-0000-000047110000}"/>
    <cellStyle name="Comma 15 3 3 2 2 2" xfId="10081" xr:uid="{00000000-0005-0000-0000-000048110000}"/>
    <cellStyle name="Comma 15 3 3 2 3" xfId="8741" xr:uid="{00000000-0005-0000-0000-000049110000}"/>
    <cellStyle name="Comma 15 3 3 3" xfId="6799" xr:uid="{00000000-0005-0000-0000-00004A110000}"/>
    <cellStyle name="Comma 15 3 3 3 2" xfId="9506" xr:uid="{00000000-0005-0000-0000-00004B110000}"/>
    <cellStyle name="Comma 15 3 3 4" xfId="8167" xr:uid="{00000000-0005-0000-0000-00004C110000}"/>
    <cellStyle name="Comma 15 3 4" xfId="4686" xr:uid="{00000000-0005-0000-0000-00004D110000}"/>
    <cellStyle name="Comma 15 3 4 2" xfId="7380" xr:uid="{00000000-0005-0000-0000-00004E110000}"/>
    <cellStyle name="Comma 15 3 4 2 2" xfId="10079" xr:uid="{00000000-0005-0000-0000-00004F110000}"/>
    <cellStyle name="Comma 15 3 4 3" xfId="8739" xr:uid="{00000000-0005-0000-0000-000050110000}"/>
    <cellStyle name="Comma 15 3 5" xfId="6457" xr:uid="{00000000-0005-0000-0000-000051110000}"/>
    <cellStyle name="Comma 15 3 5 2" xfId="9174" xr:uid="{00000000-0005-0000-0000-000052110000}"/>
    <cellStyle name="Comma 15 3 6" xfId="7835" xr:uid="{00000000-0005-0000-0000-000053110000}"/>
    <cellStyle name="Comma 15 4" xfId="6402" xr:uid="{00000000-0005-0000-0000-000054110000}"/>
    <cellStyle name="Comma 15 4 2" xfId="9121" xr:uid="{00000000-0005-0000-0000-000055110000}"/>
    <cellStyle name="Comma 15 5" xfId="7782" xr:uid="{00000000-0005-0000-0000-000056110000}"/>
    <cellStyle name="Comma 16" xfId="452" xr:uid="{00000000-0005-0000-0000-000057110000}"/>
    <cellStyle name="Comma 16 2" xfId="453" xr:uid="{00000000-0005-0000-0000-000058110000}"/>
    <cellStyle name="Comma 16 2 2" xfId="889" xr:uid="{00000000-0005-0000-0000-000059110000}"/>
    <cellStyle name="Comma 16 2 2 2" xfId="1165" xr:uid="{00000000-0005-0000-0000-00005A110000}"/>
    <cellStyle name="Comma 16 2 2 2 2" xfId="4690" xr:uid="{00000000-0005-0000-0000-00005B110000}"/>
    <cellStyle name="Comma 16 2 2 2 2 2" xfId="7384" xr:uid="{00000000-0005-0000-0000-00005C110000}"/>
    <cellStyle name="Comma 16 2 2 2 2 2 2" xfId="10083" xr:uid="{00000000-0005-0000-0000-00005D110000}"/>
    <cellStyle name="Comma 16 2 2 2 2 3" xfId="8743" xr:uid="{00000000-0005-0000-0000-00005E110000}"/>
    <cellStyle name="Comma 16 2 2 2 3" xfId="6883" xr:uid="{00000000-0005-0000-0000-00005F110000}"/>
    <cellStyle name="Comma 16 2 2 2 3 2" xfId="9590" xr:uid="{00000000-0005-0000-0000-000060110000}"/>
    <cellStyle name="Comma 16 2 2 2 4" xfId="8251" xr:uid="{00000000-0005-0000-0000-000061110000}"/>
    <cellStyle name="Comma 16 2 2 3" xfId="4691" xr:uid="{00000000-0005-0000-0000-000062110000}"/>
    <cellStyle name="Comma 16 2 2 3 2" xfId="7385" xr:uid="{00000000-0005-0000-0000-000063110000}"/>
    <cellStyle name="Comma 16 2 2 3 2 2" xfId="10084" xr:uid="{00000000-0005-0000-0000-000064110000}"/>
    <cellStyle name="Comma 16 2 2 3 3" xfId="8744" xr:uid="{00000000-0005-0000-0000-000065110000}"/>
    <cellStyle name="Comma 16 2 2 4" xfId="4689" xr:uid="{00000000-0005-0000-0000-000066110000}"/>
    <cellStyle name="Comma 16 2 2 4 2" xfId="7383" xr:uid="{00000000-0005-0000-0000-000067110000}"/>
    <cellStyle name="Comma 16 2 2 4 2 2" xfId="10082" xr:uid="{00000000-0005-0000-0000-000068110000}"/>
    <cellStyle name="Comma 16 2 2 4 3" xfId="8742" xr:uid="{00000000-0005-0000-0000-000069110000}"/>
    <cellStyle name="Comma 16 2 2 5" xfId="6622" xr:uid="{00000000-0005-0000-0000-00006A110000}"/>
    <cellStyle name="Comma 16 2 2 5 2" xfId="9329" xr:uid="{00000000-0005-0000-0000-00006B110000}"/>
    <cellStyle name="Comma 16 2 2 6" xfId="7990" xr:uid="{00000000-0005-0000-0000-00006C110000}"/>
    <cellStyle name="Comma 16 2 3" xfId="1070" xr:uid="{00000000-0005-0000-0000-00006D110000}"/>
    <cellStyle name="Comma 16 2 3 2" xfId="6801" xr:uid="{00000000-0005-0000-0000-00006E110000}"/>
    <cellStyle name="Comma 16 2 3 2 2" xfId="9508" xr:uid="{00000000-0005-0000-0000-00006F110000}"/>
    <cellStyle name="Comma 16 2 3 3" xfId="8169" xr:uid="{00000000-0005-0000-0000-000070110000}"/>
    <cellStyle name="Comma 16 2 4" xfId="1463" xr:uid="{00000000-0005-0000-0000-000071110000}"/>
    <cellStyle name="Comma 16 2 4 2" xfId="7156" xr:uid="{00000000-0005-0000-0000-000072110000}"/>
    <cellStyle name="Comma 16 2 4 2 2" xfId="9859" xr:uid="{00000000-0005-0000-0000-000073110000}"/>
    <cellStyle name="Comma 16 2 4 3" xfId="8519" xr:uid="{00000000-0005-0000-0000-000074110000}"/>
    <cellStyle name="Comma 16 2 5" xfId="6459" xr:uid="{00000000-0005-0000-0000-000075110000}"/>
    <cellStyle name="Comma 16 2 5 2" xfId="9176" xr:uid="{00000000-0005-0000-0000-000076110000}"/>
    <cellStyle name="Comma 16 2 6" xfId="7837" xr:uid="{00000000-0005-0000-0000-000077110000}"/>
    <cellStyle name="Comma 16 2 7" xfId="10510" xr:uid="{00000000-0005-0000-0000-000078110000}"/>
    <cellStyle name="Comma 16 2 8" xfId="10543" xr:uid="{00000000-0005-0000-0000-000079110000}"/>
    <cellStyle name="Comma 16 3" xfId="888" xr:uid="{00000000-0005-0000-0000-00007A110000}"/>
    <cellStyle name="Comma 16 3 2" xfId="1164" xr:uid="{00000000-0005-0000-0000-00007B110000}"/>
    <cellStyle name="Comma 16 3 2 2" xfId="4693" xr:uid="{00000000-0005-0000-0000-00007C110000}"/>
    <cellStyle name="Comma 16 3 2 2 2" xfId="7387" xr:uid="{00000000-0005-0000-0000-00007D110000}"/>
    <cellStyle name="Comma 16 3 2 2 2 2" xfId="10086" xr:uid="{00000000-0005-0000-0000-00007E110000}"/>
    <cellStyle name="Comma 16 3 2 2 3" xfId="8746" xr:uid="{00000000-0005-0000-0000-00007F110000}"/>
    <cellStyle name="Comma 16 3 2 3" xfId="6882" xr:uid="{00000000-0005-0000-0000-000080110000}"/>
    <cellStyle name="Comma 16 3 2 3 2" xfId="9589" xr:uid="{00000000-0005-0000-0000-000081110000}"/>
    <cellStyle name="Comma 16 3 2 4" xfId="8250" xr:uid="{00000000-0005-0000-0000-000082110000}"/>
    <cellStyle name="Comma 16 3 3" xfId="4694" xr:uid="{00000000-0005-0000-0000-000083110000}"/>
    <cellStyle name="Comma 16 3 3 2" xfId="7388" xr:uid="{00000000-0005-0000-0000-000084110000}"/>
    <cellStyle name="Comma 16 3 3 2 2" xfId="10087" xr:uid="{00000000-0005-0000-0000-000085110000}"/>
    <cellStyle name="Comma 16 3 3 3" xfId="8747" xr:uid="{00000000-0005-0000-0000-000086110000}"/>
    <cellStyle name="Comma 16 3 4" xfId="4692" xr:uid="{00000000-0005-0000-0000-000087110000}"/>
    <cellStyle name="Comma 16 3 4 2" xfId="7386" xr:uid="{00000000-0005-0000-0000-000088110000}"/>
    <cellStyle name="Comma 16 3 4 2 2" xfId="10085" xr:uid="{00000000-0005-0000-0000-000089110000}"/>
    <cellStyle name="Comma 16 3 4 3" xfId="8745" xr:uid="{00000000-0005-0000-0000-00008A110000}"/>
    <cellStyle name="Comma 16 3 5" xfId="6621" xr:uid="{00000000-0005-0000-0000-00008B110000}"/>
    <cellStyle name="Comma 16 3 5 2" xfId="9328" xr:uid="{00000000-0005-0000-0000-00008C110000}"/>
    <cellStyle name="Comma 16 3 6" xfId="7989" xr:uid="{00000000-0005-0000-0000-00008D110000}"/>
    <cellStyle name="Comma 16 4" xfId="1069" xr:uid="{00000000-0005-0000-0000-00008E110000}"/>
    <cellStyle name="Comma 16 4 2" xfId="6800" xr:uid="{00000000-0005-0000-0000-00008F110000}"/>
    <cellStyle name="Comma 16 4 2 2" xfId="9507" xr:uid="{00000000-0005-0000-0000-000090110000}"/>
    <cellStyle name="Comma 16 4 3" xfId="8168" xr:uid="{00000000-0005-0000-0000-000091110000}"/>
    <cellStyle name="Comma 16 5" xfId="1437" xr:uid="{00000000-0005-0000-0000-000092110000}"/>
    <cellStyle name="Comma 16 5 2" xfId="7133" xr:uid="{00000000-0005-0000-0000-000093110000}"/>
    <cellStyle name="Comma 16 5 2 2" xfId="9836" xr:uid="{00000000-0005-0000-0000-000094110000}"/>
    <cellStyle name="Comma 16 5 3" xfId="8496" xr:uid="{00000000-0005-0000-0000-000095110000}"/>
    <cellStyle name="Comma 16 6" xfId="6458" xr:uid="{00000000-0005-0000-0000-000096110000}"/>
    <cellStyle name="Comma 16 6 2" xfId="9175" xr:uid="{00000000-0005-0000-0000-000097110000}"/>
    <cellStyle name="Comma 16 7" xfId="7836" xr:uid="{00000000-0005-0000-0000-000098110000}"/>
    <cellStyle name="Comma 17" xfId="454" xr:uid="{00000000-0005-0000-0000-000099110000}"/>
    <cellStyle name="Comma 17 2" xfId="4695" xr:uid="{00000000-0005-0000-0000-00009A110000}"/>
    <cellStyle name="Comma 17 2 2" xfId="4696" xr:uid="{00000000-0005-0000-0000-00009B110000}"/>
    <cellStyle name="Comma 17 2 2 2" xfId="4697" xr:uid="{00000000-0005-0000-0000-00009C110000}"/>
    <cellStyle name="Comma 17 2 2 2 2" xfId="7391" xr:uid="{00000000-0005-0000-0000-00009D110000}"/>
    <cellStyle name="Comma 17 2 2 2 2 2" xfId="10090" xr:uid="{00000000-0005-0000-0000-00009E110000}"/>
    <cellStyle name="Comma 17 2 2 2 3" xfId="8750" xr:uid="{00000000-0005-0000-0000-00009F110000}"/>
    <cellStyle name="Comma 17 2 2 3" xfId="4698" xr:uid="{00000000-0005-0000-0000-0000A0110000}"/>
    <cellStyle name="Comma 17 2 2 3 2" xfId="7392" xr:uid="{00000000-0005-0000-0000-0000A1110000}"/>
    <cellStyle name="Comma 17 2 2 3 2 2" xfId="10091" xr:uid="{00000000-0005-0000-0000-0000A2110000}"/>
    <cellStyle name="Comma 17 2 2 3 3" xfId="8751" xr:uid="{00000000-0005-0000-0000-0000A3110000}"/>
    <cellStyle name="Comma 17 2 2 4" xfId="7390" xr:uid="{00000000-0005-0000-0000-0000A4110000}"/>
    <cellStyle name="Comma 17 2 2 4 2" xfId="10089" xr:uid="{00000000-0005-0000-0000-0000A5110000}"/>
    <cellStyle name="Comma 17 2 2 5" xfId="8749" xr:uid="{00000000-0005-0000-0000-0000A6110000}"/>
    <cellStyle name="Comma 17 2 3" xfId="7389" xr:uid="{00000000-0005-0000-0000-0000A7110000}"/>
    <cellStyle name="Comma 17 2 3 2" xfId="10088" xr:uid="{00000000-0005-0000-0000-0000A8110000}"/>
    <cellStyle name="Comma 17 2 4" xfId="8748" xr:uid="{00000000-0005-0000-0000-0000A9110000}"/>
    <cellStyle name="Comma 17 3" xfId="4699" xr:uid="{00000000-0005-0000-0000-0000AA110000}"/>
    <cellStyle name="Comma 17 3 2" xfId="4700" xr:uid="{00000000-0005-0000-0000-0000AB110000}"/>
    <cellStyle name="Comma 17 3 2 2" xfId="7394" xr:uid="{00000000-0005-0000-0000-0000AC110000}"/>
    <cellStyle name="Comma 17 3 2 2 2" xfId="10093" xr:uid="{00000000-0005-0000-0000-0000AD110000}"/>
    <cellStyle name="Comma 17 3 2 3" xfId="8753" xr:uid="{00000000-0005-0000-0000-0000AE110000}"/>
    <cellStyle name="Comma 17 3 3" xfId="4701" xr:uid="{00000000-0005-0000-0000-0000AF110000}"/>
    <cellStyle name="Comma 17 3 3 2" xfId="7395" xr:uid="{00000000-0005-0000-0000-0000B0110000}"/>
    <cellStyle name="Comma 17 3 3 2 2" xfId="10094" xr:uid="{00000000-0005-0000-0000-0000B1110000}"/>
    <cellStyle name="Comma 17 3 3 3" xfId="8754" xr:uid="{00000000-0005-0000-0000-0000B2110000}"/>
    <cellStyle name="Comma 17 3 4" xfId="7393" xr:uid="{00000000-0005-0000-0000-0000B3110000}"/>
    <cellStyle name="Comma 17 3 4 2" xfId="10092" xr:uid="{00000000-0005-0000-0000-0000B4110000}"/>
    <cellStyle name="Comma 17 3 5" xfId="8752" xr:uid="{00000000-0005-0000-0000-0000B5110000}"/>
    <cellStyle name="Comma 18" xfId="455" xr:uid="{00000000-0005-0000-0000-0000B6110000}"/>
    <cellStyle name="Comma 18 2" xfId="4702" xr:uid="{00000000-0005-0000-0000-0000B7110000}"/>
    <cellStyle name="Comma 18 2 2" xfId="4703" xr:uid="{00000000-0005-0000-0000-0000B8110000}"/>
    <cellStyle name="Comma 18 2 2 2" xfId="7397" xr:uid="{00000000-0005-0000-0000-0000B9110000}"/>
    <cellStyle name="Comma 18 2 2 2 2" xfId="10096" xr:uid="{00000000-0005-0000-0000-0000BA110000}"/>
    <cellStyle name="Comma 18 2 2 3" xfId="8756" xr:uid="{00000000-0005-0000-0000-0000BB110000}"/>
    <cellStyle name="Comma 18 2 3" xfId="4704" xr:uid="{00000000-0005-0000-0000-0000BC110000}"/>
    <cellStyle name="Comma 18 2 3 2" xfId="7398" xr:uid="{00000000-0005-0000-0000-0000BD110000}"/>
    <cellStyle name="Comma 18 2 3 2 2" xfId="10097" xr:uid="{00000000-0005-0000-0000-0000BE110000}"/>
    <cellStyle name="Comma 18 2 3 3" xfId="8757" xr:uid="{00000000-0005-0000-0000-0000BF110000}"/>
    <cellStyle name="Comma 18 2 4" xfId="7396" xr:uid="{00000000-0005-0000-0000-0000C0110000}"/>
    <cellStyle name="Comma 18 2 4 2" xfId="10095" xr:uid="{00000000-0005-0000-0000-0000C1110000}"/>
    <cellStyle name="Comma 18 2 5" xfId="8755" xr:uid="{00000000-0005-0000-0000-0000C2110000}"/>
    <cellStyle name="Comma 19" xfId="456" xr:uid="{00000000-0005-0000-0000-0000C3110000}"/>
    <cellStyle name="Comma 19 2" xfId="4705" xr:uid="{00000000-0005-0000-0000-0000C4110000}"/>
    <cellStyle name="Comma 19 2 2" xfId="4706" xr:uid="{00000000-0005-0000-0000-0000C5110000}"/>
    <cellStyle name="Comma 19 2 2 2" xfId="4707" xr:uid="{00000000-0005-0000-0000-0000C6110000}"/>
    <cellStyle name="Comma 19 2 2 2 2" xfId="7401" xr:uid="{00000000-0005-0000-0000-0000C7110000}"/>
    <cellStyle name="Comma 19 2 2 2 2 2" xfId="10100" xr:uid="{00000000-0005-0000-0000-0000C8110000}"/>
    <cellStyle name="Comma 19 2 2 2 3" xfId="8760" xr:uid="{00000000-0005-0000-0000-0000C9110000}"/>
    <cellStyle name="Comma 19 2 2 3" xfId="4708" xr:uid="{00000000-0005-0000-0000-0000CA110000}"/>
    <cellStyle name="Comma 19 2 2 3 2" xfId="7402" xr:uid="{00000000-0005-0000-0000-0000CB110000}"/>
    <cellStyle name="Comma 19 2 2 3 2 2" xfId="10101" xr:uid="{00000000-0005-0000-0000-0000CC110000}"/>
    <cellStyle name="Comma 19 2 2 3 3" xfId="8761" xr:uid="{00000000-0005-0000-0000-0000CD110000}"/>
    <cellStyle name="Comma 19 2 2 4" xfId="7400" xr:uid="{00000000-0005-0000-0000-0000CE110000}"/>
    <cellStyle name="Comma 19 2 2 4 2" xfId="10099" xr:uid="{00000000-0005-0000-0000-0000CF110000}"/>
    <cellStyle name="Comma 19 2 2 5" xfId="8759" xr:uid="{00000000-0005-0000-0000-0000D0110000}"/>
    <cellStyle name="Comma 19 2 3" xfId="7399" xr:uid="{00000000-0005-0000-0000-0000D1110000}"/>
    <cellStyle name="Comma 19 2 3 2" xfId="10098" xr:uid="{00000000-0005-0000-0000-0000D2110000}"/>
    <cellStyle name="Comma 19 2 4" xfId="8758" xr:uid="{00000000-0005-0000-0000-0000D3110000}"/>
    <cellStyle name="Comma 19 3" xfId="4709" xr:uid="{00000000-0005-0000-0000-0000D4110000}"/>
    <cellStyle name="Comma 19 3 2" xfId="4710" xr:uid="{00000000-0005-0000-0000-0000D5110000}"/>
    <cellStyle name="Comma 19 3 2 2" xfId="7404" xr:uid="{00000000-0005-0000-0000-0000D6110000}"/>
    <cellStyle name="Comma 19 3 2 2 2" xfId="10103" xr:uid="{00000000-0005-0000-0000-0000D7110000}"/>
    <cellStyle name="Comma 19 3 2 3" xfId="8763" xr:uid="{00000000-0005-0000-0000-0000D8110000}"/>
    <cellStyle name="Comma 19 3 3" xfId="4711" xr:uid="{00000000-0005-0000-0000-0000D9110000}"/>
    <cellStyle name="Comma 19 3 3 2" xfId="7405" xr:uid="{00000000-0005-0000-0000-0000DA110000}"/>
    <cellStyle name="Comma 19 3 3 2 2" xfId="10104" xr:uid="{00000000-0005-0000-0000-0000DB110000}"/>
    <cellStyle name="Comma 19 3 3 3" xfId="8764" xr:uid="{00000000-0005-0000-0000-0000DC110000}"/>
    <cellStyle name="Comma 19 3 4" xfId="7403" xr:uid="{00000000-0005-0000-0000-0000DD110000}"/>
    <cellStyle name="Comma 19 3 4 2" xfId="10102" xr:uid="{00000000-0005-0000-0000-0000DE110000}"/>
    <cellStyle name="Comma 19 3 5" xfId="8762" xr:uid="{00000000-0005-0000-0000-0000DF110000}"/>
    <cellStyle name="Comma 2" xfId="5" xr:uid="{00000000-0005-0000-0000-0000E0110000}"/>
    <cellStyle name="Comma 2 10" xfId="457" xr:uid="{00000000-0005-0000-0000-0000E1110000}"/>
    <cellStyle name="Comma 2 10 2" xfId="4712" xr:uid="{00000000-0005-0000-0000-0000E2110000}"/>
    <cellStyle name="Comma 2 10 2 2" xfId="4713" xr:uid="{00000000-0005-0000-0000-0000E3110000}"/>
    <cellStyle name="Comma 2 10 2 2 2" xfId="4714" xr:uid="{00000000-0005-0000-0000-0000E4110000}"/>
    <cellStyle name="Comma 2 10 2 2 2 2" xfId="7408" xr:uid="{00000000-0005-0000-0000-0000E5110000}"/>
    <cellStyle name="Comma 2 10 2 2 2 2 2" xfId="10107" xr:uid="{00000000-0005-0000-0000-0000E6110000}"/>
    <cellStyle name="Comma 2 10 2 2 2 3" xfId="8767" xr:uid="{00000000-0005-0000-0000-0000E7110000}"/>
    <cellStyle name="Comma 2 10 2 2 3" xfId="4715" xr:uid="{00000000-0005-0000-0000-0000E8110000}"/>
    <cellStyle name="Comma 2 10 2 2 3 2" xfId="7409" xr:uid="{00000000-0005-0000-0000-0000E9110000}"/>
    <cellStyle name="Comma 2 10 2 2 3 2 2" xfId="10108" xr:uid="{00000000-0005-0000-0000-0000EA110000}"/>
    <cellStyle name="Comma 2 10 2 2 3 3" xfId="8768" xr:uid="{00000000-0005-0000-0000-0000EB110000}"/>
    <cellStyle name="Comma 2 10 2 2 4" xfId="7407" xr:uid="{00000000-0005-0000-0000-0000EC110000}"/>
    <cellStyle name="Comma 2 10 2 2 4 2" xfId="10106" xr:uid="{00000000-0005-0000-0000-0000ED110000}"/>
    <cellStyle name="Comma 2 10 2 2 5" xfId="8766" xr:uid="{00000000-0005-0000-0000-0000EE110000}"/>
    <cellStyle name="Comma 2 10 2 3" xfId="7406" xr:uid="{00000000-0005-0000-0000-0000EF110000}"/>
    <cellStyle name="Comma 2 10 2 3 2" xfId="10105" xr:uid="{00000000-0005-0000-0000-0000F0110000}"/>
    <cellStyle name="Comma 2 10 2 4" xfId="8765" xr:uid="{00000000-0005-0000-0000-0000F1110000}"/>
    <cellStyle name="Comma 2 10 3" xfId="4716" xr:uid="{00000000-0005-0000-0000-0000F2110000}"/>
    <cellStyle name="Comma 2 10 3 2" xfId="4717" xr:uid="{00000000-0005-0000-0000-0000F3110000}"/>
    <cellStyle name="Comma 2 10 3 2 2" xfId="7411" xr:uid="{00000000-0005-0000-0000-0000F4110000}"/>
    <cellStyle name="Comma 2 10 3 2 2 2" xfId="10110" xr:uid="{00000000-0005-0000-0000-0000F5110000}"/>
    <cellStyle name="Comma 2 10 3 2 3" xfId="8770" xr:uid="{00000000-0005-0000-0000-0000F6110000}"/>
    <cellStyle name="Comma 2 10 3 3" xfId="4718" xr:uid="{00000000-0005-0000-0000-0000F7110000}"/>
    <cellStyle name="Comma 2 10 3 3 2" xfId="7412" xr:uid="{00000000-0005-0000-0000-0000F8110000}"/>
    <cellStyle name="Comma 2 10 3 3 2 2" xfId="10111" xr:uid="{00000000-0005-0000-0000-0000F9110000}"/>
    <cellStyle name="Comma 2 10 3 3 3" xfId="8771" xr:uid="{00000000-0005-0000-0000-0000FA110000}"/>
    <cellStyle name="Comma 2 10 3 4" xfId="7410" xr:uid="{00000000-0005-0000-0000-0000FB110000}"/>
    <cellStyle name="Comma 2 10 3 4 2" xfId="10109" xr:uid="{00000000-0005-0000-0000-0000FC110000}"/>
    <cellStyle name="Comma 2 10 3 5" xfId="8769" xr:uid="{00000000-0005-0000-0000-0000FD110000}"/>
    <cellStyle name="Comma 2 10 4" xfId="4719" xr:uid="{00000000-0005-0000-0000-0000FE110000}"/>
    <cellStyle name="Comma 2 10 4 2" xfId="7413" xr:uid="{00000000-0005-0000-0000-0000FF110000}"/>
    <cellStyle name="Comma 2 10 4 2 2" xfId="10112" xr:uid="{00000000-0005-0000-0000-000000120000}"/>
    <cellStyle name="Comma 2 10 4 3" xfId="8772" xr:uid="{00000000-0005-0000-0000-000001120000}"/>
    <cellStyle name="Comma 2 11" xfId="458" xr:uid="{00000000-0005-0000-0000-000002120000}"/>
    <cellStyle name="Comma 2 11 2" xfId="4720" xr:uid="{00000000-0005-0000-0000-000003120000}"/>
    <cellStyle name="Comma 2 11 2 2" xfId="7414" xr:uid="{00000000-0005-0000-0000-000004120000}"/>
    <cellStyle name="Comma 2 11 2 2 2" xfId="10113" xr:uid="{00000000-0005-0000-0000-000005120000}"/>
    <cellStyle name="Comma 2 11 2 3" xfId="8773" xr:uid="{00000000-0005-0000-0000-000006120000}"/>
    <cellStyle name="Comma 2 11 3" xfId="4721" xr:uid="{00000000-0005-0000-0000-000007120000}"/>
    <cellStyle name="Comma 2 11 3 2" xfId="7415" xr:uid="{00000000-0005-0000-0000-000008120000}"/>
    <cellStyle name="Comma 2 11 3 2 2" xfId="10114" xr:uid="{00000000-0005-0000-0000-000009120000}"/>
    <cellStyle name="Comma 2 11 3 3" xfId="8774" xr:uid="{00000000-0005-0000-0000-00000A120000}"/>
    <cellStyle name="Comma 2 11 4" xfId="4722" xr:uid="{00000000-0005-0000-0000-00000B120000}"/>
    <cellStyle name="Comma 2 11 4 2" xfId="7416" xr:uid="{00000000-0005-0000-0000-00000C120000}"/>
    <cellStyle name="Comma 2 11 4 2 2" xfId="10115" xr:uid="{00000000-0005-0000-0000-00000D120000}"/>
    <cellStyle name="Comma 2 11 4 3" xfId="8775" xr:uid="{00000000-0005-0000-0000-00000E120000}"/>
    <cellStyle name="Comma 2 12" xfId="459" xr:uid="{00000000-0005-0000-0000-00000F120000}"/>
    <cellStyle name="Comma 2 13" xfId="460" xr:uid="{00000000-0005-0000-0000-000010120000}"/>
    <cellStyle name="Comma 2 13 3 2 2" xfId="10" xr:uid="{00000000-0005-0000-0000-000011120000}"/>
    <cellStyle name="Comma 2 13 3 2 2 2" xfId="15" xr:uid="{00000000-0005-0000-0000-000012120000}"/>
    <cellStyle name="Comma 2 14" xfId="461" xr:uid="{00000000-0005-0000-0000-000013120000}"/>
    <cellStyle name="Comma 2 14 2" xfId="4723" xr:uid="{00000000-0005-0000-0000-000014120000}"/>
    <cellStyle name="Comma 2 14 3" xfId="4724" xr:uid="{00000000-0005-0000-0000-000015120000}"/>
    <cellStyle name="Comma 2 14 3 2" xfId="7417" xr:uid="{00000000-0005-0000-0000-000016120000}"/>
    <cellStyle name="Comma 2 14 3 2 2" xfId="10116" xr:uid="{00000000-0005-0000-0000-000017120000}"/>
    <cellStyle name="Comma 2 14 3 3" xfId="8776" xr:uid="{00000000-0005-0000-0000-000018120000}"/>
    <cellStyle name="Comma 2 15" xfId="25" xr:uid="{00000000-0005-0000-0000-000019120000}"/>
    <cellStyle name="Comma 2 15 10" xfId="243" xr:uid="{00000000-0005-0000-0000-00001A120000}"/>
    <cellStyle name="Comma 2 15 2" xfId="262" xr:uid="{00000000-0005-0000-0000-00001B120000}"/>
    <cellStyle name="Comma 2 15 2 2" xfId="277" xr:uid="{00000000-0005-0000-0000-00001C120000}"/>
    <cellStyle name="Comma 2 15 2 2 2" xfId="464" xr:uid="{00000000-0005-0000-0000-00001D120000}"/>
    <cellStyle name="Comma 2 15 2 2 2 2" xfId="972" xr:uid="{00000000-0005-0000-0000-00001E120000}"/>
    <cellStyle name="Comma 2 15 2 2 2 2 2" xfId="1291" xr:uid="{00000000-0005-0000-0000-00001F120000}"/>
    <cellStyle name="Comma 2 15 2 2 2 2 2 2" xfId="7001" xr:uid="{00000000-0005-0000-0000-000020120000}"/>
    <cellStyle name="Comma 2 15 2 2 2 2 2 2 2" xfId="9708" xr:uid="{00000000-0005-0000-0000-000021120000}"/>
    <cellStyle name="Comma 2 15 2 2 2 2 2 3" xfId="8369" xr:uid="{00000000-0005-0000-0000-000022120000}"/>
    <cellStyle name="Comma 2 15 2 2 2 2 3" xfId="6704" xr:uid="{00000000-0005-0000-0000-000023120000}"/>
    <cellStyle name="Comma 2 15 2 2 2 2 3 2" xfId="9411" xr:uid="{00000000-0005-0000-0000-000024120000}"/>
    <cellStyle name="Comma 2 15 2 2 2 2 4" xfId="8072" xr:uid="{00000000-0005-0000-0000-000025120000}"/>
    <cellStyle name="Comma 2 15 2 2 2 3" xfId="1051" xr:uid="{00000000-0005-0000-0000-000026120000}"/>
    <cellStyle name="Comma 2 15 2 2 2 3 2" xfId="6782" xr:uid="{00000000-0005-0000-0000-000027120000}"/>
    <cellStyle name="Comma 2 15 2 2 2 3 2 2" xfId="9489" xr:uid="{00000000-0005-0000-0000-000028120000}"/>
    <cellStyle name="Comma 2 15 2 2 2 3 3" xfId="8150" xr:uid="{00000000-0005-0000-0000-000029120000}"/>
    <cellStyle name="Comma 2 15 2 2 2 4" xfId="6462" xr:uid="{00000000-0005-0000-0000-00002A120000}"/>
    <cellStyle name="Comma 2 15 2 2 2 4 2" xfId="9179" xr:uid="{00000000-0005-0000-0000-00002B120000}"/>
    <cellStyle name="Comma 2 15 2 2 2 5" xfId="7840" xr:uid="{00000000-0005-0000-0000-00002C120000}"/>
    <cellStyle name="Comma 2 15 2 2 3" xfId="892" xr:uid="{00000000-0005-0000-0000-00002D120000}"/>
    <cellStyle name="Comma 2 15 2 2 3 2" xfId="1168" xr:uid="{00000000-0005-0000-0000-00002E120000}"/>
    <cellStyle name="Comma 2 15 2 2 3 2 2" xfId="6886" xr:uid="{00000000-0005-0000-0000-00002F120000}"/>
    <cellStyle name="Comma 2 15 2 2 3 2 2 2" xfId="9593" xr:uid="{00000000-0005-0000-0000-000030120000}"/>
    <cellStyle name="Comma 2 15 2 2 3 2 3" xfId="8254" xr:uid="{00000000-0005-0000-0000-000031120000}"/>
    <cellStyle name="Comma 2 15 2 2 3 3" xfId="6625" xr:uid="{00000000-0005-0000-0000-000032120000}"/>
    <cellStyle name="Comma 2 15 2 2 3 3 2" xfId="9332" xr:uid="{00000000-0005-0000-0000-000033120000}"/>
    <cellStyle name="Comma 2 15 2 2 3 4" xfId="7993" xr:uid="{00000000-0005-0000-0000-000034120000}"/>
    <cellStyle name="Comma 2 15 2 2 4" xfId="1023" xr:uid="{00000000-0005-0000-0000-000035120000}"/>
    <cellStyle name="Comma 2 15 2 2 4 2" xfId="6754" xr:uid="{00000000-0005-0000-0000-000036120000}"/>
    <cellStyle name="Comma 2 15 2 2 4 2 2" xfId="9461" xr:uid="{00000000-0005-0000-0000-000037120000}"/>
    <cellStyle name="Comma 2 15 2 2 4 3" xfId="8122" xr:uid="{00000000-0005-0000-0000-000038120000}"/>
    <cellStyle name="Comma 2 15 2 2 5" xfId="6428" xr:uid="{00000000-0005-0000-0000-000039120000}"/>
    <cellStyle name="Comma 2 15 2 2 5 2" xfId="9147" xr:uid="{00000000-0005-0000-0000-00003A120000}"/>
    <cellStyle name="Comma 2 15 2 2 6" xfId="7808" xr:uid="{00000000-0005-0000-0000-00003B120000}"/>
    <cellStyle name="Comma 2 15 2 3" xfId="463" xr:uid="{00000000-0005-0000-0000-00003C120000}"/>
    <cellStyle name="Comma 2 15 2 3 2" xfId="987" xr:uid="{00000000-0005-0000-0000-00003D120000}"/>
    <cellStyle name="Comma 2 15 2 3 2 2" xfId="1306" xr:uid="{00000000-0005-0000-0000-00003E120000}"/>
    <cellStyle name="Comma 2 15 2 3 2 2 2" xfId="7016" xr:uid="{00000000-0005-0000-0000-00003F120000}"/>
    <cellStyle name="Comma 2 15 2 3 2 2 2 2" xfId="9723" xr:uid="{00000000-0005-0000-0000-000040120000}"/>
    <cellStyle name="Comma 2 15 2 3 2 2 3" xfId="8384" xr:uid="{00000000-0005-0000-0000-000041120000}"/>
    <cellStyle name="Comma 2 15 2 3 2 3" xfId="6719" xr:uid="{00000000-0005-0000-0000-000042120000}"/>
    <cellStyle name="Comma 2 15 2 3 2 3 2" xfId="9426" xr:uid="{00000000-0005-0000-0000-000043120000}"/>
    <cellStyle name="Comma 2 15 2 3 2 4" xfId="8087" xr:uid="{00000000-0005-0000-0000-000044120000}"/>
    <cellStyle name="Comma 2 15 2 3 3" xfId="1036" xr:uid="{00000000-0005-0000-0000-000045120000}"/>
    <cellStyle name="Comma 2 15 2 3 3 2" xfId="6767" xr:uid="{00000000-0005-0000-0000-000046120000}"/>
    <cellStyle name="Comma 2 15 2 3 3 2 2" xfId="9474" xr:uid="{00000000-0005-0000-0000-000047120000}"/>
    <cellStyle name="Comma 2 15 2 3 3 3" xfId="8135" xr:uid="{00000000-0005-0000-0000-000048120000}"/>
    <cellStyle name="Comma 2 15 2 3 4" xfId="6461" xr:uid="{00000000-0005-0000-0000-000049120000}"/>
    <cellStyle name="Comma 2 15 2 3 4 2" xfId="9178" xr:uid="{00000000-0005-0000-0000-00004A120000}"/>
    <cellStyle name="Comma 2 15 2 3 5" xfId="7839" xr:uid="{00000000-0005-0000-0000-00004B120000}"/>
    <cellStyle name="Comma 2 15 2 4" xfId="891" xr:uid="{00000000-0005-0000-0000-00004C120000}"/>
    <cellStyle name="Comma 2 15 2 4 2" xfId="1167" xr:uid="{00000000-0005-0000-0000-00004D120000}"/>
    <cellStyle name="Comma 2 15 2 4 2 2" xfId="6885" xr:uid="{00000000-0005-0000-0000-00004E120000}"/>
    <cellStyle name="Comma 2 15 2 4 2 2 2" xfId="9592" xr:uid="{00000000-0005-0000-0000-00004F120000}"/>
    <cellStyle name="Comma 2 15 2 4 2 3" xfId="8253" xr:uid="{00000000-0005-0000-0000-000050120000}"/>
    <cellStyle name="Comma 2 15 2 4 3" xfId="6624" xr:uid="{00000000-0005-0000-0000-000051120000}"/>
    <cellStyle name="Comma 2 15 2 4 3 2" xfId="9331" xr:uid="{00000000-0005-0000-0000-000052120000}"/>
    <cellStyle name="Comma 2 15 2 4 4" xfId="7992" xr:uid="{00000000-0005-0000-0000-000053120000}"/>
    <cellStyle name="Comma 2 15 2 5" xfId="1008" xr:uid="{00000000-0005-0000-0000-000054120000}"/>
    <cellStyle name="Comma 2 15 2 5 2" xfId="6739" xr:uid="{00000000-0005-0000-0000-000055120000}"/>
    <cellStyle name="Comma 2 15 2 5 2 2" xfId="9446" xr:uid="{00000000-0005-0000-0000-000056120000}"/>
    <cellStyle name="Comma 2 15 2 5 3" xfId="8107" xr:uid="{00000000-0005-0000-0000-000057120000}"/>
    <cellStyle name="Comma 2 15 2 6" xfId="6413" xr:uid="{00000000-0005-0000-0000-000058120000}"/>
    <cellStyle name="Comma 2 15 2 6 2" xfId="9132" xr:uid="{00000000-0005-0000-0000-000059120000}"/>
    <cellStyle name="Comma 2 15 2 7" xfId="7793" xr:uid="{00000000-0005-0000-0000-00005A120000}"/>
    <cellStyle name="Comma 2 15 3" xfId="271" xr:uid="{00000000-0005-0000-0000-00005B120000}"/>
    <cellStyle name="Comma 2 15 3 2" xfId="465" xr:uid="{00000000-0005-0000-0000-00005C120000}"/>
    <cellStyle name="Comma 2 15 3 2 2" xfId="978" xr:uid="{00000000-0005-0000-0000-00005D120000}"/>
    <cellStyle name="Comma 2 15 3 2 2 2" xfId="1297" xr:uid="{00000000-0005-0000-0000-00005E120000}"/>
    <cellStyle name="Comma 2 15 3 2 2 2 2" xfId="7007" xr:uid="{00000000-0005-0000-0000-00005F120000}"/>
    <cellStyle name="Comma 2 15 3 2 2 2 2 2" xfId="9714" xr:uid="{00000000-0005-0000-0000-000060120000}"/>
    <cellStyle name="Comma 2 15 3 2 2 2 3" xfId="8375" xr:uid="{00000000-0005-0000-0000-000061120000}"/>
    <cellStyle name="Comma 2 15 3 2 2 3" xfId="6710" xr:uid="{00000000-0005-0000-0000-000062120000}"/>
    <cellStyle name="Comma 2 15 3 2 2 3 2" xfId="9417" xr:uid="{00000000-0005-0000-0000-000063120000}"/>
    <cellStyle name="Comma 2 15 3 2 2 4" xfId="8078" xr:uid="{00000000-0005-0000-0000-000064120000}"/>
    <cellStyle name="Comma 2 15 3 2 3" xfId="1045" xr:uid="{00000000-0005-0000-0000-000065120000}"/>
    <cellStyle name="Comma 2 15 3 2 3 2" xfId="6776" xr:uid="{00000000-0005-0000-0000-000066120000}"/>
    <cellStyle name="Comma 2 15 3 2 3 2 2" xfId="9483" xr:uid="{00000000-0005-0000-0000-000067120000}"/>
    <cellStyle name="Comma 2 15 3 2 3 3" xfId="8144" xr:uid="{00000000-0005-0000-0000-000068120000}"/>
    <cellStyle name="Comma 2 15 3 2 4" xfId="6463" xr:uid="{00000000-0005-0000-0000-000069120000}"/>
    <cellStyle name="Comma 2 15 3 2 4 2" xfId="9180" xr:uid="{00000000-0005-0000-0000-00006A120000}"/>
    <cellStyle name="Comma 2 15 3 2 5" xfId="7841" xr:uid="{00000000-0005-0000-0000-00006B120000}"/>
    <cellStyle name="Comma 2 15 3 3" xfId="893" xr:uid="{00000000-0005-0000-0000-00006C120000}"/>
    <cellStyle name="Comma 2 15 3 3 2" xfId="1169" xr:uid="{00000000-0005-0000-0000-00006D120000}"/>
    <cellStyle name="Comma 2 15 3 3 2 2" xfId="6887" xr:uid="{00000000-0005-0000-0000-00006E120000}"/>
    <cellStyle name="Comma 2 15 3 3 2 2 2" xfId="9594" xr:uid="{00000000-0005-0000-0000-00006F120000}"/>
    <cellStyle name="Comma 2 15 3 3 2 3" xfId="8255" xr:uid="{00000000-0005-0000-0000-000070120000}"/>
    <cellStyle name="Comma 2 15 3 3 3" xfId="6626" xr:uid="{00000000-0005-0000-0000-000071120000}"/>
    <cellStyle name="Comma 2 15 3 3 3 2" xfId="9333" xr:uid="{00000000-0005-0000-0000-000072120000}"/>
    <cellStyle name="Comma 2 15 3 3 4" xfId="7994" xr:uid="{00000000-0005-0000-0000-000073120000}"/>
    <cellStyle name="Comma 2 15 3 4" xfId="1017" xr:uid="{00000000-0005-0000-0000-000074120000}"/>
    <cellStyle name="Comma 2 15 3 4 2" xfId="6748" xr:uid="{00000000-0005-0000-0000-000075120000}"/>
    <cellStyle name="Comma 2 15 3 4 2 2" xfId="9455" xr:uid="{00000000-0005-0000-0000-000076120000}"/>
    <cellStyle name="Comma 2 15 3 4 3" xfId="8116" xr:uid="{00000000-0005-0000-0000-000077120000}"/>
    <cellStyle name="Comma 2 15 3 5" xfId="6422" xr:uid="{00000000-0005-0000-0000-000078120000}"/>
    <cellStyle name="Comma 2 15 3 5 2" xfId="9141" xr:uid="{00000000-0005-0000-0000-000079120000}"/>
    <cellStyle name="Comma 2 15 3 6" xfId="7802" xr:uid="{00000000-0005-0000-0000-00007A120000}"/>
    <cellStyle name="Comma 2 15 4" xfId="462" xr:uid="{00000000-0005-0000-0000-00007B120000}"/>
    <cellStyle name="Comma 2 15 4 2" xfId="990" xr:uid="{00000000-0005-0000-0000-00007C120000}"/>
    <cellStyle name="Comma 2 15 4 2 2" xfId="1316" xr:uid="{00000000-0005-0000-0000-00007D120000}"/>
    <cellStyle name="Comma 2 15 4 2 2 2" xfId="7022" xr:uid="{00000000-0005-0000-0000-00007E120000}"/>
    <cellStyle name="Comma 2 15 4 2 2 2 2" xfId="9729" xr:uid="{00000000-0005-0000-0000-00007F120000}"/>
    <cellStyle name="Comma 2 15 4 2 2 3" xfId="8390" xr:uid="{00000000-0005-0000-0000-000080120000}"/>
    <cellStyle name="Comma 2 15 4 2 3" xfId="6722" xr:uid="{00000000-0005-0000-0000-000081120000}"/>
    <cellStyle name="Comma 2 15 4 2 3 2" xfId="9429" xr:uid="{00000000-0005-0000-0000-000082120000}"/>
    <cellStyle name="Comma 2 15 4 2 4" xfId="8090" xr:uid="{00000000-0005-0000-0000-000083120000}"/>
    <cellStyle name="Comma 2 15 4 3" xfId="1030" xr:uid="{00000000-0005-0000-0000-000084120000}"/>
    <cellStyle name="Comma 2 15 4 3 2" xfId="6761" xr:uid="{00000000-0005-0000-0000-000085120000}"/>
    <cellStyle name="Comma 2 15 4 3 2 2" xfId="9468" xr:uid="{00000000-0005-0000-0000-000086120000}"/>
    <cellStyle name="Comma 2 15 4 3 3" xfId="8129" xr:uid="{00000000-0005-0000-0000-000087120000}"/>
    <cellStyle name="Comma 2 15 4 4" xfId="6460" xr:uid="{00000000-0005-0000-0000-000088120000}"/>
    <cellStyle name="Comma 2 15 4 4 2" xfId="9177" xr:uid="{00000000-0005-0000-0000-000089120000}"/>
    <cellStyle name="Comma 2 15 4 5" xfId="7838" xr:uid="{00000000-0005-0000-0000-00008A120000}"/>
    <cellStyle name="Comma 2 15 5" xfId="890" xr:uid="{00000000-0005-0000-0000-00008B120000}"/>
    <cellStyle name="Comma 2 15 5 2" xfId="1166" xr:uid="{00000000-0005-0000-0000-00008C120000}"/>
    <cellStyle name="Comma 2 15 5 2 2" xfId="6884" xr:uid="{00000000-0005-0000-0000-00008D120000}"/>
    <cellStyle name="Comma 2 15 5 2 2 2" xfId="9591" xr:uid="{00000000-0005-0000-0000-00008E120000}"/>
    <cellStyle name="Comma 2 15 5 2 3" xfId="8252" xr:uid="{00000000-0005-0000-0000-00008F120000}"/>
    <cellStyle name="Comma 2 15 5 3" xfId="6623" xr:uid="{00000000-0005-0000-0000-000090120000}"/>
    <cellStyle name="Comma 2 15 5 3 2" xfId="9330" xr:uid="{00000000-0005-0000-0000-000091120000}"/>
    <cellStyle name="Comma 2 15 5 4" xfId="7991" xr:uid="{00000000-0005-0000-0000-000092120000}"/>
    <cellStyle name="Comma 2 15 6" xfId="1004" xr:uid="{00000000-0005-0000-0000-000093120000}"/>
    <cellStyle name="Comma 2 15 6 2" xfId="6735" xr:uid="{00000000-0005-0000-0000-000094120000}"/>
    <cellStyle name="Comma 2 15 6 2 2" xfId="9442" xr:uid="{00000000-0005-0000-0000-000095120000}"/>
    <cellStyle name="Comma 2 15 6 3" xfId="8103" xr:uid="{00000000-0005-0000-0000-000096120000}"/>
    <cellStyle name="Comma 2 15 7" xfId="4725" xr:uid="{00000000-0005-0000-0000-000097120000}"/>
    <cellStyle name="Comma 2 15 8" xfId="6404" xr:uid="{00000000-0005-0000-0000-000098120000}"/>
    <cellStyle name="Comma 2 15 8 2" xfId="9123" xr:uid="{00000000-0005-0000-0000-000099120000}"/>
    <cellStyle name="Comma 2 15 9" xfId="7784" xr:uid="{00000000-0005-0000-0000-00009A120000}"/>
    <cellStyle name="Comma 2 16" xfId="1311" xr:uid="{00000000-0005-0000-0000-00009B120000}"/>
    <cellStyle name="Comma 2 16 2" xfId="4726" xr:uid="{00000000-0005-0000-0000-00009C120000}"/>
    <cellStyle name="Comma 2 17" xfId="242" xr:uid="{00000000-0005-0000-0000-00009D120000}"/>
    <cellStyle name="Comma 2 17 2" xfId="4727" xr:uid="{00000000-0005-0000-0000-00009E120000}"/>
    <cellStyle name="Comma 2 17 3" xfId="6403" xr:uid="{00000000-0005-0000-0000-00009F120000}"/>
    <cellStyle name="Comma 2 17 3 2" xfId="9122" xr:uid="{00000000-0005-0000-0000-0000A0120000}"/>
    <cellStyle name="Comma 2 17 4" xfId="7783" xr:uid="{00000000-0005-0000-0000-0000A1120000}"/>
    <cellStyle name="Comma 2 18" xfId="4728" xr:uid="{00000000-0005-0000-0000-0000A2120000}"/>
    <cellStyle name="Comma 2 19" xfId="4729" xr:uid="{00000000-0005-0000-0000-0000A3120000}"/>
    <cellStyle name="Comma 2 2" xfId="69" xr:uid="{00000000-0005-0000-0000-0000A4120000}"/>
    <cellStyle name="Comma 2 2 10" xfId="894" xr:uid="{00000000-0005-0000-0000-0000A5120000}"/>
    <cellStyle name="Comma 2 2 10 2" xfId="4730" xr:uid="{00000000-0005-0000-0000-0000A6120000}"/>
    <cellStyle name="Comma 2 2 10 3" xfId="6627" xr:uid="{00000000-0005-0000-0000-0000A7120000}"/>
    <cellStyle name="Comma 2 2 10 3 2" xfId="9334" xr:uid="{00000000-0005-0000-0000-0000A8120000}"/>
    <cellStyle name="Comma 2 2 10 4" xfId="7995" xr:uid="{00000000-0005-0000-0000-0000A9120000}"/>
    <cellStyle name="Comma 2 2 11" xfId="1005" xr:uid="{00000000-0005-0000-0000-0000AA120000}"/>
    <cellStyle name="Comma 2 2 11 2" xfId="4731" xr:uid="{00000000-0005-0000-0000-0000AB120000}"/>
    <cellStyle name="Comma 2 2 11 3" xfId="6736" xr:uid="{00000000-0005-0000-0000-0000AC120000}"/>
    <cellStyle name="Comma 2 2 11 3 2" xfId="9443" xr:uid="{00000000-0005-0000-0000-0000AD120000}"/>
    <cellStyle name="Comma 2 2 11 4" xfId="8104" xr:uid="{00000000-0005-0000-0000-0000AE120000}"/>
    <cellStyle name="Comma 2 2 12" xfId="244" xr:uid="{00000000-0005-0000-0000-0000AF120000}"/>
    <cellStyle name="Comma 2 2 12 2" xfId="4732" xr:uid="{00000000-0005-0000-0000-0000B0120000}"/>
    <cellStyle name="Comma 2 2 12 3" xfId="6405" xr:uid="{00000000-0005-0000-0000-0000B1120000}"/>
    <cellStyle name="Comma 2 2 12 3 2" xfId="9124" xr:uid="{00000000-0005-0000-0000-0000B2120000}"/>
    <cellStyle name="Comma 2 2 12 4" xfId="7785" xr:uid="{00000000-0005-0000-0000-0000B3120000}"/>
    <cellStyle name="Comma 2 2 13" xfId="4733" xr:uid="{00000000-0005-0000-0000-0000B4120000}"/>
    <cellStyle name="Comma 2 2 14" xfId="4734" xr:uid="{00000000-0005-0000-0000-0000B5120000}"/>
    <cellStyle name="Comma 2 2 15" xfId="4735" xr:uid="{00000000-0005-0000-0000-0000B6120000}"/>
    <cellStyle name="Comma 2 2 15 2" xfId="7418" xr:uid="{00000000-0005-0000-0000-0000B7120000}"/>
    <cellStyle name="Comma 2 2 15 2 2" xfId="10117" xr:uid="{00000000-0005-0000-0000-0000B8120000}"/>
    <cellStyle name="Comma 2 2 15 3" xfId="8777" xr:uid="{00000000-0005-0000-0000-0000B9120000}"/>
    <cellStyle name="Comma 2 2 16" xfId="4736" xr:uid="{00000000-0005-0000-0000-0000BA120000}"/>
    <cellStyle name="Comma 2 2 17" xfId="4737" xr:uid="{00000000-0005-0000-0000-0000BB120000}"/>
    <cellStyle name="Comma 2 2 18" xfId="4738" xr:uid="{00000000-0005-0000-0000-0000BC120000}"/>
    <cellStyle name="Comma 2 2 18 2" xfId="7419" xr:uid="{00000000-0005-0000-0000-0000BD120000}"/>
    <cellStyle name="Comma 2 2 18 2 2" xfId="10118" xr:uid="{00000000-0005-0000-0000-0000BE120000}"/>
    <cellStyle name="Comma 2 2 18 3" xfId="8778" xr:uid="{00000000-0005-0000-0000-0000BF120000}"/>
    <cellStyle name="Comma 2 2 2" xfId="19" xr:uid="{00000000-0005-0000-0000-0000C0120000}"/>
    <cellStyle name="Comma 2 2 2 10" xfId="140" xr:uid="{00000000-0005-0000-0000-0000C1120000}"/>
    <cellStyle name="Comma 2 2 2 11" xfId="72" xr:uid="{00000000-0005-0000-0000-0000C2120000}"/>
    <cellStyle name="Comma 2 2 2 2" xfId="24" xr:uid="{00000000-0005-0000-0000-0000C3120000}"/>
    <cellStyle name="Comma 2 2 2 2 10" xfId="6342" xr:uid="{00000000-0005-0000-0000-0000C4120000}"/>
    <cellStyle name="Comma 2 2 2 2 10 2" xfId="9061" xr:uid="{00000000-0005-0000-0000-0000C5120000}"/>
    <cellStyle name="Comma 2 2 2 2 11" xfId="7722" xr:uid="{00000000-0005-0000-0000-0000C6120000}"/>
    <cellStyle name="Comma 2 2 2 2 12" xfId="141" xr:uid="{00000000-0005-0000-0000-0000C7120000}"/>
    <cellStyle name="Comma 2 2 2 2 13" xfId="99" xr:uid="{00000000-0005-0000-0000-0000C8120000}"/>
    <cellStyle name="Comma 2 2 2 2 2" xfId="279" xr:uid="{00000000-0005-0000-0000-0000C9120000}"/>
    <cellStyle name="Comma 2 2 2 2 2 2" xfId="468" xr:uid="{00000000-0005-0000-0000-0000CA120000}"/>
    <cellStyle name="Comma 2 2 2 2 2 2 2" xfId="970" xr:uid="{00000000-0005-0000-0000-0000CB120000}"/>
    <cellStyle name="Comma 2 2 2 2 2 2 2 2" xfId="1289" xr:uid="{00000000-0005-0000-0000-0000CC120000}"/>
    <cellStyle name="Comma 2 2 2 2 2 2 2 2 2" xfId="6999" xr:uid="{00000000-0005-0000-0000-0000CD120000}"/>
    <cellStyle name="Comma 2 2 2 2 2 2 2 2 2 2" xfId="9706" xr:uid="{00000000-0005-0000-0000-0000CE120000}"/>
    <cellStyle name="Comma 2 2 2 2 2 2 2 2 3" xfId="8367" xr:uid="{00000000-0005-0000-0000-0000CF120000}"/>
    <cellStyle name="Comma 2 2 2 2 2 2 2 3" xfId="6702" xr:uid="{00000000-0005-0000-0000-0000D0120000}"/>
    <cellStyle name="Comma 2 2 2 2 2 2 2 3 2" xfId="9409" xr:uid="{00000000-0005-0000-0000-0000D1120000}"/>
    <cellStyle name="Comma 2 2 2 2 2 2 2 4" xfId="8070" xr:uid="{00000000-0005-0000-0000-0000D2120000}"/>
    <cellStyle name="Comma 2 2 2 2 2 2 3" xfId="1053" xr:uid="{00000000-0005-0000-0000-0000D3120000}"/>
    <cellStyle name="Comma 2 2 2 2 2 2 3 2" xfId="6784" xr:uid="{00000000-0005-0000-0000-0000D4120000}"/>
    <cellStyle name="Comma 2 2 2 2 2 2 3 2 2" xfId="9491" xr:uid="{00000000-0005-0000-0000-0000D5120000}"/>
    <cellStyle name="Comma 2 2 2 2 2 2 3 3" xfId="8152" xr:uid="{00000000-0005-0000-0000-0000D6120000}"/>
    <cellStyle name="Comma 2 2 2 2 2 2 4" xfId="4740" xr:uid="{00000000-0005-0000-0000-0000D7120000}"/>
    <cellStyle name="Comma 2 2 2 2 2 2 4 2" xfId="7420" xr:uid="{00000000-0005-0000-0000-0000D8120000}"/>
    <cellStyle name="Comma 2 2 2 2 2 2 4 2 2" xfId="10119" xr:uid="{00000000-0005-0000-0000-0000D9120000}"/>
    <cellStyle name="Comma 2 2 2 2 2 2 4 3" xfId="8779" xr:uid="{00000000-0005-0000-0000-0000DA120000}"/>
    <cellStyle name="Comma 2 2 2 2 2 2 5" xfId="6466" xr:uid="{00000000-0005-0000-0000-0000DB120000}"/>
    <cellStyle name="Comma 2 2 2 2 2 2 5 2" xfId="9183" xr:uid="{00000000-0005-0000-0000-0000DC120000}"/>
    <cellStyle name="Comma 2 2 2 2 2 2 6" xfId="7844" xr:uid="{00000000-0005-0000-0000-0000DD120000}"/>
    <cellStyle name="Comma 2 2 2 2 2 3" xfId="896" xr:uid="{00000000-0005-0000-0000-0000DE120000}"/>
    <cellStyle name="Comma 2 2 2 2 2 3 2" xfId="1172" xr:uid="{00000000-0005-0000-0000-0000DF120000}"/>
    <cellStyle name="Comma 2 2 2 2 2 3 2 2" xfId="6890" xr:uid="{00000000-0005-0000-0000-0000E0120000}"/>
    <cellStyle name="Comma 2 2 2 2 2 3 2 2 2" xfId="9597" xr:uid="{00000000-0005-0000-0000-0000E1120000}"/>
    <cellStyle name="Comma 2 2 2 2 2 3 2 3" xfId="8258" xr:uid="{00000000-0005-0000-0000-0000E2120000}"/>
    <cellStyle name="Comma 2 2 2 2 2 3 3" xfId="6629" xr:uid="{00000000-0005-0000-0000-0000E3120000}"/>
    <cellStyle name="Comma 2 2 2 2 2 3 3 2" xfId="9336" xr:uid="{00000000-0005-0000-0000-0000E4120000}"/>
    <cellStyle name="Comma 2 2 2 2 2 3 4" xfId="7997" xr:uid="{00000000-0005-0000-0000-0000E5120000}"/>
    <cellStyle name="Comma 2 2 2 2 2 4" xfId="1025" xr:uid="{00000000-0005-0000-0000-0000E6120000}"/>
    <cellStyle name="Comma 2 2 2 2 2 4 2" xfId="6756" xr:uid="{00000000-0005-0000-0000-0000E7120000}"/>
    <cellStyle name="Comma 2 2 2 2 2 4 2 2" xfId="9463" xr:uid="{00000000-0005-0000-0000-0000E8120000}"/>
    <cellStyle name="Comma 2 2 2 2 2 4 3" xfId="8124" xr:uid="{00000000-0005-0000-0000-0000E9120000}"/>
    <cellStyle name="Comma 2 2 2 2 2 5" xfId="4739" xr:uid="{00000000-0005-0000-0000-0000EA120000}"/>
    <cellStyle name="Comma 2 2 2 2 2 6" xfId="6430" xr:uid="{00000000-0005-0000-0000-0000EB120000}"/>
    <cellStyle name="Comma 2 2 2 2 2 6 2" xfId="9149" xr:uid="{00000000-0005-0000-0000-0000EC120000}"/>
    <cellStyle name="Comma 2 2 2 2 2 7" xfId="7810" xr:uid="{00000000-0005-0000-0000-0000ED120000}"/>
    <cellStyle name="Comma 2 2 2 2 3" xfId="469" xr:uid="{00000000-0005-0000-0000-0000EE120000}"/>
    <cellStyle name="Comma 2 2 2 2 3 2" xfId="897" xr:uid="{00000000-0005-0000-0000-0000EF120000}"/>
    <cellStyle name="Comma 2 2 2 2 3 2 2" xfId="1248" xr:uid="{00000000-0005-0000-0000-0000F0120000}"/>
    <cellStyle name="Comma 2 2 2 2 3 2 2 2" xfId="6966" xr:uid="{00000000-0005-0000-0000-0000F1120000}"/>
    <cellStyle name="Comma 2 2 2 2 3 2 2 2 2" xfId="9673" xr:uid="{00000000-0005-0000-0000-0000F2120000}"/>
    <cellStyle name="Comma 2 2 2 2 3 2 2 3" xfId="8334" xr:uid="{00000000-0005-0000-0000-0000F3120000}"/>
    <cellStyle name="Comma 2 2 2 2 3 2 3" xfId="1071" xr:uid="{00000000-0005-0000-0000-0000F4120000}"/>
    <cellStyle name="Comma 2 2 2 2 3 2 3 2" xfId="6802" xr:uid="{00000000-0005-0000-0000-0000F5120000}"/>
    <cellStyle name="Comma 2 2 2 2 3 2 3 2 2" xfId="9509" xr:uid="{00000000-0005-0000-0000-0000F6120000}"/>
    <cellStyle name="Comma 2 2 2 2 3 2 3 3" xfId="8170" xr:uid="{00000000-0005-0000-0000-0000F7120000}"/>
    <cellStyle name="Comma 2 2 2 2 3 2 4" xfId="4742" xr:uid="{00000000-0005-0000-0000-0000F8120000}"/>
    <cellStyle name="Comma 2 2 2 2 3 2 4 2" xfId="7421" xr:uid="{00000000-0005-0000-0000-0000F9120000}"/>
    <cellStyle name="Comma 2 2 2 2 3 2 4 2 2" xfId="10120" xr:uid="{00000000-0005-0000-0000-0000FA120000}"/>
    <cellStyle name="Comma 2 2 2 2 3 2 4 3" xfId="8780" xr:uid="{00000000-0005-0000-0000-0000FB120000}"/>
    <cellStyle name="Comma 2 2 2 2 3 2 5" xfId="6630" xr:uid="{00000000-0005-0000-0000-0000FC120000}"/>
    <cellStyle name="Comma 2 2 2 2 3 2 5 2" xfId="9337" xr:uid="{00000000-0005-0000-0000-0000FD120000}"/>
    <cellStyle name="Comma 2 2 2 2 3 2 6" xfId="7998" xr:uid="{00000000-0005-0000-0000-0000FE120000}"/>
    <cellStyle name="Comma 2 2 2 2 3 3" xfId="985" xr:uid="{00000000-0005-0000-0000-0000FF120000}"/>
    <cellStyle name="Comma 2 2 2 2 3 3 2" xfId="1173" xr:uid="{00000000-0005-0000-0000-000000130000}"/>
    <cellStyle name="Comma 2 2 2 2 3 3 2 2" xfId="6891" xr:uid="{00000000-0005-0000-0000-000001130000}"/>
    <cellStyle name="Comma 2 2 2 2 3 3 2 2 2" xfId="9598" xr:uid="{00000000-0005-0000-0000-000002130000}"/>
    <cellStyle name="Comma 2 2 2 2 3 3 2 3" xfId="8259" xr:uid="{00000000-0005-0000-0000-000003130000}"/>
    <cellStyle name="Comma 2 2 2 2 3 3 3" xfId="6717" xr:uid="{00000000-0005-0000-0000-000004130000}"/>
    <cellStyle name="Comma 2 2 2 2 3 3 3 2" xfId="9424" xr:uid="{00000000-0005-0000-0000-000005130000}"/>
    <cellStyle name="Comma 2 2 2 2 3 3 4" xfId="8085" xr:uid="{00000000-0005-0000-0000-000006130000}"/>
    <cellStyle name="Comma 2 2 2 2 3 4" xfId="1304" xr:uid="{00000000-0005-0000-0000-000007130000}"/>
    <cellStyle name="Comma 2 2 2 2 3 4 2" xfId="7014" xr:uid="{00000000-0005-0000-0000-000008130000}"/>
    <cellStyle name="Comma 2 2 2 2 3 4 2 2" xfId="9721" xr:uid="{00000000-0005-0000-0000-000009130000}"/>
    <cellStyle name="Comma 2 2 2 2 3 4 3" xfId="8382" xr:uid="{00000000-0005-0000-0000-00000A130000}"/>
    <cellStyle name="Comma 2 2 2 2 3 5" xfId="1038" xr:uid="{00000000-0005-0000-0000-00000B130000}"/>
    <cellStyle name="Comma 2 2 2 2 3 5 2" xfId="6769" xr:uid="{00000000-0005-0000-0000-00000C130000}"/>
    <cellStyle name="Comma 2 2 2 2 3 5 2 2" xfId="9476" xr:uid="{00000000-0005-0000-0000-00000D130000}"/>
    <cellStyle name="Comma 2 2 2 2 3 5 3" xfId="8137" xr:uid="{00000000-0005-0000-0000-00000E130000}"/>
    <cellStyle name="Comma 2 2 2 2 3 6" xfId="4741" xr:uid="{00000000-0005-0000-0000-00000F130000}"/>
    <cellStyle name="Comma 2 2 2 2 3 7" xfId="6467" xr:uid="{00000000-0005-0000-0000-000010130000}"/>
    <cellStyle name="Comma 2 2 2 2 3 7 2" xfId="9184" xr:uid="{00000000-0005-0000-0000-000011130000}"/>
    <cellStyle name="Comma 2 2 2 2 3 8" xfId="7845" xr:uid="{00000000-0005-0000-0000-000012130000}"/>
    <cellStyle name="Comma 2 2 2 2 4" xfId="467" xr:uid="{00000000-0005-0000-0000-000013130000}"/>
    <cellStyle name="Comma 2 2 2 2 4 2" xfId="1171" xr:uid="{00000000-0005-0000-0000-000014130000}"/>
    <cellStyle name="Comma 2 2 2 2 4 2 2" xfId="6889" xr:uid="{00000000-0005-0000-0000-000015130000}"/>
    <cellStyle name="Comma 2 2 2 2 4 2 2 2" xfId="9596" xr:uid="{00000000-0005-0000-0000-000016130000}"/>
    <cellStyle name="Comma 2 2 2 2 4 2 3" xfId="8257" xr:uid="{00000000-0005-0000-0000-000017130000}"/>
    <cellStyle name="Comma 2 2 2 2 4 3" xfId="4743" xr:uid="{00000000-0005-0000-0000-000018130000}"/>
    <cellStyle name="Comma 2 2 2 2 4 4" xfId="6465" xr:uid="{00000000-0005-0000-0000-000019130000}"/>
    <cellStyle name="Comma 2 2 2 2 4 4 2" xfId="9182" xr:uid="{00000000-0005-0000-0000-00001A130000}"/>
    <cellStyle name="Comma 2 2 2 2 4 5" xfId="7843" xr:uid="{00000000-0005-0000-0000-00001B130000}"/>
    <cellStyle name="Comma 2 2 2 2 5" xfId="895" xr:uid="{00000000-0005-0000-0000-00001C130000}"/>
    <cellStyle name="Comma 2 2 2 2 5 2" xfId="4744" xr:uid="{00000000-0005-0000-0000-00001D130000}"/>
    <cellStyle name="Comma 2 2 2 2 5 3" xfId="6628" xr:uid="{00000000-0005-0000-0000-00001E130000}"/>
    <cellStyle name="Comma 2 2 2 2 5 3 2" xfId="9335" xr:uid="{00000000-0005-0000-0000-00001F130000}"/>
    <cellStyle name="Comma 2 2 2 2 5 4" xfId="7996" xr:uid="{00000000-0005-0000-0000-000020130000}"/>
    <cellStyle name="Comma 2 2 2 2 6" xfId="1010" xr:uid="{00000000-0005-0000-0000-000021130000}"/>
    <cellStyle name="Comma 2 2 2 2 6 2" xfId="4745" xr:uid="{00000000-0005-0000-0000-000022130000}"/>
    <cellStyle name="Comma 2 2 2 2 6 2 2" xfId="7422" xr:uid="{00000000-0005-0000-0000-000023130000}"/>
    <cellStyle name="Comma 2 2 2 2 6 2 2 2" xfId="10121" xr:uid="{00000000-0005-0000-0000-000024130000}"/>
    <cellStyle name="Comma 2 2 2 2 6 2 3" xfId="8781" xr:uid="{00000000-0005-0000-0000-000025130000}"/>
    <cellStyle name="Comma 2 2 2 2 6 3" xfId="6741" xr:uid="{00000000-0005-0000-0000-000026130000}"/>
    <cellStyle name="Comma 2 2 2 2 6 3 2" xfId="9448" xr:uid="{00000000-0005-0000-0000-000027130000}"/>
    <cellStyle name="Comma 2 2 2 2 6 4" xfId="8109" xr:uid="{00000000-0005-0000-0000-000028130000}"/>
    <cellStyle name="Comma 2 2 2 2 7" xfId="264" xr:uid="{00000000-0005-0000-0000-000029130000}"/>
    <cellStyle name="Comma 2 2 2 2 7 2" xfId="6415" xr:uid="{00000000-0005-0000-0000-00002A130000}"/>
    <cellStyle name="Comma 2 2 2 2 7 2 2" xfId="9134" xr:uid="{00000000-0005-0000-0000-00002B130000}"/>
    <cellStyle name="Comma 2 2 2 2 7 3" xfId="7795" xr:uid="{00000000-0005-0000-0000-00002C130000}"/>
    <cellStyle name="Comma 2 2 2 2 8" xfId="1361" xr:uid="{00000000-0005-0000-0000-00002D130000}"/>
    <cellStyle name="Comma 2 2 2 2 8 2" xfId="7066" xr:uid="{00000000-0005-0000-0000-00002E130000}"/>
    <cellStyle name="Comma 2 2 2 2 8 2 2" xfId="9772" xr:uid="{00000000-0005-0000-0000-00002F130000}"/>
    <cellStyle name="Comma 2 2 2 2 8 3" xfId="8433" xr:uid="{00000000-0005-0000-0000-000030130000}"/>
    <cellStyle name="Comma 2 2 2 2 9" xfId="1467" xr:uid="{00000000-0005-0000-0000-000031130000}"/>
    <cellStyle name="Comma 2 2 2 2 9 2" xfId="7160" xr:uid="{00000000-0005-0000-0000-000032130000}"/>
    <cellStyle name="Comma 2 2 2 2 9 2 2" xfId="9863" xr:uid="{00000000-0005-0000-0000-000033130000}"/>
    <cellStyle name="Comma 2 2 2 2 9 3" xfId="8523" xr:uid="{00000000-0005-0000-0000-000034130000}"/>
    <cellStyle name="Comma 2 2 2 3" xfId="1360" xr:uid="{00000000-0005-0000-0000-000035130000}"/>
    <cellStyle name="Comma 2 2 2 3 2" xfId="4746" xr:uid="{00000000-0005-0000-0000-000036130000}"/>
    <cellStyle name="Comma 2 2 2 3 3" xfId="7065" xr:uid="{00000000-0005-0000-0000-000037130000}"/>
    <cellStyle name="Comma 2 2 2 3 3 2" xfId="9771" xr:uid="{00000000-0005-0000-0000-000038130000}"/>
    <cellStyle name="Comma 2 2 2 3 4" xfId="8432" xr:uid="{00000000-0005-0000-0000-000039130000}"/>
    <cellStyle name="Comma 2 2 2 4" xfId="4747" xr:uid="{00000000-0005-0000-0000-00003A130000}"/>
    <cellStyle name="Comma 2 2 2 5" xfId="4748" xr:uid="{00000000-0005-0000-0000-00003B130000}"/>
    <cellStyle name="Comma 2 2 2 6" xfId="4749" xr:uid="{00000000-0005-0000-0000-00003C130000}"/>
    <cellStyle name="Comma 2 2 2 6 10" xfId="10612" xr:uid="{00000000-0005-0000-0000-00003D130000}"/>
    <cellStyle name="Comma 2 2 2 6 2" xfId="7423" xr:uid="{00000000-0005-0000-0000-00003E130000}"/>
    <cellStyle name="Comma 2 2 2 6 2 2" xfId="10122" xr:uid="{00000000-0005-0000-0000-00003F130000}"/>
    <cellStyle name="Comma 2 2 2 6 3" xfId="8782" xr:uid="{00000000-0005-0000-0000-000040130000}"/>
    <cellStyle name="Comma 2 2 2 6 4" xfId="10499" xr:uid="{00000000-0005-0000-0000-000041130000}"/>
    <cellStyle name="Comma 2 2 2 7" xfId="4750" xr:uid="{00000000-0005-0000-0000-000042130000}"/>
    <cellStyle name="Comma 2 2 2 7 2" xfId="7424" xr:uid="{00000000-0005-0000-0000-000043130000}"/>
    <cellStyle name="Comma 2 2 2 7 2 2" xfId="10123" xr:uid="{00000000-0005-0000-0000-000044130000}"/>
    <cellStyle name="Comma 2 2 2 7 3" xfId="8783" xr:uid="{00000000-0005-0000-0000-000045130000}"/>
    <cellStyle name="Comma 2 2 2 8" xfId="6341" xr:uid="{00000000-0005-0000-0000-000046130000}"/>
    <cellStyle name="Comma 2 2 2 8 2" xfId="9060" xr:uid="{00000000-0005-0000-0000-000047130000}"/>
    <cellStyle name="Comma 2 2 2 9" xfId="7721" xr:uid="{00000000-0005-0000-0000-000048130000}"/>
    <cellStyle name="Comma 2 2 3" xfId="45" xr:uid="{00000000-0005-0000-0000-000049130000}"/>
    <cellStyle name="Comma 2 2 3 10" xfId="272" xr:uid="{00000000-0005-0000-0000-00004A130000}"/>
    <cellStyle name="Comma 2 2 3 11" xfId="76" xr:uid="{00000000-0005-0000-0000-00004B130000}"/>
    <cellStyle name="Comma 2 2 3 2" xfId="102" xr:uid="{00000000-0005-0000-0000-00004C130000}"/>
    <cellStyle name="Comma 2 2 3 2 2" xfId="965" xr:uid="{00000000-0005-0000-0000-00004D130000}"/>
    <cellStyle name="Comma 2 2 3 2 2 2" xfId="4751" xr:uid="{00000000-0005-0000-0000-00004E130000}"/>
    <cellStyle name="Comma 2 2 3 2 2 2 2" xfId="7425" xr:uid="{00000000-0005-0000-0000-00004F130000}"/>
    <cellStyle name="Comma 2 2 3 2 2 2 2 2" xfId="10124" xr:uid="{00000000-0005-0000-0000-000050130000}"/>
    <cellStyle name="Comma 2 2 3 2 2 2 3" xfId="8784" xr:uid="{00000000-0005-0000-0000-000051130000}"/>
    <cellStyle name="Comma 2 2 3 2 3" xfId="977" xr:uid="{00000000-0005-0000-0000-000052130000}"/>
    <cellStyle name="Comma 2 2 3 2 3 2" xfId="1296" xr:uid="{00000000-0005-0000-0000-000053130000}"/>
    <cellStyle name="Comma 2 2 3 2 3 2 2" xfId="7006" xr:uid="{00000000-0005-0000-0000-000054130000}"/>
    <cellStyle name="Comma 2 2 3 2 3 2 2 2" xfId="9713" xr:uid="{00000000-0005-0000-0000-000055130000}"/>
    <cellStyle name="Comma 2 2 3 2 3 2 3" xfId="8374" xr:uid="{00000000-0005-0000-0000-000056130000}"/>
    <cellStyle name="Comma 2 2 3 2 3 3" xfId="4752" xr:uid="{00000000-0005-0000-0000-000057130000}"/>
    <cellStyle name="Comma 2 2 3 2 3 3 2" xfId="7426" xr:uid="{00000000-0005-0000-0000-000058130000}"/>
    <cellStyle name="Comma 2 2 3 2 3 3 2 2" xfId="10125" xr:uid="{00000000-0005-0000-0000-000059130000}"/>
    <cellStyle name="Comma 2 2 3 2 3 3 3" xfId="8785" xr:uid="{00000000-0005-0000-0000-00005A130000}"/>
    <cellStyle name="Comma 2 2 3 2 3 4" xfId="6709" xr:uid="{00000000-0005-0000-0000-00005B130000}"/>
    <cellStyle name="Comma 2 2 3 2 3 4 2" xfId="9416" xr:uid="{00000000-0005-0000-0000-00005C130000}"/>
    <cellStyle name="Comma 2 2 3 2 3 5" xfId="8077" xr:uid="{00000000-0005-0000-0000-00005D130000}"/>
    <cellStyle name="Comma 2 2 3 2 4" xfId="1046" xr:uid="{00000000-0005-0000-0000-00005E130000}"/>
    <cellStyle name="Comma 2 2 3 2 4 2" xfId="6777" xr:uid="{00000000-0005-0000-0000-00005F130000}"/>
    <cellStyle name="Comma 2 2 3 2 4 2 2" xfId="9484" xr:uid="{00000000-0005-0000-0000-000060130000}"/>
    <cellStyle name="Comma 2 2 3 2 4 3" xfId="8145" xr:uid="{00000000-0005-0000-0000-000061130000}"/>
    <cellStyle name="Comma 2 2 3 2 5" xfId="471" xr:uid="{00000000-0005-0000-0000-000062130000}"/>
    <cellStyle name="Comma 2 2 3 3" xfId="472" xr:uid="{00000000-0005-0000-0000-000063130000}"/>
    <cellStyle name="Comma 2 2 3 4" xfId="473" xr:uid="{00000000-0005-0000-0000-000064130000}"/>
    <cellStyle name="Comma 2 2 3 4 2" xfId="899" xr:uid="{00000000-0005-0000-0000-000065130000}"/>
    <cellStyle name="Comma 2 2 3 4 2 2" xfId="1175" xr:uid="{00000000-0005-0000-0000-000066130000}"/>
    <cellStyle name="Comma 2 2 3 4 2 2 2" xfId="6893" xr:uid="{00000000-0005-0000-0000-000067130000}"/>
    <cellStyle name="Comma 2 2 3 4 2 2 2 2" xfId="9600" xr:uid="{00000000-0005-0000-0000-000068130000}"/>
    <cellStyle name="Comma 2 2 3 4 2 2 3" xfId="8261" xr:uid="{00000000-0005-0000-0000-000069130000}"/>
    <cellStyle name="Comma 2 2 3 4 2 3" xfId="6632" xr:uid="{00000000-0005-0000-0000-00006A130000}"/>
    <cellStyle name="Comma 2 2 3 4 2 3 2" xfId="9339" xr:uid="{00000000-0005-0000-0000-00006B130000}"/>
    <cellStyle name="Comma 2 2 3 4 2 4" xfId="8000" xr:uid="{00000000-0005-0000-0000-00006C130000}"/>
    <cellStyle name="Comma 2 2 3 4 3" xfId="1072" xr:uid="{00000000-0005-0000-0000-00006D130000}"/>
    <cellStyle name="Comma 2 2 3 4 3 2" xfId="6803" xr:uid="{00000000-0005-0000-0000-00006E130000}"/>
    <cellStyle name="Comma 2 2 3 4 3 2 2" xfId="9510" xr:uid="{00000000-0005-0000-0000-00006F130000}"/>
    <cellStyle name="Comma 2 2 3 4 3 3" xfId="8171" xr:uid="{00000000-0005-0000-0000-000070130000}"/>
    <cellStyle name="Comma 2 2 3 4 4" xfId="6469" xr:uid="{00000000-0005-0000-0000-000071130000}"/>
    <cellStyle name="Comma 2 2 3 4 4 2" xfId="9186" xr:uid="{00000000-0005-0000-0000-000072130000}"/>
    <cellStyle name="Comma 2 2 3 4 5" xfId="7847" xr:uid="{00000000-0005-0000-0000-000073130000}"/>
    <cellStyle name="Comma 2 2 3 5" xfId="470" xr:uid="{00000000-0005-0000-0000-000074130000}"/>
    <cellStyle name="Comma 2 2 3 5 2" xfId="1174" xr:uid="{00000000-0005-0000-0000-000075130000}"/>
    <cellStyle name="Comma 2 2 3 5 2 2" xfId="6892" xr:uid="{00000000-0005-0000-0000-000076130000}"/>
    <cellStyle name="Comma 2 2 3 5 2 2 2" xfId="9599" xr:uid="{00000000-0005-0000-0000-000077130000}"/>
    <cellStyle name="Comma 2 2 3 5 2 3" xfId="8260" xr:uid="{00000000-0005-0000-0000-000078130000}"/>
    <cellStyle name="Comma 2 2 3 5 3" xfId="6468" xr:uid="{00000000-0005-0000-0000-000079130000}"/>
    <cellStyle name="Comma 2 2 3 5 3 2" xfId="9185" xr:uid="{00000000-0005-0000-0000-00007A130000}"/>
    <cellStyle name="Comma 2 2 3 5 4" xfId="7846" xr:uid="{00000000-0005-0000-0000-00007B130000}"/>
    <cellStyle name="Comma 2 2 3 6" xfId="898" xr:uid="{00000000-0005-0000-0000-00007C130000}"/>
    <cellStyle name="Comma 2 2 3 6 2" xfId="6631" xr:uid="{00000000-0005-0000-0000-00007D130000}"/>
    <cellStyle name="Comma 2 2 3 6 2 2" xfId="9338" xr:uid="{00000000-0005-0000-0000-00007E130000}"/>
    <cellStyle name="Comma 2 2 3 6 3" xfId="7999" xr:uid="{00000000-0005-0000-0000-00007F130000}"/>
    <cellStyle name="Comma 2 2 3 7" xfId="1018" xr:uid="{00000000-0005-0000-0000-000080130000}"/>
    <cellStyle name="Comma 2 2 3 7 2" xfId="6749" xr:uid="{00000000-0005-0000-0000-000081130000}"/>
    <cellStyle name="Comma 2 2 3 7 2 2" xfId="9456" xr:uid="{00000000-0005-0000-0000-000082130000}"/>
    <cellStyle name="Comma 2 2 3 7 3" xfId="8117" xr:uid="{00000000-0005-0000-0000-000083130000}"/>
    <cellStyle name="Comma 2 2 3 8" xfId="6423" xr:uid="{00000000-0005-0000-0000-000084130000}"/>
    <cellStyle name="Comma 2 2 3 8 2" xfId="9142" xr:uid="{00000000-0005-0000-0000-000085130000}"/>
    <cellStyle name="Comma 2 2 3 9" xfId="7803" xr:uid="{00000000-0005-0000-0000-000086130000}"/>
    <cellStyle name="Comma 2 2 4" xfId="474" xr:uid="{00000000-0005-0000-0000-000087130000}"/>
    <cellStyle name="Comma 2 2 4 2" xfId="475" xr:uid="{00000000-0005-0000-0000-000088130000}"/>
    <cellStyle name="Comma 2 2 4 2 2" xfId="4753" xr:uid="{00000000-0005-0000-0000-000089130000}"/>
    <cellStyle name="Comma 2 2 4 2 2 2" xfId="7427" xr:uid="{00000000-0005-0000-0000-00008A130000}"/>
    <cellStyle name="Comma 2 2 4 2 2 2 2" xfId="10126" xr:uid="{00000000-0005-0000-0000-00008B130000}"/>
    <cellStyle name="Comma 2 2 4 2 2 3" xfId="8786" xr:uid="{00000000-0005-0000-0000-00008C130000}"/>
    <cellStyle name="Comma 2 2 4 3" xfId="62" xr:uid="{00000000-0005-0000-0000-00008D130000}"/>
    <cellStyle name="Comma 2 2 4 3 2" xfId="93" xr:uid="{00000000-0005-0000-0000-00008E130000}"/>
    <cellStyle name="Comma 2 2 4 3 2 2" xfId="10127" xr:uid="{00000000-0005-0000-0000-00008F130000}"/>
    <cellStyle name="Comma 2 2 4 3 2 3" xfId="7428" xr:uid="{00000000-0005-0000-0000-000090130000}"/>
    <cellStyle name="Comma 2 2 4 3 3" xfId="8787" xr:uid="{00000000-0005-0000-0000-000091130000}"/>
    <cellStyle name="Comma 2 2 4 3 4" xfId="4754" xr:uid="{00000000-0005-0000-0000-000092130000}"/>
    <cellStyle name="Comma 2 2 4 3 5" xfId="39" xr:uid="{00000000-0005-0000-0000-000093130000}"/>
    <cellStyle name="Comma 2 2 4 3 5 2" xfId="10471" xr:uid="{00000000-0005-0000-0000-000094130000}"/>
    <cellStyle name="Comma 2 2 4 3 5 2 2" xfId="10603" xr:uid="{00000000-0005-0000-0000-000095130000}"/>
    <cellStyle name="Comma 2 2 4 3 5 3" xfId="10490" xr:uid="{00000000-0005-0000-0000-000096130000}"/>
    <cellStyle name="Comma 2 2 4 3 5 4" xfId="10534" xr:uid="{00000000-0005-0000-0000-000097130000}"/>
    <cellStyle name="Comma 2 2 4 3 5 4 2" xfId="10561" xr:uid="{00000000-0005-0000-0000-000098130000}"/>
    <cellStyle name="Comma 2 2 4 3 5 4 3" xfId="10609" xr:uid="{00000000-0005-0000-0000-000099130000}"/>
    <cellStyle name="Comma 2 2 4 4" xfId="4755" xr:uid="{00000000-0005-0000-0000-00009A130000}"/>
    <cellStyle name="Comma 2 2 4 4 2" xfId="7429" xr:uid="{00000000-0005-0000-0000-00009B130000}"/>
    <cellStyle name="Comma 2 2 4 4 2 2" xfId="10128" xr:uid="{00000000-0005-0000-0000-00009C130000}"/>
    <cellStyle name="Comma 2 2 4 4 3" xfId="8788" xr:uid="{00000000-0005-0000-0000-00009D130000}"/>
    <cellStyle name="Comma 2 2 4 8" xfId="4756" xr:uid="{00000000-0005-0000-0000-00009E130000}"/>
    <cellStyle name="Comma 2 2 5" xfId="476" xr:uid="{00000000-0005-0000-0000-00009F130000}"/>
    <cellStyle name="Comma 2 2 5 2" xfId="900" xr:uid="{00000000-0005-0000-0000-0000A0130000}"/>
    <cellStyle name="Comma 2 2 5 2 2" xfId="1247" xr:uid="{00000000-0005-0000-0000-0000A1130000}"/>
    <cellStyle name="Comma 2 2 5 2 2 2" xfId="6965" xr:uid="{00000000-0005-0000-0000-0000A2130000}"/>
    <cellStyle name="Comma 2 2 5 2 2 2 2" xfId="9672" xr:uid="{00000000-0005-0000-0000-0000A3130000}"/>
    <cellStyle name="Comma 2 2 5 2 2 3" xfId="8333" xr:uid="{00000000-0005-0000-0000-0000A4130000}"/>
    <cellStyle name="Comma 2 2 5 2 3" xfId="1073" xr:uid="{00000000-0005-0000-0000-0000A5130000}"/>
    <cellStyle name="Comma 2 2 5 2 3 2" xfId="6804" xr:uid="{00000000-0005-0000-0000-0000A6130000}"/>
    <cellStyle name="Comma 2 2 5 2 3 2 2" xfId="9511" xr:uid="{00000000-0005-0000-0000-0000A7130000}"/>
    <cellStyle name="Comma 2 2 5 2 3 3" xfId="8172" xr:uid="{00000000-0005-0000-0000-0000A8130000}"/>
    <cellStyle name="Comma 2 2 5 2 4" xfId="6633" xr:uid="{00000000-0005-0000-0000-0000A9130000}"/>
    <cellStyle name="Comma 2 2 5 2 4 2" xfId="9340" xr:uid="{00000000-0005-0000-0000-0000AA130000}"/>
    <cellStyle name="Comma 2 2 5 2 5" xfId="8001" xr:uid="{00000000-0005-0000-0000-0000AB130000}"/>
    <cellStyle name="Comma 2 2 5 3" xfId="989" xr:uid="{00000000-0005-0000-0000-0000AC130000}"/>
    <cellStyle name="Comma 2 2 5 3 2" xfId="1176" xr:uid="{00000000-0005-0000-0000-0000AD130000}"/>
    <cellStyle name="Comma 2 2 5 3 2 2" xfId="6894" xr:uid="{00000000-0005-0000-0000-0000AE130000}"/>
    <cellStyle name="Comma 2 2 5 3 2 2 2" xfId="9601" xr:uid="{00000000-0005-0000-0000-0000AF130000}"/>
    <cellStyle name="Comma 2 2 5 3 2 3" xfId="8262" xr:uid="{00000000-0005-0000-0000-0000B0130000}"/>
    <cellStyle name="Comma 2 2 5 3 3" xfId="6721" xr:uid="{00000000-0005-0000-0000-0000B1130000}"/>
    <cellStyle name="Comma 2 2 5 3 3 2" xfId="9428" xr:uid="{00000000-0005-0000-0000-0000B2130000}"/>
    <cellStyle name="Comma 2 2 5 3 4" xfId="8089" xr:uid="{00000000-0005-0000-0000-0000B3130000}"/>
    <cellStyle name="Comma 2 2 5 4" xfId="1315" xr:uid="{00000000-0005-0000-0000-0000B4130000}"/>
    <cellStyle name="Comma 2 2 5 4 2" xfId="7021" xr:uid="{00000000-0005-0000-0000-0000B5130000}"/>
    <cellStyle name="Comma 2 2 5 4 2 2" xfId="9728" xr:uid="{00000000-0005-0000-0000-0000B6130000}"/>
    <cellStyle name="Comma 2 2 5 4 3" xfId="8389" xr:uid="{00000000-0005-0000-0000-0000B7130000}"/>
    <cellStyle name="Comma 2 2 5 5" xfId="1031" xr:uid="{00000000-0005-0000-0000-0000B8130000}"/>
    <cellStyle name="Comma 2 2 5 5 2" xfId="6762" xr:uid="{00000000-0005-0000-0000-0000B9130000}"/>
    <cellStyle name="Comma 2 2 5 5 2 2" xfId="9469" xr:uid="{00000000-0005-0000-0000-0000BA130000}"/>
    <cellStyle name="Comma 2 2 5 5 3" xfId="8130" xr:uid="{00000000-0005-0000-0000-0000BB130000}"/>
    <cellStyle name="Comma 2 2 5 6" xfId="1469" xr:uid="{00000000-0005-0000-0000-0000BC130000}"/>
    <cellStyle name="Comma 2 2 5 6 2" xfId="7162" xr:uid="{00000000-0005-0000-0000-0000BD130000}"/>
    <cellStyle name="Comma 2 2 5 6 2 2" xfId="9865" xr:uid="{00000000-0005-0000-0000-0000BE130000}"/>
    <cellStyle name="Comma 2 2 5 6 3" xfId="8525" xr:uid="{00000000-0005-0000-0000-0000BF130000}"/>
    <cellStyle name="Comma 2 2 5 7" xfId="6470" xr:uid="{00000000-0005-0000-0000-0000C0130000}"/>
    <cellStyle name="Comma 2 2 5 7 2" xfId="9187" xr:uid="{00000000-0005-0000-0000-0000C1130000}"/>
    <cellStyle name="Comma 2 2 5 8" xfId="7848" xr:uid="{00000000-0005-0000-0000-0000C2130000}"/>
    <cellStyle name="Comma 2 2 6" xfId="477" xr:uid="{00000000-0005-0000-0000-0000C3130000}"/>
    <cellStyle name="Comma 2 2 7" xfId="478" xr:uid="{00000000-0005-0000-0000-0000C4130000}"/>
    <cellStyle name="Comma 2 2 8" xfId="479" xr:uid="{00000000-0005-0000-0000-0000C5130000}"/>
    <cellStyle name="Comma 2 2 8 2" xfId="4757" xr:uid="{00000000-0005-0000-0000-0000C6130000}"/>
    <cellStyle name="Comma 2 2 9" xfId="466" xr:uid="{00000000-0005-0000-0000-0000C7130000}"/>
    <cellStyle name="Comma 2 2 9 2" xfId="1170" xr:uid="{00000000-0005-0000-0000-0000C8130000}"/>
    <cellStyle name="Comma 2 2 9 2 2" xfId="6888" xr:uid="{00000000-0005-0000-0000-0000C9130000}"/>
    <cellStyle name="Comma 2 2 9 2 2 2" xfId="9595" xr:uid="{00000000-0005-0000-0000-0000CA130000}"/>
    <cellStyle name="Comma 2 2 9 2 3" xfId="8256" xr:uid="{00000000-0005-0000-0000-0000CB130000}"/>
    <cellStyle name="Comma 2 2 9 3" xfId="4758" xr:uid="{00000000-0005-0000-0000-0000CC130000}"/>
    <cellStyle name="Comma 2 2 9 4" xfId="6464" xr:uid="{00000000-0005-0000-0000-0000CD130000}"/>
    <cellStyle name="Comma 2 2 9 4 2" xfId="9181" xr:uid="{00000000-0005-0000-0000-0000CE130000}"/>
    <cellStyle name="Comma 2 2 9 5" xfId="7842" xr:uid="{00000000-0005-0000-0000-0000CF130000}"/>
    <cellStyle name="Comma 2 20" xfId="4759" xr:uid="{00000000-0005-0000-0000-0000D0130000}"/>
    <cellStyle name="Comma 2 21" xfId="4760" xr:uid="{00000000-0005-0000-0000-0000D1130000}"/>
    <cellStyle name="Comma 2 22" xfId="4761" xr:uid="{00000000-0005-0000-0000-0000D2130000}"/>
    <cellStyle name="Comma 2 23" xfId="4762" xr:uid="{00000000-0005-0000-0000-0000D3130000}"/>
    <cellStyle name="Comma 2 24" xfId="4763" xr:uid="{00000000-0005-0000-0000-0000D4130000}"/>
    <cellStyle name="Comma 2 25" xfId="4764" xr:uid="{00000000-0005-0000-0000-0000D5130000}"/>
    <cellStyle name="Comma 2 26" xfId="4765" xr:uid="{00000000-0005-0000-0000-0000D6130000}"/>
    <cellStyle name="Comma 2 26 2" xfId="7430" xr:uid="{00000000-0005-0000-0000-0000D7130000}"/>
    <cellStyle name="Comma 2 26 2 2" xfId="10129" xr:uid="{00000000-0005-0000-0000-0000D8130000}"/>
    <cellStyle name="Comma 2 26 3" xfId="8789" xr:uid="{00000000-0005-0000-0000-0000D9130000}"/>
    <cellStyle name="Comma 2 27" xfId="6218" xr:uid="{00000000-0005-0000-0000-0000DA130000}"/>
    <cellStyle name="Comma 2 27 2" xfId="7697" xr:uid="{00000000-0005-0000-0000-0000DB130000}"/>
    <cellStyle name="Comma 2 27 2 2" xfId="10378" xr:uid="{00000000-0005-0000-0000-0000DC130000}"/>
    <cellStyle name="Comma 2 27 3" xfId="9038" xr:uid="{00000000-0005-0000-0000-0000DD130000}"/>
    <cellStyle name="Comma 2 28" xfId="139" xr:uid="{00000000-0005-0000-0000-0000DE130000}"/>
    <cellStyle name="Comma 2 29" xfId="10456" xr:uid="{00000000-0005-0000-0000-0000DF130000}"/>
    <cellStyle name="Comma 2 3" xfId="96" xr:uid="{00000000-0005-0000-0000-0000E0130000}"/>
    <cellStyle name="Comma 2 3 10" xfId="481" xr:uid="{00000000-0005-0000-0000-0000E1130000}"/>
    <cellStyle name="Comma 2 3 10 2" xfId="902" xr:uid="{00000000-0005-0000-0000-0000E2130000}"/>
    <cellStyle name="Comma 2 3 10 2 2" xfId="1178" xr:uid="{00000000-0005-0000-0000-0000E3130000}"/>
    <cellStyle name="Comma 2 3 10 2 2 2" xfId="6896" xr:uid="{00000000-0005-0000-0000-0000E4130000}"/>
    <cellStyle name="Comma 2 3 10 2 2 2 2" xfId="9603" xr:uid="{00000000-0005-0000-0000-0000E5130000}"/>
    <cellStyle name="Comma 2 3 10 2 2 3" xfId="8264" xr:uid="{00000000-0005-0000-0000-0000E6130000}"/>
    <cellStyle name="Comma 2 3 10 2 3" xfId="6635" xr:uid="{00000000-0005-0000-0000-0000E7130000}"/>
    <cellStyle name="Comma 2 3 10 2 3 2" xfId="9342" xr:uid="{00000000-0005-0000-0000-0000E8130000}"/>
    <cellStyle name="Comma 2 3 10 2 4" xfId="8003" xr:uid="{00000000-0005-0000-0000-0000E9130000}"/>
    <cellStyle name="Comma 2 3 10 3" xfId="1074" xr:uid="{00000000-0005-0000-0000-0000EA130000}"/>
    <cellStyle name="Comma 2 3 10 3 2" xfId="6805" xr:uid="{00000000-0005-0000-0000-0000EB130000}"/>
    <cellStyle name="Comma 2 3 10 3 2 2" xfId="9512" xr:uid="{00000000-0005-0000-0000-0000EC130000}"/>
    <cellStyle name="Comma 2 3 10 3 3" xfId="8173" xr:uid="{00000000-0005-0000-0000-0000ED130000}"/>
    <cellStyle name="Comma 2 3 10 4" xfId="1470" xr:uid="{00000000-0005-0000-0000-0000EE130000}"/>
    <cellStyle name="Comma 2 3 10 4 2" xfId="7163" xr:uid="{00000000-0005-0000-0000-0000EF130000}"/>
    <cellStyle name="Comma 2 3 10 4 2 2" xfId="9866" xr:uid="{00000000-0005-0000-0000-0000F0130000}"/>
    <cellStyle name="Comma 2 3 10 4 3" xfId="8526" xr:uid="{00000000-0005-0000-0000-0000F1130000}"/>
    <cellStyle name="Comma 2 3 10 5" xfId="6472" xr:uid="{00000000-0005-0000-0000-0000F2130000}"/>
    <cellStyle name="Comma 2 3 10 5 2" xfId="9189" xr:uid="{00000000-0005-0000-0000-0000F3130000}"/>
    <cellStyle name="Comma 2 3 10 6" xfId="7850" xr:uid="{00000000-0005-0000-0000-0000F4130000}"/>
    <cellStyle name="Comma 2 3 11" xfId="7718" xr:uid="{00000000-0005-0000-0000-0000F5130000}"/>
    <cellStyle name="Comma 2 3 12" xfId="135" xr:uid="{00000000-0005-0000-0000-0000F6130000}"/>
    <cellStyle name="Comma 2 3 2" xfId="142" xr:uid="{00000000-0005-0000-0000-0000F7130000}"/>
    <cellStyle name="Comma 2 3 2 10" xfId="7723" xr:uid="{00000000-0005-0000-0000-0000F8130000}"/>
    <cellStyle name="Comma 2 3 2 2" xfId="483" xr:uid="{00000000-0005-0000-0000-0000F9130000}"/>
    <cellStyle name="Comma 2 3 2 2 2" xfId="904" xr:uid="{00000000-0005-0000-0000-0000FA130000}"/>
    <cellStyle name="Comma 2 3 2 2 2 2" xfId="1246" xr:uid="{00000000-0005-0000-0000-0000FB130000}"/>
    <cellStyle name="Comma 2 3 2 2 2 2 2" xfId="6964" xr:uid="{00000000-0005-0000-0000-0000FC130000}"/>
    <cellStyle name="Comma 2 3 2 2 2 2 2 2" xfId="9671" xr:uid="{00000000-0005-0000-0000-0000FD130000}"/>
    <cellStyle name="Comma 2 3 2 2 2 2 3" xfId="8332" xr:uid="{00000000-0005-0000-0000-0000FE130000}"/>
    <cellStyle name="Comma 2 3 2 2 2 3" xfId="1075" xr:uid="{00000000-0005-0000-0000-0000FF130000}"/>
    <cellStyle name="Comma 2 3 2 2 2 3 2" xfId="6806" xr:uid="{00000000-0005-0000-0000-000000140000}"/>
    <cellStyle name="Comma 2 3 2 2 2 3 2 2" xfId="9513" xr:uid="{00000000-0005-0000-0000-000001140000}"/>
    <cellStyle name="Comma 2 3 2 2 2 3 3" xfId="8174" xr:uid="{00000000-0005-0000-0000-000002140000}"/>
    <cellStyle name="Comma 2 3 2 2 2 4" xfId="4766" xr:uid="{00000000-0005-0000-0000-000003140000}"/>
    <cellStyle name="Comma 2 3 2 2 2 4 2" xfId="7431" xr:uid="{00000000-0005-0000-0000-000004140000}"/>
    <cellStyle name="Comma 2 3 2 2 2 4 2 2" xfId="10130" xr:uid="{00000000-0005-0000-0000-000005140000}"/>
    <cellStyle name="Comma 2 3 2 2 2 4 3" xfId="8790" xr:uid="{00000000-0005-0000-0000-000006140000}"/>
    <cellStyle name="Comma 2 3 2 2 2 5" xfId="6637" xr:uid="{00000000-0005-0000-0000-000007140000}"/>
    <cellStyle name="Comma 2 3 2 2 2 5 2" xfId="9344" xr:uid="{00000000-0005-0000-0000-000008140000}"/>
    <cellStyle name="Comma 2 3 2 2 2 6" xfId="8005" xr:uid="{00000000-0005-0000-0000-000009140000}"/>
    <cellStyle name="Comma 2 3 2 2 3" xfId="973" xr:uid="{00000000-0005-0000-0000-00000A140000}"/>
    <cellStyle name="Comma 2 3 2 2 3 2" xfId="1180" xr:uid="{00000000-0005-0000-0000-00000B140000}"/>
    <cellStyle name="Comma 2 3 2 2 3 2 2" xfId="6898" xr:uid="{00000000-0005-0000-0000-00000C140000}"/>
    <cellStyle name="Comma 2 3 2 2 3 2 2 2" xfId="9605" xr:uid="{00000000-0005-0000-0000-00000D140000}"/>
    <cellStyle name="Comma 2 3 2 2 3 2 3" xfId="8266" xr:uid="{00000000-0005-0000-0000-00000E140000}"/>
    <cellStyle name="Comma 2 3 2 2 3 3" xfId="4767" xr:uid="{00000000-0005-0000-0000-00000F140000}"/>
    <cellStyle name="Comma 2 3 2 2 3 3 2" xfId="7432" xr:uid="{00000000-0005-0000-0000-000010140000}"/>
    <cellStyle name="Comma 2 3 2 2 3 3 2 2" xfId="10131" xr:uid="{00000000-0005-0000-0000-000011140000}"/>
    <cellStyle name="Comma 2 3 2 2 3 3 3" xfId="8791" xr:uid="{00000000-0005-0000-0000-000012140000}"/>
    <cellStyle name="Comma 2 3 2 2 3 4" xfId="6705" xr:uid="{00000000-0005-0000-0000-000013140000}"/>
    <cellStyle name="Comma 2 3 2 2 3 4 2" xfId="9412" xr:uid="{00000000-0005-0000-0000-000014140000}"/>
    <cellStyle name="Comma 2 3 2 2 3 5" xfId="8073" xr:uid="{00000000-0005-0000-0000-000015140000}"/>
    <cellStyle name="Comma 2 3 2 2 4" xfId="1292" xr:uid="{00000000-0005-0000-0000-000016140000}"/>
    <cellStyle name="Comma 2 3 2 2 4 2" xfId="4768" xr:uid="{00000000-0005-0000-0000-000017140000}"/>
    <cellStyle name="Comma 2 3 2 2 4 2 2" xfId="7433" xr:uid="{00000000-0005-0000-0000-000018140000}"/>
    <cellStyle name="Comma 2 3 2 2 4 2 2 2" xfId="10132" xr:uid="{00000000-0005-0000-0000-000019140000}"/>
    <cellStyle name="Comma 2 3 2 2 4 2 3" xfId="8792" xr:uid="{00000000-0005-0000-0000-00001A140000}"/>
    <cellStyle name="Comma 2 3 2 2 4 3" xfId="7002" xr:uid="{00000000-0005-0000-0000-00001B140000}"/>
    <cellStyle name="Comma 2 3 2 2 4 3 2" xfId="9709" xr:uid="{00000000-0005-0000-0000-00001C140000}"/>
    <cellStyle name="Comma 2 3 2 2 4 4" xfId="8370" xr:uid="{00000000-0005-0000-0000-00001D140000}"/>
    <cellStyle name="Comma 2 3 2 2 5" xfId="1050" xr:uid="{00000000-0005-0000-0000-00001E140000}"/>
    <cellStyle name="Comma 2 3 2 2 5 2" xfId="6781" xr:uid="{00000000-0005-0000-0000-00001F140000}"/>
    <cellStyle name="Comma 2 3 2 2 5 2 2" xfId="9488" xr:uid="{00000000-0005-0000-0000-000020140000}"/>
    <cellStyle name="Comma 2 3 2 2 5 3" xfId="8149" xr:uid="{00000000-0005-0000-0000-000021140000}"/>
    <cellStyle name="Comma 2 3 2 2 6" xfId="6474" xr:uid="{00000000-0005-0000-0000-000022140000}"/>
    <cellStyle name="Comma 2 3 2 2 6 2" xfId="9191" xr:uid="{00000000-0005-0000-0000-000023140000}"/>
    <cellStyle name="Comma 2 3 2 2 7" xfId="7852" xr:uid="{00000000-0005-0000-0000-000024140000}"/>
    <cellStyle name="Comma 2 3 2 3" xfId="484" xr:uid="{00000000-0005-0000-0000-000025140000}"/>
    <cellStyle name="Comma 2 3 2 3 2" xfId="905" xr:uid="{00000000-0005-0000-0000-000026140000}"/>
    <cellStyle name="Comma 2 3 2 3 2 2" xfId="1181" xr:uid="{00000000-0005-0000-0000-000027140000}"/>
    <cellStyle name="Comma 2 3 2 3 2 2 2" xfId="6899" xr:uid="{00000000-0005-0000-0000-000028140000}"/>
    <cellStyle name="Comma 2 3 2 3 2 2 2 2" xfId="9606" xr:uid="{00000000-0005-0000-0000-000029140000}"/>
    <cellStyle name="Comma 2 3 2 3 2 2 3" xfId="8267" xr:uid="{00000000-0005-0000-0000-00002A140000}"/>
    <cellStyle name="Comma 2 3 2 3 2 3" xfId="4770" xr:uid="{00000000-0005-0000-0000-00002B140000}"/>
    <cellStyle name="Comma 2 3 2 3 2 3 2" xfId="7434" xr:uid="{00000000-0005-0000-0000-00002C140000}"/>
    <cellStyle name="Comma 2 3 2 3 2 3 2 2" xfId="10133" xr:uid="{00000000-0005-0000-0000-00002D140000}"/>
    <cellStyle name="Comma 2 3 2 3 2 3 3" xfId="8793" xr:uid="{00000000-0005-0000-0000-00002E140000}"/>
    <cellStyle name="Comma 2 3 2 3 2 4" xfId="6638" xr:uid="{00000000-0005-0000-0000-00002F140000}"/>
    <cellStyle name="Comma 2 3 2 3 2 4 2" xfId="9345" xr:uid="{00000000-0005-0000-0000-000030140000}"/>
    <cellStyle name="Comma 2 3 2 3 2 5" xfId="8006" xr:uid="{00000000-0005-0000-0000-000031140000}"/>
    <cellStyle name="Comma 2 3 2 3 3" xfId="1076" xr:uid="{00000000-0005-0000-0000-000032140000}"/>
    <cellStyle name="Comma 2 3 2 3 3 2" xfId="6807" xr:uid="{00000000-0005-0000-0000-000033140000}"/>
    <cellStyle name="Comma 2 3 2 3 3 2 2" xfId="9514" xr:uid="{00000000-0005-0000-0000-000034140000}"/>
    <cellStyle name="Comma 2 3 2 3 3 3" xfId="8175" xr:uid="{00000000-0005-0000-0000-000035140000}"/>
    <cellStyle name="Comma 2 3 2 3 4" xfId="4769" xr:uid="{00000000-0005-0000-0000-000036140000}"/>
    <cellStyle name="Comma 2 3 2 3 5" xfId="6475" xr:uid="{00000000-0005-0000-0000-000037140000}"/>
    <cellStyle name="Comma 2 3 2 3 5 2" xfId="9192" xr:uid="{00000000-0005-0000-0000-000038140000}"/>
    <cellStyle name="Comma 2 3 2 3 6" xfId="7853" xr:uid="{00000000-0005-0000-0000-000039140000}"/>
    <cellStyle name="Comma 2 3 2 4" xfId="482" xr:uid="{00000000-0005-0000-0000-00003A140000}"/>
    <cellStyle name="Comma 2 3 2 4 2" xfId="1179" xr:uid="{00000000-0005-0000-0000-00003B140000}"/>
    <cellStyle name="Comma 2 3 2 4 2 2" xfId="6897" xr:uid="{00000000-0005-0000-0000-00003C140000}"/>
    <cellStyle name="Comma 2 3 2 4 2 2 2" xfId="9604" xr:uid="{00000000-0005-0000-0000-00003D140000}"/>
    <cellStyle name="Comma 2 3 2 4 2 3" xfId="8265" xr:uid="{00000000-0005-0000-0000-00003E140000}"/>
    <cellStyle name="Comma 2 3 2 4 3" xfId="4771" xr:uid="{00000000-0005-0000-0000-00003F140000}"/>
    <cellStyle name="Comma 2 3 2 4 4" xfId="6473" xr:uid="{00000000-0005-0000-0000-000040140000}"/>
    <cellStyle name="Comma 2 3 2 4 4 2" xfId="9190" xr:uid="{00000000-0005-0000-0000-000041140000}"/>
    <cellStyle name="Comma 2 3 2 4 5" xfId="7851" xr:uid="{00000000-0005-0000-0000-000042140000}"/>
    <cellStyle name="Comma 2 3 2 5" xfId="903" xr:uid="{00000000-0005-0000-0000-000043140000}"/>
    <cellStyle name="Comma 2 3 2 5 2" xfId="4772" xr:uid="{00000000-0005-0000-0000-000044140000}"/>
    <cellStyle name="Comma 2 3 2 5 3" xfId="6636" xr:uid="{00000000-0005-0000-0000-000045140000}"/>
    <cellStyle name="Comma 2 3 2 5 3 2" xfId="9343" xr:uid="{00000000-0005-0000-0000-000046140000}"/>
    <cellStyle name="Comma 2 3 2 5 4" xfId="8004" xr:uid="{00000000-0005-0000-0000-000047140000}"/>
    <cellStyle name="Comma 2 3 2 6" xfId="1022" xr:uid="{00000000-0005-0000-0000-000048140000}"/>
    <cellStyle name="Comma 2 3 2 6 2" xfId="6753" xr:uid="{00000000-0005-0000-0000-000049140000}"/>
    <cellStyle name="Comma 2 3 2 6 2 2" xfId="9460" xr:uid="{00000000-0005-0000-0000-00004A140000}"/>
    <cellStyle name="Comma 2 3 2 6 3" xfId="8121" xr:uid="{00000000-0005-0000-0000-00004B140000}"/>
    <cellStyle name="Comma 2 3 2 7" xfId="276" xr:uid="{00000000-0005-0000-0000-00004C140000}"/>
    <cellStyle name="Comma 2 3 2 7 2" xfId="6427" xr:uid="{00000000-0005-0000-0000-00004D140000}"/>
    <cellStyle name="Comma 2 3 2 7 2 2" xfId="9146" xr:uid="{00000000-0005-0000-0000-00004E140000}"/>
    <cellStyle name="Comma 2 3 2 7 3" xfId="7807" xr:uid="{00000000-0005-0000-0000-00004F140000}"/>
    <cellStyle name="Comma 2 3 2 7 4 2" xfId="10487" xr:uid="{00000000-0005-0000-0000-000050140000}"/>
    <cellStyle name="Comma 2 3 2 8" xfId="1362" xr:uid="{00000000-0005-0000-0000-000051140000}"/>
    <cellStyle name="Comma 2 3 2 8 2" xfId="7067" xr:uid="{00000000-0005-0000-0000-000052140000}"/>
    <cellStyle name="Comma 2 3 2 8 2 2" xfId="9773" xr:uid="{00000000-0005-0000-0000-000053140000}"/>
    <cellStyle name="Comma 2 3 2 8 3" xfId="8434" xr:uid="{00000000-0005-0000-0000-000054140000}"/>
    <cellStyle name="Comma 2 3 2 9" xfId="6343" xr:uid="{00000000-0005-0000-0000-000055140000}"/>
    <cellStyle name="Comma 2 3 2 9 2" xfId="9062" xr:uid="{00000000-0005-0000-0000-000056140000}"/>
    <cellStyle name="Comma 2 3 3" xfId="485" xr:uid="{00000000-0005-0000-0000-000057140000}"/>
    <cellStyle name="Comma 2 3 3 2" xfId="486" xr:uid="{00000000-0005-0000-0000-000058140000}"/>
    <cellStyle name="Comma 2 3 3 2 2" xfId="907" xr:uid="{00000000-0005-0000-0000-000059140000}"/>
    <cellStyle name="Comma 2 3 3 2 2 2" xfId="1183" xr:uid="{00000000-0005-0000-0000-00005A140000}"/>
    <cellStyle name="Comma 2 3 3 2 2 2 2" xfId="6901" xr:uid="{00000000-0005-0000-0000-00005B140000}"/>
    <cellStyle name="Comma 2 3 3 2 2 2 2 2" xfId="9608" xr:uid="{00000000-0005-0000-0000-00005C140000}"/>
    <cellStyle name="Comma 2 3 3 2 2 2 3" xfId="8269" xr:uid="{00000000-0005-0000-0000-00005D140000}"/>
    <cellStyle name="Comma 2 3 3 2 2 3" xfId="6640" xr:uid="{00000000-0005-0000-0000-00005E140000}"/>
    <cellStyle name="Comma 2 3 3 2 2 3 2" xfId="9347" xr:uid="{00000000-0005-0000-0000-00005F140000}"/>
    <cellStyle name="Comma 2 3 3 2 2 4" xfId="8008" xr:uid="{00000000-0005-0000-0000-000060140000}"/>
    <cellStyle name="Comma 2 3 3 2 3" xfId="1078" xr:uid="{00000000-0005-0000-0000-000061140000}"/>
    <cellStyle name="Comma 2 3 3 2 3 2" xfId="6809" xr:uid="{00000000-0005-0000-0000-000062140000}"/>
    <cellStyle name="Comma 2 3 3 2 3 2 2" xfId="9516" xr:uid="{00000000-0005-0000-0000-000063140000}"/>
    <cellStyle name="Comma 2 3 3 2 3 3" xfId="8177" xr:uid="{00000000-0005-0000-0000-000064140000}"/>
    <cellStyle name="Comma 2 3 3 2 4" xfId="4773" xr:uid="{00000000-0005-0000-0000-000065140000}"/>
    <cellStyle name="Comma 2 3 3 2 4 2" xfId="7435" xr:uid="{00000000-0005-0000-0000-000066140000}"/>
    <cellStyle name="Comma 2 3 3 2 4 2 2" xfId="10134" xr:uid="{00000000-0005-0000-0000-000067140000}"/>
    <cellStyle name="Comma 2 3 3 2 4 3" xfId="8794" xr:uid="{00000000-0005-0000-0000-000068140000}"/>
    <cellStyle name="Comma 2 3 3 2 5" xfId="6477" xr:uid="{00000000-0005-0000-0000-000069140000}"/>
    <cellStyle name="Comma 2 3 3 2 5 2" xfId="9194" xr:uid="{00000000-0005-0000-0000-00006A140000}"/>
    <cellStyle name="Comma 2 3 3 2 6" xfId="7855" xr:uid="{00000000-0005-0000-0000-00006B140000}"/>
    <cellStyle name="Comma 2 3 3 3" xfId="906" xr:uid="{00000000-0005-0000-0000-00006C140000}"/>
    <cellStyle name="Comma 2 3 3 3 2" xfId="1245" xr:uid="{00000000-0005-0000-0000-00006D140000}"/>
    <cellStyle name="Comma 2 3 3 3 2 2" xfId="6963" xr:uid="{00000000-0005-0000-0000-00006E140000}"/>
    <cellStyle name="Comma 2 3 3 3 2 2 2" xfId="9670" xr:uid="{00000000-0005-0000-0000-00006F140000}"/>
    <cellStyle name="Comma 2 3 3 3 2 3" xfId="8331" xr:uid="{00000000-0005-0000-0000-000070140000}"/>
    <cellStyle name="Comma 2 3 3 3 3" xfId="1077" xr:uid="{00000000-0005-0000-0000-000071140000}"/>
    <cellStyle name="Comma 2 3 3 3 3 2" xfId="6808" xr:uid="{00000000-0005-0000-0000-000072140000}"/>
    <cellStyle name="Comma 2 3 3 3 3 2 2" xfId="9515" xr:uid="{00000000-0005-0000-0000-000073140000}"/>
    <cellStyle name="Comma 2 3 3 3 3 3" xfId="8176" xr:uid="{00000000-0005-0000-0000-000074140000}"/>
    <cellStyle name="Comma 2 3 3 3 4" xfId="4774" xr:uid="{00000000-0005-0000-0000-000075140000}"/>
    <cellStyle name="Comma 2 3 3 3 4 2" xfId="7436" xr:uid="{00000000-0005-0000-0000-000076140000}"/>
    <cellStyle name="Comma 2 3 3 3 4 2 2" xfId="10135" xr:uid="{00000000-0005-0000-0000-000077140000}"/>
    <cellStyle name="Comma 2 3 3 3 4 3" xfId="8795" xr:uid="{00000000-0005-0000-0000-000078140000}"/>
    <cellStyle name="Comma 2 3 3 3 5" xfId="6639" xr:uid="{00000000-0005-0000-0000-000079140000}"/>
    <cellStyle name="Comma 2 3 3 3 5 2" xfId="9346" xr:uid="{00000000-0005-0000-0000-00007A140000}"/>
    <cellStyle name="Comma 2 3 3 3 6" xfId="8007" xr:uid="{00000000-0005-0000-0000-00007B140000}"/>
    <cellStyle name="Comma 2 3 3 4" xfId="988" xr:uid="{00000000-0005-0000-0000-00007C140000}"/>
    <cellStyle name="Comma 2 3 3 4 2" xfId="1182" xr:uid="{00000000-0005-0000-0000-00007D140000}"/>
    <cellStyle name="Comma 2 3 3 4 2 2" xfId="6900" xr:uid="{00000000-0005-0000-0000-00007E140000}"/>
    <cellStyle name="Comma 2 3 3 4 2 2 2" xfId="9607" xr:uid="{00000000-0005-0000-0000-00007F140000}"/>
    <cellStyle name="Comma 2 3 3 4 2 3" xfId="8268" xr:uid="{00000000-0005-0000-0000-000080140000}"/>
    <cellStyle name="Comma 2 3 3 4 3" xfId="4775" xr:uid="{00000000-0005-0000-0000-000081140000}"/>
    <cellStyle name="Comma 2 3 3 4 3 2" xfId="7437" xr:uid="{00000000-0005-0000-0000-000082140000}"/>
    <cellStyle name="Comma 2 3 3 4 3 2 2" xfId="10136" xr:uid="{00000000-0005-0000-0000-000083140000}"/>
    <cellStyle name="Comma 2 3 3 4 3 3" xfId="8796" xr:uid="{00000000-0005-0000-0000-000084140000}"/>
    <cellStyle name="Comma 2 3 3 4 4" xfId="6720" xr:uid="{00000000-0005-0000-0000-000085140000}"/>
    <cellStyle name="Comma 2 3 3 4 4 2" xfId="9427" xr:uid="{00000000-0005-0000-0000-000086140000}"/>
    <cellStyle name="Comma 2 3 3 4 5" xfId="8088" xr:uid="{00000000-0005-0000-0000-000087140000}"/>
    <cellStyle name="Comma 2 3 3 5" xfId="1307" xr:uid="{00000000-0005-0000-0000-000088140000}"/>
    <cellStyle name="Comma 2 3 3 5 2" xfId="7017" xr:uid="{00000000-0005-0000-0000-000089140000}"/>
    <cellStyle name="Comma 2 3 3 5 2 2" xfId="9724" xr:uid="{00000000-0005-0000-0000-00008A140000}"/>
    <cellStyle name="Comma 2 3 3 5 3" xfId="8385" xr:uid="{00000000-0005-0000-0000-00008B140000}"/>
    <cellStyle name="Comma 2 3 3 6" xfId="1035" xr:uid="{00000000-0005-0000-0000-00008C140000}"/>
    <cellStyle name="Comma 2 3 3 6 2" xfId="6766" xr:uid="{00000000-0005-0000-0000-00008D140000}"/>
    <cellStyle name="Comma 2 3 3 6 2 2" xfId="9473" xr:uid="{00000000-0005-0000-0000-00008E140000}"/>
    <cellStyle name="Comma 2 3 3 6 3" xfId="8134" xr:uid="{00000000-0005-0000-0000-00008F140000}"/>
    <cellStyle name="Comma 2 3 3 7" xfId="1471" xr:uid="{00000000-0005-0000-0000-000090140000}"/>
    <cellStyle name="Comma 2 3 3 7 2" xfId="7164" xr:uid="{00000000-0005-0000-0000-000091140000}"/>
    <cellStyle name="Comma 2 3 3 7 2 2" xfId="9867" xr:uid="{00000000-0005-0000-0000-000092140000}"/>
    <cellStyle name="Comma 2 3 3 7 3" xfId="8527" xr:uid="{00000000-0005-0000-0000-000093140000}"/>
    <cellStyle name="Comma 2 3 3 8" xfId="6476" xr:uid="{00000000-0005-0000-0000-000094140000}"/>
    <cellStyle name="Comma 2 3 3 8 2" xfId="9193" xr:uid="{00000000-0005-0000-0000-000095140000}"/>
    <cellStyle name="Comma 2 3 3 9" xfId="7854" xr:uid="{00000000-0005-0000-0000-000096140000}"/>
    <cellStyle name="Comma 2 3 4" xfId="480" xr:uid="{00000000-0005-0000-0000-000097140000}"/>
    <cellStyle name="Comma 2 3 4 2" xfId="1177" xr:uid="{00000000-0005-0000-0000-000098140000}"/>
    <cellStyle name="Comma 2 3 4 2 2" xfId="4777" xr:uid="{00000000-0005-0000-0000-000099140000}"/>
    <cellStyle name="Comma 2 3 4 2 2 2" xfId="7439" xr:uid="{00000000-0005-0000-0000-00009A140000}"/>
    <cellStyle name="Comma 2 3 4 2 2 2 2" xfId="10138" xr:uid="{00000000-0005-0000-0000-00009B140000}"/>
    <cellStyle name="Comma 2 3 4 2 2 3" xfId="8798" xr:uid="{00000000-0005-0000-0000-00009C140000}"/>
    <cellStyle name="Comma 2 3 4 2 3" xfId="6895" xr:uid="{00000000-0005-0000-0000-00009D140000}"/>
    <cellStyle name="Comma 2 3 4 2 3 2" xfId="9602" xr:uid="{00000000-0005-0000-0000-00009E140000}"/>
    <cellStyle name="Comma 2 3 4 2 4" xfId="8263" xr:uid="{00000000-0005-0000-0000-00009F140000}"/>
    <cellStyle name="Comma 2 3 4 3" xfId="4776" xr:uid="{00000000-0005-0000-0000-0000A0140000}"/>
    <cellStyle name="Comma 2 3 4 3 2" xfId="7438" xr:uid="{00000000-0005-0000-0000-0000A1140000}"/>
    <cellStyle name="Comma 2 3 4 3 2 2" xfId="10137" xr:uid="{00000000-0005-0000-0000-0000A2140000}"/>
    <cellStyle name="Comma 2 3 4 3 3" xfId="8797" xr:uid="{00000000-0005-0000-0000-0000A3140000}"/>
    <cellStyle name="Comma 2 3 4 4" xfId="6471" xr:uid="{00000000-0005-0000-0000-0000A4140000}"/>
    <cellStyle name="Comma 2 3 4 4 2" xfId="9188" xr:uid="{00000000-0005-0000-0000-0000A5140000}"/>
    <cellStyle name="Comma 2 3 4 5" xfId="7849" xr:uid="{00000000-0005-0000-0000-0000A6140000}"/>
    <cellStyle name="Comma 2 3 5" xfId="901" xr:uid="{00000000-0005-0000-0000-0000A7140000}"/>
    <cellStyle name="Comma 2 3 5 2" xfId="4778" xr:uid="{00000000-0005-0000-0000-0000A8140000}"/>
    <cellStyle name="Comma 2 3 5 2 2" xfId="7440" xr:uid="{00000000-0005-0000-0000-0000A9140000}"/>
    <cellStyle name="Comma 2 3 5 2 2 2" xfId="10139" xr:uid="{00000000-0005-0000-0000-0000AA140000}"/>
    <cellStyle name="Comma 2 3 5 2 3" xfId="8799" xr:uid="{00000000-0005-0000-0000-0000AB140000}"/>
    <cellStyle name="Comma 2 3 5 3" xfId="6634" xr:uid="{00000000-0005-0000-0000-0000AC140000}"/>
    <cellStyle name="Comma 2 3 5 3 2" xfId="9341" xr:uid="{00000000-0005-0000-0000-0000AD140000}"/>
    <cellStyle name="Comma 2 3 5 4" xfId="8002" xr:uid="{00000000-0005-0000-0000-0000AE140000}"/>
    <cellStyle name="Comma 2 3 6" xfId="1007" xr:uid="{00000000-0005-0000-0000-0000AF140000}"/>
    <cellStyle name="Comma 2 3 6 2" xfId="4779" xr:uid="{00000000-0005-0000-0000-0000B0140000}"/>
    <cellStyle name="Comma 2 3 6 3" xfId="6738" xr:uid="{00000000-0005-0000-0000-0000B1140000}"/>
    <cellStyle name="Comma 2 3 6 3 2" xfId="9445" xr:uid="{00000000-0005-0000-0000-0000B2140000}"/>
    <cellStyle name="Comma 2 3 6 4" xfId="8106" xr:uid="{00000000-0005-0000-0000-0000B3140000}"/>
    <cellStyle name="Comma 2 3 7" xfId="261" xr:uid="{00000000-0005-0000-0000-0000B4140000}"/>
    <cellStyle name="Comma 2 3 7 2" xfId="4780" xr:uid="{00000000-0005-0000-0000-0000B5140000}"/>
    <cellStyle name="Comma 2 3 7 2 2" xfId="7441" xr:uid="{00000000-0005-0000-0000-0000B6140000}"/>
    <cellStyle name="Comma 2 3 7 2 2 2" xfId="10140" xr:uid="{00000000-0005-0000-0000-0000B7140000}"/>
    <cellStyle name="Comma 2 3 7 2 3" xfId="8800" xr:uid="{00000000-0005-0000-0000-0000B8140000}"/>
    <cellStyle name="Comma 2 3 7 3" xfId="6412" xr:uid="{00000000-0005-0000-0000-0000B9140000}"/>
    <cellStyle name="Comma 2 3 7 3 2" xfId="9131" xr:uid="{00000000-0005-0000-0000-0000BA140000}"/>
    <cellStyle name="Comma 2 3 7 4" xfId="7792" xr:uid="{00000000-0005-0000-0000-0000BB140000}"/>
    <cellStyle name="Comma 2 3 8" xfId="1357" xr:uid="{00000000-0005-0000-0000-0000BC140000}"/>
    <cellStyle name="Comma 2 3 8 2" xfId="4781" xr:uid="{00000000-0005-0000-0000-0000BD140000}"/>
    <cellStyle name="Comma 2 3 8 2 2" xfId="7442" xr:uid="{00000000-0005-0000-0000-0000BE140000}"/>
    <cellStyle name="Comma 2 3 8 2 2 2" xfId="10141" xr:uid="{00000000-0005-0000-0000-0000BF140000}"/>
    <cellStyle name="Comma 2 3 8 2 3" xfId="8801" xr:uid="{00000000-0005-0000-0000-0000C0140000}"/>
    <cellStyle name="Comma 2 3 8 3" xfId="7062" xr:uid="{00000000-0005-0000-0000-0000C1140000}"/>
    <cellStyle name="Comma 2 3 8 3 2" xfId="9768" xr:uid="{00000000-0005-0000-0000-0000C2140000}"/>
    <cellStyle name="Comma 2 3 8 4" xfId="8429" xr:uid="{00000000-0005-0000-0000-0000C3140000}"/>
    <cellStyle name="Comma 2 3 9" xfId="6338" xr:uid="{00000000-0005-0000-0000-0000C4140000}"/>
    <cellStyle name="Comma 2 3 9 2" xfId="9057" xr:uid="{00000000-0005-0000-0000-0000C5140000}"/>
    <cellStyle name="Comma 2 30" xfId="66" xr:uid="{00000000-0005-0000-0000-0000C6140000}"/>
    <cellStyle name="Comma 2 31" xfId="10478" xr:uid="{00000000-0005-0000-0000-0000C7140000}"/>
    <cellStyle name="Comma 2 4" xfId="18" xr:uid="{00000000-0005-0000-0000-0000C8140000}"/>
    <cellStyle name="Comma 2 4 2" xfId="98" xr:uid="{00000000-0005-0000-0000-0000C9140000}"/>
    <cellStyle name="Comma 2 4 2 2" xfId="489" xr:uid="{00000000-0005-0000-0000-0000CA140000}"/>
    <cellStyle name="Comma 2 4 2 2 2" xfId="4783" xr:uid="{00000000-0005-0000-0000-0000CB140000}"/>
    <cellStyle name="Comma 2 4 2 2 2 2" xfId="7444" xr:uid="{00000000-0005-0000-0000-0000CC140000}"/>
    <cellStyle name="Comma 2 4 2 2 2 2 2" xfId="10143" xr:uid="{00000000-0005-0000-0000-0000CD140000}"/>
    <cellStyle name="Comma 2 4 2 2 2 3" xfId="8803" xr:uid="{00000000-0005-0000-0000-0000CE140000}"/>
    <cellStyle name="Comma 2 4 2 2 3" xfId="4784" xr:uid="{00000000-0005-0000-0000-0000CF140000}"/>
    <cellStyle name="Comma 2 4 2 2 3 2" xfId="7445" xr:uid="{00000000-0005-0000-0000-0000D0140000}"/>
    <cellStyle name="Comma 2 4 2 2 3 2 2" xfId="10144" xr:uid="{00000000-0005-0000-0000-0000D1140000}"/>
    <cellStyle name="Comma 2 4 2 2 3 3" xfId="8804" xr:uid="{00000000-0005-0000-0000-0000D2140000}"/>
    <cellStyle name="Comma 2 4 2 2 4" xfId="4782" xr:uid="{00000000-0005-0000-0000-0000D3140000}"/>
    <cellStyle name="Comma 2 4 2 2 4 2" xfId="7443" xr:uid="{00000000-0005-0000-0000-0000D4140000}"/>
    <cellStyle name="Comma 2 4 2 2 4 2 2" xfId="10142" xr:uid="{00000000-0005-0000-0000-0000D5140000}"/>
    <cellStyle name="Comma 2 4 2 2 4 3" xfId="8802" xr:uid="{00000000-0005-0000-0000-0000D6140000}"/>
    <cellStyle name="Comma 2 4 2 3" xfId="909" xr:uid="{00000000-0005-0000-0000-0000D7140000}"/>
    <cellStyle name="Comma 2 4 2 3 2" xfId="1244" xr:uid="{00000000-0005-0000-0000-0000D8140000}"/>
    <cellStyle name="Comma 2 4 2 3 2 2" xfId="6962" xr:uid="{00000000-0005-0000-0000-0000D9140000}"/>
    <cellStyle name="Comma 2 4 2 3 2 2 2" xfId="9669" xr:uid="{00000000-0005-0000-0000-0000DA140000}"/>
    <cellStyle name="Comma 2 4 2 3 2 3" xfId="8330" xr:uid="{00000000-0005-0000-0000-0000DB140000}"/>
    <cellStyle name="Comma 2 4 2 3 3" xfId="1079" xr:uid="{00000000-0005-0000-0000-0000DC140000}"/>
    <cellStyle name="Comma 2 4 2 3 3 2" xfId="6810" xr:uid="{00000000-0005-0000-0000-0000DD140000}"/>
    <cellStyle name="Comma 2 4 2 3 3 2 2" xfId="9517" xr:uid="{00000000-0005-0000-0000-0000DE140000}"/>
    <cellStyle name="Comma 2 4 2 3 3 3" xfId="8178" xr:uid="{00000000-0005-0000-0000-0000DF140000}"/>
    <cellStyle name="Comma 2 4 2 3 4" xfId="6642" xr:uid="{00000000-0005-0000-0000-0000E0140000}"/>
    <cellStyle name="Comma 2 4 2 3 4 2" xfId="9349" xr:uid="{00000000-0005-0000-0000-0000E1140000}"/>
    <cellStyle name="Comma 2 4 2 3 5" xfId="8010" xr:uid="{00000000-0005-0000-0000-0000E2140000}"/>
    <cellStyle name="Comma 2 4 2 4" xfId="979" xr:uid="{00000000-0005-0000-0000-0000E3140000}"/>
    <cellStyle name="Comma 2 4 2 4 2" xfId="1185" xr:uid="{00000000-0005-0000-0000-0000E4140000}"/>
    <cellStyle name="Comma 2 4 2 4 2 2" xfId="6903" xr:uid="{00000000-0005-0000-0000-0000E5140000}"/>
    <cellStyle name="Comma 2 4 2 4 2 2 2" xfId="9610" xr:uid="{00000000-0005-0000-0000-0000E6140000}"/>
    <cellStyle name="Comma 2 4 2 4 2 3" xfId="8271" xr:uid="{00000000-0005-0000-0000-0000E7140000}"/>
    <cellStyle name="Comma 2 4 2 4 3" xfId="6711" xr:uid="{00000000-0005-0000-0000-0000E8140000}"/>
    <cellStyle name="Comma 2 4 2 4 3 2" xfId="9418" xr:uid="{00000000-0005-0000-0000-0000E9140000}"/>
    <cellStyle name="Comma 2 4 2 4 4" xfId="8079" xr:uid="{00000000-0005-0000-0000-0000EA140000}"/>
    <cellStyle name="Comma 2 4 2 5" xfId="1298" xr:uid="{00000000-0005-0000-0000-0000EB140000}"/>
    <cellStyle name="Comma 2 4 2 5 2" xfId="7008" xr:uid="{00000000-0005-0000-0000-0000EC140000}"/>
    <cellStyle name="Comma 2 4 2 5 2 2" xfId="9715" xr:uid="{00000000-0005-0000-0000-0000ED140000}"/>
    <cellStyle name="Comma 2 4 2 5 3" xfId="8376" xr:uid="{00000000-0005-0000-0000-0000EE140000}"/>
    <cellStyle name="Comma 2 4 2 6" xfId="1044" xr:uid="{00000000-0005-0000-0000-0000EF140000}"/>
    <cellStyle name="Comma 2 4 2 6 2" xfId="6775" xr:uid="{00000000-0005-0000-0000-0000F0140000}"/>
    <cellStyle name="Comma 2 4 2 6 2 2" xfId="9482" xr:uid="{00000000-0005-0000-0000-0000F1140000}"/>
    <cellStyle name="Comma 2 4 2 6 3" xfId="8143" xr:uid="{00000000-0005-0000-0000-0000F2140000}"/>
    <cellStyle name="Comma 2 4 2 7" xfId="6479" xr:uid="{00000000-0005-0000-0000-0000F3140000}"/>
    <cellStyle name="Comma 2 4 2 7 2" xfId="9196" xr:uid="{00000000-0005-0000-0000-0000F4140000}"/>
    <cellStyle name="Comma 2 4 2 8" xfId="7857" xr:uid="{00000000-0005-0000-0000-0000F5140000}"/>
    <cellStyle name="Comma 2 4 2 9" xfId="488" xr:uid="{00000000-0005-0000-0000-0000F6140000}"/>
    <cellStyle name="Comma 2 4 3" xfId="490" xr:uid="{00000000-0005-0000-0000-0000F7140000}"/>
    <cellStyle name="Comma 2 4 3 2" xfId="4786" xr:uid="{00000000-0005-0000-0000-0000F8140000}"/>
    <cellStyle name="Comma 2 4 3 2 2" xfId="7447" xr:uid="{00000000-0005-0000-0000-0000F9140000}"/>
    <cellStyle name="Comma 2 4 3 2 2 2" xfId="10146" xr:uid="{00000000-0005-0000-0000-0000FA140000}"/>
    <cellStyle name="Comma 2 4 3 2 3" xfId="8806" xr:uid="{00000000-0005-0000-0000-0000FB140000}"/>
    <cellStyle name="Comma 2 4 3 3" xfId="4787" xr:uid="{00000000-0005-0000-0000-0000FC140000}"/>
    <cellStyle name="Comma 2 4 3 3 2" xfId="7448" xr:uid="{00000000-0005-0000-0000-0000FD140000}"/>
    <cellStyle name="Comma 2 4 3 3 2 2" xfId="10147" xr:uid="{00000000-0005-0000-0000-0000FE140000}"/>
    <cellStyle name="Comma 2 4 3 3 3" xfId="8807" xr:uid="{00000000-0005-0000-0000-0000FF140000}"/>
    <cellStyle name="Comma 2 4 3 4" xfId="4785" xr:uid="{00000000-0005-0000-0000-000000150000}"/>
    <cellStyle name="Comma 2 4 3 4 2" xfId="7446" xr:uid="{00000000-0005-0000-0000-000001150000}"/>
    <cellStyle name="Comma 2 4 3 4 2 2" xfId="10145" xr:uid="{00000000-0005-0000-0000-000002150000}"/>
    <cellStyle name="Comma 2 4 3 4 3" xfId="8805" xr:uid="{00000000-0005-0000-0000-000003150000}"/>
    <cellStyle name="Comma 2 4 4" xfId="487" xr:uid="{00000000-0005-0000-0000-000004150000}"/>
    <cellStyle name="Comma 2 4 4 2" xfId="1184" xr:uid="{00000000-0005-0000-0000-000005150000}"/>
    <cellStyle name="Comma 2 4 4 2 2" xfId="4789" xr:uid="{00000000-0005-0000-0000-000006150000}"/>
    <cellStyle name="Comma 2 4 4 2 3" xfId="6902" xr:uid="{00000000-0005-0000-0000-000007150000}"/>
    <cellStyle name="Comma 2 4 4 2 3 2" xfId="9609" xr:uid="{00000000-0005-0000-0000-000008150000}"/>
    <cellStyle name="Comma 2 4 4 2 4" xfId="8270" xr:uid="{00000000-0005-0000-0000-000009150000}"/>
    <cellStyle name="Comma 2 4 4 3" xfId="4788" xr:uid="{00000000-0005-0000-0000-00000A150000}"/>
    <cellStyle name="Comma 2 4 4 3 2" xfId="7449" xr:uid="{00000000-0005-0000-0000-00000B150000}"/>
    <cellStyle name="Comma 2 4 4 3 2 2" xfId="10148" xr:uid="{00000000-0005-0000-0000-00000C150000}"/>
    <cellStyle name="Comma 2 4 4 3 3" xfId="8808" xr:uid="{00000000-0005-0000-0000-00000D150000}"/>
    <cellStyle name="Comma 2 4 4 4" xfId="6478" xr:uid="{00000000-0005-0000-0000-00000E150000}"/>
    <cellStyle name="Comma 2 4 4 4 2" xfId="9195" xr:uid="{00000000-0005-0000-0000-00000F150000}"/>
    <cellStyle name="Comma 2 4 4 5" xfId="7856" xr:uid="{00000000-0005-0000-0000-000010150000}"/>
    <cellStyle name="Comma 2 4 5" xfId="908" xr:uid="{00000000-0005-0000-0000-000011150000}"/>
    <cellStyle name="Comma 2 4 5 2" xfId="1309" xr:uid="{00000000-0005-0000-0000-000012150000}"/>
    <cellStyle name="Comma 2 4 5 3" xfId="6641" xr:uid="{00000000-0005-0000-0000-000013150000}"/>
    <cellStyle name="Comma 2 4 5 3 2" xfId="9348" xr:uid="{00000000-0005-0000-0000-000014150000}"/>
    <cellStyle name="Comma 2 4 5 4" xfId="8009" xr:uid="{00000000-0005-0000-0000-000015150000}"/>
    <cellStyle name="Comma 2 4 6" xfId="1016" xr:uid="{00000000-0005-0000-0000-000016150000}"/>
    <cellStyle name="Comma 2 4 6 2" xfId="4790" xr:uid="{00000000-0005-0000-0000-000017150000}"/>
    <cellStyle name="Comma 2 4 6 2 2" xfId="7450" xr:uid="{00000000-0005-0000-0000-000018150000}"/>
    <cellStyle name="Comma 2 4 6 2 2 2" xfId="10149" xr:uid="{00000000-0005-0000-0000-000019150000}"/>
    <cellStyle name="Comma 2 4 6 2 3" xfId="8809" xr:uid="{00000000-0005-0000-0000-00001A150000}"/>
    <cellStyle name="Comma 2 4 6 3" xfId="6747" xr:uid="{00000000-0005-0000-0000-00001B150000}"/>
    <cellStyle name="Comma 2 4 6 3 2" xfId="9454" xr:uid="{00000000-0005-0000-0000-00001C150000}"/>
    <cellStyle name="Comma 2 4 6 4" xfId="8115" xr:uid="{00000000-0005-0000-0000-00001D150000}"/>
    <cellStyle name="Comma 2 4 7" xfId="270" xr:uid="{00000000-0005-0000-0000-00001E150000}"/>
    <cellStyle name="Comma 2 4 7 2" xfId="6421" xr:uid="{00000000-0005-0000-0000-00001F150000}"/>
    <cellStyle name="Comma 2 4 7 2 2" xfId="9140" xr:uid="{00000000-0005-0000-0000-000020150000}"/>
    <cellStyle name="Comma 2 4 7 3" xfId="7801" xr:uid="{00000000-0005-0000-0000-000021150000}"/>
    <cellStyle name="Comma 2 4 8" xfId="131" xr:uid="{00000000-0005-0000-0000-000022150000}"/>
    <cellStyle name="Comma 2 4 9" xfId="71" xr:uid="{00000000-0005-0000-0000-000023150000}"/>
    <cellStyle name="Comma 2 5" xfId="491" xr:uid="{00000000-0005-0000-0000-000024150000}"/>
    <cellStyle name="Comma 2 5 2" xfId="910" xr:uid="{00000000-0005-0000-0000-000025150000}"/>
    <cellStyle name="Comma 2 5 2 2" xfId="1186" xr:uid="{00000000-0005-0000-0000-000026150000}"/>
    <cellStyle name="Comma 2 5 2 2 2" xfId="4792" xr:uid="{00000000-0005-0000-0000-000027150000}"/>
    <cellStyle name="Comma 2 5 2 2 2 2" xfId="7452" xr:uid="{00000000-0005-0000-0000-000028150000}"/>
    <cellStyle name="Comma 2 5 2 2 2 2 2" xfId="10151" xr:uid="{00000000-0005-0000-0000-000029150000}"/>
    <cellStyle name="Comma 2 5 2 2 2 3" xfId="8811" xr:uid="{00000000-0005-0000-0000-00002A150000}"/>
    <cellStyle name="Comma 2 5 2 2 3" xfId="4793" xr:uid="{00000000-0005-0000-0000-00002B150000}"/>
    <cellStyle name="Comma 2 5 2 2 3 2" xfId="7453" xr:uid="{00000000-0005-0000-0000-00002C150000}"/>
    <cellStyle name="Comma 2 5 2 2 3 2 2" xfId="10152" xr:uid="{00000000-0005-0000-0000-00002D150000}"/>
    <cellStyle name="Comma 2 5 2 2 3 3" xfId="8812" xr:uid="{00000000-0005-0000-0000-00002E150000}"/>
    <cellStyle name="Comma 2 5 2 2 4" xfId="4791" xr:uid="{00000000-0005-0000-0000-00002F150000}"/>
    <cellStyle name="Comma 2 5 2 2 4 2" xfId="7451" xr:uid="{00000000-0005-0000-0000-000030150000}"/>
    <cellStyle name="Comma 2 5 2 2 4 2 2" xfId="10150" xr:uid="{00000000-0005-0000-0000-000031150000}"/>
    <cellStyle name="Comma 2 5 2 2 4 3" xfId="8810" xr:uid="{00000000-0005-0000-0000-000032150000}"/>
    <cellStyle name="Comma 2 5 2 2 5" xfId="6904" xr:uid="{00000000-0005-0000-0000-000033150000}"/>
    <cellStyle name="Comma 2 5 2 2 5 2" xfId="9611" xr:uid="{00000000-0005-0000-0000-000034150000}"/>
    <cellStyle name="Comma 2 5 2 2 6" xfId="8272" xr:uid="{00000000-0005-0000-0000-000035150000}"/>
    <cellStyle name="Comma 2 5 2 3" xfId="6643" xr:uid="{00000000-0005-0000-0000-000036150000}"/>
    <cellStyle name="Comma 2 5 2 3 2" xfId="9350" xr:uid="{00000000-0005-0000-0000-000037150000}"/>
    <cellStyle name="Comma 2 5 2 4" xfId="8011" xr:uid="{00000000-0005-0000-0000-000038150000}"/>
    <cellStyle name="Comma 2 5 3" xfId="1080" xr:uid="{00000000-0005-0000-0000-000039150000}"/>
    <cellStyle name="Comma 2 5 3 2" xfId="4795" xr:uid="{00000000-0005-0000-0000-00003A150000}"/>
    <cellStyle name="Comma 2 5 3 2 2" xfId="7455" xr:uid="{00000000-0005-0000-0000-00003B150000}"/>
    <cellStyle name="Comma 2 5 3 2 2 2" xfId="10154" xr:uid="{00000000-0005-0000-0000-00003C150000}"/>
    <cellStyle name="Comma 2 5 3 2 3" xfId="8814" xr:uid="{00000000-0005-0000-0000-00003D150000}"/>
    <cellStyle name="Comma 2 5 3 3" xfId="4796" xr:uid="{00000000-0005-0000-0000-00003E150000}"/>
    <cellStyle name="Comma 2 5 3 3 2" xfId="7456" xr:uid="{00000000-0005-0000-0000-00003F150000}"/>
    <cellStyle name="Comma 2 5 3 3 2 2" xfId="10155" xr:uid="{00000000-0005-0000-0000-000040150000}"/>
    <cellStyle name="Comma 2 5 3 3 3" xfId="8815" xr:uid="{00000000-0005-0000-0000-000041150000}"/>
    <cellStyle name="Comma 2 5 3 4" xfId="4794" xr:uid="{00000000-0005-0000-0000-000042150000}"/>
    <cellStyle name="Comma 2 5 3 4 2" xfId="7454" xr:uid="{00000000-0005-0000-0000-000043150000}"/>
    <cellStyle name="Comma 2 5 3 4 2 2" xfId="10153" xr:uid="{00000000-0005-0000-0000-000044150000}"/>
    <cellStyle name="Comma 2 5 3 4 3" xfId="8813" xr:uid="{00000000-0005-0000-0000-000045150000}"/>
    <cellStyle name="Comma 2 5 3 5" xfId="6811" xr:uid="{00000000-0005-0000-0000-000046150000}"/>
    <cellStyle name="Comma 2 5 3 5 2" xfId="9518" xr:uid="{00000000-0005-0000-0000-000047150000}"/>
    <cellStyle name="Comma 2 5 3 6" xfId="8179" xr:uid="{00000000-0005-0000-0000-000048150000}"/>
    <cellStyle name="Comma 2 5 4" xfId="4797" xr:uid="{00000000-0005-0000-0000-000049150000}"/>
    <cellStyle name="Comma 2 5 4 2" xfId="7457" xr:uid="{00000000-0005-0000-0000-00004A150000}"/>
    <cellStyle name="Comma 2 5 4 2 2" xfId="10156" xr:uid="{00000000-0005-0000-0000-00004B150000}"/>
    <cellStyle name="Comma 2 5 4 3" xfId="8816" xr:uid="{00000000-0005-0000-0000-00004C150000}"/>
    <cellStyle name="Comma 2 5 5" xfId="6480" xr:uid="{00000000-0005-0000-0000-00004D150000}"/>
    <cellStyle name="Comma 2 5 5 2" xfId="9197" xr:uid="{00000000-0005-0000-0000-00004E150000}"/>
    <cellStyle name="Comma 2 5 6" xfId="7858" xr:uid="{00000000-0005-0000-0000-00004F150000}"/>
    <cellStyle name="Comma 2 5 6 2" xfId="10444" xr:uid="{00000000-0005-0000-0000-000050150000}"/>
    <cellStyle name="Comma 2 5 7" xfId="10439" xr:uid="{00000000-0005-0000-0000-000051150000}"/>
    <cellStyle name="Comma 2 6" xfId="492" xr:uid="{00000000-0005-0000-0000-000052150000}"/>
    <cellStyle name="Comma 2 6 18" xfId="10489" xr:uid="{00000000-0005-0000-0000-000053150000}"/>
    <cellStyle name="Comma 2 6 2" xfId="493" xr:uid="{00000000-0005-0000-0000-000054150000}"/>
    <cellStyle name="Comma 2 6 2 2" xfId="912" xr:uid="{00000000-0005-0000-0000-000055150000}"/>
    <cellStyle name="Comma 2 6 2 2 2" xfId="1188" xr:uid="{00000000-0005-0000-0000-000056150000}"/>
    <cellStyle name="Comma 2 6 2 2 2 2" xfId="4799" xr:uid="{00000000-0005-0000-0000-000057150000}"/>
    <cellStyle name="Comma 2 6 2 2 2 2 2" xfId="7459" xr:uid="{00000000-0005-0000-0000-000058150000}"/>
    <cellStyle name="Comma 2 6 2 2 2 2 2 2" xfId="10158" xr:uid="{00000000-0005-0000-0000-000059150000}"/>
    <cellStyle name="Comma 2 6 2 2 2 2 3" xfId="8818" xr:uid="{00000000-0005-0000-0000-00005A150000}"/>
    <cellStyle name="Comma 2 6 2 2 2 3" xfId="6906" xr:uid="{00000000-0005-0000-0000-00005B150000}"/>
    <cellStyle name="Comma 2 6 2 2 2 3 2" xfId="9613" xr:uid="{00000000-0005-0000-0000-00005C150000}"/>
    <cellStyle name="Comma 2 6 2 2 2 4" xfId="8274" xr:uid="{00000000-0005-0000-0000-00005D150000}"/>
    <cellStyle name="Comma 2 6 2 2 3" xfId="4800" xr:uid="{00000000-0005-0000-0000-00005E150000}"/>
    <cellStyle name="Comma 2 6 2 2 3 2" xfId="7460" xr:uid="{00000000-0005-0000-0000-00005F150000}"/>
    <cellStyle name="Comma 2 6 2 2 3 2 2" xfId="10159" xr:uid="{00000000-0005-0000-0000-000060150000}"/>
    <cellStyle name="Comma 2 6 2 2 3 3" xfId="8819" xr:uid="{00000000-0005-0000-0000-000061150000}"/>
    <cellStyle name="Comma 2 6 2 2 4" xfId="4798" xr:uid="{00000000-0005-0000-0000-000062150000}"/>
    <cellStyle name="Comma 2 6 2 2 4 2" xfId="7458" xr:uid="{00000000-0005-0000-0000-000063150000}"/>
    <cellStyle name="Comma 2 6 2 2 4 2 2" xfId="10157" xr:uid="{00000000-0005-0000-0000-000064150000}"/>
    <cellStyle name="Comma 2 6 2 2 4 3" xfId="8817" xr:uid="{00000000-0005-0000-0000-000065150000}"/>
    <cellStyle name="Comma 2 6 2 2 5" xfId="6645" xr:uid="{00000000-0005-0000-0000-000066150000}"/>
    <cellStyle name="Comma 2 6 2 2 5 2" xfId="9352" xr:uid="{00000000-0005-0000-0000-000067150000}"/>
    <cellStyle name="Comma 2 6 2 2 6" xfId="8013" xr:uid="{00000000-0005-0000-0000-000068150000}"/>
    <cellStyle name="Comma 2 6 2 3" xfId="1082" xr:uid="{00000000-0005-0000-0000-000069150000}"/>
    <cellStyle name="Comma 2 6 2 3 2" xfId="6813" xr:uid="{00000000-0005-0000-0000-00006A150000}"/>
    <cellStyle name="Comma 2 6 2 3 2 2" xfId="9520" xr:uid="{00000000-0005-0000-0000-00006B150000}"/>
    <cellStyle name="Comma 2 6 2 3 3" xfId="8181" xr:uid="{00000000-0005-0000-0000-00006C150000}"/>
    <cellStyle name="Comma 2 6 2 4" xfId="6482" xr:uid="{00000000-0005-0000-0000-00006D150000}"/>
    <cellStyle name="Comma 2 6 2 4 2" xfId="9199" xr:uid="{00000000-0005-0000-0000-00006E150000}"/>
    <cellStyle name="Comma 2 6 2 5" xfId="7860" xr:uid="{00000000-0005-0000-0000-00006F150000}"/>
    <cellStyle name="Comma 2 6 3" xfId="911" xr:uid="{00000000-0005-0000-0000-000070150000}"/>
    <cellStyle name="Comma 2 6 3 2" xfId="1187" xr:uid="{00000000-0005-0000-0000-000071150000}"/>
    <cellStyle name="Comma 2 6 3 2 2" xfId="4802" xr:uid="{00000000-0005-0000-0000-000072150000}"/>
    <cellStyle name="Comma 2 6 3 2 2 2" xfId="7462" xr:uid="{00000000-0005-0000-0000-000073150000}"/>
    <cellStyle name="Comma 2 6 3 2 2 2 2" xfId="10161" xr:uid="{00000000-0005-0000-0000-000074150000}"/>
    <cellStyle name="Comma 2 6 3 2 2 3" xfId="8821" xr:uid="{00000000-0005-0000-0000-000075150000}"/>
    <cellStyle name="Comma 2 6 3 2 3" xfId="6905" xr:uid="{00000000-0005-0000-0000-000076150000}"/>
    <cellStyle name="Comma 2 6 3 2 3 2" xfId="9612" xr:uid="{00000000-0005-0000-0000-000077150000}"/>
    <cellStyle name="Comma 2 6 3 2 4" xfId="8273" xr:uid="{00000000-0005-0000-0000-000078150000}"/>
    <cellStyle name="Comma 2 6 3 3" xfId="4803" xr:uid="{00000000-0005-0000-0000-000079150000}"/>
    <cellStyle name="Comma 2 6 3 3 2" xfId="7463" xr:uid="{00000000-0005-0000-0000-00007A150000}"/>
    <cellStyle name="Comma 2 6 3 3 2 2" xfId="10162" xr:uid="{00000000-0005-0000-0000-00007B150000}"/>
    <cellStyle name="Comma 2 6 3 3 3" xfId="8822" xr:uid="{00000000-0005-0000-0000-00007C150000}"/>
    <cellStyle name="Comma 2 6 3 4" xfId="4801" xr:uid="{00000000-0005-0000-0000-00007D150000}"/>
    <cellStyle name="Comma 2 6 3 4 2" xfId="7461" xr:uid="{00000000-0005-0000-0000-00007E150000}"/>
    <cellStyle name="Comma 2 6 3 4 2 2" xfId="10160" xr:uid="{00000000-0005-0000-0000-00007F150000}"/>
    <cellStyle name="Comma 2 6 3 4 3" xfId="8820" xr:uid="{00000000-0005-0000-0000-000080150000}"/>
    <cellStyle name="Comma 2 6 3 5" xfId="6644" xr:uid="{00000000-0005-0000-0000-000081150000}"/>
    <cellStyle name="Comma 2 6 3 5 2" xfId="9351" xr:uid="{00000000-0005-0000-0000-000082150000}"/>
    <cellStyle name="Comma 2 6 3 6" xfId="8012" xr:uid="{00000000-0005-0000-0000-000083150000}"/>
    <cellStyle name="Comma 2 6 4" xfId="1081" xr:uid="{00000000-0005-0000-0000-000084150000}"/>
    <cellStyle name="Comma 2 6 4 2" xfId="4804" xr:uid="{00000000-0005-0000-0000-000085150000}"/>
    <cellStyle name="Comma 2 6 4 2 2" xfId="7464" xr:uid="{00000000-0005-0000-0000-000086150000}"/>
    <cellStyle name="Comma 2 6 4 2 2 2" xfId="10163" xr:uid="{00000000-0005-0000-0000-000087150000}"/>
    <cellStyle name="Comma 2 6 4 2 3" xfId="8823" xr:uid="{00000000-0005-0000-0000-000088150000}"/>
    <cellStyle name="Comma 2 6 4 3" xfId="6812" xr:uid="{00000000-0005-0000-0000-000089150000}"/>
    <cellStyle name="Comma 2 6 4 3 2" xfId="9519" xr:uid="{00000000-0005-0000-0000-00008A150000}"/>
    <cellStyle name="Comma 2 6 4 4" xfId="8180" xr:uid="{00000000-0005-0000-0000-00008B150000}"/>
    <cellStyle name="Comma 2 6 5" xfId="6481" xr:uid="{00000000-0005-0000-0000-00008C150000}"/>
    <cellStyle name="Comma 2 6 5 2" xfId="9198" xr:uid="{00000000-0005-0000-0000-00008D150000}"/>
    <cellStyle name="Comma 2 6 6" xfId="7859" xr:uid="{00000000-0005-0000-0000-00008E150000}"/>
    <cellStyle name="Comma 2 6 7" xfId="52" xr:uid="{00000000-0005-0000-0000-00008F150000}"/>
    <cellStyle name="Comma 2 6 7 7" xfId="10602" xr:uid="{00000000-0005-0000-0000-000090150000}"/>
    <cellStyle name="Comma 2 66 2 2 2" xfId="10523" xr:uid="{00000000-0005-0000-0000-000091150000}"/>
    <cellStyle name="Comma 2 66 2 2 2 2" xfId="10550" xr:uid="{00000000-0005-0000-0000-000092150000}"/>
    <cellStyle name="Comma 2 7" xfId="494" xr:uid="{00000000-0005-0000-0000-000093150000}"/>
    <cellStyle name="Comma 2 7 2" xfId="4805" xr:uid="{00000000-0005-0000-0000-000094150000}"/>
    <cellStyle name="Comma 2 7 2 2" xfId="4806" xr:uid="{00000000-0005-0000-0000-000095150000}"/>
    <cellStyle name="Comma 2 7 2 2 2" xfId="4807" xr:uid="{00000000-0005-0000-0000-000096150000}"/>
    <cellStyle name="Comma 2 7 2 2 2 2" xfId="7467" xr:uid="{00000000-0005-0000-0000-000097150000}"/>
    <cellStyle name="Comma 2 7 2 2 2 2 2" xfId="10166" xr:uid="{00000000-0005-0000-0000-000098150000}"/>
    <cellStyle name="Comma 2 7 2 2 2 3" xfId="8826" xr:uid="{00000000-0005-0000-0000-000099150000}"/>
    <cellStyle name="Comma 2 7 2 2 3" xfId="4808" xr:uid="{00000000-0005-0000-0000-00009A150000}"/>
    <cellStyle name="Comma 2 7 2 2 3 2" xfId="7468" xr:uid="{00000000-0005-0000-0000-00009B150000}"/>
    <cellStyle name="Comma 2 7 2 2 3 2 2" xfId="10167" xr:uid="{00000000-0005-0000-0000-00009C150000}"/>
    <cellStyle name="Comma 2 7 2 2 3 3" xfId="8827" xr:uid="{00000000-0005-0000-0000-00009D150000}"/>
    <cellStyle name="Comma 2 7 2 2 4" xfId="7466" xr:uid="{00000000-0005-0000-0000-00009E150000}"/>
    <cellStyle name="Comma 2 7 2 2 4 2" xfId="10165" xr:uid="{00000000-0005-0000-0000-00009F150000}"/>
    <cellStyle name="Comma 2 7 2 2 5" xfId="8825" xr:uid="{00000000-0005-0000-0000-0000A0150000}"/>
    <cellStyle name="Comma 2 7 2 3" xfId="7465" xr:uid="{00000000-0005-0000-0000-0000A1150000}"/>
    <cellStyle name="Comma 2 7 2 3 2" xfId="10164" xr:uid="{00000000-0005-0000-0000-0000A2150000}"/>
    <cellStyle name="Comma 2 7 2 4" xfId="8824" xr:uid="{00000000-0005-0000-0000-0000A3150000}"/>
    <cellStyle name="Comma 2 7 3" xfId="4809" xr:uid="{00000000-0005-0000-0000-0000A4150000}"/>
    <cellStyle name="Comma 2 7 3 2" xfId="4810" xr:uid="{00000000-0005-0000-0000-0000A5150000}"/>
    <cellStyle name="Comma 2 7 3 2 2" xfId="7470" xr:uid="{00000000-0005-0000-0000-0000A6150000}"/>
    <cellStyle name="Comma 2 7 3 2 2 2" xfId="10169" xr:uid="{00000000-0005-0000-0000-0000A7150000}"/>
    <cellStyle name="Comma 2 7 3 2 3" xfId="8829" xr:uid="{00000000-0005-0000-0000-0000A8150000}"/>
    <cellStyle name="Comma 2 7 3 3" xfId="4811" xr:uid="{00000000-0005-0000-0000-0000A9150000}"/>
    <cellStyle name="Comma 2 7 3 3 2" xfId="7471" xr:uid="{00000000-0005-0000-0000-0000AA150000}"/>
    <cellStyle name="Comma 2 7 3 3 2 2" xfId="10170" xr:uid="{00000000-0005-0000-0000-0000AB150000}"/>
    <cellStyle name="Comma 2 7 3 3 3" xfId="8830" xr:uid="{00000000-0005-0000-0000-0000AC150000}"/>
    <cellStyle name="Comma 2 7 3 4" xfId="7469" xr:uid="{00000000-0005-0000-0000-0000AD150000}"/>
    <cellStyle name="Comma 2 7 3 4 2" xfId="10168" xr:uid="{00000000-0005-0000-0000-0000AE150000}"/>
    <cellStyle name="Comma 2 7 3 5" xfId="8828" xr:uid="{00000000-0005-0000-0000-0000AF150000}"/>
    <cellStyle name="Comma 2 7 4" xfId="4812" xr:uid="{00000000-0005-0000-0000-0000B0150000}"/>
    <cellStyle name="Comma 2 7 4 2" xfId="7472" xr:uid="{00000000-0005-0000-0000-0000B1150000}"/>
    <cellStyle name="Comma 2 7 4 2 2" xfId="10171" xr:uid="{00000000-0005-0000-0000-0000B2150000}"/>
    <cellStyle name="Comma 2 7 4 3" xfId="8831" xr:uid="{00000000-0005-0000-0000-0000B3150000}"/>
    <cellStyle name="Comma 2 8" xfId="495" xr:uid="{00000000-0005-0000-0000-0000B4150000}"/>
    <cellStyle name="Comma 2 8 2" xfId="4813" xr:uid="{00000000-0005-0000-0000-0000B5150000}"/>
    <cellStyle name="Comma 2 8 2 2" xfId="4814" xr:uid="{00000000-0005-0000-0000-0000B6150000}"/>
    <cellStyle name="Comma 2 8 2 2 2" xfId="4815" xr:uid="{00000000-0005-0000-0000-0000B7150000}"/>
    <cellStyle name="Comma 2 8 2 2 2 2" xfId="7475" xr:uid="{00000000-0005-0000-0000-0000B8150000}"/>
    <cellStyle name="Comma 2 8 2 2 2 2 2" xfId="10174" xr:uid="{00000000-0005-0000-0000-0000B9150000}"/>
    <cellStyle name="Comma 2 8 2 2 2 3" xfId="8834" xr:uid="{00000000-0005-0000-0000-0000BA150000}"/>
    <cellStyle name="Comma 2 8 2 2 3" xfId="4816" xr:uid="{00000000-0005-0000-0000-0000BB150000}"/>
    <cellStyle name="Comma 2 8 2 2 3 2" xfId="7476" xr:uid="{00000000-0005-0000-0000-0000BC150000}"/>
    <cellStyle name="Comma 2 8 2 2 3 2 2" xfId="10175" xr:uid="{00000000-0005-0000-0000-0000BD150000}"/>
    <cellStyle name="Comma 2 8 2 2 3 3" xfId="8835" xr:uid="{00000000-0005-0000-0000-0000BE150000}"/>
    <cellStyle name="Comma 2 8 2 2 4" xfId="7474" xr:uid="{00000000-0005-0000-0000-0000BF150000}"/>
    <cellStyle name="Comma 2 8 2 2 4 2" xfId="10173" xr:uid="{00000000-0005-0000-0000-0000C0150000}"/>
    <cellStyle name="Comma 2 8 2 2 5" xfId="8833" xr:uid="{00000000-0005-0000-0000-0000C1150000}"/>
    <cellStyle name="Comma 2 8 2 3" xfId="7473" xr:uid="{00000000-0005-0000-0000-0000C2150000}"/>
    <cellStyle name="Comma 2 8 2 3 2" xfId="10172" xr:uid="{00000000-0005-0000-0000-0000C3150000}"/>
    <cellStyle name="Comma 2 8 2 4" xfId="8832" xr:uid="{00000000-0005-0000-0000-0000C4150000}"/>
    <cellStyle name="Comma 2 8 3" xfId="4817" xr:uid="{00000000-0005-0000-0000-0000C5150000}"/>
    <cellStyle name="Comma 2 8 3 2" xfId="4818" xr:uid="{00000000-0005-0000-0000-0000C6150000}"/>
    <cellStyle name="Comma 2 8 3 2 2" xfId="7478" xr:uid="{00000000-0005-0000-0000-0000C7150000}"/>
    <cellStyle name="Comma 2 8 3 2 2 2" xfId="10177" xr:uid="{00000000-0005-0000-0000-0000C8150000}"/>
    <cellStyle name="Comma 2 8 3 2 3" xfId="8837" xr:uid="{00000000-0005-0000-0000-0000C9150000}"/>
    <cellStyle name="Comma 2 8 3 3" xfId="4819" xr:uid="{00000000-0005-0000-0000-0000CA150000}"/>
    <cellStyle name="Comma 2 8 3 3 2" xfId="7479" xr:uid="{00000000-0005-0000-0000-0000CB150000}"/>
    <cellStyle name="Comma 2 8 3 3 2 2" xfId="10178" xr:uid="{00000000-0005-0000-0000-0000CC150000}"/>
    <cellStyle name="Comma 2 8 3 3 3" xfId="8838" xr:uid="{00000000-0005-0000-0000-0000CD150000}"/>
    <cellStyle name="Comma 2 8 3 4" xfId="7477" xr:uid="{00000000-0005-0000-0000-0000CE150000}"/>
    <cellStyle name="Comma 2 8 3 4 2" xfId="10176" xr:uid="{00000000-0005-0000-0000-0000CF150000}"/>
    <cellStyle name="Comma 2 8 3 5" xfId="8836" xr:uid="{00000000-0005-0000-0000-0000D0150000}"/>
    <cellStyle name="Comma 2 8 4" xfId="4820" xr:uid="{00000000-0005-0000-0000-0000D1150000}"/>
    <cellStyle name="Comma 2 8 4 2" xfId="7480" xr:uid="{00000000-0005-0000-0000-0000D2150000}"/>
    <cellStyle name="Comma 2 8 4 2 2" xfId="10179" xr:uid="{00000000-0005-0000-0000-0000D3150000}"/>
    <cellStyle name="Comma 2 8 4 3" xfId="8839" xr:uid="{00000000-0005-0000-0000-0000D4150000}"/>
    <cellStyle name="Comma 2 9" xfId="496" xr:uid="{00000000-0005-0000-0000-0000D5150000}"/>
    <cellStyle name="Comma 2 9 2" xfId="4821" xr:uid="{00000000-0005-0000-0000-0000D6150000}"/>
    <cellStyle name="Comma 2 9 2 2" xfId="4822" xr:uid="{00000000-0005-0000-0000-0000D7150000}"/>
    <cellStyle name="Comma 2 9 2 2 2" xfId="4823" xr:uid="{00000000-0005-0000-0000-0000D8150000}"/>
    <cellStyle name="Comma 2 9 2 2 2 2" xfId="7483" xr:uid="{00000000-0005-0000-0000-0000D9150000}"/>
    <cellStyle name="Comma 2 9 2 2 2 2 2" xfId="10182" xr:uid="{00000000-0005-0000-0000-0000DA150000}"/>
    <cellStyle name="Comma 2 9 2 2 2 3" xfId="8842" xr:uid="{00000000-0005-0000-0000-0000DB150000}"/>
    <cellStyle name="Comma 2 9 2 2 3" xfId="4824" xr:uid="{00000000-0005-0000-0000-0000DC150000}"/>
    <cellStyle name="Comma 2 9 2 2 3 2" xfId="7484" xr:uid="{00000000-0005-0000-0000-0000DD150000}"/>
    <cellStyle name="Comma 2 9 2 2 3 2 2" xfId="10183" xr:uid="{00000000-0005-0000-0000-0000DE150000}"/>
    <cellStyle name="Comma 2 9 2 2 3 3" xfId="8843" xr:uid="{00000000-0005-0000-0000-0000DF150000}"/>
    <cellStyle name="Comma 2 9 2 2 4" xfId="7482" xr:uid="{00000000-0005-0000-0000-0000E0150000}"/>
    <cellStyle name="Comma 2 9 2 2 4 2" xfId="10181" xr:uid="{00000000-0005-0000-0000-0000E1150000}"/>
    <cellStyle name="Comma 2 9 2 2 5" xfId="8841" xr:uid="{00000000-0005-0000-0000-0000E2150000}"/>
    <cellStyle name="Comma 2 9 2 3" xfId="4825" xr:uid="{00000000-0005-0000-0000-0000E3150000}"/>
    <cellStyle name="Comma 2 9 2 3 2" xfId="7485" xr:uid="{00000000-0005-0000-0000-0000E4150000}"/>
    <cellStyle name="Comma 2 9 2 3 2 2" xfId="10184" xr:uid="{00000000-0005-0000-0000-0000E5150000}"/>
    <cellStyle name="Comma 2 9 2 3 3" xfId="8844" xr:uid="{00000000-0005-0000-0000-0000E6150000}"/>
    <cellStyle name="Comma 2 9 2 4" xfId="7481" xr:uid="{00000000-0005-0000-0000-0000E7150000}"/>
    <cellStyle name="Comma 2 9 2 4 2" xfId="10180" xr:uid="{00000000-0005-0000-0000-0000E8150000}"/>
    <cellStyle name="Comma 2 9 2 5" xfId="8840" xr:uid="{00000000-0005-0000-0000-0000E9150000}"/>
    <cellStyle name="Comma 2 9 3" xfId="4826" xr:uid="{00000000-0005-0000-0000-0000EA150000}"/>
    <cellStyle name="Comma 2 9 3 2" xfId="4827" xr:uid="{00000000-0005-0000-0000-0000EB150000}"/>
    <cellStyle name="Comma 2 9 3 2 2" xfId="4828" xr:uid="{00000000-0005-0000-0000-0000EC150000}"/>
    <cellStyle name="Comma 2 9 3 2 2 2" xfId="7488" xr:uid="{00000000-0005-0000-0000-0000ED150000}"/>
    <cellStyle name="Comma 2 9 3 2 2 2 2" xfId="10187" xr:uid="{00000000-0005-0000-0000-0000EE150000}"/>
    <cellStyle name="Comma 2 9 3 2 2 3" xfId="8847" xr:uid="{00000000-0005-0000-0000-0000EF150000}"/>
    <cellStyle name="Comma 2 9 3 2 3" xfId="4829" xr:uid="{00000000-0005-0000-0000-0000F0150000}"/>
    <cellStyle name="Comma 2 9 3 2 3 2" xfId="7489" xr:uid="{00000000-0005-0000-0000-0000F1150000}"/>
    <cellStyle name="Comma 2 9 3 2 3 2 2" xfId="10188" xr:uid="{00000000-0005-0000-0000-0000F2150000}"/>
    <cellStyle name="Comma 2 9 3 2 3 3" xfId="8848" xr:uid="{00000000-0005-0000-0000-0000F3150000}"/>
    <cellStyle name="Comma 2 9 3 2 4" xfId="7487" xr:uid="{00000000-0005-0000-0000-0000F4150000}"/>
    <cellStyle name="Comma 2 9 3 2 4 2" xfId="10186" xr:uid="{00000000-0005-0000-0000-0000F5150000}"/>
    <cellStyle name="Comma 2 9 3 2 5" xfId="8846" xr:uid="{00000000-0005-0000-0000-0000F6150000}"/>
    <cellStyle name="Comma 2 9 3 3" xfId="7486" xr:uid="{00000000-0005-0000-0000-0000F7150000}"/>
    <cellStyle name="Comma 2 9 3 3 2" xfId="10185" xr:uid="{00000000-0005-0000-0000-0000F8150000}"/>
    <cellStyle name="Comma 2 9 3 4" xfId="8845" xr:uid="{00000000-0005-0000-0000-0000F9150000}"/>
    <cellStyle name="Comma 2 9 4" xfId="4830" xr:uid="{00000000-0005-0000-0000-0000FA150000}"/>
    <cellStyle name="Comma 2 9 4 2" xfId="4831" xr:uid="{00000000-0005-0000-0000-0000FB150000}"/>
    <cellStyle name="Comma 2 9 4 2 2" xfId="7491" xr:uid="{00000000-0005-0000-0000-0000FC150000}"/>
    <cellStyle name="Comma 2 9 4 2 2 2" xfId="10190" xr:uid="{00000000-0005-0000-0000-0000FD150000}"/>
    <cellStyle name="Comma 2 9 4 2 3" xfId="8850" xr:uid="{00000000-0005-0000-0000-0000FE150000}"/>
    <cellStyle name="Comma 2 9 4 3" xfId="4832" xr:uid="{00000000-0005-0000-0000-0000FF150000}"/>
    <cellStyle name="Comma 2 9 4 3 2" xfId="7492" xr:uid="{00000000-0005-0000-0000-000000160000}"/>
    <cellStyle name="Comma 2 9 4 3 2 2" xfId="10191" xr:uid="{00000000-0005-0000-0000-000001160000}"/>
    <cellStyle name="Comma 2 9 4 3 3" xfId="8851" xr:uid="{00000000-0005-0000-0000-000002160000}"/>
    <cellStyle name="Comma 2 9 4 4" xfId="7490" xr:uid="{00000000-0005-0000-0000-000003160000}"/>
    <cellStyle name="Comma 2 9 4 4 2" xfId="10189" xr:uid="{00000000-0005-0000-0000-000004160000}"/>
    <cellStyle name="Comma 2 9 4 5" xfId="8849" xr:uid="{00000000-0005-0000-0000-000005160000}"/>
    <cellStyle name="Comma 2 9 5" xfId="4833" xr:uid="{00000000-0005-0000-0000-000006160000}"/>
    <cellStyle name="Comma 2 9 5 2" xfId="7493" xr:uid="{00000000-0005-0000-0000-000007160000}"/>
    <cellStyle name="Comma 2 9 5 2 2" xfId="10192" xr:uid="{00000000-0005-0000-0000-000008160000}"/>
    <cellStyle name="Comma 2 9 5 3" xfId="8852" xr:uid="{00000000-0005-0000-0000-000009160000}"/>
    <cellStyle name="Comma 2_Ball Room-RP-14.04.09" xfId="4834" xr:uid="{00000000-0005-0000-0000-00000A160000}"/>
    <cellStyle name="Comma 20" xfId="497" xr:uid="{00000000-0005-0000-0000-00000B160000}"/>
    <cellStyle name="Comma 20 2" xfId="4835" xr:uid="{00000000-0005-0000-0000-00000C160000}"/>
    <cellStyle name="Comma 20 2 2" xfId="7494" xr:uid="{00000000-0005-0000-0000-00000D160000}"/>
    <cellStyle name="Comma 20 2 2 2" xfId="10193" xr:uid="{00000000-0005-0000-0000-00000E160000}"/>
    <cellStyle name="Comma 20 2 3" xfId="8853" xr:uid="{00000000-0005-0000-0000-00000F160000}"/>
    <cellStyle name="Comma 20 3" xfId="4836" xr:uid="{00000000-0005-0000-0000-000010160000}"/>
    <cellStyle name="Comma 20 3 2" xfId="7495" xr:uid="{00000000-0005-0000-0000-000011160000}"/>
    <cellStyle name="Comma 20 3 2 2" xfId="10194" xr:uid="{00000000-0005-0000-0000-000012160000}"/>
    <cellStyle name="Comma 20 3 3" xfId="8854" xr:uid="{00000000-0005-0000-0000-000013160000}"/>
    <cellStyle name="Comma 21" xfId="86" xr:uid="{00000000-0005-0000-0000-000014160000}"/>
    <cellStyle name="Comma 21 2" xfId="106" xr:uid="{00000000-0005-0000-0000-000015160000}"/>
    <cellStyle name="Comma 21 2 2" xfId="913" xr:uid="{00000000-0005-0000-0000-000016160000}"/>
    <cellStyle name="Comma 21 2 2 2" xfId="1189" xr:uid="{00000000-0005-0000-0000-000017160000}"/>
    <cellStyle name="Comma 21 2 2 2 2" xfId="6907" xr:uid="{00000000-0005-0000-0000-000018160000}"/>
    <cellStyle name="Comma 21 2 2 2 2 2" xfId="9614" xr:uid="{00000000-0005-0000-0000-000019160000}"/>
    <cellStyle name="Comma 21 2 2 2 3" xfId="8275" xr:uid="{00000000-0005-0000-0000-00001A160000}"/>
    <cellStyle name="Comma 21 2 2 3" xfId="6646" xr:uid="{00000000-0005-0000-0000-00001B160000}"/>
    <cellStyle name="Comma 21 2 2 3 2" xfId="9353" xr:uid="{00000000-0005-0000-0000-00001C160000}"/>
    <cellStyle name="Comma 21 2 2 4" xfId="8014" xr:uid="{00000000-0005-0000-0000-00001D160000}"/>
    <cellStyle name="Comma 21 2 3" xfId="1083" xr:uid="{00000000-0005-0000-0000-00001E160000}"/>
    <cellStyle name="Comma 21 2 3 2" xfId="6814" xr:uid="{00000000-0005-0000-0000-00001F160000}"/>
    <cellStyle name="Comma 21 2 3 2 2" xfId="9521" xr:uid="{00000000-0005-0000-0000-000020160000}"/>
    <cellStyle name="Comma 21 2 3 3" xfId="8182" xr:uid="{00000000-0005-0000-0000-000021160000}"/>
    <cellStyle name="Comma 21 2 4" xfId="6483" xr:uid="{00000000-0005-0000-0000-000022160000}"/>
    <cellStyle name="Comma 21 2 4 2" xfId="9200" xr:uid="{00000000-0005-0000-0000-000023160000}"/>
    <cellStyle name="Comma 21 2 5" xfId="7861" xr:uid="{00000000-0005-0000-0000-000024160000}"/>
    <cellStyle name="Comma 21 2 6" xfId="499" xr:uid="{00000000-0005-0000-0000-000025160000}"/>
    <cellStyle name="Comma 21 2 7" xfId="10447" xr:uid="{00000000-0005-0000-0000-000026160000}"/>
    <cellStyle name="Comma 21 3" xfId="498" xr:uid="{00000000-0005-0000-0000-000027160000}"/>
    <cellStyle name="Comma 22" xfId="500" xr:uid="{00000000-0005-0000-0000-000028160000}"/>
    <cellStyle name="Comma 22 2" xfId="21" xr:uid="{00000000-0005-0000-0000-000029160000}"/>
    <cellStyle name="Comma 22 2 2" xfId="100" xr:uid="{00000000-0005-0000-0000-00002A160000}"/>
    <cellStyle name="Comma 22 2 3" xfId="26" xr:uid="{00000000-0005-0000-0000-00002B160000}"/>
    <cellStyle name="Comma 22 2 3 2" xfId="10463" xr:uid="{00000000-0005-0000-0000-00002C160000}"/>
    <cellStyle name="Comma 22 2 4" xfId="73" xr:uid="{00000000-0005-0000-0000-00002D160000}"/>
    <cellStyle name="Comma 22 7" xfId="10496" xr:uid="{00000000-0005-0000-0000-00002E160000}"/>
    <cellStyle name="Comma 22 7 2" xfId="10608" xr:uid="{00000000-0005-0000-0000-00002F160000}"/>
    <cellStyle name="Comma 23" xfId="501" xr:uid="{00000000-0005-0000-0000-000030160000}"/>
    <cellStyle name="Comma 23 2" xfId="914" xr:uid="{00000000-0005-0000-0000-000031160000}"/>
    <cellStyle name="Comma 23 2 2" xfId="1190" xr:uid="{00000000-0005-0000-0000-000032160000}"/>
    <cellStyle name="Comma 23 2 2 2" xfId="6908" xr:uid="{00000000-0005-0000-0000-000033160000}"/>
    <cellStyle name="Comma 23 2 2 2 2" xfId="9615" xr:uid="{00000000-0005-0000-0000-000034160000}"/>
    <cellStyle name="Comma 23 2 2 3" xfId="8276" xr:uid="{00000000-0005-0000-0000-000035160000}"/>
    <cellStyle name="Comma 23 2 3" xfId="6647" xr:uid="{00000000-0005-0000-0000-000036160000}"/>
    <cellStyle name="Comma 23 2 3 2" xfId="9354" xr:uid="{00000000-0005-0000-0000-000037160000}"/>
    <cellStyle name="Comma 23 2 4" xfId="8015" xr:uid="{00000000-0005-0000-0000-000038160000}"/>
    <cellStyle name="Comma 23 3" xfId="1084" xr:uid="{00000000-0005-0000-0000-000039160000}"/>
    <cellStyle name="Comma 23 3 2" xfId="6815" xr:uid="{00000000-0005-0000-0000-00003A160000}"/>
    <cellStyle name="Comma 23 3 2 2" xfId="9522" xr:uid="{00000000-0005-0000-0000-00003B160000}"/>
    <cellStyle name="Comma 23 3 3" xfId="8183" xr:uid="{00000000-0005-0000-0000-00003C160000}"/>
    <cellStyle name="Comma 23 4" xfId="6484" xr:uid="{00000000-0005-0000-0000-00003D160000}"/>
    <cellStyle name="Comma 23 4 2" xfId="9201" xr:uid="{00000000-0005-0000-0000-00003E160000}"/>
    <cellStyle name="Comma 23 5" xfId="7862" xr:uid="{00000000-0005-0000-0000-00003F160000}"/>
    <cellStyle name="Comma 24" xfId="502" xr:uid="{00000000-0005-0000-0000-000040160000}"/>
    <cellStyle name="Comma 24 2" xfId="1085" xr:uid="{00000000-0005-0000-0000-000041160000}"/>
    <cellStyle name="Comma 25" xfId="503" xr:uid="{00000000-0005-0000-0000-000042160000}"/>
    <cellStyle name="Comma 25 2" xfId="504" xr:uid="{00000000-0005-0000-0000-000043160000}"/>
    <cellStyle name="Comma 25 2 2" xfId="916" xr:uid="{00000000-0005-0000-0000-000044160000}"/>
    <cellStyle name="Comma 25 2 2 2" xfId="1192" xr:uid="{00000000-0005-0000-0000-000045160000}"/>
    <cellStyle name="Comma 25 2 2 2 2" xfId="6910" xr:uid="{00000000-0005-0000-0000-000046160000}"/>
    <cellStyle name="Comma 25 2 2 2 2 2" xfId="9617" xr:uid="{00000000-0005-0000-0000-000047160000}"/>
    <cellStyle name="Comma 25 2 2 2 3" xfId="8278" xr:uid="{00000000-0005-0000-0000-000048160000}"/>
    <cellStyle name="Comma 25 2 2 3" xfId="6649" xr:uid="{00000000-0005-0000-0000-000049160000}"/>
    <cellStyle name="Comma 25 2 2 3 2" xfId="9356" xr:uid="{00000000-0005-0000-0000-00004A160000}"/>
    <cellStyle name="Comma 25 2 2 4" xfId="8017" xr:uid="{00000000-0005-0000-0000-00004B160000}"/>
    <cellStyle name="Comma 25 2 3" xfId="1087" xr:uid="{00000000-0005-0000-0000-00004C160000}"/>
    <cellStyle name="Comma 25 2 3 2" xfId="6817" xr:uid="{00000000-0005-0000-0000-00004D160000}"/>
    <cellStyle name="Comma 25 2 3 2 2" xfId="9524" xr:uid="{00000000-0005-0000-0000-00004E160000}"/>
    <cellStyle name="Comma 25 2 3 3" xfId="8185" xr:uid="{00000000-0005-0000-0000-00004F160000}"/>
    <cellStyle name="Comma 25 2 4" xfId="1476" xr:uid="{00000000-0005-0000-0000-000050160000}"/>
    <cellStyle name="Comma 25 2 4 2" xfId="7168" xr:uid="{00000000-0005-0000-0000-000051160000}"/>
    <cellStyle name="Comma 25 2 4 2 2" xfId="9871" xr:uid="{00000000-0005-0000-0000-000052160000}"/>
    <cellStyle name="Comma 25 2 4 3" xfId="8531" xr:uid="{00000000-0005-0000-0000-000053160000}"/>
    <cellStyle name="Comma 25 2 5" xfId="6486" xr:uid="{00000000-0005-0000-0000-000054160000}"/>
    <cellStyle name="Comma 25 2 5 2" xfId="9203" xr:uid="{00000000-0005-0000-0000-000055160000}"/>
    <cellStyle name="Comma 25 2 6" xfId="7864" xr:uid="{00000000-0005-0000-0000-000056160000}"/>
    <cellStyle name="Comma 25 3" xfId="915" xr:uid="{00000000-0005-0000-0000-000057160000}"/>
    <cellStyle name="Comma 25 3 2" xfId="1191" xr:uid="{00000000-0005-0000-0000-000058160000}"/>
    <cellStyle name="Comma 25 3 2 2" xfId="6909" xr:uid="{00000000-0005-0000-0000-000059160000}"/>
    <cellStyle name="Comma 25 3 2 2 2" xfId="9616" xr:uid="{00000000-0005-0000-0000-00005A160000}"/>
    <cellStyle name="Comma 25 3 2 3" xfId="8277" xr:uid="{00000000-0005-0000-0000-00005B160000}"/>
    <cellStyle name="Comma 25 3 3" xfId="6648" xr:uid="{00000000-0005-0000-0000-00005C160000}"/>
    <cellStyle name="Comma 25 3 3 2" xfId="9355" xr:uid="{00000000-0005-0000-0000-00005D160000}"/>
    <cellStyle name="Comma 25 3 4" xfId="8016" xr:uid="{00000000-0005-0000-0000-00005E160000}"/>
    <cellStyle name="Comma 25 4" xfId="1086" xr:uid="{00000000-0005-0000-0000-00005F160000}"/>
    <cellStyle name="Comma 25 4 2" xfId="6816" xr:uid="{00000000-0005-0000-0000-000060160000}"/>
    <cellStyle name="Comma 25 4 2 2" xfId="9523" xr:uid="{00000000-0005-0000-0000-000061160000}"/>
    <cellStyle name="Comma 25 4 3" xfId="8184" xr:uid="{00000000-0005-0000-0000-000062160000}"/>
    <cellStyle name="Comma 25 5" xfId="1474" xr:uid="{00000000-0005-0000-0000-000063160000}"/>
    <cellStyle name="Comma 25 5 2" xfId="7166" xr:uid="{00000000-0005-0000-0000-000064160000}"/>
    <cellStyle name="Comma 25 5 2 2" xfId="9869" xr:uid="{00000000-0005-0000-0000-000065160000}"/>
    <cellStyle name="Comma 25 5 3" xfId="8529" xr:uid="{00000000-0005-0000-0000-000066160000}"/>
    <cellStyle name="Comma 25 6" xfId="6485" xr:uid="{00000000-0005-0000-0000-000067160000}"/>
    <cellStyle name="Comma 25 6 2" xfId="9202" xr:uid="{00000000-0005-0000-0000-000068160000}"/>
    <cellStyle name="Comma 25 7" xfId="7863" xr:uid="{00000000-0005-0000-0000-000069160000}"/>
    <cellStyle name="Comma 26" xfId="505" xr:uid="{00000000-0005-0000-0000-00006A160000}"/>
    <cellStyle name="Comma 26 2" xfId="506" xr:uid="{00000000-0005-0000-0000-00006B160000}"/>
    <cellStyle name="Comma 26 2 2" xfId="918" xr:uid="{00000000-0005-0000-0000-00006C160000}"/>
    <cellStyle name="Comma 26 2 2 2" xfId="1194" xr:uid="{00000000-0005-0000-0000-00006D160000}"/>
    <cellStyle name="Comma 26 2 2 2 2" xfId="6912" xr:uid="{00000000-0005-0000-0000-00006E160000}"/>
    <cellStyle name="Comma 26 2 2 2 2 2" xfId="9619" xr:uid="{00000000-0005-0000-0000-00006F160000}"/>
    <cellStyle name="Comma 26 2 2 2 3" xfId="8280" xr:uid="{00000000-0005-0000-0000-000070160000}"/>
    <cellStyle name="Comma 26 2 2 3" xfId="6651" xr:uid="{00000000-0005-0000-0000-000071160000}"/>
    <cellStyle name="Comma 26 2 2 3 2" xfId="9358" xr:uid="{00000000-0005-0000-0000-000072160000}"/>
    <cellStyle name="Comma 26 2 2 4" xfId="8019" xr:uid="{00000000-0005-0000-0000-000073160000}"/>
    <cellStyle name="Comma 26 2 3" xfId="1089" xr:uid="{00000000-0005-0000-0000-000074160000}"/>
    <cellStyle name="Comma 26 2 3 2" xfId="6819" xr:uid="{00000000-0005-0000-0000-000075160000}"/>
    <cellStyle name="Comma 26 2 3 2 2" xfId="9526" xr:uid="{00000000-0005-0000-0000-000076160000}"/>
    <cellStyle name="Comma 26 2 3 3" xfId="8187" xr:uid="{00000000-0005-0000-0000-000077160000}"/>
    <cellStyle name="Comma 26 2 4" xfId="1434" xr:uid="{00000000-0005-0000-0000-000078160000}"/>
    <cellStyle name="Comma 26 2 4 2" xfId="7131" xr:uid="{00000000-0005-0000-0000-000079160000}"/>
    <cellStyle name="Comma 26 2 4 2 2" xfId="9834" xr:uid="{00000000-0005-0000-0000-00007A160000}"/>
    <cellStyle name="Comma 26 2 4 3" xfId="8494" xr:uid="{00000000-0005-0000-0000-00007B160000}"/>
    <cellStyle name="Comma 26 2 5" xfId="6488" xr:uid="{00000000-0005-0000-0000-00007C160000}"/>
    <cellStyle name="Comma 26 2 5 2" xfId="9205" xr:uid="{00000000-0005-0000-0000-00007D160000}"/>
    <cellStyle name="Comma 26 2 6" xfId="7866" xr:uid="{00000000-0005-0000-0000-00007E160000}"/>
    <cellStyle name="Comma 26 3" xfId="917" xr:uid="{00000000-0005-0000-0000-00007F160000}"/>
    <cellStyle name="Comma 26 3 2" xfId="1193" xr:uid="{00000000-0005-0000-0000-000080160000}"/>
    <cellStyle name="Comma 26 3 2 2" xfId="6911" xr:uid="{00000000-0005-0000-0000-000081160000}"/>
    <cellStyle name="Comma 26 3 2 2 2" xfId="9618" xr:uid="{00000000-0005-0000-0000-000082160000}"/>
    <cellStyle name="Comma 26 3 2 3" xfId="8279" xr:uid="{00000000-0005-0000-0000-000083160000}"/>
    <cellStyle name="Comma 26 3 3" xfId="6650" xr:uid="{00000000-0005-0000-0000-000084160000}"/>
    <cellStyle name="Comma 26 3 3 2" xfId="9357" xr:uid="{00000000-0005-0000-0000-000085160000}"/>
    <cellStyle name="Comma 26 3 4" xfId="8018" xr:uid="{00000000-0005-0000-0000-000086160000}"/>
    <cellStyle name="Comma 26 4" xfId="1088" xr:uid="{00000000-0005-0000-0000-000087160000}"/>
    <cellStyle name="Comma 26 4 2" xfId="6818" xr:uid="{00000000-0005-0000-0000-000088160000}"/>
    <cellStyle name="Comma 26 4 2 2" xfId="9525" xr:uid="{00000000-0005-0000-0000-000089160000}"/>
    <cellStyle name="Comma 26 4 3" xfId="8186" xr:uid="{00000000-0005-0000-0000-00008A160000}"/>
    <cellStyle name="Comma 26 5" xfId="1440" xr:uid="{00000000-0005-0000-0000-00008B160000}"/>
    <cellStyle name="Comma 26 5 2" xfId="7136" xr:uid="{00000000-0005-0000-0000-00008C160000}"/>
    <cellStyle name="Comma 26 5 2 2" xfId="9839" xr:uid="{00000000-0005-0000-0000-00008D160000}"/>
    <cellStyle name="Comma 26 5 3" xfId="8499" xr:uid="{00000000-0005-0000-0000-00008E160000}"/>
    <cellStyle name="Comma 26 6" xfId="6487" xr:uid="{00000000-0005-0000-0000-00008F160000}"/>
    <cellStyle name="Comma 26 6 2" xfId="9204" xr:uid="{00000000-0005-0000-0000-000090160000}"/>
    <cellStyle name="Comma 26 7" xfId="7865" xr:uid="{00000000-0005-0000-0000-000091160000}"/>
    <cellStyle name="Comma 27" xfId="507" xr:uid="{00000000-0005-0000-0000-000092160000}"/>
    <cellStyle name="Comma 27 2" xfId="508" xr:uid="{00000000-0005-0000-0000-000093160000}"/>
    <cellStyle name="Comma 27 2 2" xfId="920" xr:uid="{00000000-0005-0000-0000-000094160000}"/>
    <cellStyle name="Comma 27 2 2 2" xfId="1196" xr:uid="{00000000-0005-0000-0000-000095160000}"/>
    <cellStyle name="Comma 27 2 2 2 2" xfId="6914" xr:uid="{00000000-0005-0000-0000-000096160000}"/>
    <cellStyle name="Comma 27 2 2 2 2 2" xfId="9621" xr:uid="{00000000-0005-0000-0000-000097160000}"/>
    <cellStyle name="Comma 27 2 2 2 3" xfId="8282" xr:uid="{00000000-0005-0000-0000-000098160000}"/>
    <cellStyle name="Comma 27 2 2 3" xfId="6653" xr:uid="{00000000-0005-0000-0000-000099160000}"/>
    <cellStyle name="Comma 27 2 2 3 2" xfId="9360" xr:uid="{00000000-0005-0000-0000-00009A160000}"/>
    <cellStyle name="Comma 27 2 2 4" xfId="8021" xr:uid="{00000000-0005-0000-0000-00009B160000}"/>
    <cellStyle name="Comma 27 2 3" xfId="1091" xr:uid="{00000000-0005-0000-0000-00009C160000}"/>
    <cellStyle name="Comma 27 2 3 2" xfId="6821" xr:uid="{00000000-0005-0000-0000-00009D160000}"/>
    <cellStyle name="Comma 27 2 3 2 2" xfId="9528" xr:uid="{00000000-0005-0000-0000-00009E160000}"/>
    <cellStyle name="Comma 27 2 3 3" xfId="8189" xr:uid="{00000000-0005-0000-0000-00009F160000}"/>
    <cellStyle name="Comma 27 2 4" xfId="1479" xr:uid="{00000000-0005-0000-0000-0000A0160000}"/>
    <cellStyle name="Comma 27 2 4 2" xfId="7171" xr:uid="{00000000-0005-0000-0000-0000A1160000}"/>
    <cellStyle name="Comma 27 2 4 2 2" xfId="9874" xr:uid="{00000000-0005-0000-0000-0000A2160000}"/>
    <cellStyle name="Comma 27 2 4 3" xfId="8534" xr:uid="{00000000-0005-0000-0000-0000A3160000}"/>
    <cellStyle name="Comma 27 2 5" xfId="6490" xr:uid="{00000000-0005-0000-0000-0000A4160000}"/>
    <cellStyle name="Comma 27 2 5 2" xfId="9207" xr:uid="{00000000-0005-0000-0000-0000A5160000}"/>
    <cellStyle name="Comma 27 2 6" xfId="7868" xr:uid="{00000000-0005-0000-0000-0000A6160000}"/>
    <cellStyle name="Comma 27 3" xfId="919" xr:uid="{00000000-0005-0000-0000-0000A7160000}"/>
    <cellStyle name="Comma 27 3 2" xfId="1195" xr:uid="{00000000-0005-0000-0000-0000A8160000}"/>
    <cellStyle name="Comma 27 3 2 2" xfId="6913" xr:uid="{00000000-0005-0000-0000-0000A9160000}"/>
    <cellStyle name="Comma 27 3 2 2 2" xfId="9620" xr:uid="{00000000-0005-0000-0000-0000AA160000}"/>
    <cellStyle name="Comma 27 3 2 3" xfId="8281" xr:uid="{00000000-0005-0000-0000-0000AB160000}"/>
    <cellStyle name="Comma 27 3 3" xfId="6652" xr:uid="{00000000-0005-0000-0000-0000AC160000}"/>
    <cellStyle name="Comma 27 3 3 2" xfId="9359" xr:uid="{00000000-0005-0000-0000-0000AD160000}"/>
    <cellStyle name="Comma 27 3 4" xfId="8020" xr:uid="{00000000-0005-0000-0000-0000AE160000}"/>
    <cellStyle name="Comma 27 4" xfId="1090" xr:uid="{00000000-0005-0000-0000-0000AF160000}"/>
    <cellStyle name="Comma 27 4 2" xfId="6820" xr:uid="{00000000-0005-0000-0000-0000B0160000}"/>
    <cellStyle name="Comma 27 4 2 2" xfId="9527" xr:uid="{00000000-0005-0000-0000-0000B1160000}"/>
    <cellStyle name="Comma 27 4 3" xfId="8188" xr:uid="{00000000-0005-0000-0000-0000B2160000}"/>
    <cellStyle name="Comma 27 5" xfId="1477" xr:uid="{00000000-0005-0000-0000-0000B3160000}"/>
    <cellStyle name="Comma 27 5 2" xfId="7169" xr:uid="{00000000-0005-0000-0000-0000B4160000}"/>
    <cellStyle name="Comma 27 5 2 2" xfId="9872" xr:uid="{00000000-0005-0000-0000-0000B5160000}"/>
    <cellStyle name="Comma 27 5 3" xfId="8532" xr:uid="{00000000-0005-0000-0000-0000B6160000}"/>
    <cellStyle name="Comma 27 6" xfId="6489" xr:uid="{00000000-0005-0000-0000-0000B7160000}"/>
    <cellStyle name="Comma 27 6 2" xfId="9206" xr:uid="{00000000-0005-0000-0000-0000B8160000}"/>
    <cellStyle name="Comma 27 7" xfId="7867" xr:uid="{00000000-0005-0000-0000-0000B9160000}"/>
    <cellStyle name="Comma 28" xfId="509" xr:uid="{00000000-0005-0000-0000-0000BA160000}"/>
    <cellStyle name="Comma 28 2" xfId="921" xr:uid="{00000000-0005-0000-0000-0000BB160000}"/>
    <cellStyle name="Comma 28 2 2" xfId="1197" xr:uid="{00000000-0005-0000-0000-0000BC160000}"/>
    <cellStyle name="Comma 28 2 2 2" xfId="6915" xr:uid="{00000000-0005-0000-0000-0000BD160000}"/>
    <cellStyle name="Comma 28 2 2 2 2" xfId="9622" xr:uid="{00000000-0005-0000-0000-0000BE160000}"/>
    <cellStyle name="Comma 28 2 2 3" xfId="8283" xr:uid="{00000000-0005-0000-0000-0000BF160000}"/>
    <cellStyle name="Comma 28 2 3" xfId="6654" xr:uid="{00000000-0005-0000-0000-0000C0160000}"/>
    <cellStyle name="Comma 28 2 3 2" xfId="9361" xr:uid="{00000000-0005-0000-0000-0000C1160000}"/>
    <cellStyle name="Comma 28 2 4" xfId="8022" xr:uid="{00000000-0005-0000-0000-0000C2160000}"/>
    <cellStyle name="Comma 28 3" xfId="1092" xr:uid="{00000000-0005-0000-0000-0000C3160000}"/>
    <cellStyle name="Comma 28 3 2" xfId="6822" xr:uid="{00000000-0005-0000-0000-0000C4160000}"/>
    <cellStyle name="Comma 28 3 2 2" xfId="9529" xr:uid="{00000000-0005-0000-0000-0000C5160000}"/>
    <cellStyle name="Comma 28 3 3" xfId="8190" xr:uid="{00000000-0005-0000-0000-0000C6160000}"/>
    <cellStyle name="Comma 28 4" xfId="6491" xr:uid="{00000000-0005-0000-0000-0000C7160000}"/>
    <cellStyle name="Comma 28 4 2" xfId="9208" xr:uid="{00000000-0005-0000-0000-0000C8160000}"/>
    <cellStyle name="Comma 28 5" xfId="7869" xr:uid="{00000000-0005-0000-0000-0000C9160000}"/>
    <cellStyle name="Comma 29" xfId="510" xr:uid="{00000000-0005-0000-0000-0000CA160000}"/>
    <cellStyle name="Comma 29 2" xfId="922" xr:uid="{00000000-0005-0000-0000-0000CB160000}"/>
    <cellStyle name="Comma 29 2 2" xfId="1198" xr:uid="{00000000-0005-0000-0000-0000CC160000}"/>
    <cellStyle name="Comma 29 2 2 2" xfId="6916" xr:uid="{00000000-0005-0000-0000-0000CD160000}"/>
    <cellStyle name="Comma 29 2 2 2 2" xfId="9623" xr:uid="{00000000-0005-0000-0000-0000CE160000}"/>
    <cellStyle name="Comma 29 2 2 3" xfId="8284" xr:uid="{00000000-0005-0000-0000-0000CF160000}"/>
    <cellStyle name="Comma 29 2 3" xfId="6655" xr:uid="{00000000-0005-0000-0000-0000D0160000}"/>
    <cellStyle name="Comma 29 2 3 2" xfId="9362" xr:uid="{00000000-0005-0000-0000-0000D1160000}"/>
    <cellStyle name="Comma 29 2 4" xfId="8023" xr:uid="{00000000-0005-0000-0000-0000D2160000}"/>
    <cellStyle name="Comma 29 3" xfId="1093" xr:uid="{00000000-0005-0000-0000-0000D3160000}"/>
    <cellStyle name="Comma 29 3 2" xfId="6823" xr:uid="{00000000-0005-0000-0000-0000D4160000}"/>
    <cellStyle name="Comma 29 3 2 2" xfId="9530" xr:uid="{00000000-0005-0000-0000-0000D5160000}"/>
    <cellStyle name="Comma 29 3 3" xfId="8191" xr:uid="{00000000-0005-0000-0000-0000D6160000}"/>
    <cellStyle name="Comma 29 4" xfId="6492" xr:uid="{00000000-0005-0000-0000-0000D7160000}"/>
    <cellStyle name="Comma 29 4 2" xfId="9209" xr:uid="{00000000-0005-0000-0000-0000D8160000}"/>
    <cellStyle name="Comma 29 5" xfId="7870" xr:uid="{00000000-0005-0000-0000-0000D9160000}"/>
    <cellStyle name="Comma 3" xfId="9" xr:uid="{00000000-0005-0000-0000-0000DA160000}"/>
    <cellStyle name="Comma 3 10" xfId="4837" xr:uid="{00000000-0005-0000-0000-0000DB160000}"/>
    <cellStyle name="Comma 3 11" xfId="4838" xr:uid="{00000000-0005-0000-0000-0000DC160000}"/>
    <cellStyle name="Comma 3 12" xfId="4839" xr:uid="{00000000-0005-0000-0000-0000DD160000}"/>
    <cellStyle name="Comma 3 13" xfId="4840" xr:uid="{00000000-0005-0000-0000-0000DE160000}"/>
    <cellStyle name="Comma 3 14" xfId="4841" xr:uid="{00000000-0005-0000-0000-0000DF160000}"/>
    <cellStyle name="Comma 3 15" xfId="4842" xr:uid="{00000000-0005-0000-0000-0000E0160000}"/>
    <cellStyle name="Comma 3 16" xfId="4843" xr:uid="{00000000-0005-0000-0000-0000E1160000}"/>
    <cellStyle name="Comma 3 17" xfId="4844" xr:uid="{00000000-0005-0000-0000-0000E2160000}"/>
    <cellStyle name="Comma 3 18" xfId="4845" xr:uid="{00000000-0005-0000-0000-0000E3160000}"/>
    <cellStyle name="Comma 3 18 2" xfId="2" xr:uid="{00000000-0005-0000-0000-0000E4160000}"/>
    <cellStyle name="Comma 3 19" xfId="4846" xr:uid="{00000000-0005-0000-0000-0000E5160000}"/>
    <cellStyle name="Comma 3 19 2" xfId="7496" xr:uid="{00000000-0005-0000-0000-0000E6160000}"/>
    <cellStyle name="Comma 3 19 2 2" xfId="10195" xr:uid="{00000000-0005-0000-0000-0000E7160000}"/>
    <cellStyle name="Comma 3 19 3" xfId="8855" xr:uid="{00000000-0005-0000-0000-0000E8160000}"/>
    <cellStyle name="Comma 3 2" xfId="112" xr:uid="{00000000-0005-0000-0000-0000E9160000}"/>
    <cellStyle name="Comma 3 2 10" xfId="267" xr:uid="{00000000-0005-0000-0000-0000EA160000}"/>
    <cellStyle name="Comma 3 2 10 2" xfId="4847" xr:uid="{00000000-0005-0000-0000-0000EB160000}"/>
    <cellStyle name="Comma 3 2 10 3" xfId="6418" xr:uid="{00000000-0005-0000-0000-0000EC160000}"/>
    <cellStyle name="Comma 3 2 10 3 2" xfId="9137" xr:uid="{00000000-0005-0000-0000-0000ED160000}"/>
    <cellStyle name="Comma 3 2 10 4" xfId="7798" xr:uid="{00000000-0005-0000-0000-0000EE160000}"/>
    <cellStyle name="Comma 3 2 11" xfId="1364" xr:uid="{00000000-0005-0000-0000-0000EF160000}"/>
    <cellStyle name="Comma 3 2 11 2" xfId="4848" xr:uid="{00000000-0005-0000-0000-0000F0160000}"/>
    <cellStyle name="Comma 3 2 11 3" xfId="7069" xr:uid="{00000000-0005-0000-0000-0000F1160000}"/>
    <cellStyle name="Comma 3 2 11 3 2" xfId="9775" xr:uid="{00000000-0005-0000-0000-0000F2160000}"/>
    <cellStyle name="Comma 3 2 11 4" xfId="8436" xr:uid="{00000000-0005-0000-0000-0000F3160000}"/>
    <cellStyle name="Comma 3 2 12" xfId="1422" xr:uid="{00000000-0005-0000-0000-0000F4160000}"/>
    <cellStyle name="Comma 3 2 12 2" xfId="4849" xr:uid="{00000000-0005-0000-0000-0000F5160000}"/>
    <cellStyle name="Comma 3 2 12 3" xfId="7124" xr:uid="{00000000-0005-0000-0000-0000F6160000}"/>
    <cellStyle name="Comma 3 2 12 3 2" xfId="9827" xr:uid="{00000000-0005-0000-0000-0000F7160000}"/>
    <cellStyle name="Comma 3 2 12 4" xfId="8487" xr:uid="{00000000-0005-0000-0000-0000F8160000}"/>
    <cellStyle name="Comma 3 2 13" xfId="4850" xr:uid="{00000000-0005-0000-0000-0000F9160000}"/>
    <cellStyle name="Comma 3 2 14" xfId="4851" xr:uid="{00000000-0005-0000-0000-0000FA160000}"/>
    <cellStyle name="Comma 3 2 15" xfId="4852" xr:uid="{00000000-0005-0000-0000-0000FB160000}"/>
    <cellStyle name="Comma 3 2 15 2" xfId="7497" xr:uid="{00000000-0005-0000-0000-0000FC160000}"/>
    <cellStyle name="Comma 3 2 15 2 2" xfId="10196" xr:uid="{00000000-0005-0000-0000-0000FD160000}"/>
    <cellStyle name="Comma 3 2 15 3" xfId="8856" xr:uid="{00000000-0005-0000-0000-0000FE160000}"/>
    <cellStyle name="Comma 3 2 16" xfId="1482" xr:uid="{00000000-0005-0000-0000-0000FF160000}"/>
    <cellStyle name="Comma 3 2 16 2" xfId="7174" xr:uid="{00000000-0005-0000-0000-000000170000}"/>
    <cellStyle name="Comma 3 2 16 2 2" xfId="9877" xr:uid="{00000000-0005-0000-0000-000001170000}"/>
    <cellStyle name="Comma 3 2 16 3" xfId="8537" xr:uid="{00000000-0005-0000-0000-000002170000}"/>
    <cellStyle name="Comma 3 2 17" xfId="6345" xr:uid="{00000000-0005-0000-0000-000003170000}"/>
    <cellStyle name="Comma 3 2 17 2" xfId="9064" xr:uid="{00000000-0005-0000-0000-000004170000}"/>
    <cellStyle name="Comma 3 2 18" xfId="7725" xr:uid="{00000000-0005-0000-0000-000005170000}"/>
    <cellStyle name="Comma 3 2 19" xfId="144" xr:uid="{00000000-0005-0000-0000-000006170000}"/>
    <cellStyle name="Comma 3 2 2" xfId="145" xr:uid="{00000000-0005-0000-0000-000007170000}"/>
    <cellStyle name="Comma 3 2 2 2" xfId="146" xr:uid="{00000000-0005-0000-0000-000008170000}"/>
    <cellStyle name="Comma 3 2 2 2 2" xfId="1243" xr:uid="{00000000-0005-0000-0000-000009170000}"/>
    <cellStyle name="Comma 3 2 2 2 2 2" xfId="4853" xr:uid="{00000000-0005-0000-0000-00000A170000}"/>
    <cellStyle name="Comma 3 2 2 2 2 3" xfId="6961" xr:uid="{00000000-0005-0000-0000-00000B170000}"/>
    <cellStyle name="Comma 3 2 2 2 2 3 2" xfId="9668" xr:uid="{00000000-0005-0000-0000-00000C170000}"/>
    <cellStyle name="Comma 3 2 2 2 2 4" xfId="8329" xr:uid="{00000000-0005-0000-0000-00000D170000}"/>
    <cellStyle name="Comma 3 2 2 2 3" xfId="1094" xr:uid="{00000000-0005-0000-0000-00000E170000}"/>
    <cellStyle name="Comma 3 2 2 2 3 2" xfId="4854" xr:uid="{00000000-0005-0000-0000-00000F170000}"/>
    <cellStyle name="Comma 3 2 2 2 3 3" xfId="6824" xr:uid="{00000000-0005-0000-0000-000010170000}"/>
    <cellStyle name="Comma 3 2 2 2 3 3 2" xfId="9531" xr:uid="{00000000-0005-0000-0000-000011170000}"/>
    <cellStyle name="Comma 3 2 2 2 3 4" xfId="8192" xr:uid="{00000000-0005-0000-0000-000012170000}"/>
    <cellStyle name="Comma 3 2 2 2 4" xfId="925" xr:uid="{00000000-0005-0000-0000-000013170000}"/>
    <cellStyle name="Comma 3 2 2 2 4 2" xfId="4855" xr:uid="{00000000-0005-0000-0000-000014170000}"/>
    <cellStyle name="Comma 3 2 2 2 4 3" xfId="6658" xr:uid="{00000000-0005-0000-0000-000015170000}"/>
    <cellStyle name="Comma 3 2 2 2 4 3 2" xfId="9365" xr:uid="{00000000-0005-0000-0000-000016170000}"/>
    <cellStyle name="Comma 3 2 2 2 4 4" xfId="8026" xr:uid="{00000000-0005-0000-0000-000017170000}"/>
    <cellStyle name="Comma 3 2 2 2 5" xfId="1365" xr:uid="{00000000-0005-0000-0000-000018170000}"/>
    <cellStyle name="Comma 3 2 2 2 5 2" xfId="4856" xr:uid="{00000000-0005-0000-0000-000019170000}"/>
    <cellStyle name="Comma 3 2 2 2 5 3" xfId="7070" xr:uid="{00000000-0005-0000-0000-00001A170000}"/>
    <cellStyle name="Comma 3 2 2 2 5 3 2" xfId="9776" xr:uid="{00000000-0005-0000-0000-00001B170000}"/>
    <cellStyle name="Comma 3 2 2 2 5 4" xfId="8437" xr:uid="{00000000-0005-0000-0000-00001C170000}"/>
    <cellStyle name="Comma 3 2 2 2 6" xfId="4857" xr:uid="{00000000-0005-0000-0000-00001D170000}"/>
    <cellStyle name="Comma 3 2 2 2 6 2" xfId="7498" xr:uid="{00000000-0005-0000-0000-00001E170000}"/>
    <cellStyle name="Comma 3 2 2 2 6 2 2" xfId="10197" xr:uid="{00000000-0005-0000-0000-00001F170000}"/>
    <cellStyle name="Comma 3 2 2 2 6 3" xfId="8857" xr:uid="{00000000-0005-0000-0000-000020170000}"/>
    <cellStyle name="Comma 3 2 2 2 7" xfId="6346" xr:uid="{00000000-0005-0000-0000-000021170000}"/>
    <cellStyle name="Comma 3 2 2 2 7 2" xfId="9065" xr:uid="{00000000-0005-0000-0000-000022170000}"/>
    <cellStyle name="Comma 3 2 2 2 8" xfId="7726" xr:uid="{00000000-0005-0000-0000-000023170000}"/>
    <cellStyle name="Comma 3 2 2 3" xfId="982" xr:uid="{00000000-0005-0000-0000-000024170000}"/>
    <cellStyle name="Comma 3 2 2 3 2" xfId="1201" xr:uid="{00000000-0005-0000-0000-000025170000}"/>
    <cellStyle name="Comma 3 2 2 3 2 2" xfId="4858" xr:uid="{00000000-0005-0000-0000-000026170000}"/>
    <cellStyle name="Comma 3 2 2 3 2 2 2" xfId="7499" xr:uid="{00000000-0005-0000-0000-000027170000}"/>
    <cellStyle name="Comma 3 2 2 3 2 2 2 2" xfId="10198" xr:uid="{00000000-0005-0000-0000-000028170000}"/>
    <cellStyle name="Comma 3 2 2 3 2 2 3" xfId="8858" xr:uid="{00000000-0005-0000-0000-000029170000}"/>
    <cellStyle name="Comma 3 2 2 3 2 3" xfId="6919" xr:uid="{00000000-0005-0000-0000-00002A170000}"/>
    <cellStyle name="Comma 3 2 2 3 2 3 2" xfId="9626" xr:uid="{00000000-0005-0000-0000-00002B170000}"/>
    <cellStyle name="Comma 3 2 2 3 2 4" xfId="8287" xr:uid="{00000000-0005-0000-0000-00002C170000}"/>
    <cellStyle name="Comma 3 2 2 3 3" xfId="6714" xr:uid="{00000000-0005-0000-0000-00002D170000}"/>
    <cellStyle name="Comma 3 2 2 3 3 2" xfId="9421" xr:uid="{00000000-0005-0000-0000-00002E170000}"/>
    <cellStyle name="Comma 3 2 2 3 4" xfId="8082" xr:uid="{00000000-0005-0000-0000-00002F170000}"/>
    <cellStyle name="Comma 3 2 2 4" xfId="1301" xr:uid="{00000000-0005-0000-0000-000030170000}"/>
    <cellStyle name="Comma 3 2 2 4 2" xfId="4859" xr:uid="{00000000-0005-0000-0000-000031170000}"/>
    <cellStyle name="Comma 3 2 2 4 2 2" xfId="7500" xr:uid="{00000000-0005-0000-0000-000032170000}"/>
    <cellStyle name="Comma 3 2 2 4 2 2 2" xfId="10199" xr:uid="{00000000-0005-0000-0000-000033170000}"/>
    <cellStyle name="Comma 3 2 2 4 2 3" xfId="8859" xr:uid="{00000000-0005-0000-0000-000034170000}"/>
    <cellStyle name="Comma 3 2 2 4 3" xfId="7011" xr:uid="{00000000-0005-0000-0000-000035170000}"/>
    <cellStyle name="Comma 3 2 2 4 3 2" xfId="9718" xr:uid="{00000000-0005-0000-0000-000036170000}"/>
    <cellStyle name="Comma 3 2 2 4 4" xfId="8379" xr:uid="{00000000-0005-0000-0000-000037170000}"/>
    <cellStyle name="Comma 3 2 2 5" xfId="1041" xr:uid="{00000000-0005-0000-0000-000038170000}"/>
    <cellStyle name="Comma 3 2 2 5 2" xfId="4860" xr:uid="{00000000-0005-0000-0000-000039170000}"/>
    <cellStyle name="Comma 3 2 2 5 2 2" xfId="7501" xr:uid="{00000000-0005-0000-0000-00003A170000}"/>
    <cellStyle name="Comma 3 2 2 5 2 2 2" xfId="10200" xr:uid="{00000000-0005-0000-0000-00003B170000}"/>
    <cellStyle name="Comma 3 2 2 5 2 3" xfId="8860" xr:uid="{00000000-0005-0000-0000-00003C170000}"/>
    <cellStyle name="Comma 3 2 2 5 3" xfId="6772" xr:uid="{00000000-0005-0000-0000-00003D170000}"/>
    <cellStyle name="Comma 3 2 2 5 3 2" xfId="9479" xr:uid="{00000000-0005-0000-0000-00003E170000}"/>
    <cellStyle name="Comma 3 2 2 5 4" xfId="8140" xr:uid="{00000000-0005-0000-0000-00003F170000}"/>
    <cellStyle name="Comma 3 2 2 6" xfId="513" xr:uid="{00000000-0005-0000-0000-000040170000}"/>
    <cellStyle name="Comma 3 2 2 6 2" xfId="4861" xr:uid="{00000000-0005-0000-0000-000041170000}"/>
    <cellStyle name="Comma 3 2 2 6 2 2" xfId="7502" xr:uid="{00000000-0005-0000-0000-000042170000}"/>
    <cellStyle name="Comma 3 2 2 6 2 2 2" xfId="10201" xr:uid="{00000000-0005-0000-0000-000043170000}"/>
    <cellStyle name="Comma 3 2 2 6 2 3" xfId="8861" xr:uid="{00000000-0005-0000-0000-000044170000}"/>
    <cellStyle name="Comma 3 2 2 6 3" xfId="6495" xr:uid="{00000000-0005-0000-0000-000045170000}"/>
    <cellStyle name="Comma 3 2 2 6 3 2" xfId="9212" xr:uid="{00000000-0005-0000-0000-000046170000}"/>
    <cellStyle name="Comma 3 2 2 6 4" xfId="7873" xr:uid="{00000000-0005-0000-0000-000047170000}"/>
    <cellStyle name="Comma 3 2 2 6 5" xfId="10403" xr:uid="{00000000-0005-0000-0000-000048170000}"/>
    <cellStyle name="Comma 3 2 3" xfId="147" xr:uid="{00000000-0005-0000-0000-000049170000}"/>
    <cellStyle name="Comma 3 2 3 2" xfId="1312" xr:uid="{00000000-0005-0000-0000-00004A170000}"/>
    <cellStyle name="Comma 3 2 3 2 2" xfId="7019" xr:uid="{00000000-0005-0000-0000-00004B170000}"/>
    <cellStyle name="Comma 3 2 3 2 2 2" xfId="9726" xr:uid="{00000000-0005-0000-0000-00004C170000}"/>
    <cellStyle name="Comma 3 2 3 2 3" xfId="8387" xr:uid="{00000000-0005-0000-0000-00004D170000}"/>
    <cellStyle name="Comma 3 2 3 3" xfId="514" xr:uid="{00000000-0005-0000-0000-00004E170000}"/>
    <cellStyle name="Comma 3 2 3 4" xfId="1366" xr:uid="{00000000-0005-0000-0000-00004F170000}"/>
    <cellStyle name="Comma 3 2 3 4 2" xfId="7071" xr:uid="{00000000-0005-0000-0000-000050170000}"/>
    <cellStyle name="Comma 3 2 3 4 2 2" xfId="9777" xr:uid="{00000000-0005-0000-0000-000051170000}"/>
    <cellStyle name="Comma 3 2 3 4 3" xfId="8438" xr:uid="{00000000-0005-0000-0000-000052170000}"/>
    <cellStyle name="Comma 3 2 3 5" xfId="6347" xr:uid="{00000000-0005-0000-0000-000053170000}"/>
    <cellStyle name="Comma 3 2 3 5 2" xfId="9066" xr:uid="{00000000-0005-0000-0000-000054170000}"/>
    <cellStyle name="Comma 3 2 3 6" xfId="7727" xr:uid="{00000000-0005-0000-0000-000055170000}"/>
    <cellStyle name="Comma 3 2 4" xfId="515" xr:uid="{00000000-0005-0000-0000-000056170000}"/>
    <cellStyle name="Comma 3 2 4 2" xfId="926" xr:uid="{00000000-0005-0000-0000-000057170000}"/>
    <cellStyle name="Comma 3 2 4 2 2" xfId="1202" xr:uid="{00000000-0005-0000-0000-000058170000}"/>
    <cellStyle name="Comma 3 2 4 2 2 2" xfId="6920" xr:uid="{00000000-0005-0000-0000-000059170000}"/>
    <cellStyle name="Comma 3 2 4 2 2 2 2" xfId="9627" xr:uid="{00000000-0005-0000-0000-00005A170000}"/>
    <cellStyle name="Comma 3 2 4 2 2 3" xfId="8288" xr:uid="{00000000-0005-0000-0000-00005B170000}"/>
    <cellStyle name="Comma 3 2 4 2 3" xfId="6659" xr:uid="{00000000-0005-0000-0000-00005C170000}"/>
    <cellStyle name="Comma 3 2 4 2 3 2" xfId="9366" xr:uid="{00000000-0005-0000-0000-00005D170000}"/>
    <cellStyle name="Comma 3 2 4 2 4" xfId="8027" xr:uid="{00000000-0005-0000-0000-00005E170000}"/>
    <cellStyle name="Comma 3 2 4 3" xfId="1095" xr:uid="{00000000-0005-0000-0000-00005F170000}"/>
    <cellStyle name="Comma 3 2 4 3 2" xfId="6825" xr:uid="{00000000-0005-0000-0000-000060170000}"/>
    <cellStyle name="Comma 3 2 4 3 2 2" xfId="9532" xr:uid="{00000000-0005-0000-0000-000061170000}"/>
    <cellStyle name="Comma 3 2 4 3 3" xfId="8193" xr:uid="{00000000-0005-0000-0000-000062170000}"/>
    <cellStyle name="Comma 3 2 4 4" xfId="1468" xr:uid="{00000000-0005-0000-0000-000063170000}"/>
    <cellStyle name="Comma 3 2 4 4 2" xfId="7161" xr:uid="{00000000-0005-0000-0000-000064170000}"/>
    <cellStyle name="Comma 3 2 4 4 2 2" xfId="9864" xr:uid="{00000000-0005-0000-0000-000065170000}"/>
    <cellStyle name="Comma 3 2 4 4 3" xfId="8524" xr:uid="{00000000-0005-0000-0000-000066170000}"/>
    <cellStyle name="Comma 3 2 4 5" xfId="6496" xr:uid="{00000000-0005-0000-0000-000067170000}"/>
    <cellStyle name="Comma 3 2 4 5 2" xfId="9213" xr:uid="{00000000-0005-0000-0000-000068170000}"/>
    <cellStyle name="Comma 3 2 4 6" xfId="7874" xr:uid="{00000000-0005-0000-0000-000069170000}"/>
    <cellStyle name="Comma 3 2 5" xfId="516" xr:uid="{00000000-0005-0000-0000-00006A170000}"/>
    <cellStyle name="Comma 3 2 5 2" xfId="927" xr:uid="{00000000-0005-0000-0000-00006B170000}"/>
    <cellStyle name="Comma 3 2 5 2 2" xfId="1203" xr:uid="{00000000-0005-0000-0000-00006C170000}"/>
    <cellStyle name="Comma 3 2 5 2 2 2" xfId="6921" xr:uid="{00000000-0005-0000-0000-00006D170000}"/>
    <cellStyle name="Comma 3 2 5 2 2 2 2" xfId="9628" xr:uid="{00000000-0005-0000-0000-00006E170000}"/>
    <cellStyle name="Comma 3 2 5 2 2 3" xfId="8289" xr:uid="{00000000-0005-0000-0000-00006F170000}"/>
    <cellStyle name="Comma 3 2 5 2 3" xfId="6660" xr:uid="{00000000-0005-0000-0000-000070170000}"/>
    <cellStyle name="Comma 3 2 5 2 3 2" xfId="9367" xr:uid="{00000000-0005-0000-0000-000071170000}"/>
    <cellStyle name="Comma 3 2 5 2 4" xfId="8028" xr:uid="{00000000-0005-0000-0000-000072170000}"/>
    <cellStyle name="Comma 3 2 5 3" xfId="1096" xr:uid="{00000000-0005-0000-0000-000073170000}"/>
    <cellStyle name="Comma 3 2 5 3 2" xfId="6826" xr:uid="{00000000-0005-0000-0000-000074170000}"/>
    <cellStyle name="Comma 3 2 5 3 2 2" xfId="9533" xr:uid="{00000000-0005-0000-0000-000075170000}"/>
    <cellStyle name="Comma 3 2 5 3 3" xfId="8194" xr:uid="{00000000-0005-0000-0000-000076170000}"/>
    <cellStyle name="Comma 3 2 5 4" xfId="6497" xr:uid="{00000000-0005-0000-0000-000077170000}"/>
    <cellStyle name="Comma 3 2 5 4 2" xfId="9214" xr:uid="{00000000-0005-0000-0000-000078170000}"/>
    <cellStyle name="Comma 3 2 5 5" xfId="7875" xr:uid="{00000000-0005-0000-0000-000079170000}"/>
    <cellStyle name="Comma 3 2 6" xfId="517" xr:uid="{00000000-0005-0000-0000-00007A170000}"/>
    <cellStyle name="Comma 3 2 6 2" xfId="4862" xr:uid="{00000000-0005-0000-0000-00007B170000}"/>
    <cellStyle name="Comma 3 2 6 3" xfId="6498" xr:uid="{00000000-0005-0000-0000-00007C170000}"/>
    <cellStyle name="Comma 3 2 6 3 2" xfId="9215" xr:uid="{00000000-0005-0000-0000-00007D170000}"/>
    <cellStyle name="Comma 3 2 6 4" xfId="7876" xr:uid="{00000000-0005-0000-0000-00007E170000}"/>
    <cellStyle name="Comma 3 2 7" xfId="512" xr:uid="{00000000-0005-0000-0000-00007F170000}"/>
    <cellStyle name="Comma 3 2 7 2" xfId="1200" xr:uid="{00000000-0005-0000-0000-000080170000}"/>
    <cellStyle name="Comma 3 2 7 2 2" xfId="4864" xr:uid="{00000000-0005-0000-0000-000081170000}"/>
    <cellStyle name="Comma 3 2 7 2 3" xfId="6918" xr:uid="{00000000-0005-0000-0000-000082170000}"/>
    <cellStyle name="Comma 3 2 7 2 3 2" xfId="9625" xr:uid="{00000000-0005-0000-0000-000083170000}"/>
    <cellStyle name="Comma 3 2 7 2 4" xfId="8286" xr:uid="{00000000-0005-0000-0000-000084170000}"/>
    <cellStyle name="Comma 3 2 7 3" xfId="4865" xr:uid="{00000000-0005-0000-0000-000085170000}"/>
    <cellStyle name="Comma 3 2 7 3 2" xfId="7503" xr:uid="{00000000-0005-0000-0000-000086170000}"/>
    <cellStyle name="Comma 3 2 7 3 2 2" xfId="10202" xr:uid="{00000000-0005-0000-0000-000087170000}"/>
    <cellStyle name="Comma 3 2 7 3 3" xfId="8862" xr:uid="{00000000-0005-0000-0000-000088170000}"/>
    <cellStyle name="Comma 3 2 7 4" xfId="4863" xr:uid="{00000000-0005-0000-0000-000089170000}"/>
    <cellStyle name="Comma 3 2 7 5" xfId="6494" xr:uid="{00000000-0005-0000-0000-00008A170000}"/>
    <cellStyle name="Comma 3 2 7 5 2" xfId="9211" xr:uid="{00000000-0005-0000-0000-00008B170000}"/>
    <cellStyle name="Comma 3 2 7 6" xfId="7872" xr:uid="{00000000-0005-0000-0000-00008C170000}"/>
    <cellStyle name="Comma 3 2 8" xfId="924" xr:uid="{00000000-0005-0000-0000-00008D170000}"/>
    <cellStyle name="Comma 3 2 8 2" xfId="4866" xr:uid="{00000000-0005-0000-0000-00008E170000}"/>
    <cellStyle name="Comma 3 2 8 3" xfId="6657" xr:uid="{00000000-0005-0000-0000-00008F170000}"/>
    <cellStyle name="Comma 3 2 8 3 2" xfId="9364" xr:uid="{00000000-0005-0000-0000-000090170000}"/>
    <cellStyle name="Comma 3 2 8 4" xfId="8025" xr:uid="{00000000-0005-0000-0000-000091170000}"/>
    <cellStyle name="Comma 3 2 9" xfId="1013" xr:uid="{00000000-0005-0000-0000-000092170000}"/>
    <cellStyle name="Comma 3 2 9 2" xfId="4867" xr:uid="{00000000-0005-0000-0000-000093170000}"/>
    <cellStyle name="Comma 3 2 9 3" xfId="6744" xr:uid="{00000000-0005-0000-0000-000094170000}"/>
    <cellStyle name="Comma 3 2 9 3 2" xfId="9451" xr:uid="{00000000-0005-0000-0000-000095170000}"/>
    <cellStyle name="Comma 3 2 9 4" xfId="8112" xr:uid="{00000000-0005-0000-0000-000096170000}"/>
    <cellStyle name="Comma 3 20" xfId="4868" xr:uid="{00000000-0005-0000-0000-000097170000}"/>
    <cellStyle name="Comma 3 20 2" xfId="7504" xr:uid="{00000000-0005-0000-0000-000098170000}"/>
    <cellStyle name="Comma 3 20 2 2" xfId="10203" xr:uid="{00000000-0005-0000-0000-000099170000}"/>
    <cellStyle name="Comma 3 20 3" xfId="8863" xr:uid="{00000000-0005-0000-0000-00009A170000}"/>
    <cellStyle name="Comma 3 21" xfId="4869" xr:uid="{00000000-0005-0000-0000-00009B170000}"/>
    <cellStyle name="Comma 3 22" xfId="1481" xr:uid="{00000000-0005-0000-0000-00009C170000}"/>
    <cellStyle name="Comma 3 22 2" xfId="7173" xr:uid="{00000000-0005-0000-0000-00009D170000}"/>
    <cellStyle name="Comma 3 22 2 2" xfId="9876" xr:uid="{00000000-0005-0000-0000-00009E170000}"/>
    <cellStyle name="Comma 3 22 3" xfId="8536" xr:uid="{00000000-0005-0000-0000-00009F170000}"/>
    <cellStyle name="Comma 3 23" xfId="6344" xr:uid="{00000000-0005-0000-0000-0000A0170000}"/>
    <cellStyle name="Comma 3 23 2" xfId="9063" xr:uid="{00000000-0005-0000-0000-0000A1170000}"/>
    <cellStyle name="Comma 3 24" xfId="7724" xr:uid="{00000000-0005-0000-0000-0000A2170000}"/>
    <cellStyle name="Comma 3 25" xfId="10393" xr:uid="{00000000-0005-0000-0000-0000A3170000}"/>
    <cellStyle name="Comma 3 26" xfId="143" xr:uid="{00000000-0005-0000-0000-0000A4170000}"/>
    <cellStyle name="Comma 3 27" xfId="10455" xr:uid="{00000000-0005-0000-0000-0000A5170000}"/>
    <cellStyle name="Comma 3 28" xfId="92" xr:uid="{00000000-0005-0000-0000-0000A6170000}"/>
    <cellStyle name="Comma 3 3" xfId="148" xr:uid="{00000000-0005-0000-0000-0000A7170000}"/>
    <cellStyle name="Comma 3 3 2" xfId="519" xr:uid="{00000000-0005-0000-0000-0000A8170000}"/>
    <cellStyle name="Comma 3 3 2 17 2" xfId="10519" xr:uid="{00000000-0005-0000-0000-0000A9170000}"/>
    <cellStyle name="Comma 3 3 2 2" xfId="4871" xr:uid="{00000000-0005-0000-0000-0000AA170000}"/>
    <cellStyle name="Comma 3 3 2 2 2" xfId="7506" xr:uid="{00000000-0005-0000-0000-0000AB170000}"/>
    <cellStyle name="Comma 3 3 2 2 2 2" xfId="10205" xr:uid="{00000000-0005-0000-0000-0000AC170000}"/>
    <cellStyle name="Comma 3 3 2 2 2 5" xfId="245" xr:uid="{00000000-0005-0000-0000-0000AD170000}"/>
    <cellStyle name="Comma 3 3 2 2 2 5 2" xfId="273" xr:uid="{00000000-0005-0000-0000-0000AE170000}"/>
    <cellStyle name="Comma 3 3 2 2 2 5 2 2" xfId="520" xr:uid="{00000000-0005-0000-0000-0000AF170000}"/>
    <cellStyle name="Comma 3 3 2 2 2 5 2 2 2" xfId="976" xr:uid="{00000000-0005-0000-0000-0000B0170000}"/>
    <cellStyle name="Comma 3 3 2 2 2 5 2 2 2 2" xfId="1295" xr:uid="{00000000-0005-0000-0000-0000B1170000}"/>
    <cellStyle name="Comma 3 3 2 2 2 5 2 2 2 2 2" xfId="7005" xr:uid="{00000000-0005-0000-0000-0000B2170000}"/>
    <cellStyle name="Comma 3 3 2 2 2 5 2 2 2 2 2 2" xfId="9712" xr:uid="{00000000-0005-0000-0000-0000B3170000}"/>
    <cellStyle name="Comma 3 3 2 2 2 5 2 2 2 2 3" xfId="8373" xr:uid="{00000000-0005-0000-0000-0000B4170000}"/>
    <cellStyle name="Comma 3 3 2 2 2 5 2 2 2 3" xfId="6708" xr:uid="{00000000-0005-0000-0000-0000B5170000}"/>
    <cellStyle name="Comma 3 3 2 2 2 5 2 2 2 3 2" xfId="9415" xr:uid="{00000000-0005-0000-0000-0000B6170000}"/>
    <cellStyle name="Comma 3 3 2 2 2 5 2 2 2 4" xfId="8076" xr:uid="{00000000-0005-0000-0000-0000B7170000}"/>
    <cellStyle name="Comma 3 3 2 2 2 5 2 2 3" xfId="1047" xr:uid="{00000000-0005-0000-0000-0000B8170000}"/>
    <cellStyle name="Comma 3 3 2 2 2 5 2 2 3 2" xfId="6778" xr:uid="{00000000-0005-0000-0000-0000B9170000}"/>
    <cellStyle name="Comma 3 3 2 2 2 5 2 2 3 2 2" xfId="9485" xr:uid="{00000000-0005-0000-0000-0000BA170000}"/>
    <cellStyle name="Comma 3 3 2 2 2 5 2 2 3 3" xfId="8146" xr:uid="{00000000-0005-0000-0000-0000BB170000}"/>
    <cellStyle name="Comma 3 3 2 2 2 5 2 2 4" xfId="6500" xr:uid="{00000000-0005-0000-0000-0000BC170000}"/>
    <cellStyle name="Comma 3 3 2 2 2 5 2 2 4 2" xfId="9217" xr:uid="{00000000-0005-0000-0000-0000BD170000}"/>
    <cellStyle name="Comma 3 3 2 2 2 5 2 2 5" xfId="7878" xr:uid="{00000000-0005-0000-0000-0000BE170000}"/>
    <cellStyle name="Comma 3 3 2 2 2 5 2 3" xfId="929" xr:uid="{00000000-0005-0000-0000-0000BF170000}"/>
    <cellStyle name="Comma 3 3 2 2 2 5 2 3 2" xfId="1205" xr:uid="{00000000-0005-0000-0000-0000C0170000}"/>
    <cellStyle name="Comma 3 3 2 2 2 5 2 3 2 2" xfId="6923" xr:uid="{00000000-0005-0000-0000-0000C1170000}"/>
    <cellStyle name="Comma 3 3 2 2 2 5 2 3 2 2 2" xfId="9630" xr:uid="{00000000-0005-0000-0000-0000C2170000}"/>
    <cellStyle name="Comma 3 3 2 2 2 5 2 3 2 3" xfId="8291" xr:uid="{00000000-0005-0000-0000-0000C3170000}"/>
    <cellStyle name="Comma 3 3 2 2 2 5 2 3 3" xfId="6662" xr:uid="{00000000-0005-0000-0000-0000C4170000}"/>
    <cellStyle name="Comma 3 3 2 2 2 5 2 3 3 2" xfId="9369" xr:uid="{00000000-0005-0000-0000-0000C5170000}"/>
    <cellStyle name="Comma 3 3 2 2 2 5 2 3 4" xfId="8030" xr:uid="{00000000-0005-0000-0000-0000C6170000}"/>
    <cellStyle name="Comma 3 3 2 2 2 5 2 4" xfId="1019" xr:uid="{00000000-0005-0000-0000-0000C7170000}"/>
    <cellStyle name="Comma 3 3 2 2 2 5 2 4 2" xfId="6750" xr:uid="{00000000-0005-0000-0000-0000C8170000}"/>
    <cellStyle name="Comma 3 3 2 2 2 5 2 4 2 2" xfId="9457" xr:uid="{00000000-0005-0000-0000-0000C9170000}"/>
    <cellStyle name="Comma 3 3 2 2 2 5 2 4 3" xfId="8118" xr:uid="{00000000-0005-0000-0000-0000CA170000}"/>
    <cellStyle name="Comma 3 3 2 2 2 5 2 5" xfId="6424" xr:uid="{00000000-0005-0000-0000-0000CB170000}"/>
    <cellStyle name="Comma 3 3 2 2 2 5 2 5 2" xfId="9143" xr:uid="{00000000-0005-0000-0000-0000CC170000}"/>
    <cellStyle name="Comma 3 3 2 2 2 5 2 6" xfId="7804" xr:uid="{00000000-0005-0000-0000-0000CD170000}"/>
    <cellStyle name="Comma 3 3 2 2 2 5 3" xfId="6406" xr:uid="{00000000-0005-0000-0000-0000CE170000}"/>
    <cellStyle name="Comma 3 3 2 2 2 5 3 2" xfId="9125" xr:uid="{00000000-0005-0000-0000-0000CF170000}"/>
    <cellStyle name="Comma 3 3 2 2 2 5 4" xfId="7786" xr:uid="{00000000-0005-0000-0000-0000D0170000}"/>
    <cellStyle name="Comma 3 3 2 2 3" xfId="8865" xr:uid="{00000000-0005-0000-0000-0000D1170000}"/>
    <cellStyle name="Comma 3 3 2 3" xfId="4872" xr:uid="{00000000-0005-0000-0000-0000D2170000}"/>
    <cellStyle name="Comma 3 3 2 3 2" xfId="7507" xr:uid="{00000000-0005-0000-0000-0000D3170000}"/>
    <cellStyle name="Comma 3 3 2 3 2 2" xfId="10206" xr:uid="{00000000-0005-0000-0000-0000D4170000}"/>
    <cellStyle name="Comma 3 3 2 3 3" xfId="8866" xr:uid="{00000000-0005-0000-0000-0000D5170000}"/>
    <cellStyle name="Comma 3 3 2 4" xfId="4870" xr:uid="{00000000-0005-0000-0000-0000D6170000}"/>
    <cellStyle name="Comma 3 3 2 4 2" xfId="7505" xr:uid="{00000000-0005-0000-0000-0000D7170000}"/>
    <cellStyle name="Comma 3 3 2 4 2 2" xfId="10204" xr:uid="{00000000-0005-0000-0000-0000D8170000}"/>
    <cellStyle name="Comma 3 3 2 4 3" xfId="8864" xr:uid="{00000000-0005-0000-0000-0000D9170000}"/>
    <cellStyle name="Comma 3 3 3" xfId="928" xr:uid="{00000000-0005-0000-0000-0000DA170000}"/>
    <cellStyle name="Comma 3 3 3 2" xfId="1204" xr:uid="{00000000-0005-0000-0000-0000DB170000}"/>
    <cellStyle name="Comma 3 3 3 2 2" xfId="6922" xr:uid="{00000000-0005-0000-0000-0000DC170000}"/>
    <cellStyle name="Comma 3 3 3 2 2 2" xfId="9629" xr:uid="{00000000-0005-0000-0000-0000DD170000}"/>
    <cellStyle name="Comma 3 3 3 2 3" xfId="8290" xr:uid="{00000000-0005-0000-0000-0000DE170000}"/>
    <cellStyle name="Comma 3 3 3 3" xfId="6661" xr:uid="{00000000-0005-0000-0000-0000DF170000}"/>
    <cellStyle name="Comma 3 3 3 3 2" xfId="9368" xr:uid="{00000000-0005-0000-0000-0000E0170000}"/>
    <cellStyle name="Comma 3 3 3 4" xfId="8029" xr:uid="{00000000-0005-0000-0000-0000E1170000}"/>
    <cellStyle name="Comma 3 3 4" xfId="1313" xr:uid="{00000000-0005-0000-0000-0000E2170000}"/>
    <cellStyle name="Comma 3 3 5" xfId="1028" xr:uid="{00000000-0005-0000-0000-0000E3170000}"/>
    <cellStyle name="Comma 3 3 5 2" xfId="6759" xr:uid="{00000000-0005-0000-0000-0000E4170000}"/>
    <cellStyle name="Comma 3 3 5 2 2" xfId="9466" xr:uid="{00000000-0005-0000-0000-0000E5170000}"/>
    <cellStyle name="Comma 3 3 5 3" xfId="8127" xr:uid="{00000000-0005-0000-0000-0000E6170000}"/>
    <cellStyle name="Comma 3 3 6" xfId="518" xr:uid="{00000000-0005-0000-0000-0000E7170000}"/>
    <cellStyle name="Comma 3 3 6 2" xfId="6499" xr:uid="{00000000-0005-0000-0000-0000E8170000}"/>
    <cellStyle name="Comma 3 3 6 2 2" xfId="9216" xr:uid="{00000000-0005-0000-0000-0000E9170000}"/>
    <cellStyle name="Comma 3 3 6 3" xfId="7877" xr:uid="{00000000-0005-0000-0000-0000EA170000}"/>
    <cellStyle name="Comma 3 3 7" xfId="1367" xr:uid="{00000000-0005-0000-0000-0000EB170000}"/>
    <cellStyle name="Comma 3 3 7 2" xfId="7072" xr:uid="{00000000-0005-0000-0000-0000EC170000}"/>
    <cellStyle name="Comma 3 4" xfId="149" xr:uid="{00000000-0005-0000-0000-0000ED170000}"/>
    <cellStyle name="Comma 3 4 2" xfId="246" xr:uid="{00000000-0005-0000-0000-0000EE170000}"/>
    <cellStyle name="Comma 3 4 2 2" xfId="263" xr:uid="{00000000-0005-0000-0000-0000EF170000}"/>
    <cellStyle name="Comma 3 4 2 2 2" xfId="278" xr:uid="{00000000-0005-0000-0000-0000F0170000}"/>
    <cellStyle name="Comma 3 4 2 2 2 2" xfId="523" xr:uid="{00000000-0005-0000-0000-0000F1170000}"/>
    <cellStyle name="Comma 3 4 2 2 2 2 2" xfId="971" xr:uid="{00000000-0005-0000-0000-0000F2170000}"/>
    <cellStyle name="Comma 3 4 2 2 2 2 2 2" xfId="1290" xr:uid="{00000000-0005-0000-0000-0000F3170000}"/>
    <cellStyle name="Comma 3 4 2 2 2 2 2 2 2" xfId="7000" xr:uid="{00000000-0005-0000-0000-0000F4170000}"/>
    <cellStyle name="Comma 3 4 2 2 2 2 2 2 2 2" xfId="9707" xr:uid="{00000000-0005-0000-0000-0000F5170000}"/>
    <cellStyle name="Comma 3 4 2 2 2 2 2 2 3" xfId="8368" xr:uid="{00000000-0005-0000-0000-0000F6170000}"/>
    <cellStyle name="Comma 3 4 2 2 2 2 2 3" xfId="6703" xr:uid="{00000000-0005-0000-0000-0000F7170000}"/>
    <cellStyle name="Comma 3 4 2 2 2 2 2 3 2" xfId="9410" xr:uid="{00000000-0005-0000-0000-0000F8170000}"/>
    <cellStyle name="Comma 3 4 2 2 2 2 2 4" xfId="8071" xr:uid="{00000000-0005-0000-0000-0000F9170000}"/>
    <cellStyle name="Comma 3 4 2 2 2 2 3" xfId="1052" xr:uid="{00000000-0005-0000-0000-0000FA170000}"/>
    <cellStyle name="Comma 3 4 2 2 2 2 3 2" xfId="6783" xr:uid="{00000000-0005-0000-0000-0000FB170000}"/>
    <cellStyle name="Comma 3 4 2 2 2 2 3 2 2" xfId="9490" xr:uid="{00000000-0005-0000-0000-0000FC170000}"/>
    <cellStyle name="Comma 3 4 2 2 2 2 3 3" xfId="8151" xr:uid="{00000000-0005-0000-0000-0000FD170000}"/>
    <cellStyle name="Comma 3 4 2 2 2 2 4" xfId="6502" xr:uid="{00000000-0005-0000-0000-0000FE170000}"/>
    <cellStyle name="Comma 3 4 2 2 2 2 4 2" xfId="9219" xr:uid="{00000000-0005-0000-0000-0000FF170000}"/>
    <cellStyle name="Comma 3 4 2 2 2 2 5" xfId="7880" xr:uid="{00000000-0005-0000-0000-000000180000}"/>
    <cellStyle name="Comma 3 4 2 2 2 3" xfId="931" xr:uid="{00000000-0005-0000-0000-000001180000}"/>
    <cellStyle name="Comma 3 4 2 2 2 3 2" xfId="1207" xr:uid="{00000000-0005-0000-0000-000002180000}"/>
    <cellStyle name="Comma 3 4 2 2 2 3 2 2" xfId="6925" xr:uid="{00000000-0005-0000-0000-000003180000}"/>
    <cellStyle name="Comma 3 4 2 2 2 3 2 2 2" xfId="9632" xr:uid="{00000000-0005-0000-0000-000004180000}"/>
    <cellStyle name="Comma 3 4 2 2 2 3 2 3" xfId="8293" xr:uid="{00000000-0005-0000-0000-000005180000}"/>
    <cellStyle name="Comma 3 4 2 2 2 3 3" xfId="6664" xr:uid="{00000000-0005-0000-0000-000006180000}"/>
    <cellStyle name="Comma 3 4 2 2 2 3 3 2" xfId="9371" xr:uid="{00000000-0005-0000-0000-000007180000}"/>
    <cellStyle name="Comma 3 4 2 2 2 3 4" xfId="8032" xr:uid="{00000000-0005-0000-0000-000008180000}"/>
    <cellStyle name="Comma 3 4 2 2 2 4" xfId="1024" xr:uid="{00000000-0005-0000-0000-000009180000}"/>
    <cellStyle name="Comma 3 4 2 2 2 4 2" xfId="6755" xr:uid="{00000000-0005-0000-0000-00000A180000}"/>
    <cellStyle name="Comma 3 4 2 2 2 4 2 2" xfId="9462" xr:uid="{00000000-0005-0000-0000-00000B180000}"/>
    <cellStyle name="Comma 3 4 2 2 2 4 3" xfId="8123" xr:uid="{00000000-0005-0000-0000-00000C180000}"/>
    <cellStyle name="Comma 3 4 2 2 2 5" xfId="6429" xr:uid="{00000000-0005-0000-0000-00000D180000}"/>
    <cellStyle name="Comma 3 4 2 2 2 5 2" xfId="9148" xr:uid="{00000000-0005-0000-0000-00000E180000}"/>
    <cellStyle name="Comma 3 4 2 2 2 6" xfId="7809" xr:uid="{00000000-0005-0000-0000-00000F180000}"/>
    <cellStyle name="Comma 3 4 2 2 3" xfId="522" xr:uid="{00000000-0005-0000-0000-000010180000}"/>
    <cellStyle name="Comma 3 4 2 2 3 2" xfId="986" xr:uid="{00000000-0005-0000-0000-000011180000}"/>
    <cellStyle name="Comma 3 4 2 2 3 2 2" xfId="1305" xr:uid="{00000000-0005-0000-0000-000012180000}"/>
    <cellStyle name="Comma 3 4 2 2 3 2 2 2" xfId="7015" xr:uid="{00000000-0005-0000-0000-000013180000}"/>
    <cellStyle name="Comma 3 4 2 2 3 2 2 2 2" xfId="9722" xr:uid="{00000000-0005-0000-0000-000014180000}"/>
    <cellStyle name="Comma 3 4 2 2 3 2 2 3" xfId="8383" xr:uid="{00000000-0005-0000-0000-000015180000}"/>
    <cellStyle name="Comma 3 4 2 2 3 2 3" xfId="6718" xr:uid="{00000000-0005-0000-0000-000016180000}"/>
    <cellStyle name="Comma 3 4 2 2 3 2 3 2" xfId="9425" xr:uid="{00000000-0005-0000-0000-000017180000}"/>
    <cellStyle name="Comma 3 4 2 2 3 2 4" xfId="8086" xr:uid="{00000000-0005-0000-0000-000018180000}"/>
    <cellStyle name="Comma 3 4 2 2 3 3" xfId="1037" xr:uid="{00000000-0005-0000-0000-000019180000}"/>
    <cellStyle name="Comma 3 4 2 2 3 3 2" xfId="6768" xr:uid="{00000000-0005-0000-0000-00001A180000}"/>
    <cellStyle name="Comma 3 4 2 2 3 3 2 2" xfId="9475" xr:uid="{00000000-0005-0000-0000-00001B180000}"/>
    <cellStyle name="Comma 3 4 2 2 3 3 3" xfId="8136" xr:uid="{00000000-0005-0000-0000-00001C180000}"/>
    <cellStyle name="Comma 3 4 2 2 3 4" xfId="6501" xr:uid="{00000000-0005-0000-0000-00001D180000}"/>
    <cellStyle name="Comma 3 4 2 2 3 4 2" xfId="9218" xr:uid="{00000000-0005-0000-0000-00001E180000}"/>
    <cellStyle name="Comma 3 4 2 2 3 5" xfId="7879" xr:uid="{00000000-0005-0000-0000-00001F180000}"/>
    <cellStyle name="Comma 3 4 2 2 4" xfId="930" xr:uid="{00000000-0005-0000-0000-000020180000}"/>
    <cellStyle name="Comma 3 4 2 2 4 2" xfId="1206" xr:uid="{00000000-0005-0000-0000-000021180000}"/>
    <cellStyle name="Comma 3 4 2 2 4 2 2" xfId="6924" xr:uid="{00000000-0005-0000-0000-000022180000}"/>
    <cellStyle name="Comma 3 4 2 2 4 2 2 2" xfId="9631" xr:uid="{00000000-0005-0000-0000-000023180000}"/>
    <cellStyle name="Comma 3 4 2 2 4 2 3" xfId="8292" xr:uid="{00000000-0005-0000-0000-000024180000}"/>
    <cellStyle name="Comma 3 4 2 2 4 3" xfId="6663" xr:uid="{00000000-0005-0000-0000-000025180000}"/>
    <cellStyle name="Comma 3 4 2 2 4 3 2" xfId="9370" xr:uid="{00000000-0005-0000-0000-000026180000}"/>
    <cellStyle name="Comma 3 4 2 2 4 4" xfId="8031" xr:uid="{00000000-0005-0000-0000-000027180000}"/>
    <cellStyle name="Comma 3 4 2 2 5" xfId="1009" xr:uid="{00000000-0005-0000-0000-000028180000}"/>
    <cellStyle name="Comma 3 4 2 2 5 2" xfId="6740" xr:uid="{00000000-0005-0000-0000-000029180000}"/>
    <cellStyle name="Comma 3 4 2 2 5 2 2" xfId="9447" xr:uid="{00000000-0005-0000-0000-00002A180000}"/>
    <cellStyle name="Comma 3 4 2 2 5 3" xfId="8108" xr:uid="{00000000-0005-0000-0000-00002B180000}"/>
    <cellStyle name="Comma 3 4 2 2 6" xfId="6414" xr:uid="{00000000-0005-0000-0000-00002C180000}"/>
    <cellStyle name="Comma 3 4 2 2 6 2" xfId="9133" xr:uid="{00000000-0005-0000-0000-00002D180000}"/>
    <cellStyle name="Comma 3 4 2 2 7" xfId="7794" xr:uid="{00000000-0005-0000-0000-00002E180000}"/>
    <cellStyle name="Comma 3 4 2 3" xfId="4873" xr:uid="{00000000-0005-0000-0000-00002F180000}"/>
    <cellStyle name="Comma 3 4 2 3 2" xfId="7508" xr:uid="{00000000-0005-0000-0000-000030180000}"/>
    <cellStyle name="Comma 3 4 2 3 2 2" xfId="10207" xr:uid="{00000000-0005-0000-0000-000031180000}"/>
    <cellStyle name="Comma 3 4 2 3 3" xfId="8867" xr:uid="{00000000-0005-0000-0000-000032180000}"/>
    <cellStyle name="Comma 3 4 2 4" xfId="6407" xr:uid="{00000000-0005-0000-0000-000033180000}"/>
    <cellStyle name="Comma 3 4 2 4 2" xfId="9126" xr:uid="{00000000-0005-0000-0000-000034180000}"/>
    <cellStyle name="Comma 3 4 2 5" xfId="7787" xr:uid="{00000000-0005-0000-0000-000035180000}"/>
    <cellStyle name="Comma 3 4 3" xfId="1314" xr:uid="{00000000-0005-0000-0000-000036180000}"/>
    <cellStyle name="Comma 3 4 3 2" xfId="4874" xr:uid="{00000000-0005-0000-0000-000037180000}"/>
    <cellStyle name="Comma 3 4 3 2 2" xfId="7509" xr:uid="{00000000-0005-0000-0000-000038180000}"/>
    <cellStyle name="Comma 3 4 3 2 2 2" xfId="10208" xr:uid="{00000000-0005-0000-0000-000039180000}"/>
    <cellStyle name="Comma 3 4 3 2 3" xfId="8868" xr:uid="{00000000-0005-0000-0000-00003A180000}"/>
    <cellStyle name="Comma 3 4 3 3" xfId="7020" xr:uid="{00000000-0005-0000-0000-00003B180000}"/>
    <cellStyle name="Comma 3 4 3 3 2" xfId="9727" xr:uid="{00000000-0005-0000-0000-00003C180000}"/>
    <cellStyle name="Comma 3 4 3 4" xfId="8388" xr:uid="{00000000-0005-0000-0000-00003D180000}"/>
    <cellStyle name="Comma 3 4 4" xfId="521" xr:uid="{00000000-0005-0000-0000-00003E180000}"/>
    <cellStyle name="Comma 3 4 4 2" xfId="4875" xr:uid="{00000000-0005-0000-0000-00003F180000}"/>
    <cellStyle name="Comma 3 4 4 2 2" xfId="7510" xr:uid="{00000000-0005-0000-0000-000040180000}"/>
    <cellStyle name="Comma 3 4 4 2 2 2" xfId="10209" xr:uid="{00000000-0005-0000-0000-000041180000}"/>
    <cellStyle name="Comma 3 4 4 2 3" xfId="8869" xr:uid="{00000000-0005-0000-0000-000042180000}"/>
    <cellStyle name="Comma 3 4 5" xfId="1368" xr:uid="{00000000-0005-0000-0000-000043180000}"/>
    <cellStyle name="Comma 3 4 5 2" xfId="7073" xr:uid="{00000000-0005-0000-0000-000044180000}"/>
    <cellStyle name="Comma 3 4 5 2 2" xfId="9778" xr:uid="{00000000-0005-0000-0000-000045180000}"/>
    <cellStyle name="Comma 3 4 5 3" xfId="8439" xr:uid="{00000000-0005-0000-0000-000046180000}"/>
    <cellStyle name="Comma 3 4 6" xfId="6348" xr:uid="{00000000-0005-0000-0000-000047180000}"/>
    <cellStyle name="Comma 3 4 6 2" xfId="9067" xr:uid="{00000000-0005-0000-0000-000048180000}"/>
    <cellStyle name="Comma 3 4 7" xfId="7728" xr:uid="{00000000-0005-0000-0000-000049180000}"/>
    <cellStyle name="Comma 3 5" xfId="511" xr:uid="{00000000-0005-0000-0000-00004A180000}"/>
    <cellStyle name="Comma 3 5 2" xfId="1199" xr:uid="{00000000-0005-0000-0000-00004B180000}"/>
    <cellStyle name="Comma 3 5 2 2" xfId="6917" xr:uid="{00000000-0005-0000-0000-00004C180000}"/>
    <cellStyle name="Comma 3 5 2 2 2" xfId="9624" xr:uid="{00000000-0005-0000-0000-00004D180000}"/>
    <cellStyle name="Comma 3 5 2 3" xfId="8285" xr:uid="{00000000-0005-0000-0000-00004E180000}"/>
    <cellStyle name="Comma 3 5 3" xfId="4876" xr:uid="{00000000-0005-0000-0000-00004F180000}"/>
    <cellStyle name="Comma 3 5 3 2" xfId="7511" xr:uid="{00000000-0005-0000-0000-000050180000}"/>
    <cellStyle name="Comma 3 5 3 2 2" xfId="10210" xr:uid="{00000000-0005-0000-0000-000051180000}"/>
    <cellStyle name="Comma 3 5 3 3" xfId="8870" xr:uid="{00000000-0005-0000-0000-000052180000}"/>
    <cellStyle name="Comma 3 5 4" xfId="6493" xr:uid="{00000000-0005-0000-0000-000053180000}"/>
    <cellStyle name="Comma 3 5 4 2" xfId="9210" xr:uid="{00000000-0005-0000-0000-000054180000}"/>
    <cellStyle name="Comma 3 5 5" xfId="7871" xr:uid="{00000000-0005-0000-0000-000055180000}"/>
    <cellStyle name="Comma 3 6" xfId="923" xr:uid="{00000000-0005-0000-0000-000056180000}"/>
    <cellStyle name="Comma 3 6 2" xfId="4877" xr:uid="{00000000-0005-0000-0000-000057180000}"/>
    <cellStyle name="Comma 3 6 3" xfId="6656" xr:uid="{00000000-0005-0000-0000-000058180000}"/>
    <cellStyle name="Comma 3 6 3 2" xfId="9363" xr:uid="{00000000-0005-0000-0000-000059180000}"/>
    <cellStyle name="Comma 3 6 4" xfId="8024" xr:uid="{00000000-0005-0000-0000-00005A180000}"/>
    <cellStyle name="Comma 3 7" xfId="1002" xr:uid="{00000000-0005-0000-0000-00005B180000}"/>
    <cellStyle name="Comma 3 7 2" xfId="4878" xr:uid="{00000000-0005-0000-0000-00005C180000}"/>
    <cellStyle name="Comma 3 7 3" xfId="6733" xr:uid="{00000000-0005-0000-0000-00005D180000}"/>
    <cellStyle name="Comma 3 7 3 2" xfId="9440" xr:uid="{00000000-0005-0000-0000-00005E180000}"/>
    <cellStyle name="Comma 3 7 4" xfId="8101" xr:uid="{00000000-0005-0000-0000-00005F180000}"/>
    <cellStyle name="Comma 3 8" xfId="239" xr:uid="{00000000-0005-0000-0000-000060180000}"/>
    <cellStyle name="Comma 3 8 2" xfId="4879" xr:uid="{00000000-0005-0000-0000-000061180000}"/>
    <cellStyle name="Comma 3 8 3" xfId="6400" xr:uid="{00000000-0005-0000-0000-000062180000}"/>
    <cellStyle name="Comma 3 8 3 2" xfId="9119" xr:uid="{00000000-0005-0000-0000-000063180000}"/>
    <cellStyle name="Comma 3 8 4" xfId="7780" xr:uid="{00000000-0005-0000-0000-000064180000}"/>
    <cellStyle name="Comma 3 9" xfId="1363" xr:uid="{00000000-0005-0000-0000-000065180000}"/>
    <cellStyle name="Comma 3 9 2" xfId="4880" xr:uid="{00000000-0005-0000-0000-000066180000}"/>
    <cellStyle name="Comma 3 9 3" xfId="7068" xr:uid="{00000000-0005-0000-0000-000067180000}"/>
    <cellStyle name="Comma 3 9 3 2" xfId="9774" xr:uid="{00000000-0005-0000-0000-000068180000}"/>
    <cellStyle name="Comma 3 9 4" xfId="8435" xr:uid="{00000000-0005-0000-0000-000069180000}"/>
    <cellStyle name="Comma 30" xfId="524" xr:uid="{00000000-0005-0000-0000-00006A180000}"/>
    <cellStyle name="Comma 31" xfId="525" xr:uid="{00000000-0005-0000-0000-00006B180000}"/>
    <cellStyle name="Comma 31 2" xfId="932" xr:uid="{00000000-0005-0000-0000-00006C180000}"/>
    <cellStyle name="Comma 31 2 2" xfId="1208" xr:uid="{00000000-0005-0000-0000-00006D180000}"/>
    <cellStyle name="Comma 31 2 2 2" xfId="6926" xr:uid="{00000000-0005-0000-0000-00006E180000}"/>
    <cellStyle name="Comma 31 2 2 2 2" xfId="9633" xr:uid="{00000000-0005-0000-0000-00006F180000}"/>
    <cellStyle name="Comma 31 2 2 3" xfId="8294" xr:uid="{00000000-0005-0000-0000-000070180000}"/>
    <cellStyle name="Comma 31 2 3" xfId="6665" xr:uid="{00000000-0005-0000-0000-000071180000}"/>
    <cellStyle name="Comma 31 2 3 2" xfId="9372" xr:uid="{00000000-0005-0000-0000-000072180000}"/>
    <cellStyle name="Comma 31 2 4" xfId="8033" xr:uid="{00000000-0005-0000-0000-000073180000}"/>
    <cellStyle name="Comma 31 3" xfId="1097" xr:uid="{00000000-0005-0000-0000-000074180000}"/>
    <cellStyle name="Comma 31 3 2" xfId="6827" xr:uid="{00000000-0005-0000-0000-000075180000}"/>
    <cellStyle name="Comma 31 3 2 2" xfId="9534" xr:uid="{00000000-0005-0000-0000-000076180000}"/>
    <cellStyle name="Comma 31 3 3" xfId="8195" xr:uid="{00000000-0005-0000-0000-000077180000}"/>
    <cellStyle name="Comma 31 4" xfId="6503" xr:uid="{00000000-0005-0000-0000-000078180000}"/>
    <cellStyle name="Comma 31 4 2" xfId="9220" xr:uid="{00000000-0005-0000-0000-000079180000}"/>
    <cellStyle name="Comma 31 5" xfId="7881" xr:uid="{00000000-0005-0000-0000-00007A180000}"/>
    <cellStyle name="Comma 32" xfId="526" xr:uid="{00000000-0005-0000-0000-00007B180000}"/>
    <cellStyle name="Comma 32 2" xfId="933" xr:uid="{00000000-0005-0000-0000-00007C180000}"/>
    <cellStyle name="Comma 32 2 2" xfId="1209" xr:uid="{00000000-0005-0000-0000-00007D180000}"/>
    <cellStyle name="Comma 32 2 2 2" xfId="6927" xr:uid="{00000000-0005-0000-0000-00007E180000}"/>
    <cellStyle name="Comma 32 2 2 2 2" xfId="9634" xr:uid="{00000000-0005-0000-0000-00007F180000}"/>
    <cellStyle name="Comma 32 2 2 3" xfId="8295" xr:uid="{00000000-0005-0000-0000-000080180000}"/>
    <cellStyle name="Comma 32 2 3" xfId="6666" xr:uid="{00000000-0005-0000-0000-000081180000}"/>
    <cellStyle name="Comma 32 2 3 2" xfId="9373" xr:uid="{00000000-0005-0000-0000-000082180000}"/>
    <cellStyle name="Comma 32 2 4" xfId="8034" xr:uid="{00000000-0005-0000-0000-000083180000}"/>
    <cellStyle name="Comma 32 3" xfId="1098" xr:uid="{00000000-0005-0000-0000-000084180000}"/>
    <cellStyle name="Comma 32 3 2" xfId="6828" xr:uid="{00000000-0005-0000-0000-000085180000}"/>
    <cellStyle name="Comma 32 3 2 2" xfId="9535" xr:uid="{00000000-0005-0000-0000-000086180000}"/>
    <cellStyle name="Comma 32 3 3" xfId="8196" xr:uid="{00000000-0005-0000-0000-000087180000}"/>
    <cellStyle name="Comma 32 4" xfId="6504" xr:uid="{00000000-0005-0000-0000-000088180000}"/>
    <cellStyle name="Comma 32 4 2" xfId="9221" xr:uid="{00000000-0005-0000-0000-000089180000}"/>
    <cellStyle name="Comma 32 5" xfId="7882" xr:uid="{00000000-0005-0000-0000-00008A180000}"/>
    <cellStyle name="Comma 33" xfId="150" xr:uid="{00000000-0005-0000-0000-00008B180000}"/>
    <cellStyle name="Comma 33 2" xfId="151" xr:uid="{00000000-0005-0000-0000-00008C180000}"/>
    <cellStyle name="Comma 33 2 2" xfId="935" xr:uid="{00000000-0005-0000-0000-00008D180000}"/>
    <cellStyle name="Comma 33 2 2 2" xfId="1211" xr:uid="{00000000-0005-0000-0000-00008E180000}"/>
    <cellStyle name="Comma 33 2 2 2 2" xfId="6929" xr:uid="{00000000-0005-0000-0000-00008F180000}"/>
    <cellStyle name="Comma 33 2 2 2 2 2" xfId="9636" xr:uid="{00000000-0005-0000-0000-000090180000}"/>
    <cellStyle name="Comma 33 2 2 2 3" xfId="8297" xr:uid="{00000000-0005-0000-0000-000091180000}"/>
    <cellStyle name="Comma 33 2 2 3" xfId="6668" xr:uid="{00000000-0005-0000-0000-000092180000}"/>
    <cellStyle name="Comma 33 2 2 3 2" xfId="9375" xr:uid="{00000000-0005-0000-0000-000093180000}"/>
    <cellStyle name="Comma 33 2 2 4" xfId="8036" xr:uid="{00000000-0005-0000-0000-000094180000}"/>
    <cellStyle name="Comma 33 2 3" xfId="1100" xr:uid="{00000000-0005-0000-0000-000095180000}"/>
    <cellStyle name="Comma 33 2 3 2" xfId="6830" xr:uid="{00000000-0005-0000-0000-000096180000}"/>
    <cellStyle name="Comma 33 2 3 2 2" xfId="9537" xr:uid="{00000000-0005-0000-0000-000097180000}"/>
    <cellStyle name="Comma 33 2 3 3" xfId="8198" xr:uid="{00000000-0005-0000-0000-000098180000}"/>
    <cellStyle name="Comma 33 2 4" xfId="528" xr:uid="{00000000-0005-0000-0000-000099180000}"/>
    <cellStyle name="Comma 33 2 4 2" xfId="6506" xr:uid="{00000000-0005-0000-0000-00009A180000}"/>
    <cellStyle name="Comma 33 2 4 2 2" xfId="9223" xr:uid="{00000000-0005-0000-0000-00009B180000}"/>
    <cellStyle name="Comma 33 2 4 3" xfId="7884" xr:uid="{00000000-0005-0000-0000-00009C180000}"/>
    <cellStyle name="Comma 33 2 5" xfId="1369" xr:uid="{00000000-0005-0000-0000-00009D180000}"/>
    <cellStyle name="Comma 33 2 5 2" xfId="7074" xr:uid="{00000000-0005-0000-0000-00009E180000}"/>
    <cellStyle name="Comma 33 2 5 2 2" xfId="9779" xr:uid="{00000000-0005-0000-0000-00009F180000}"/>
    <cellStyle name="Comma 33 2 5 3" xfId="8440" xr:uid="{00000000-0005-0000-0000-0000A0180000}"/>
    <cellStyle name="Comma 33 2 6" xfId="6349" xr:uid="{00000000-0005-0000-0000-0000A1180000}"/>
    <cellStyle name="Comma 33 2 6 2" xfId="9068" xr:uid="{00000000-0005-0000-0000-0000A2180000}"/>
    <cellStyle name="Comma 33 2 7" xfId="7729" xr:uid="{00000000-0005-0000-0000-0000A3180000}"/>
    <cellStyle name="Comma 33 3" xfId="529" xr:uid="{00000000-0005-0000-0000-0000A4180000}"/>
    <cellStyle name="Comma 33 3 2" xfId="936" xr:uid="{00000000-0005-0000-0000-0000A5180000}"/>
    <cellStyle name="Comma 33 3 2 2" xfId="1212" xr:uid="{00000000-0005-0000-0000-0000A6180000}"/>
    <cellStyle name="Comma 33 3 2 2 2" xfId="6930" xr:uid="{00000000-0005-0000-0000-0000A7180000}"/>
    <cellStyle name="Comma 33 3 2 2 2 2" xfId="9637" xr:uid="{00000000-0005-0000-0000-0000A8180000}"/>
    <cellStyle name="Comma 33 3 2 2 3" xfId="8298" xr:uid="{00000000-0005-0000-0000-0000A9180000}"/>
    <cellStyle name="Comma 33 3 2 3" xfId="6669" xr:uid="{00000000-0005-0000-0000-0000AA180000}"/>
    <cellStyle name="Comma 33 3 2 3 2" xfId="9376" xr:uid="{00000000-0005-0000-0000-0000AB180000}"/>
    <cellStyle name="Comma 33 3 2 4" xfId="8037" xr:uid="{00000000-0005-0000-0000-0000AC180000}"/>
    <cellStyle name="Comma 33 3 3" xfId="1101" xr:uid="{00000000-0005-0000-0000-0000AD180000}"/>
    <cellStyle name="Comma 33 3 3 2" xfId="6831" xr:uid="{00000000-0005-0000-0000-0000AE180000}"/>
    <cellStyle name="Comma 33 3 3 2 2" xfId="9538" xr:uid="{00000000-0005-0000-0000-0000AF180000}"/>
    <cellStyle name="Comma 33 3 3 3" xfId="8199" xr:uid="{00000000-0005-0000-0000-0000B0180000}"/>
    <cellStyle name="Comma 33 3 4" xfId="1449" xr:uid="{00000000-0005-0000-0000-0000B1180000}"/>
    <cellStyle name="Comma 33 3 4 2" xfId="7144" xr:uid="{00000000-0005-0000-0000-0000B2180000}"/>
    <cellStyle name="Comma 33 3 4 2 2" xfId="9847" xr:uid="{00000000-0005-0000-0000-0000B3180000}"/>
    <cellStyle name="Comma 33 3 4 3" xfId="8507" xr:uid="{00000000-0005-0000-0000-0000B4180000}"/>
    <cellStyle name="Comma 33 3 5" xfId="6507" xr:uid="{00000000-0005-0000-0000-0000B5180000}"/>
    <cellStyle name="Comma 33 3 5 2" xfId="9224" xr:uid="{00000000-0005-0000-0000-0000B6180000}"/>
    <cellStyle name="Comma 33 3 6" xfId="7885" xr:uid="{00000000-0005-0000-0000-0000B7180000}"/>
    <cellStyle name="Comma 33 4" xfId="934" xr:uid="{00000000-0005-0000-0000-0000B8180000}"/>
    <cellStyle name="Comma 33 4 2" xfId="1210" xr:uid="{00000000-0005-0000-0000-0000B9180000}"/>
    <cellStyle name="Comma 33 4 2 2" xfId="6928" xr:uid="{00000000-0005-0000-0000-0000BA180000}"/>
    <cellStyle name="Comma 33 4 2 2 2" xfId="9635" xr:uid="{00000000-0005-0000-0000-0000BB180000}"/>
    <cellStyle name="Comma 33 4 2 3" xfId="8296" xr:uid="{00000000-0005-0000-0000-0000BC180000}"/>
    <cellStyle name="Comma 33 4 3" xfId="6667" xr:uid="{00000000-0005-0000-0000-0000BD180000}"/>
    <cellStyle name="Comma 33 4 3 2" xfId="9374" xr:uid="{00000000-0005-0000-0000-0000BE180000}"/>
    <cellStyle name="Comma 33 4 4" xfId="8035" xr:uid="{00000000-0005-0000-0000-0000BF180000}"/>
    <cellStyle name="Comma 33 5" xfId="1099" xr:uid="{00000000-0005-0000-0000-0000C0180000}"/>
    <cellStyle name="Comma 33 5 2" xfId="6829" xr:uid="{00000000-0005-0000-0000-0000C1180000}"/>
    <cellStyle name="Comma 33 5 2 2" xfId="9536" xr:uid="{00000000-0005-0000-0000-0000C2180000}"/>
    <cellStyle name="Comma 33 5 3" xfId="8197" xr:uid="{00000000-0005-0000-0000-0000C3180000}"/>
    <cellStyle name="Comma 33 6" xfId="527" xr:uid="{00000000-0005-0000-0000-0000C4180000}"/>
    <cellStyle name="Comma 33 6 2" xfId="6505" xr:uid="{00000000-0005-0000-0000-0000C5180000}"/>
    <cellStyle name="Comma 33 6 2 2" xfId="9222" xr:uid="{00000000-0005-0000-0000-0000C6180000}"/>
    <cellStyle name="Comma 33 6 3" xfId="7883" xr:uid="{00000000-0005-0000-0000-0000C7180000}"/>
    <cellStyle name="Comma 34" xfId="530" xr:uid="{00000000-0005-0000-0000-0000C8180000}"/>
    <cellStyle name="Comma 34 2" xfId="937" xr:uid="{00000000-0005-0000-0000-0000C9180000}"/>
    <cellStyle name="Comma 34 2 2" xfId="1213" xr:uid="{00000000-0005-0000-0000-0000CA180000}"/>
    <cellStyle name="Comma 34 2 2 2" xfId="6931" xr:uid="{00000000-0005-0000-0000-0000CB180000}"/>
    <cellStyle name="Comma 34 2 2 2 2" xfId="9638" xr:uid="{00000000-0005-0000-0000-0000CC180000}"/>
    <cellStyle name="Comma 34 2 2 3" xfId="8299" xr:uid="{00000000-0005-0000-0000-0000CD180000}"/>
    <cellStyle name="Comma 34 2 3" xfId="6670" xr:uid="{00000000-0005-0000-0000-0000CE180000}"/>
    <cellStyle name="Comma 34 2 3 2" xfId="9377" xr:uid="{00000000-0005-0000-0000-0000CF180000}"/>
    <cellStyle name="Comma 34 2 4" xfId="8038" xr:uid="{00000000-0005-0000-0000-0000D0180000}"/>
    <cellStyle name="Comma 34 3" xfId="1102" xr:uid="{00000000-0005-0000-0000-0000D1180000}"/>
    <cellStyle name="Comma 34 3 2" xfId="6832" xr:uid="{00000000-0005-0000-0000-0000D2180000}"/>
    <cellStyle name="Comma 34 3 2 2" xfId="9539" xr:uid="{00000000-0005-0000-0000-0000D3180000}"/>
    <cellStyle name="Comma 34 3 3" xfId="8200" xr:uid="{00000000-0005-0000-0000-0000D4180000}"/>
    <cellStyle name="Comma 34 4" xfId="6508" xr:uid="{00000000-0005-0000-0000-0000D5180000}"/>
    <cellStyle name="Comma 34 4 2" xfId="9225" xr:uid="{00000000-0005-0000-0000-0000D6180000}"/>
    <cellStyle name="Comma 34 5" xfId="7886" xr:uid="{00000000-0005-0000-0000-0000D7180000}"/>
    <cellStyle name="Comma 35" xfId="531" xr:uid="{00000000-0005-0000-0000-0000D8180000}"/>
    <cellStyle name="Comma 35 2" xfId="938" xr:uid="{00000000-0005-0000-0000-0000D9180000}"/>
    <cellStyle name="Comma 35 2 2" xfId="1214" xr:uid="{00000000-0005-0000-0000-0000DA180000}"/>
    <cellStyle name="Comma 35 2 2 2" xfId="6932" xr:uid="{00000000-0005-0000-0000-0000DB180000}"/>
    <cellStyle name="Comma 35 2 2 2 2" xfId="9639" xr:uid="{00000000-0005-0000-0000-0000DC180000}"/>
    <cellStyle name="Comma 35 2 2 3" xfId="8300" xr:uid="{00000000-0005-0000-0000-0000DD180000}"/>
    <cellStyle name="Comma 35 2 3" xfId="6671" xr:uid="{00000000-0005-0000-0000-0000DE180000}"/>
    <cellStyle name="Comma 35 2 3 2" xfId="9378" xr:uid="{00000000-0005-0000-0000-0000DF180000}"/>
    <cellStyle name="Comma 35 2 4" xfId="8039" xr:uid="{00000000-0005-0000-0000-0000E0180000}"/>
    <cellStyle name="Comma 35 3" xfId="1103" xr:uid="{00000000-0005-0000-0000-0000E1180000}"/>
    <cellStyle name="Comma 35 3 2" xfId="6833" xr:uid="{00000000-0005-0000-0000-0000E2180000}"/>
    <cellStyle name="Comma 35 3 2 2" xfId="9540" xr:uid="{00000000-0005-0000-0000-0000E3180000}"/>
    <cellStyle name="Comma 35 3 3" xfId="8201" xr:uid="{00000000-0005-0000-0000-0000E4180000}"/>
    <cellStyle name="Comma 35 4" xfId="6509" xr:uid="{00000000-0005-0000-0000-0000E5180000}"/>
    <cellStyle name="Comma 35 4 2" xfId="9226" xr:uid="{00000000-0005-0000-0000-0000E6180000}"/>
    <cellStyle name="Comma 35 5" xfId="7887" xr:uid="{00000000-0005-0000-0000-0000E7180000}"/>
    <cellStyle name="Comma 36" xfId="532" xr:uid="{00000000-0005-0000-0000-0000E8180000}"/>
    <cellStyle name="Comma 36 2" xfId="939" xr:uid="{00000000-0005-0000-0000-0000E9180000}"/>
    <cellStyle name="Comma 36 2 2" xfId="1215" xr:uid="{00000000-0005-0000-0000-0000EA180000}"/>
    <cellStyle name="Comma 36 2 2 2" xfId="6933" xr:uid="{00000000-0005-0000-0000-0000EB180000}"/>
    <cellStyle name="Comma 36 2 2 2 2" xfId="9640" xr:uid="{00000000-0005-0000-0000-0000EC180000}"/>
    <cellStyle name="Comma 36 2 2 3" xfId="8301" xr:uid="{00000000-0005-0000-0000-0000ED180000}"/>
    <cellStyle name="Comma 36 2 3" xfId="6672" xr:uid="{00000000-0005-0000-0000-0000EE180000}"/>
    <cellStyle name="Comma 36 2 3 2" xfId="9379" xr:uid="{00000000-0005-0000-0000-0000EF180000}"/>
    <cellStyle name="Comma 36 2 4" xfId="8040" xr:uid="{00000000-0005-0000-0000-0000F0180000}"/>
    <cellStyle name="Comma 36 3" xfId="1104" xr:uid="{00000000-0005-0000-0000-0000F1180000}"/>
    <cellStyle name="Comma 36 3 2" xfId="6834" xr:uid="{00000000-0005-0000-0000-0000F2180000}"/>
    <cellStyle name="Comma 36 3 2 2" xfId="9541" xr:uid="{00000000-0005-0000-0000-0000F3180000}"/>
    <cellStyle name="Comma 36 3 3" xfId="8202" xr:uid="{00000000-0005-0000-0000-0000F4180000}"/>
    <cellStyle name="Comma 36 4" xfId="6510" xr:uid="{00000000-0005-0000-0000-0000F5180000}"/>
    <cellStyle name="Comma 36 4 2" xfId="9227" xr:uid="{00000000-0005-0000-0000-0000F6180000}"/>
    <cellStyle name="Comma 36 5" xfId="7888" xr:uid="{00000000-0005-0000-0000-0000F7180000}"/>
    <cellStyle name="Comma 37" xfId="533" xr:uid="{00000000-0005-0000-0000-0000F8180000}"/>
    <cellStyle name="Comma 37 3" xfId="534" xr:uid="{00000000-0005-0000-0000-0000F9180000}"/>
    <cellStyle name="Comma 37 3 2" xfId="940" xr:uid="{00000000-0005-0000-0000-0000FA180000}"/>
    <cellStyle name="Comma 37 3 2 2" xfId="1217" xr:uid="{00000000-0005-0000-0000-0000FB180000}"/>
    <cellStyle name="Comma 37 3 2 2 2" xfId="6935" xr:uid="{00000000-0005-0000-0000-0000FC180000}"/>
    <cellStyle name="Comma 37 3 2 2 2 2" xfId="9642" xr:uid="{00000000-0005-0000-0000-0000FD180000}"/>
    <cellStyle name="Comma 37 3 2 2 3" xfId="8303" xr:uid="{00000000-0005-0000-0000-0000FE180000}"/>
    <cellStyle name="Comma 37 3 2 3" xfId="6673" xr:uid="{00000000-0005-0000-0000-0000FF180000}"/>
    <cellStyle name="Comma 37 3 2 3 2" xfId="9380" xr:uid="{00000000-0005-0000-0000-000000190000}"/>
    <cellStyle name="Comma 37 3 2 4" xfId="8041" xr:uid="{00000000-0005-0000-0000-000001190000}"/>
    <cellStyle name="Comma 37 3 3" xfId="1105" xr:uid="{00000000-0005-0000-0000-000002190000}"/>
    <cellStyle name="Comma 37 3 3 2" xfId="6835" xr:uid="{00000000-0005-0000-0000-000003190000}"/>
    <cellStyle name="Comma 37 3 3 2 2" xfId="9542" xr:uid="{00000000-0005-0000-0000-000004190000}"/>
    <cellStyle name="Comma 37 3 3 3" xfId="8203" xr:uid="{00000000-0005-0000-0000-000005190000}"/>
    <cellStyle name="Comma 37 3 4" xfId="1485" xr:uid="{00000000-0005-0000-0000-000006190000}"/>
    <cellStyle name="Comma 37 3 4 2" xfId="7176" xr:uid="{00000000-0005-0000-0000-000007190000}"/>
    <cellStyle name="Comma 37 3 4 2 2" xfId="9879" xr:uid="{00000000-0005-0000-0000-000008190000}"/>
    <cellStyle name="Comma 37 3 4 3" xfId="8539" xr:uid="{00000000-0005-0000-0000-000009190000}"/>
    <cellStyle name="Comma 37 3 5" xfId="6511" xr:uid="{00000000-0005-0000-0000-00000A190000}"/>
    <cellStyle name="Comma 37 3 5 2" xfId="9228" xr:uid="{00000000-0005-0000-0000-00000B190000}"/>
    <cellStyle name="Comma 37 3 6" xfId="7889" xr:uid="{00000000-0005-0000-0000-00000C190000}"/>
    <cellStyle name="Comma 38" xfId="535" xr:uid="{00000000-0005-0000-0000-00000D190000}"/>
    <cellStyle name="Comma 38 2" xfId="941" xr:uid="{00000000-0005-0000-0000-00000E190000}"/>
    <cellStyle name="Comma 38 2 2" xfId="1218" xr:uid="{00000000-0005-0000-0000-00000F190000}"/>
    <cellStyle name="Comma 38 2 2 2" xfId="6936" xr:uid="{00000000-0005-0000-0000-000010190000}"/>
    <cellStyle name="Comma 38 2 2 2 2" xfId="9643" xr:uid="{00000000-0005-0000-0000-000011190000}"/>
    <cellStyle name="Comma 38 2 2 3" xfId="8304" xr:uid="{00000000-0005-0000-0000-000012190000}"/>
    <cellStyle name="Comma 38 2 3" xfId="6674" xr:uid="{00000000-0005-0000-0000-000013190000}"/>
    <cellStyle name="Comma 38 2 3 2" xfId="9381" xr:uid="{00000000-0005-0000-0000-000014190000}"/>
    <cellStyle name="Comma 38 2 4" xfId="8042" xr:uid="{00000000-0005-0000-0000-000015190000}"/>
    <cellStyle name="Comma 38 3" xfId="1106" xr:uid="{00000000-0005-0000-0000-000016190000}"/>
    <cellStyle name="Comma 38 3 2" xfId="6836" xr:uid="{00000000-0005-0000-0000-000017190000}"/>
    <cellStyle name="Comma 38 3 2 2" xfId="9543" xr:uid="{00000000-0005-0000-0000-000018190000}"/>
    <cellStyle name="Comma 38 3 3" xfId="8204" xr:uid="{00000000-0005-0000-0000-000019190000}"/>
    <cellStyle name="Comma 38 4" xfId="1486" xr:uid="{00000000-0005-0000-0000-00001A190000}"/>
    <cellStyle name="Comma 38 4 2" xfId="7177" xr:uid="{00000000-0005-0000-0000-00001B190000}"/>
    <cellStyle name="Comma 38 4 2 2" xfId="9880" xr:uid="{00000000-0005-0000-0000-00001C190000}"/>
    <cellStyle name="Comma 38 4 3" xfId="8540" xr:uid="{00000000-0005-0000-0000-00001D190000}"/>
    <cellStyle name="Comma 38 5" xfId="6512" xr:uid="{00000000-0005-0000-0000-00001E190000}"/>
    <cellStyle name="Comma 38 5 2" xfId="9229" xr:uid="{00000000-0005-0000-0000-00001F190000}"/>
    <cellStyle name="Comma 38 6" xfId="7890" xr:uid="{00000000-0005-0000-0000-000020190000}"/>
    <cellStyle name="Comma 39" xfId="536" xr:uid="{00000000-0005-0000-0000-000021190000}"/>
    <cellStyle name="Comma 4" xfId="14" xr:uid="{00000000-0005-0000-0000-000022190000}"/>
    <cellStyle name="Comma 4 2" xfId="153" xr:uid="{00000000-0005-0000-0000-000023190000}"/>
    <cellStyle name="Comma 4 2 2" xfId="281" xr:uid="{00000000-0005-0000-0000-000024190000}"/>
    <cellStyle name="Comma 4 2 2 2" xfId="539" xr:uid="{00000000-0005-0000-0000-000025190000}"/>
    <cellStyle name="Comma 4 2 2 2 2" xfId="944" xr:uid="{00000000-0005-0000-0000-000026190000}"/>
    <cellStyle name="Comma 4 2 2 2 2 2" xfId="1221" xr:uid="{00000000-0005-0000-0000-000027190000}"/>
    <cellStyle name="Comma 4 2 2 2 2 2 2" xfId="6939" xr:uid="{00000000-0005-0000-0000-000028190000}"/>
    <cellStyle name="Comma 4 2 2 2 2 2 2 2" xfId="9646" xr:uid="{00000000-0005-0000-0000-000029190000}"/>
    <cellStyle name="Comma 4 2 2 2 2 2 3" xfId="8307" xr:uid="{00000000-0005-0000-0000-00002A190000}"/>
    <cellStyle name="Comma 4 2 2 2 2 3" xfId="4882" xr:uid="{00000000-0005-0000-0000-00002B190000}"/>
    <cellStyle name="Comma 4 2 2 2 2 3 2" xfId="7513" xr:uid="{00000000-0005-0000-0000-00002C190000}"/>
    <cellStyle name="Comma 4 2 2 2 2 3 2 2" xfId="10212" xr:uid="{00000000-0005-0000-0000-00002D190000}"/>
    <cellStyle name="Comma 4 2 2 2 2 3 3" xfId="8872" xr:uid="{00000000-0005-0000-0000-00002E190000}"/>
    <cellStyle name="Comma 4 2 2 2 2 4" xfId="6677" xr:uid="{00000000-0005-0000-0000-00002F190000}"/>
    <cellStyle name="Comma 4 2 2 2 2 4 2" xfId="9384" xr:uid="{00000000-0005-0000-0000-000030190000}"/>
    <cellStyle name="Comma 4 2 2 2 2 5" xfId="8045" xr:uid="{00000000-0005-0000-0000-000031190000}"/>
    <cellStyle name="Comma 4 2 2 2 3" xfId="1055" xr:uid="{00000000-0005-0000-0000-000032190000}"/>
    <cellStyle name="Comma 4 2 2 2 3 2" xfId="4883" xr:uid="{00000000-0005-0000-0000-000033190000}"/>
    <cellStyle name="Comma 4 2 2 2 3 2 2" xfId="7514" xr:uid="{00000000-0005-0000-0000-000034190000}"/>
    <cellStyle name="Comma 4 2 2 2 3 2 2 2" xfId="10213" xr:uid="{00000000-0005-0000-0000-000035190000}"/>
    <cellStyle name="Comma 4 2 2 2 3 2 3" xfId="8873" xr:uid="{00000000-0005-0000-0000-000036190000}"/>
    <cellStyle name="Comma 4 2 2 2 3 3" xfId="6786" xr:uid="{00000000-0005-0000-0000-000037190000}"/>
    <cellStyle name="Comma 4 2 2 2 3 3 2" xfId="9493" xr:uid="{00000000-0005-0000-0000-000038190000}"/>
    <cellStyle name="Comma 4 2 2 2 3 4" xfId="8154" xr:uid="{00000000-0005-0000-0000-000039190000}"/>
    <cellStyle name="Comma 4 2 2 2 4" xfId="4881" xr:uid="{00000000-0005-0000-0000-00003A190000}"/>
    <cellStyle name="Comma 4 2 2 2 4 2" xfId="7512" xr:uid="{00000000-0005-0000-0000-00003B190000}"/>
    <cellStyle name="Comma 4 2 2 2 4 2 2" xfId="10211" xr:uid="{00000000-0005-0000-0000-00003C190000}"/>
    <cellStyle name="Comma 4 2 2 2 4 3" xfId="8871" xr:uid="{00000000-0005-0000-0000-00003D190000}"/>
    <cellStyle name="Comma 4 2 2 2 5" xfId="6515" xr:uid="{00000000-0005-0000-0000-00003E190000}"/>
    <cellStyle name="Comma 4 2 2 2 5 2" xfId="9232" xr:uid="{00000000-0005-0000-0000-00003F190000}"/>
    <cellStyle name="Comma 4 2 2 2 6" xfId="7893" xr:uid="{00000000-0005-0000-0000-000040190000}"/>
    <cellStyle name="Comma 4 2 2 3" xfId="538" xr:uid="{00000000-0005-0000-0000-000041190000}"/>
    <cellStyle name="Comma 4 2 2 3 2" xfId="1220" xr:uid="{00000000-0005-0000-0000-000042190000}"/>
    <cellStyle name="Comma 4 2 2 3 2 2" xfId="6938" xr:uid="{00000000-0005-0000-0000-000043190000}"/>
    <cellStyle name="Comma 4 2 2 3 2 2 2" xfId="9645" xr:uid="{00000000-0005-0000-0000-000044190000}"/>
    <cellStyle name="Comma 4 2 2 3 2 3" xfId="8306" xr:uid="{00000000-0005-0000-0000-000045190000}"/>
    <cellStyle name="Comma 4 2 2 3 3" xfId="6514" xr:uid="{00000000-0005-0000-0000-000046190000}"/>
    <cellStyle name="Comma 4 2 2 3 3 2" xfId="9231" xr:uid="{00000000-0005-0000-0000-000047190000}"/>
    <cellStyle name="Comma 4 2 2 3 4" xfId="7892" xr:uid="{00000000-0005-0000-0000-000048190000}"/>
    <cellStyle name="Comma 4 2 2 4" xfId="943" xr:uid="{00000000-0005-0000-0000-000049190000}"/>
    <cellStyle name="Comma 4 2 2 4 2" xfId="6676" xr:uid="{00000000-0005-0000-0000-00004A190000}"/>
    <cellStyle name="Comma 4 2 2 4 2 2" xfId="9383" xr:uid="{00000000-0005-0000-0000-00004B190000}"/>
    <cellStyle name="Comma 4 2 2 4 3" xfId="8044" xr:uid="{00000000-0005-0000-0000-00004C190000}"/>
    <cellStyle name="Comma 4 2 2 5" xfId="1027" xr:uid="{00000000-0005-0000-0000-00004D190000}"/>
    <cellStyle name="Comma 4 2 2 5 2" xfId="6758" xr:uid="{00000000-0005-0000-0000-00004E190000}"/>
    <cellStyle name="Comma 4 2 2 5 2 2" xfId="9465" xr:uid="{00000000-0005-0000-0000-00004F190000}"/>
    <cellStyle name="Comma 4 2 2 5 3" xfId="8126" xr:uid="{00000000-0005-0000-0000-000050190000}"/>
    <cellStyle name="Comma 4 2 2 6" xfId="1439" xr:uid="{00000000-0005-0000-0000-000051190000}"/>
    <cellStyle name="Comma 4 2 2 6 2" xfId="7135" xr:uid="{00000000-0005-0000-0000-000052190000}"/>
    <cellStyle name="Comma 4 2 2 6 2 2" xfId="9838" xr:uid="{00000000-0005-0000-0000-000053190000}"/>
    <cellStyle name="Comma 4 2 2 6 3" xfId="8498" xr:uid="{00000000-0005-0000-0000-000054190000}"/>
    <cellStyle name="Comma 4 2 2 7" xfId="6432" xr:uid="{00000000-0005-0000-0000-000055190000}"/>
    <cellStyle name="Comma 4 2 2 7 2" xfId="9151" xr:uid="{00000000-0005-0000-0000-000056190000}"/>
    <cellStyle name="Comma 4 2 2 8" xfId="7812" xr:uid="{00000000-0005-0000-0000-000057190000}"/>
    <cellStyle name="Comma 4 2 3" xfId="537" xr:uid="{00000000-0005-0000-0000-000058190000}"/>
    <cellStyle name="Comma 4 2 3 2" xfId="983" xr:uid="{00000000-0005-0000-0000-000059190000}"/>
    <cellStyle name="Comma 4 2 3 2 2" xfId="1302" xr:uid="{00000000-0005-0000-0000-00005A190000}"/>
    <cellStyle name="Comma 4 2 3 2 2 2" xfId="4885" xr:uid="{00000000-0005-0000-0000-00005B190000}"/>
    <cellStyle name="Comma 4 2 3 2 2 2 2" xfId="7516" xr:uid="{00000000-0005-0000-0000-00005C190000}"/>
    <cellStyle name="Comma 4 2 3 2 2 2 2 2" xfId="10215" xr:uid="{00000000-0005-0000-0000-00005D190000}"/>
    <cellStyle name="Comma 4 2 3 2 2 2 3" xfId="8875" xr:uid="{00000000-0005-0000-0000-00005E190000}"/>
    <cellStyle name="Comma 4 2 3 2 2 3" xfId="7012" xr:uid="{00000000-0005-0000-0000-00005F190000}"/>
    <cellStyle name="Comma 4 2 3 2 2 3 2" xfId="9719" xr:uid="{00000000-0005-0000-0000-000060190000}"/>
    <cellStyle name="Comma 4 2 3 2 2 4" xfId="8380" xr:uid="{00000000-0005-0000-0000-000061190000}"/>
    <cellStyle name="Comma 4 2 3 2 3" xfId="4886" xr:uid="{00000000-0005-0000-0000-000062190000}"/>
    <cellStyle name="Comma 4 2 3 2 3 2" xfId="7517" xr:uid="{00000000-0005-0000-0000-000063190000}"/>
    <cellStyle name="Comma 4 2 3 2 3 2 2" xfId="10216" xr:uid="{00000000-0005-0000-0000-000064190000}"/>
    <cellStyle name="Comma 4 2 3 2 3 3" xfId="8876" xr:uid="{00000000-0005-0000-0000-000065190000}"/>
    <cellStyle name="Comma 4 2 3 2 4" xfId="4884" xr:uid="{00000000-0005-0000-0000-000066190000}"/>
    <cellStyle name="Comma 4 2 3 2 4 2" xfId="7515" xr:uid="{00000000-0005-0000-0000-000067190000}"/>
    <cellStyle name="Comma 4 2 3 2 4 2 2" xfId="10214" xr:uid="{00000000-0005-0000-0000-000068190000}"/>
    <cellStyle name="Comma 4 2 3 2 4 3" xfId="8874" xr:uid="{00000000-0005-0000-0000-000069190000}"/>
    <cellStyle name="Comma 4 2 3 2 5" xfId="6715" xr:uid="{00000000-0005-0000-0000-00006A190000}"/>
    <cellStyle name="Comma 4 2 3 2 5 2" xfId="9422" xr:uid="{00000000-0005-0000-0000-00006B190000}"/>
    <cellStyle name="Comma 4 2 3 2 6" xfId="8083" xr:uid="{00000000-0005-0000-0000-00006C190000}"/>
    <cellStyle name="Comma 4 2 3 3" xfId="1040" xr:uid="{00000000-0005-0000-0000-00006D190000}"/>
    <cellStyle name="Comma 4 2 3 3 2" xfId="6771" xr:uid="{00000000-0005-0000-0000-00006E190000}"/>
    <cellStyle name="Comma 4 2 3 3 2 2" xfId="9478" xr:uid="{00000000-0005-0000-0000-00006F190000}"/>
    <cellStyle name="Comma 4 2 3 3 3" xfId="8139" xr:uid="{00000000-0005-0000-0000-000070190000}"/>
    <cellStyle name="Comma 4 2 3 4" xfId="6513" xr:uid="{00000000-0005-0000-0000-000071190000}"/>
    <cellStyle name="Comma 4 2 3 4 2" xfId="9230" xr:uid="{00000000-0005-0000-0000-000072190000}"/>
    <cellStyle name="Comma 4 2 3 5" xfId="7891" xr:uid="{00000000-0005-0000-0000-000073190000}"/>
    <cellStyle name="Comma 4 2 4" xfId="942" xr:uid="{00000000-0005-0000-0000-000074190000}"/>
    <cellStyle name="Comma 4 2 4 2" xfId="1219" xr:uid="{00000000-0005-0000-0000-000075190000}"/>
    <cellStyle name="Comma 4 2 4 2 2" xfId="4888" xr:uid="{00000000-0005-0000-0000-000076190000}"/>
    <cellStyle name="Comma 4 2 4 2 2 2" xfId="7519" xr:uid="{00000000-0005-0000-0000-000077190000}"/>
    <cellStyle name="Comma 4 2 4 2 2 2 2" xfId="10218" xr:uid="{00000000-0005-0000-0000-000078190000}"/>
    <cellStyle name="Comma 4 2 4 2 2 3" xfId="8878" xr:uid="{00000000-0005-0000-0000-000079190000}"/>
    <cellStyle name="Comma 4 2 4 2 3" xfId="6937" xr:uid="{00000000-0005-0000-0000-00007A190000}"/>
    <cellStyle name="Comma 4 2 4 2 3 2" xfId="9644" xr:uid="{00000000-0005-0000-0000-00007B190000}"/>
    <cellStyle name="Comma 4 2 4 2 4" xfId="8305" xr:uid="{00000000-0005-0000-0000-00007C190000}"/>
    <cellStyle name="Comma 4 2 4 3" xfId="4889" xr:uid="{00000000-0005-0000-0000-00007D190000}"/>
    <cellStyle name="Comma 4 2 4 3 2" xfId="7520" xr:uid="{00000000-0005-0000-0000-00007E190000}"/>
    <cellStyle name="Comma 4 2 4 3 2 2" xfId="10219" xr:uid="{00000000-0005-0000-0000-00007F190000}"/>
    <cellStyle name="Comma 4 2 4 3 3" xfId="8879" xr:uid="{00000000-0005-0000-0000-000080190000}"/>
    <cellStyle name="Comma 4 2 4 4" xfId="4887" xr:uid="{00000000-0005-0000-0000-000081190000}"/>
    <cellStyle name="Comma 4 2 4 4 2" xfId="7518" xr:uid="{00000000-0005-0000-0000-000082190000}"/>
    <cellStyle name="Comma 4 2 4 4 2 2" xfId="10217" xr:uid="{00000000-0005-0000-0000-000083190000}"/>
    <cellStyle name="Comma 4 2 4 4 3" xfId="8877" xr:uid="{00000000-0005-0000-0000-000084190000}"/>
    <cellStyle name="Comma 4 2 4 5" xfId="6675" xr:uid="{00000000-0005-0000-0000-000085190000}"/>
    <cellStyle name="Comma 4 2 4 5 2" xfId="9382" xr:uid="{00000000-0005-0000-0000-000086190000}"/>
    <cellStyle name="Comma 4 2 4 6" xfId="8043" xr:uid="{00000000-0005-0000-0000-000087190000}"/>
    <cellStyle name="Comma 4 2 5" xfId="1012" xr:uid="{00000000-0005-0000-0000-000088190000}"/>
    <cellStyle name="Comma 4 2 5 2" xfId="6743" xr:uid="{00000000-0005-0000-0000-000089190000}"/>
    <cellStyle name="Comma 4 2 5 2 2" xfId="9450" xr:uid="{00000000-0005-0000-0000-00008A190000}"/>
    <cellStyle name="Comma 4 2 5 3" xfId="8111" xr:uid="{00000000-0005-0000-0000-00008B190000}"/>
    <cellStyle name="Comma 4 2 6" xfId="266" xr:uid="{00000000-0005-0000-0000-00008C190000}"/>
    <cellStyle name="Comma 4 2 6 2" xfId="6417" xr:uid="{00000000-0005-0000-0000-00008D190000}"/>
    <cellStyle name="Comma 4 2 6 2 2" xfId="9136" xr:uid="{00000000-0005-0000-0000-00008E190000}"/>
    <cellStyle name="Comma 4 2 6 3" xfId="7797" xr:uid="{00000000-0005-0000-0000-00008F190000}"/>
    <cellStyle name="Comma 4 2 7" xfId="1370" xr:uid="{00000000-0005-0000-0000-000090190000}"/>
    <cellStyle name="Comma 4 2 7 2" xfId="7075" xr:uid="{00000000-0005-0000-0000-000091190000}"/>
    <cellStyle name="Comma 4 2 7 2 2" xfId="9780" xr:uid="{00000000-0005-0000-0000-000092190000}"/>
    <cellStyle name="Comma 4 2 7 3" xfId="8441" xr:uid="{00000000-0005-0000-0000-000093190000}"/>
    <cellStyle name="Comma 4 2 8" xfId="6350" xr:uid="{00000000-0005-0000-0000-000094190000}"/>
    <cellStyle name="Comma 4 2 8 2" xfId="9069" xr:uid="{00000000-0005-0000-0000-000095190000}"/>
    <cellStyle name="Comma 4 2 9" xfId="7730" xr:uid="{00000000-0005-0000-0000-000096190000}"/>
    <cellStyle name="Comma 4 3" xfId="540" xr:uid="{00000000-0005-0000-0000-000097190000}"/>
    <cellStyle name="Comma 4 3 2" xfId="541" xr:uid="{00000000-0005-0000-0000-000098190000}"/>
    <cellStyle name="Comma 4 3 2 2" xfId="945" xr:uid="{00000000-0005-0000-0000-000099190000}"/>
    <cellStyle name="Comma 4 3 2 2 2" xfId="1222" xr:uid="{00000000-0005-0000-0000-00009A190000}"/>
    <cellStyle name="Comma 4 3 2 2 2 2" xfId="4891" xr:uid="{00000000-0005-0000-0000-00009B190000}"/>
    <cellStyle name="Comma 4 3 2 2 2 2 2" xfId="7522" xr:uid="{00000000-0005-0000-0000-00009C190000}"/>
    <cellStyle name="Comma 4 3 2 2 2 2 2 2" xfId="10221" xr:uid="{00000000-0005-0000-0000-00009D190000}"/>
    <cellStyle name="Comma 4 3 2 2 2 2 3" xfId="8881" xr:uid="{00000000-0005-0000-0000-00009E190000}"/>
    <cellStyle name="Comma 4 3 2 2 2 3" xfId="6940" xr:uid="{00000000-0005-0000-0000-00009F190000}"/>
    <cellStyle name="Comma 4 3 2 2 2 3 2" xfId="9647" xr:uid="{00000000-0005-0000-0000-0000A0190000}"/>
    <cellStyle name="Comma 4 3 2 2 2 4" xfId="8308" xr:uid="{00000000-0005-0000-0000-0000A1190000}"/>
    <cellStyle name="Comma 4 3 2 2 3" xfId="4892" xr:uid="{00000000-0005-0000-0000-0000A2190000}"/>
    <cellStyle name="Comma 4 3 2 2 3 2" xfId="7523" xr:uid="{00000000-0005-0000-0000-0000A3190000}"/>
    <cellStyle name="Comma 4 3 2 2 3 2 2" xfId="10222" xr:uid="{00000000-0005-0000-0000-0000A4190000}"/>
    <cellStyle name="Comma 4 3 2 2 3 3" xfId="8882" xr:uid="{00000000-0005-0000-0000-0000A5190000}"/>
    <cellStyle name="Comma 4 3 2 2 4" xfId="4890" xr:uid="{00000000-0005-0000-0000-0000A6190000}"/>
    <cellStyle name="Comma 4 3 2 2 4 2" xfId="7521" xr:uid="{00000000-0005-0000-0000-0000A7190000}"/>
    <cellStyle name="Comma 4 3 2 2 4 2 2" xfId="10220" xr:uid="{00000000-0005-0000-0000-0000A8190000}"/>
    <cellStyle name="Comma 4 3 2 2 4 3" xfId="8880" xr:uid="{00000000-0005-0000-0000-0000A9190000}"/>
    <cellStyle name="Comma 4 3 2 2 5" xfId="6678" xr:uid="{00000000-0005-0000-0000-0000AA190000}"/>
    <cellStyle name="Comma 4 3 2 2 5 2" xfId="9385" xr:uid="{00000000-0005-0000-0000-0000AB190000}"/>
    <cellStyle name="Comma 4 3 2 2 6" xfId="8046" xr:uid="{00000000-0005-0000-0000-0000AC190000}"/>
    <cellStyle name="Comma 4 3 2 3" xfId="1107" xr:uid="{00000000-0005-0000-0000-0000AD190000}"/>
    <cellStyle name="Comma 4 3 2 3 2" xfId="6837" xr:uid="{00000000-0005-0000-0000-0000AE190000}"/>
    <cellStyle name="Comma 4 3 2 3 2 2" xfId="9544" xr:uid="{00000000-0005-0000-0000-0000AF190000}"/>
    <cellStyle name="Comma 4 3 2 3 3" xfId="8205" xr:uid="{00000000-0005-0000-0000-0000B0190000}"/>
    <cellStyle name="Comma 4 3 2 4" xfId="1488" xr:uid="{00000000-0005-0000-0000-0000B1190000}"/>
    <cellStyle name="Comma 4 3 2 4 2" xfId="7179" xr:uid="{00000000-0005-0000-0000-0000B2190000}"/>
    <cellStyle name="Comma 4 3 2 4 2 2" xfId="9882" xr:uid="{00000000-0005-0000-0000-0000B3190000}"/>
    <cellStyle name="Comma 4 3 2 4 3" xfId="8542" xr:uid="{00000000-0005-0000-0000-0000B4190000}"/>
    <cellStyle name="Comma 4 3 2 5" xfId="6516" xr:uid="{00000000-0005-0000-0000-0000B5190000}"/>
    <cellStyle name="Comma 4 3 2 5 2" xfId="9233" xr:uid="{00000000-0005-0000-0000-0000B6190000}"/>
    <cellStyle name="Comma 4 3 2 6" xfId="7894" xr:uid="{00000000-0005-0000-0000-0000B7190000}"/>
    <cellStyle name="Comma 4 3 3" xfId="4893" xr:uid="{00000000-0005-0000-0000-0000B8190000}"/>
    <cellStyle name="Comma 4 3 3 2" xfId="4894" xr:uid="{00000000-0005-0000-0000-0000B9190000}"/>
    <cellStyle name="Comma 4 3 3 2 2" xfId="7525" xr:uid="{00000000-0005-0000-0000-0000BA190000}"/>
    <cellStyle name="Comma 4 3 3 2 2 2" xfId="10224" xr:uid="{00000000-0005-0000-0000-0000BB190000}"/>
    <cellStyle name="Comma 4 3 3 2 3" xfId="8884" xr:uid="{00000000-0005-0000-0000-0000BC190000}"/>
    <cellStyle name="Comma 4 3 3 3" xfId="4895" xr:uid="{00000000-0005-0000-0000-0000BD190000}"/>
    <cellStyle name="Comma 4 3 3 3 2" xfId="7526" xr:uid="{00000000-0005-0000-0000-0000BE190000}"/>
    <cellStyle name="Comma 4 3 3 3 2 2" xfId="10225" xr:uid="{00000000-0005-0000-0000-0000BF190000}"/>
    <cellStyle name="Comma 4 3 3 3 3" xfId="8885" xr:uid="{00000000-0005-0000-0000-0000C0190000}"/>
    <cellStyle name="Comma 4 3 3 4" xfId="7524" xr:uid="{00000000-0005-0000-0000-0000C1190000}"/>
    <cellStyle name="Comma 4 3 3 4 2" xfId="10223" xr:uid="{00000000-0005-0000-0000-0000C2190000}"/>
    <cellStyle name="Comma 4 3 3 5" xfId="8883" xr:uid="{00000000-0005-0000-0000-0000C3190000}"/>
    <cellStyle name="Comma 4 4" xfId="542" xr:uid="{00000000-0005-0000-0000-0000C4190000}"/>
    <cellStyle name="Comma 4 4 2 5" xfId="4896" xr:uid="{00000000-0005-0000-0000-0000C5190000}"/>
    <cellStyle name="Comma 4 4 2 5 2" xfId="4897" xr:uid="{00000000-0005-0000-0000-0000C6190000}"/>
    <cellStyle name="Comma 4 4 2 5 2 2" xfId="7528" xr:uid="{00000000-0005-0000-0000-0000C7190000}"/>
    <cellStyle name="Comma 4 4 2 5 2 2 2" xfId="10227" xr:uid="{00000000-0005-0000-0000-0000C8190000}"/>
    <cellStyle name="Comma 4 4 2 5 2 3" xfId="8887" xr:uid="{00000000-0005-0000-0000-0000C9190000}"/>
    <cellStyle name="Comma 4 4 2 5 3" xfId="7527" xr:uid="{00000000-0005-0000-0000-0000CA190000}"/>
    <cellStyle name="Comma 4 4 2 5 3 2" xfId="10226" xr:uid="{00000000-0005-0000-0000-0000CB190000}"/>
    <cellStyle name="Comma 4 4 2 5 4" xfId="8886" xr:uid="{00000000-0005-0000-0000-0000CC190000}"/>
    <cellStyle name="Comma 4 5" xfId="543" xr:uid="{00000000-0005-0000-0000-0000CD190000}"/>
    <cellStyle name="Comma 4 5 2" xfId="4898" xr:uid="{00000000-0005-0000-0000-0000CE190000}"/>
    <cellStyle name="Comma 4 5 2 2" xfId="7529" xr:uid="{00000000-0005-0000-0000-0000CF190000}"/>
    <cellStyle name="Comma 4 5 2 2 2" xfId="10228" xr:uid="{00000000-0005-0000-0000-0000D0190000}"/>
    <cellStyle name="Comma 4 5 2 3" xfId="8888" xr:uid="{00000000-0005-0000-0000-0000D1190000}"/>
    <cellStyle name="Comma 4 5 3" xfId="4899" xr:uid="{00000000-0005-0000-0000-0000D2190000}"/>
    <cellStyle name="Comma 4 5 3 2" xfId="7530" xr:uid="{00000000-0005-0000-0000-0000D3190000}"/>
    <cellStyle name="Comma 4 5 3 2 2" xfId="10229" xr:uid="{00000000-0005-0000-0000-0000D4190000}"/>
    <cellStyle name="Comma 4 5 3 3" xfId="8889" xr:uid="{00000000-0005-0000-0000-0000D5190000}"/>
    <cellStyle name="Comma 4 6" xfId="4900" xr:uid="{00000000-0005-0000-0000-0000D6190000}"/>
    <cellStyle name="Comma 4 6 2" xfId="7531" xr:uid="{00000000-0005-0000-0000-0000D7190000}"/>
    <cellStyle name="Comma 4 6 2 2" xfId="10230" xr:uid="{00000000-0005-0000-0000-0000D8190000}"/>
    <cellStyle name="Comma 4 6 3" xfId="8890" xr:uid="{00000000-0005-0000-0000-0000D9190000}"/>
    <cellStyle name="Comma 4 7" xfId="152" xr:uid="{00000000-0005-0000-0000-0000DA190000}"/>
    <cellStyle name="Comma 4 8" xfId="120" xr:uid="{00000000-0005-0000-0000-0000DB190000}"/>
    <cellStyle name="Comma 4_MEP BOQ" xfId="544" xr:uid="{00000000-0005-0000-0000-0000DC190000}"/>
    <cellStyle name="Comma 40" xfId="545" xr:uid="{00000000-0005-0000-0000-0000DD190000}"/>
    <cellStyle name="Comma 41" xfId="546" xr:uid="{00000000-0005-0000-0000-0000DE190000}"/>
    <cellStyle name="Comma 42" xfId="547" xr:uid="{00000000-0005-0000-0000-0000DF190000}"/>
    <cellStyle name="Comma 42 2" xfId="946" xr:uid="{00000000-0005-0000-0000-0000E0190000}"/>
    <cellStyle name="Comma 42 2 2" xfId="1224" xr:uid="{00000000-0005-0000-0000-0000E1190000}"/>
    <cellStyle name="Comma 42 2 2 2" xfId="6942" xr:uid="{00000000-0005-0000-0000-0000E2190000}"/>
    <cellStyle name="Comma 42 2 2 2 2" xfId="9649" xr:uid="{00000000-0005-0000-0000-0000E3190000}"/>
    <cellStyle name="Comma 42 2 2 3" xfId="8310" xr:uid="{00000000-0005-0000-0000-0000E4190000}"/>
    <cellStyle name="Comma 42 2 3" xfId="6679" xr:uid="{00000000-0005-0000-0000-0000E5190000}"/>
    <cellStyle name="Comma 42 2 3 2" xfId="9386" xr:uid="{00000000-0005-0000-0000-0000E6190000}"/>
    <cellStyle name="Comma 42 2 4" xfId="8047" xr:uid="{00000000-0005-0000-0000-0000E7190000}"/>
    <cellStyle name="Comma 42 3" xfId="1108" xr:uid="{00000000-0005-0000-0000-0000E8190000}"/>
    <cellStyle name="Comma 42 3 2" xfId="6838" xr:uid="{00000000-0005-0000-0000-0000E9190000}"/>
    <cellStyle name="Comma 42 3 2 2" xfId="9545" xr:uid="{00000000-0005-0000-0000-0000EA190000}"/>
    <cellStyle name="Comma 42 3 3" xfId="8206" xr:uid="{00000000-0005-0000-0000-0000EB190000}"/>
    <cellStyle name="Comma 42 4" xfId="6517" xr:uid="{00000000-0005-0000-0000-0000EC190000}"/>
    <cellStyle name="Comma 42 4 2" xfId="9234" xr:uid="{00000000-0005-0000-0000-0000ED190000}"/>
    <cellStyle name="Comma 42 5" xfId="7895" xr:uid="{00000000-0005-0000-0000-0000EE190000}"/>
    <cellStyle name="Comma 43" xfId="422" xr:uid="{00000000-0005-0000-0000-0000EF190000}"/>
    <cellStyle name="Comma 43 2" xfId="1000" xr:uid="{00000000-0005-0000-0000-0000F0190000}"/>
    <cellStyle name="Comma 43 2 2" xfId="1326" xr:uid="{00000000-0005-0000-0000-0000F1190000}"/>
    <cellStyle name="Comma 43 2 2 2" xfId="7032" xr:uid="{00000000-0005-0000-0000-0000F2190000}"/>
    <cellStyle name="Comma 43 2 2 2 2" xfId="9739" xr:uid="{00000000-0005-0000-0000-0000F3190000}"/>
    <cellStyle name="Comma 43 2 2 3" xfId="8400" xr:uid="{00000000-0005-0000-0000-0000F4190000}"/>
    <cellStyle name="Comma 43 2 3" xfId="6731" xr:uid="{00000000-0005-0000-0000-0000F5190000}"/>
    <cellStyle name="Comma 43 2 3 2" xfId="9438" xr:uid="{00000000-0005-0000-0000-0000F6190000}"/>
    <cellStyle name="Comma 43 2 4" xfId="8099" xr:uid="{00000000-0005-0000-0000-0000F7190000}"/>
    <cellStyle name="Comma 43 3" xfId="1138" xr:uid="{00000000-0005-0000-0000-0000F8190000}"/>
    <cellStyle name="Comma 43 3 2" xfId="6856" xr:uid="{00000000-0005-0000-0000-0000F9190000}"/>
    <cellStyle name="Comma 43 3 2 2" xfId="9563" xr:uid="{00000000-0005-0000-0000-0000FA190000}"/>
    <cellStyle name="Comma 43 3 3" xfId="8224" xr:uid="{00000000-0005-0000-0000-0000FB190000}"/>
    <cellStyle name="Comma 43 4" xfId="1523" xr:uid="{00000000-0005-0000-0000-0000FC190000}"/>
    <cellStyle name="Comma 43 5" xfId="6440" xr:uid="{00000000-0005-0000-0000-0000FD190000}"/>
    <cellStyle name="Comma 43 5 2" xfId="9157" xr:uid="{00000000-0005-0000-0000-0000FE190000}"/>
    <cellStyle name="Comma 43 6" xfId="7818" xr:uid="{00000000-0005-0000-0000-0000FF190000}"/>
    <cellStyle name="Comma 44" xfId="865" xr:uid="{00000000-0005-0000-0000-0000001A0000}"/>
    <cellStyle name="Comma 44 2" xfId="1001" xr:uid="{00000000-0005-0000-0000-0000011A0000}"/>
    <cellStyle name="Comma 44 2 2" xfId="1328" xr:uid="{00000000-0005-0000-0000-0000021A0000}"/>
    <cellStyle name="Comma 44 2 2 2" xfId="7034" xr:uid="{00000000-0005-0000-0000-0000031A0000}"/>
    <cellStyle name="Comma 44 2 2 2 2" xfId="9741" xr:uid="{00000000-0005-0000-0000-0000041A0000}"/>
    <cellStyle name="Comma 44 2 2 3" xfId="8402" xr:uid="{00000000-0005-0000-0000-0000051A0000}"/>
    <cellStyle name="Comma 44 2 3" xfId="6732" xr:uid="{00000000-0005-0000-0000-0000061A0000}"/>
    <cellStyle name="Comma 44 2 3 2" xfId="9439" xr:uid="{00000000-0005-0000-0000-0000071A0000}"/>
    <cellStyle name="Comma 44 2 4" xfId="8100" xr:uid="{00000000-0005-0000-0000-0000081A0000}"/>
    <cellStyle name="Comma 44 3" xfId="1140" xr:uid="{00000000-0005-0000-0000-0000091A0000}"/>
    <cellStyle name="Comma 44 3 2" xfId="6858" xr:uid="{00000000-0005-0000-0000-00000A1A0000}"/>
    <cellStyle name="Comma 44 3 2 2" xfId="9565" xr:uid="{00000000-0005-0000-0000-00000B1A0000}"/>
    <cellStyle name="Comma 44 3 3" xfId="8226" xr:uid="{00000000-0005-0000-0000-00000C1A0000}"/>
    <cellStyle name="Comma 44 4" xfId="1524" xr:uid="{00000000-0005-0000-0000-00000D1A0000}"/>
    <cellStyle name="Comma 44 5" xfId="6598" xr:uid="{00000000-0005-0000-0000-00000E1A0000}"/>
    <cellStyle name="Comma 44 5 2" xfId="9305" xr:uid="{00000000-0005-0000-0000-00000F1A0000}"/>
    <cellStyle name="Comma 44 6" xfId="7966" xr:uid="{00000000-0005-0000-0000-0000101A0000}"/>
    <cellStyle name="Comma 45" xfId="872" xr:uid="{00000000-0005-0000-0000-0000111A0000}"/>
    <cellStyle name="Comma 45 2" xfId="1327" xr:uid="{00000000-0005-0000-0000-0000121A0000}"/>
    <cellStyle name="Comma 45 2 2" xfId="7033" xr:uid="{00000000-0005-0000-0000-0000131A0000}"/>
    <cellStyle name="Comma 45 2 2 2" xfId="9740" xr:uid="{00000000-0005-0000-0000-0000141A0000}"/>
    <cellStyle name="Comma 45 2 3" xfId="8401" xr:uid="{00000000-0005-0000-0000-0000151A0000}"/>
    <cellStyle name="Comma 45 3" xfId="1139" xr:uid="{00000000-0005-0000-0000-0000161A0000}"/>
    <cellStyle name="Comma 45 3 2" xfId="6857" xr:uid="{00000000-0005-0000-0000-0000171A0000}"/>
    <cellStyle name="Comma 45 3 2 2" xfId="9564" xr:uid="{00000000-0005-0000-0000-0000181A0000}"/>
    <cellStyle name="Comma 45 3 3" xfId="8225" xr:uid="{00000000-0005-0000-0000-0000191A0000}"/>
    <cellStyle name="Comma 45 4" xfId="1525" xr:uid="{00000000-0005-0000-0000-00001A1A0000}"/>
    <cellStyle name="Comma 45 5" xfId="6605" xr:uid="{00000000-0005-0000-0000-00001B1A0000}"/>
    <cellStyle name="Comma 45 5 2" xfId="9312" xr:uid="{00000000-0005-0000-0000-00001C1A0000}"/>
    <cellStyle name="Comma 45 6" xfId="7973" xr:uid="{00000000-0005-0000-0000-00001D1A0000}"/>
    <cellStyle name="Comma 46" xfId="969" xr:uid="{00000000-0005-0000-0000-00001E1A0000}"/>
    <cellStyle name="Comma 46 2" xfId="1329" xr:uid="{00000000-0005-0000-0000-00001F1A0000}"/>
    <cellStyle name="Comma 46 2 2" xfId="7035" xr:uid="{00000000-0005-0000-0000-0000201A0000}"/>
    <cellStyle name="Comma 46 2 2 2" xfId="9742" xr:uid="{00000000-0005-0000-0000-0000211A0000}"/>
    <cellStyle name="Comma 46 2 3" xfId="8403" xr:uid="{00000000-0005-0000-0000-0000221A0000}"/>
    <cellStyle name="Comma 46 3" xfId="1141" xr:uid="{00000000-0005-0000-0000-0000231A0000}"/>
    <cellStyle name="Comma 46 3 2" xfId="6859" xr:uid="{00000000-0005-0000-0000-0000241A0000}"/>
    <cellStyle name="Comma 46 3 2 2" xfId="9566" xr:uid="{00000000-0005-0000-0000-0000251A0000}"/>
    <cellStyle name="Comma 46 3 3" xfId="8227" xr:uid="{00000000-0005-0000-0000-0000261A0000}"/>
    <cellStyle name="Comma 46 4" xfId="1526" xr:uid="{00000000-0005-0000-0000-0000271A0000}"/>
    <cellStyle name="Comma 46 5" xfId="6701" xr:uid="{00000000-0005-0000-0000-0000281A0000}"/>
    <cellStyle name="Comma 46 5 2" xfId="9408" xr:uid="{00000000-0005-0000-0000-0000291A0000}"/>
    <cellStyle name="Comma 46 6" xfId="8069" xr:uid="{00000000-0005-0000-0000-00002A1A0000}"/>
    <cellStyle name="Comma 47" xfId="869" xr:uid="{00000000-0005-0000-0000-00002B1A0000}"/>
    <cellStyle name="Comma 47 2" xfId="1330" xr:uid="{00000000-0005-0000-0000-00002C1A0000}"/>
    <cellStyle name="Comma 47 2 2" xfId="7036" xr:uid="{00000000-0005-0000-0000-00002D1A0000}"/>
    <cellStyle name="Comma 47 2 2 2" xfId="9743" xr:uid="{00000000-0005-0000-0000-00002E1A0000}"/>
    <cellStyle name="Comma 47 2 3" xfId="8404" xr:uid="{00000000-0005-0000-0000-00002F1A0000}"/>
    <cellStyle name="Comma 47 3" xfId="1142" xr:uid="{00000000-0005-0000-0000-0000301A0000}"/>
    <cellStyle name="Comma 47 3 2" xfId="6860" xr:uid="{00000000-0005-0000-0000-0000311A0000}"/>
    <cellStyle name="Comma 47 3 2 2" xfId="9567" xr:uid="{00000000-0005-0000-0000-0000321A0000}"/>
    <cellStyle name="Comma 47 3 3" xfId="8228" xr:uid="{00000000-0005-0000-0000-0000331A0000}"/>
    <cellStyle name="Comma 47 4" xfId="1529" xr:uid="{00000000-0005-0000-0000-0000341A0000}"/>
    <cellStyle name="Comma 47 4 2" xfId="7208" xr:uid="{00000000-0005-0000-0000-0000351A0000}"/>
    <cellStyle name="Comma 47 4 2 2" xfId="9911" xr:uid="{00000000-0005-0000-0000-0000361A0000}"/>
    <cellStyle name="Comma 47 4 3" xfId="8571" xr:uid="{00000000-0005-0000-0000-0000371A0000}"/>
    <cellStyle name="Comma 47 5" xfId="6602" xr:uid="{00000000-0005-0000-0000-0000381A0000}"/>
    <cellStyle name="Comma 47 5 2" xfId="9309" xr:uid="{00000000-0005-0000-0000-0000391A0000}"/>
    <cellStyle name="Comma 47 6" xfId="7970" xr:uid="{00000000-0005-0000-0000-00003A1A0000}"/>
    <cellStyle name="Comma 48" xfId="968" xr:uid="{00000000-0005-0000-0000-00003B1A0000}"/>
    <cellStyle name="Comma 48 2" xfId="1148" xr:uid="{00000000-0005-0000-0000-00003C1A0000}"/>
    <cellStyle name="Comma 48 2 2" xfId="6866" xr:uid="{00000000-0005-0000-0000-00003D1A0000}"/>
    <cellStyle name="Comma 48 2 2 2" xfId="9573" xr:uid="{00000000-0005-0000-0000-00003E1A0000}"/>
    <cellStyle name="Comma 48 2 3" xfId="8234" xr:uid="{00000000-0005-0000-0000-00003F1A0000}"/>
    <cellStyle name="Comma 48 3" xfId="6700" xr:uid="{00000000-0005-0000-0000-0000401A0000}"/>
    <cellStyle name="Comma 48 3 2" xfId="9407" xr:uid="{00000000-0005-0000-0000-0000411A0000}"/>
    <cellStyle name="Comma 48 4" xfId="8068" xr:uid="{00000000-0005-0000-0000-0000421A0000}"/>
    <cellStyle name="Comma 49" xfId="870" xr:uid="{00000000-0005-0000-0000-0000431A0000}"/>
    <cellStyle name="Comma 49 2" xfId="1271" xr:uid="{00000000-0005-0000-0000-0000441A0000}"/>
    <cellStyle name="Comma 49 2 2" xfId="6981" xr:uid="{00000000-0005-0000-0000-0000451A0000}"/>
    <cellStyle name="Comma 49 2 2 2" xfId="9688" xr:uid="{00000000-0005-0000-0000-0000461A0000}"/>
    <cellStyle name="Comma 49 2 3" xfId="8349" xr:uid="{00000000-0005-0000-0000-0000471A0000}"/>
    <cellStyle name="Comma 49 3" xfId="6603" xr:uid="{00000000-0005-0000-0000-0000481A0000}"/>
    <cellStyle name="Comma 49 3 2" xfId="9310" xr:uid="{00000000-0005-0000-0000-0000491A0000}"/>
    <cellStyle name="Comma 49 4" xfId="7971" xr:uid="{00000000-0005-0000-0000-00004A1A0000}"/>
    <cellStyle name="Comma 5" xfId="89" xr:uid="{00000000-0005-0000-0000-00004B1A0000}"/>
    <cellStyle name="Comma 5 10" xfId="154" xr:uid="{00000000-0005-0000-0000-00004C1A0000}"/>
    <cellStyle name="Comma 5 11" xfId="10503" xr:uid="{00000000-0005-0000-0000-00004D1A0000}"/>
    <cellStyle name="Comma 5 12" xfId="10537" xr:uid="{00000000-0005-0000-0000-00004E1A0000}"/>
    <cellStyle name="Comma 5 12 2" xfId="10569" xr:uid="{00000000-0005-0000-0000-00004F1A0000}"/>
    <cellStyle name="Comma 5 13 2" xfId="10586" xr:uid="{00000000-0005-0000-0000-0000501A0000}"/>
    <cellStyle name="Comma 5 2" xfId="108" xr:uid="{00000000-0005-0000-0000-0000511A0000}"/>
    <cellStyle name="Comma 5 2 10" xfId="155" xr:uid="{00000000-0005-0000-0000-0000521A0000}"/>
    <cellStyle name="Comma 5 2 2" xfId="280" xr:uid="{00000000-0005-0000-0000-0000531A0000}"/>
    <cellStyle name="Comma 5 2 2 2" xfId="550" xr:uid="{00000000-0005-0000-0000-0000541A0000}"/>
    <cellStyle name="Comma 5 2 2 2 2" xfId="949" xr:uid="{00000000-0005-0000-0000-0000551A0000}"/>
    <cellStyle name="Comma 5 2 2 2 2 2" xfId="1227" xr:uid="{00000000-0005-0000-0000-0000561A0000}"/>
    <cellStyle name="Comma 5 2 2 2 2 2 2" xfId="6945" xr:uid="{00000000-0005-0000-0000-0000571A0000}"/>
    <cellStyle name="Comma 5 2 2 2 2 2 2 2" xfId="9652" xr:uid="{00000000-0005-0000-0000-0000581A0000}"/>
    <cellStyle name="Comma 5 2 2 2 2 2 3" xfId="8313" xr:uid="{00000000-0005-0000-0000-0000591A0000}"/>
    <cellStyle name="Comma 5 2 2 2 2 3" xfId="4902" xr:uid="{00000000-0005-0000-0000-00005A1A0000}"/>
    <cellStyle name="Comma 5 2 2 2 2 3 2" xfId="7533" xr:uid="{00000000-0005-0000-0000-00005B1A0000}"/>
    <cellStyle name="Comma 5 2 2 2 2 3 2 2" xfId="10232" xr:uid="{00000000-0005-0000-0000-00005C1A0000}"/>
    <cellStyle name="Comma 5 2 2 2 2 3 3" xfId="8892" xr:uid="{00000000-0005-0000-0000-00005D1A0000}"/>
    <cellStyle name="Comma 5 2 2 2 2 4" xfId="6682" xr:uid="{00000000-0005-0000-0000-00005E1A0000}"/>
    <cellStyle name="Comma 5 2 2 2 2 4 2" xfId="9389" xr:uid="{00000000-0005-0000-0000-00005F1A0000}"/>
    <cellStyle name="Comma 5 2 2 2 2 5" xfId="8050" xr:uid="{00000000-0005-0000-0000-0000601A0000}"/>
    <cellStyle name="Comma 5 2 2 2 3" xfId="1054" xr:uid="{00000000-0005-0000-0000-0000611A0000}"/>
    <cellStyle name="Comma 5 2 2 2 3 2" xfId="4903" xr:uid="{00000000-0005-0000-0000-0000621A0000}"/>
    <cellStyle name="Comma 5 2 2 2 3 2 2" xfId="7534" xr:uid="{00000000-0005-0000-0000-0000631A0000}"/>
    <cellStyle name="Comma 5 2 2 2 3 2 2 2" xfId="10233" xr:uid="{00000000-0005-0000-0000-0000641A0000}"/>
    <cellStyle name="Comma 5 2 2 2 3 2 3" xfId="8893" xr:uid="{00000000-0005-0000-0000-0000651A0000}"/>
    <cellStyle name="Comma 5 2 2 2 3 3" xfId="6785" xr:uid="{00000000-0005-0000-0000-0000661A0000}"/>
    <cellStyle name="Comma 5 2 2 2 3 3 2" xfId="9492" xr:uid="{00000000-0005-0000-0000-0000671A0000}"/>
    <cellStyle name="Comma 5 2 2 2 3 4" xfId="8153" xr:uid="{00000000-0005-0000-0000-0000681A0000}"/>
    <cellStyle name="Comma 5 2 2 2 4" xfId="4901" xr:uid="{00000000-0005-0000-0000-0000691A0000}"/>
    <cellStyle name="Comma 5 2 2 2 4 2" xfId="7532" xr:uid="{00000000-0005-0000-0000-00006A1A0000}"/>
    <cellStyle name="Comma 5 2 2 2 4 2 2" xfId="10231" xr:uid="{00000000-0005-0000-0000-00006B1A0000}"/>
    <cellStyle name="Comma 5 2 2 2 4 3" xfId="8891" xr:uid="{00000000-0005-0000-0000-00006C1A0000}"/>
    <cellStyle name="Comma 5 2 2 2 5" xfId="6520" xr:uid="{00000000-0005-0000-0000-00006D1A0000}"/>
    <cellStyle name="Comma 5 2 2 2 5 2" xfId="9237" xr:uid="{00000000-0005-0000-0000-00006E1A0000}"/>
    <cellStyle name="Comma 5 2 2 2 6" xfId="7898" xr:uid="{00000000-0005-0000-0000-00006F1A0000}"/>
    <cellStyle name="Comma 5 2 2 3" xfId="549" xr:uid="{00000000-0005-0000-0000-0000701A0000}"/>
    <cellStyle name="Comma 5 2 2 3 2" xfId="1226" xr:uid="{00000000-0005-0000-0000-0000711A0000}"/>
    <cellStyle name="Comma 5 2 2 3 2 2" xfId="6944" xr:uid="{00000000-0005-0000-0000-0000721A0000}"/>
    <cellStyle name="Comma 5 2 2 3 2 2 2" xfId="9651" xr:uid="{00000000-0005-0000-0000-0000731A0000}"/>
    <cellStyle name="Comma 5 2 2 3 2 3" xfId="8312" xr:uid="{00000000-0005-0000-0000-0000741A0000}"/>
    <cellStyle name="Comma 5 2 2 3 3" xfId="4904" xr:uid="{00000000-0005-0000-0000-0000751A0000}"/>
    <cellStyle name="Comma 5 2 2 3 3 2" xfId="7535" xr:uid="{00000000-0005-0000-0000-0000761A0000}"/>
    <cellStyle name="Comma 5 2 2 3 3 2 2" xfId="10234" xr:uid="{00000000-0005-0000-0000-0000771A0000}"/>
    <cellStyle name="Comma 5 2 2 3 3 3" xfId="8894" xr:uid="{00000000-0005-0000-0000-0000781A0000}"/>
    <cellStyle name="Comma 5 2 2 3 4" xfId="6519" xr:uid="{00000000-0005-0000-0000-0000791A0000}"/>
    <cellStyle name="Comma 5 2 2 3 4 2" xfId="9236" xr:uid="{00000000-0005-0000-0000-00007A1A0000}"/>
    <cellStyle name="Comma 5 2 2 3 5" xfId="7897" xr:uid="{00000000-0005-0000-0000-00007B1A0000}"/>
    <cellStyle name="Comma 5 2 2 4" xfId="948" xr:uid="{00000000-0005-0000-0000-00007C1A0000}"/>
    <cellStyle name="Comma 5 2 2 4 2" xfId="6681" xr:uid="{00000000-0005-0000-0000-00007D1A0000}"/>
    <cellStyle name="Comma 5 2 2 4 2 2" xfId="9388" xr:uid="{00000000-0005-0000-0000-00007E1A0000}"/>
    <cellStyle name="Comma 5 2 2 4 3" xfId="8049" xr:uid="{00000000-0005-0000-0000-00007F1A0000}"/>
    <cellStyle name="Comma 5 2 2 5" xfId="1026" xr:uid="{00000000-0005-0000-0000-0000801A0000}"/>
    <cellStyle name="Comma 5 2 2 5 2" xfId="6757" xr:uid="{00000000-0005-0000-0000-0000811A0000}"/>
    <cellStyle name="Comma 5 2 2 5 2 2" xfId="9464" xr:uid="{00000000-0005-0000-0000-0000821A0000}"/>
    <cellStyle name="Comma 5 2 2 5 3" xfId="8125" xr:uid="{00000000-0005-0000-0000-0000831A0000}"/>
    <cellStyle name="Comma 5 2 2 6" xfId="1429" xr:uid="{00000000-0005-0000-0000-0000841A0000}"/>
    <cellStyle name="Comma 5 2 2 6 2" xfId="7127" xr:uid="{00000000-0005-0000-0000-0000851A0000}"/>
    <cellStyle name="Comma 5 2 2 6 2 2" xfId="9830" xr:uid="{00000000-0005-0000-0000-0000861A0000}"/>
    <cellStyle name="Comma 5 2 2 6 3" xfId="8490" xr:uid="{00000000-0005-0000-0000-0000871A0000}"/>
    <cellStyle name="Comma 5 2 2 7" xfId="6431" xr:uid="{00000000-0005-0000-0000-0000881A0000}"/>
    <cellStyle name="Comma 5 2 2 7 2" xfId="9150" xr:uid="{00000000-0005-0000-0000-0000891A0000}"/>
    <cellStyle name="Comma 5 2 2 8" xfId="7811" xr:uid="{00000000-0005-0000-0000-00008A1A0000}"/>
    <cellStyle name="Comma 5 2 3" xfId="548" xr:uid="{00000000-0005-0000-0000-00008B1A0000}"/>
    <cellStyle name="Comma 5 2 3 2" xfId="984" xr:uid="{00000000-0005-0000-0000-00008C1A0000}"/>
    <cellStyle name="Comma 5 2 3 2 2" xfId="1303" xr:uid="{00000000-0005-0000-0000-00008D1A0000}"/>
    <cellStyle name="Comma 5 2 3 2 2 2" xfId="7013" xr:uid="{00000000-0005-0000-0000-00008E1A0000}"/>
    <cellStyle name="Comma 5 2 3 2 2 2 2" xfId="9720" xr:uid="{00000000-0005-0000-0000-00008F1A0000}"/>
    <cellStyle name="Comma 5 2 3 2 2 3" xfId="8381" xr:uid="{00000000-0005-0000-0000-0000901A0000}"/>
    <cellStyle name="Comma 5 2 3 2 3" xfId="4906" xr:uid="{00000000-0005-0000-0000-0000911A0000}"/>
    <cellStyle name="Comma 5 2 3 2 3 2" xfId="7537" xr:uid="{00000000-0005-0000-0000-0000921A0000}"/>
    <cellStyle name="Comma 5 2 3 2 3 2 2" xfId="10236" xr:uid="{00000000-0005-0000-0000-0000931A0000}"/>
    <cellStyle name="Comma 5 2 3 2 3 3" xfId="8896" xr:uid="{00000000-0005-0000-0000-0000941A0000}"/>
    <cellStyle name="Comma 5 2 3 2 4" xfId="6716" xr:uid="{00000000-0005-0000-0000-0000951A0000}"/>
    <cellStyle name="Comma 5 2 3 2 4 2" xfId="9423" xr:uid="{00000000-0005-0000-0000-0000961A0000}"/>
    <cellStyle name="Comma 5 2 3 2 5" xfId="8084" xr:uid="{00000000-0005-0000-0000-0000971A0000}"/>
    <cellStyle name="Comma 5 2 3 3" xfId="1039" xr:uid="{00000000-0005-0000-0000-0000981A0000}"/>
    <cellStyle name="Comma 5 2 3 3 2" xfId="4907" xr:uid="{00000000-0005-0000-0000-0000991A0000}"/>
    <cellStyle name="Comma 5 2 3 3 2 2" xfId="7538" xr:uid="{00000000-0005-0000-0000-00009A1A0000}"/>
    <cellStyle name="Comma 5 2 3 3 2 2 2" xfId="10237" xr:uid="{00000000-0005-0000-0000-00009B1A0000}"/>
    <cellStyle name="Comma 5 2 3 3 2 3" xfId="8897" xr:uid="{00000000-0005-0000-0000-00009C1A0000}"/>
    <cellStyle name="Comma 5 2 3 3 3" xfId="6770" xr:uid="{00000000-0005-0000-0000-00009D1A0000}"/>
    <cellStyle name="Comma 5 2 3 3 3 2" xfId="9477" xr:uid="{00000000-0005-0000-0000-00009E1A0000}"/>
    <cellStyle name="Comma 5 2 3 3 4" xfId="8138" xr:uid="{00000000-0005-0000-0000-00009F1A0000}"/>
    <cellStyle name="Comma 5 2 3 4" xfId="4905" xr:uid="{00000000-0005-0000-0000-0000A01A0000}"/>
    <cellStyle name="Comma 5 2 3 4 2" xfId="7536" xr:uid="{00000000-0005-0000-0000-0000A11A0000}"/>
    <cellStyle name="Comma 5 2 3 4 2 2" xfId="10235" xr:uid="{00000000-0005-0000-0000-0000A21A0000}"/>
    <cellStyle name="Comma 5 2 3 4 3" xfId="8895" xr:uid="{00000000-0005-0000-0000-0000A31A0000}"/>
    <cellStyle name="Comma 5 2 3 5" xfId="6518" xr:uid="{00000000-0005-0000-0000-0000A41A0000}"/>
    <cellStyle name="Comma 5 2 3 5 2" xfId="9235" xr:uid="{00000000-0005-0000-0000-0000A51A0000}"/>
    <cellStyle name="Comma 5 2 3 6" xfId="7896" xr:uid="{00000000-0005-0000-0000-0000A61A0000}"/>
    <cellStyle name="Comma 5 2 4" xfId="947" xr:uid="{00000000-0005-0000-0000-0000A71A0000}"/>
    <cellStyle name="Comma 5 2 4 2" xfId="1225" xr:uid="{00000000-0005-0000-0000-0000A81A0000}"/>
    <cellStyle name="Comma 5 2 4 2 2" xfId="6943" xr:uid="{00000000-0005-0000-0000-0000A91A0000}"/>
    <cellStyle name="Comma 5 2 4 2 2 2" xfId="9650" xr:uid="{00000000-0005-0000-0000-0000AA1A0000}"/>
    <cellStyle name="Comma 5 2 4 2 3" xfId="8311" xr:uid="{00000000-0005-0000-0000-0000AB1A0000}"/>
    <cellStyle name="Comma 5 2 4 3" xfId="4908" xr:uid="{00000000-0005-0000-0000-0000AC1A0000}"/>
    <cellStyle name="Comma 5 2 4 3 2" xfId="7539" xr:uid="{00000000-0005-0000-0000-0000AD1A0000}"/>
    <cellStyle name="Comma 5 2 4 3 2 2" xfId="10238" xr:uid="{00000000-0005-0000-0000-0000AE1A0000}"/>
    <cellStyle name="Comma 5 2 4 3 3" xfId="8898" xr:uid="{00000000-0005-0000-0000-0000AF1A0000}"/>
    <cellStyle name="Comma 5 2 4 4" xfId="6680" xr:uid="{00000000-0005-0000-0000-0000B01A0000}"/>
    <cellStyle name="Comma 5 2 4 4 2" xfId="9387" xr:uid="{00000000-0005-0000-0000-0000B11A0000}"/>
    <cellStyle name="Comma 5 2 4 5" xfId="8048" xr:uid="{00000000-0005-0000-0000-0000B21A0000}"/>
    <cellStyle name="Comma 5 2 5" xfId="1011" xr:uid="{00000000-0005-0000-0000-0000B31A0000}"/>
    <cellStyle name="Comma 5 2 5 2" xfId="6742" xr:uid="{00000000-0005-0000-0000-0000B41A0000}"/>
    <cellStyle name="Comma 5 2 5 2 2" xfId="9449" xr:uid="{00000000-0005-0000-0000-0000B51A0000}"/>
    <cellStyle name="Comma 5 2 5 3" xfId="8110" xr:uid="{00000000-0005-0000-0000-0000B61A0000}"/>
    <cellStyle name="Comma 5 2 6" xfId="265" xr:uid="{00000000-0005-0000-0000-0000B71A0000}"/>
    <cellStyle name="Comma 5 2 6 2" xfId="6416" xr:uid="{00000000-0005-0000-0000-0000B81A0000}"/>
    <cellStyle name="Comma 5 2 6 2 2" xfId="9135" xr:uid="{00000000-0005-0000-0000-0000B91A0000}"/>
    <cellStyle name="Comma 5 2 6 3" xfId="7796" xr:uid="{00000000-0005-0000-0000-0000BA1A0000}"/>
    <cellStyle name="Comma 5 2 7" xfId="1372" xr:uid="{00000000-0005-0000-0000-0000BB1A0000}"/>
    <cellStyle name="Comma 5 2 7 2" xfId="7077" xr:uid="{00000000-0005-0000-0000-0000BC1A0000}"/>
    <cellStyle name="Comma 5 2 7 2 2" xfId="9782" xr:uid="{00000000-0005-0000-0000-0000BD1A0000}"/>
    <cellStyle name="Comma 5 2 7 3" xfId="8443" xr:uid="{00000000-0005-0000-0000-0000BE1A0000}"/>
    <cellStyle name="Comma 5 2 8" xfId="6352" xr:uid="{00000000-0005-0000-0000-0000BF1A0000}"/>
    <cellStyle name="Comma 5 2 8 2" xfId="9071" xr:uid="{00000000-0005-0000-0000-0000C01A0000}"/>
    <cellStyle name="Comma 5 2 9" xfId="7732" xr:uid="{00000000-0005-0000-0000-0000C11A0000}"/>
    <cellStyle name="Comma 5 3" xfId="156" xr:uid="{00000000-0005-0000-0000-0000C21A0000}"/>
    <cellStyle name="Comma 5 3 2" xfId="4909" xr:uid="{00000000-0005-0000-0000-0000C31A0000}"/>
    <cellStyle name="Comma 5 3 2 2" xfId="4910" xr:uid="{00000000-0005-0000-0000-0000C41A0000}"/>
    <cellStyle name="Comma 5 3 2 2 2" xfId="7541" xr:uid="{00000000-0005-0000-0000-0000C51A0000}"/>
    <cellStyle name="Comma 5 3 2 2 2 2" xfId="10240" xr:uid="{00000000-0005-0000-0000-0000C61A0000}"/>
    <cellStyle name="Comma 5 3 2 2 3" xfId="8900" xr:uid="{00000000-0005-0000-0000-0000C71A0000}"/>
    <cellStyle name="Comma 5 3 2 3" xfId="4911" xr:uid="{00000000-0005-0000-0000-0000C81A0000}"/>
    <cellStyle name="Comma 5 3 2 3 2" xfId="7542" xr:uid="{00000000-0005-0000-0000-0000C91A0000}"/>
    <cellStyle name="Comma 5 3 2 3 2 2" xfId="10241" xr:uid="{00000000-0005-0000-0000-0000CA1A0000}"/>
    <cellStyle name="Comma 5 3 2 3 3" xfId="8901" xr:uid="{00000000-0005-0000-0000-0000CB1A0000}"/>
    <cellStyle name="Comma 5 3 2 4" xfId="7540" xr:uid="{00000000-0005-0000-0000-0000CC1A0000}"/>
    <cellStyle name="Comma 5 3 2 4 2" xfId="10239" xr:uid="{00000000-0005-0000-0000-0000CD1A0000}"/>
    <cellStyle name="Comma 5 3 2 5" xfId="8899" xr:uid="{00000000-0005-0000-0000-0000CE1A0000}"/>
    <cellStyle name="Comma 5 4" xfId="551" xr:uid="{00000000-0005-0000-0000-0000CF1A0000}"/>
    <cellStyle name="Comma 5 4 2" xfId="950" xr:uid="{00000000-0005-0000-0000-0000D01A0000}"/>
    <cellStyle name="Comma 5 4 2 2" xfId="1228" xr:uid="{00000000-0005-0000-0000-0000D11A0000}"/>
    <cellStyle name="Comma 5 4 2 2 2" xfId="4913" xr:uid="{00000000-0005-0000-0000-0000D21A0000}"/>
    <cellStyle name="Comma 5 4 2 2 2 2" xfId="7544" xr:uid="{00000000-0005-0000-0000-0000D31A0000}"/>
    <cellStyle name="Comma 5 4 2 2 2 2 2" xfId="10243" xr:uid="{00000000-0005-0000-0000-0000D41A0000}"/>
    <cellStyle name="Comma 5 4 2 2 2 3" xfId="8903" xr:uid="{00000000-0005-0000-0000-0000D51A0000}"/>
    <cellStyle name="Comma 5 4 2 2 3" xfId="6946" xr:uid="{00000000-0005-0000-0000-0000D61A0000}"/>
    <cellStyle name="Comma 5 4 2 2 3 2" xfId="9653" xr:uid="{00000000-0005-0000-0000-0000D71A0000}"/>
    <cellStyle name="Comma 5 4 2 2 4" xfId="8314" xr:uid="{00000000-0005-0000-0000-0000D81A0000}"/>
    <cellStyle name="Comma 5 4 2 3" xfId="4914" xr:uid="{00000000-0005-0000-0000-0000D91A0000}"/>
    <cellStyle name="Comma 5 4 2 3 2" xfId="7545" xr:uid="{00000000-0005-0000-0000-0000DA1A0000}"/>
    <cellStyle name="Comma 5 4 2 3 2 2" xfId="10244" xr:uid="{00000000-0005-0000-0000-0000DB1A0000}"/>
    <cellStyle name="Comma 5 4 2 3 3" xfId="8904" xr:uid="{00000000-0005-0000-0000-0000DC1A0000}"/>
    <cellStyle name="Comma 5 4 2 4" xfId="4912" xr:uid="{00000000-0005-0000-0000-0000DD1A0000}"/>
    <cellStyle name="Comma 5 4 2 4 2" xfId="7543" xr:uid="{00000000-0005-0000-0000-0000DE1A0000}"/>
    <cellStyle name="Comma 5 4 2 4 2 2" xfId="10242" xr:uid="{00000000-0005-0000-0000-0000DF1A0000}"/>
    <cellStyle name="Comma 5 4 2 4 3" xfId="8902" xr:uid="{00000000-0005-0000-0000-0000E01A0000}"/>
    <cellStyle name="Comma 5 4 2 5" xfId="6683" xr:uid="{00000000-0005-0000-0000-0000E11A0000}"/>
    <cellStyle name="Comma 5 4 2 5 2" xfId="9390" xr:uid="{00000000-0005-0000-0000-0000E21A0000}"/>
    <cellStyle name="Comma 5 4 2 6" xfId="8051" xr:uid="{00000000-0005-0000-0000-0000E31A0000}"/>
    <cellStyle name="Comma 5 4 3" xfId="1109" xr:uid="{00000000-0005-0000-0000-0000E41A0000}"/>
    <cellStyle name="Comma 5 4 3 2" xfId="6839" xr:uid="{00000000-0005-0000-0000-0000E51A0000}"/>
    <cellStyle name="Comma 5 4 3 2 2" xfId="9546" xr:uid="{00000000-0005-0000-0000-0000E61A0000}"/>
    <cellStyle name="Comma 5 4 3 3" xfId="8207" xr:uid="{00000000-0005-0000-0000-0000E71A0000}"/>
    <cellStyle name="Comma 5 4 4" xfId="1489" xr:uid="{00000000-0005-0000-0000-0000E81A0000}"/>
    <cellStyle name="Comma 5 4 4 2" xfId="7180" xr:uid="{00000000-0005-0000-0000-0000E91A0000}"/>
    <cellStyle name="Comma 5 4 4 2 2" xfId="9883" xr:uid="{00000000-0005-0000-0000-0000EA1A0000}"/>
    <cellStyle name="Comma 5 4 4 3" xfId="8543" xr:uid="{00000000-0005-0000-0000-0000EB1A0000}"/>
    <cellStyle name="Comma 5 4 5" xfId="6521" xr:uid="{00000000-0005-0000-0000-0000EC1A0000}"/>
    <cellStyle name="Comma 5 4 5 2" xfId="9238" xr:uid="{00000000-0005-0000-0000-0000ED1A0000}"/>
    <cellStyle name="Comma 5 4 6" xfId="7899" xr:uid="{00000000-0005-0000-0000-0000EE1A0000}"/>
    <cellStyle name="Comma 5 4 7" xfId="10506" xr:uid="{00000000-0005-0000-0000-0000EF1A0000}"/>
    <cellStyle name="Comma 5 4 8" xfId="10540" xr:uid="{00000000-0005-0000-0000-0000F01A0000}"/>
    <cellStyle name="Comma 5 5" xfId="552" xr:uid="{00000000-0005-0000-0000-0000F11A0000}"/>
    <cellStyle name="Comma 5 5 2" xfId="4915" xr:uid="{00000000-0005-0000-0000-0000F21A0000}"/>
    <cellStyle name="Comma 5 5 2 2" xfId="4916" xr:uid="{00000000-0005-0000-0000-0000F31A0000}"/>
    <cellStyle name="Comma 5 5 2 2 2" xfId="4917" xr:uid="{00000000-0005-0000-0000-0000F41A0000}"/>
    <cellStyle name="Comma 5 5 2 2 2 2" xfId="7548" xr:uid="{00000000-0005-0000-0000-0000F51A0000}"/>
    <cellStyle name="Comma 5 5 2 2 2 2 2" xfId="10247" xr:uid="{00000000-0005-0000-0000-0000F61A0000}"/>
    <cellStyle name="Comma 5 5 2 2 2 3" xfId="8907" xr:uid="{00000000-0005-0000-0000-0000F71A0000}"/>
    <cellStyle name="Comma 5 5 2 2 3" xfId="4918" xr:uid="{00000000-0005-0000-0000-0000F81A0000}"/>
    <cellStyle name="Comma 5 5 2 2 3 2" xfId="7549" xr:uid="{00000000-0005-0000-0000-0000F91A0000}"/>
    <cellStyle name="Comma 5 5 2 2 3 2 2" xfId="10248" xr:uid="{00000000-0005-0000-0000-0000FA1A0000}"/>
    <cellStyle name="Comma 5 5 2 2 3 3" xfId="8908" xr:uid="{00000000-0005-0000-0000-0000FB1A0000}"/>
    <cellStyle name="Comma 5 5 2 2 4" xfId="7547" xr:uid="{00000000-0005-0000-0000-0000FC1A0000}"/>
    <cellStyle name="Comma 5 5 2 2 4 2" xfId="10246" xr:uid="{00000000-0005-0000-0000-0000FD1A0000}"/>
    <cellStyle name="Comma 5 5 2 2 5" xfId="8906" xr:uid="{00000000-0005-0000-0000-0000FE1A0000}"/>
    <cellStyle name="Comma 5 5 2 3" xfId="4919" xr:uid="{00000000-0005-0000-0000-0000FF1A0000}"/>
    <cellStyle name="Comma 5 5 2 3 2" xfId="7550" xr:uid="{00000000-0005-0000-0000-0000001B0000}"/>
    <cellStyle name="Comma 5 5 2 3 2 2" xfId="10249" xr:uid="{00000000-0005-0000-0000-0000011B0000}"/>
    <cellStyle name="Comma 5 5 2 3 3" xfId="8909" xr:uid="{00000000-0005-0000-0000-0000021B0000}"/>
    <cellStyle name="Comma 5 5 2 4" xfId="7546" xr:uid="{00000000-0005-0000-0000-0000031B0000}"/>
    <cellStyle name="Comma 5 5 2 4 2" xfId="10245" xr:uid="{00000000-0005-0000-0000-0000041B0000}"/>
    <cellStyle name="Comma 5 5 2 5" xfId="8905" xr:uid="{00000000-0005-0000-0000-0000051B0000}"/>
    <cellStyle name="Comma 5 5 3" xfId="4920" xr:uid="{00000000-0005-0000-0000-0000061B0000}"/>
    <cellStyle name="Comma 5 5 3 2" xfId="4921" xr:uid="{00000000-0005-0000-0000-0000071B0000}"/>
    <cellStyle name="Comma 5 5 3 2 2" xfId="4922" xr:uid="{00000000-0005-0000-0000-0000081B0000}"/>
    <cellStyle name="Comma 5 5 3 2 2 2" xfId="7553" xr:uid="{00000000-0005-0000-0000-0000091B0000}"/>
    <cellStyle name="Comma 5 5 3 2 2 2 2" xfId="10252" xr:uid="{00000000-0005-0000-0000-00000A1B0000}"/>
    <cellStyle name="Comma 5 5 3 2 2 3" xfId="8912" xr:uid="{00000000-0005-0000-0000-00000B1B0000}"/>
    <cellStyle name="Comma 5 5 3 2 3" xfId="4923" xr:uid="{00000000-0005-0000-0000-00000C1B0000}"/>
    <cellStyle name="Comma 5 5 3 2 3 2" xfId="7554" xr:uid="{00000000-0005-0000-0000-00000D1B0000}"/>
    <cellStyle name="Comma 5 5 3 2 3 2 2" xfId="10253" xr:uid="{00000000-0005-0000-0000-00000E1B0000}"/>
    <cellStyle name="Comma 5 5 3 2 3 3" xfId="8913" xr:uid="{00000000-0005-0000-0000-00000F1B0000}"/>
    <cellStyle name="Comma 5 5 3 2 4" xfId="7552" xr:uid="{00000000-0005-0000-0000-0000101B0000}"/>
    <cellStyle name="Comma 5 5 3 2 4 2" xfId="10251" xr:uid="{00000000-0005-0000-0000-0000111B0000}"/>
    <cellStyle name="Comma 5 5 3 2 5" xfId="8911" xr:uid="{00000000-0005-0000-0000-0000121B0000}"/>
    <cellStyle name="Comma 5 5 3 3" xfId="4924" xr:uid="{00000000-0005-0000-0000-0000131B0000}"/>
    <cellStyle name="Comma 5 5 3 3 2" xfId="7555" xr:uid="{00000000-0005-0000-0000-0000141B0000}"/>
    <cellStyle name="Comma 5 5 3 3 2 2" xfId="10254" xr:uid="{00000000-0005-0000-0000-0000151B0000}"/>
    <cellStyle name="Comma 5 5 3 3 3" xfId="8914" xr:uid="{00000000-0005-0000-0000-0000161B0000}"/>
    <cellStyle name="Comma 5 5 3 4" xfId="7551" xr:uid="{00000000-0005-0000-0000-0000171B0000}"/>
    <cellStyle name="Comma 5 5 3 4 2" xfId="10250" xr:uid="{00000000-0005-0000-0000-0000181B0000}"/>
    <cellStyle name="Comma 5 5 3 5" xfId="8910" xr:uid="{00000000-0005-0000-0000-0000191B0000}"/>
    <cellStyle name="Comma 5 5 4" xfId="4925" xr:uid="{00000000-0005-0000-0000-00001A1B0000}"/>
    <cellStyle name="Comma 5 5 4 2" xfId="4926" xr:uid="{00000000-0005-0000-0000-00001B1B0000}"/>
    <cellStyle name="Comma 5 5 4 2 2" xfId="7557" xr:uid="{00000000-0005-0000-0000-00001C1B0000}"/>
    <cellStyle name="Comma 5 5 4 2 2 2" xfId="10256" xr:uid="{00000000-0005-0000-0000-00001D1B0000}"/>
    <cellStyle name="Comma 5 5 4 2 3" xfId="8916" xr:uid="{00000000-0005-0000-0000-00001E1B0000}"/>
    <cellStyle name="Comma 5 5 4 3" xfId="4927" xr:uid="{00000000-0005-0000-0000-00001F1B0000}"/>
    <cellStyle name="Comma 5 5 4 3 2" xfId="7558" xr:uid="{00000000-0005-0000-0000-0000201B0000}"/>
    <cellStyle name="Comma 5 5 4 3 2 2" xfId="10257" xr:uid="{00000000-0005-0000-0000-0000211B0000}"/>
    <cellStyle name="Comma 5 5 4 3 3" xfId="8917" xr:uid="{00000000-0005-0000-0000-0000221B0000}"/>
    <cellStyle name="Comma 5 5 4 4" xfId="7556" xr:uid="{00000000-0005-0000-0000-0000231B0000}"/>
    <cellStyle name="Comma 5 5 4 4 2" xfId="10255" xr:uid="{00000000-0005-0000-0000-0000241B0000}"/>
    <cellStyle name="Comma 5 5 4 5" xfId="8915" xr:uid="{00000000-0005-0000-0000-0000251B0000}"/>
    <cellStyle name="Comma 5 5 5" xfId="4928" xr:uid="{00000000-0005-0000-0000-0000261B0000}"/>
    <cellStyle name="Comma 5 5 5 2" xfId="7559" xr:uid="{00000000-0005-0000-0000-0000271B0000}"/>
    <cellStyle name="Comma 5 5 5 2 2" xfId="10258" xr:uid="{00000000-0005-0000-0000-0000281B0000}"/>
    <cellStyle name="Comma 5 5 5 3" xfId="8918" xr:uid="{00000000-0005-0000-0000-0000291B0000}"/>
    <cellStyle name="Comma 5 6" xfId="1371" xr:uid="{00000000-0005-0000-0000-00002A1B0000}"/>
    <cellStyle name="Comma 5 6 2" xfId="4930" xr:uid="{00000000-0005-0000-0000-00002B1B0000}"/>
    <cellStyle name="Comma 5 6 2 2" xfId="7561" xr:uid="{00000000-0005-0000-0000-00002C1B0000}"/>
    <cellStyle name="Comma 5 6 2 2 2" xfId="10260" xr:uid="{00000000-0005-0000-0000-00002D1B0000}"/>
    <cellStyle name="Comma 5 6 2 3" xfId="8920" xr:uid="{00000000-0005-0000-0000-00002E1B0000}"/>
    <cellStyle name="Comma 5 6 3" xfId="4931" xr:uid="{00000000-0005-0000-0000-00002F1B0000}"/>
    <cellStyle name="Comma 5 6 3 2" xfId="7562" xr:uid="{00000000-0005-0000-0000-0000301B0000}"/>
    <cellStyle name="Comma 5 6 3 2 2" xfId="10261" xr:uid="{00000000-0005-0000-0000-0000311B0000}"/>
    <cellStyle name="Comma 5 6 3 3" xfId="8921" xr:uid="{00000000-0005-0000-0000-0000321B0000}"/>
    <cellStyle name="Comma 5 6 4" xfId="4929" xr:uid="{00000000-0005-0000-0000-0000331B0000}"/>
    <cellStyle name="Comma 5 6 4 2" xfId="7560" xr:uid="{00000000-0005-0000-0000-0000341B0000}"/>
    <cellStyle name="Comma 5 6 4 2 2" xfId="10259" xr:uid="{00000000-0005-0000-0000-0000351B0000}"/>
    <cellStyle name="Comma 5 6 4 3" xfId="8919" xr:uid="{00000000-0005-0000-0000-0000361B0000}"/>
    <cellStyle name="Comma 5 6 5" xfId="7076" xr:uid="{00000000-0005-0000-0000-0000371B0000}"/>
    <cellStyle name="Comma 5 6 5 2" xfId="9781" xr:uid="{00000000-0005-0000-0000-0000381B0000}"/>
    <cellStyle name="Comma 5 6 6" xfId="8442" xr:uid="{00000000-0005-0000-0000-0000391B0000}"/>
    <cellStyle name="Comma 5 7" xfId="4932" xr:uid="{00000000-0005-0000-0000-00003A1B0000}"/>
    <cellStyle name="Comma 5 7 2" xfId="7563" xr:uid="{00000000-0005-0000-0000-00003B1B0000}"/>
    <cellStyle name="Comma 5 7 2 2" xfId="10262" xr:uid="{00000000-0005-0000-0000-00003C1B0000}"/>
    <cellStyle name="Comma 5 7 3" xfId="8922" xr:uid="{00000000-0005-0000-0000-00003D1B0000}"/>
    <cellStyle name="Comma 5 7 4" xfId="10526" xr:uid="{00000000-0005-0000-0000-00003E1B0000}"/>
    <cellStyle name="Comma 5 7 4 2" xfId="10555" xr:uid="{00000000-0005-0000-0000-00003F1B0000}"/>
    <cellStyle name="Comma 5 8" xfId="6351" xr:uid="{00000000-0005-0000-0000-0000401B0000}"/>
    <cellStyle name="Comma 5 8 2" xfId="9070" xr:uid="{00000000-0005-0000-0000-0000411B0000}"/>
    <cellStyle name="Comma 5 9" xfId="7731" xr:uid="{00000000-0005-0000-0000-0000421B0000}"/>
    <cellStyle name="Comma 5_BRIGADE BLOCK A &amp; B  IBMS DDC BUDGETARY ESTIMATES 10 03 14 R0" xfId="553" xr:uid="{00000000-0005-0000-0000-0000431B0000}"/>
    <cellStyle name="Comma 50" xfId="967" xr:uid="{00000000-0005-0000-0000-0000441B0000}"/>
    <cellStyle name="Comma 50 2" xfId="1147" xr:uid="{00000000-0005-0000-0000-0000451B0000}"/>
    <cellStyle name="Comma 50 2 2" xfId="6865" xr:uid="{00000000-0005-0000-0000-0000461B0000}"/>
    <cellStyle name="Comma 50 2 2 2" xfId="9572" xr:uid="{00000000-0005-0000-0000-0000471B0000}"/>
    <cellStyle name="Comma 50 2 3" xfId="8233" xr:uid="{00000000-0005-0000-0000-0000481B0000}"/>
    <cellStyle name="Comma 50 3" xfId="6699" xr:uid="{00000000-0005-0000-0000-0000491B0000}"/>
    <cellStyle name="Comma 50 3 2" xfId="9406" xr:uid="{00000000-0005-0000-0000-00004A1B0000}"/>
    <cellStyle name="Comma 50 4" xfId="8067" xr:uid="{00000000-0005-0000-0000-00004B1B0000}"/>
    <cellStyle name="Comma 51" xfId="871" xr:uid="{00000000-0005-0000-0000-00004C1B0000}"/>
    <cellStyle name="Comma 51 2" xfId="1272" xr:uid="{00000000-0005-0000-0000-00004D1B0000}"/>
    <cellStyle name="Comma 51 2 2" xfId="6982" xr:uid="{00000000-0005-0000-0000-00004E1B0000}"/>
    <cellStyle name="Comma 51 2 2 2" xfId="9689" xr:uid="{00000000-0005-0000-0000-00004F1B0000}"/>
    <cellStyle name="Comma 51 2 3" xfId="8350" xr:uid="{00000000-0005-0000-0000-0000501B0000}"/>
    <cellStyle name="Comma 51 3" xfId="6604" xr:uid="{00000000-0005-0000-0000-0000511B0000}"/>
    <cellStyle name="Comma 51 3 2" xfId="9311" xr:uid="{00000000-0005-0000-0000-0000521B0000}"/>
    <cellStyle name="Comma 51 4" xfId="7972" xr:uid="{00000000-0005-0000-0000-0000531B0000}"/>
    <cellStyle name="Comma 52" xfId="994" xr:uid="{00000000-0005-0000-0000-0000541B0000}"/>
    <cellStyle name="Comma 52 2" xfId="1146" xr:uid="{00000000-0005-0000-0000-0000551B0000}"/>
    <cellStyle name="Comma 52 2 2" xfId="6864" xr:uid="{00000000-0005-0000-0000-0000561B0000}"/>
    <cellStyle name="Comma 52 2 2 2" xfId="9571" xr:uid="{00000000-0005-0000-0000-0000571B0000}"/>
    <cellStyle name="Comma 52 2 3" xfId="8232" xr:uid="{00000000-0005-0000-0000-0000581B0000}"/>
    <cellStyle name="Comma 52 3" xfId="6726" xr:uid="{00000000-0005-0000-0000-0000591B0000}"/>
    <cellStyle name="Comma 52 3 2" xfId="9433" xr:uid="{00000000-0005-0000-0000-00005A1B0000}"/>
    <cellStyle name="Comma 52 4" xfId="8094" xr:uid="{00000000-0005-0000-0000-00005B1B0000}"/>
    <cellStyle name="Comma 53" xfId="998" xr:uid="{00000000-0005-0000-0000-00005C1B0000}"/>
    <cellStyle name="Comma 53 2" xfId="1320" xr:uid="{00000000-0005-0000-0000-00005D1B0000}"/>
    <cellStyle name="Comma 53 2 2" xfId="7026" xr:uid="{00000000-0005-0000-0000-00005E1B0000}"/>
    <cellStyle name="Comma 53 2 2 2" xfId="9733" xr:uid="{00000000-0005-0000-0000-00005F1B0000}"/>
    <cellStyle name="Comma 53 2 3" xfId="8394" xr:uid="{00000000-0005-0000-0000-0000601B0000}"/>
    <cellStyle name="Comma 53 2 4" xfId="10440" xr:uid="{00000000-0005-0000-0000-0000611B0000}"/>
    <cellStyle name="Comma 53 3" xfId="6729" xr:uid="{00000000-0005-0000-0000-0000621B0000}"/>
    <cellStyle name="Comma 53 3 2" xfId="9436" xr:uid="{00000000-0005-0000-0000-0000631B0000}"/>
    <cellStyle name="Comma 53 4" xfId="8097" xr:uid="{00000000-0005-0000-0000-0000641B0000}"/>
    <cellStyle name="Comma 54" xfId="1324" xr:uid="{00000000-0005-0000-0000-0000651B0000}"/>
    <cellStyle name="Comma 54 2" xfId="7030" xr:uid="{00000000-0005-0000-0000-0000661B0000}"/>
    <cellStyle name="Comma 54 2 2" xfId="9737" xr:uid="{00000000-0005-0000-0000-0000671B0000}"/>
    <cellStyle name="Comma 54 2 3" xfId="10441" xr:uid="{00000000-0005-0000-0000-0000681B0000}"/>
    <cellStyle name="Comma 54 3" xfId="8398" xr:uid="{00000000-0005-0000-0000-0000691B0000}"/>
    <cellStyle name="Comma 55" xfId="1249" xr:uid="{00000000-0005-0000-0000-00006A1B0000}"/>
    <cellStyle name="Comma 55 2" xfId="6967" xr:uid="{00000000-0005-0000-0000-00006B1B0000}"/>
    <cellStyle name="Comma 55 2 2" xfId="9674" xr:uid="{00000000-0005-0000-0000-00006C1B0000}"/>
    <cellStyle name="Comma 55 2 3" xfId="10442" xr:uid="{00000000-0005-0000-0000-00006D1B0000}"/>
    <cellStyle name="Comma 55 3" xfId="8335" xr:uid="{00000000-0005-0000-0000-00006E1B0000}"/>
    <cellStyle name="Comma 56" xfId="1323" xr:uid="{00000000-0005-0000-0000-00006F1B0000}"/>
    <cellStyle name="Comma 56 2" xfId="7029" xr:uid="{00000000-0005-0000-0000-0000701B0000}"/>
    <cellStyle name="Comma 56 2 2" xfId="9736" xr:uid="{00000000-0005-0000-0000-0000711B0000}"/>
    <cellStyle name="Comma 56 3" xfId="8397" xr:uid="{00000000-0005-0000-0000-0000721B0000}"/>
    <cellStyle name="Comma 57" xfId="1332" xr:uid="{00000000-0005-0000-0000-0000731B0000}"/>
    <cellStyle name="Comma 57 2" xfId="7038" xr:uid="{00000000-0005-0000-0000-0000741B0000}"/>
    <cellStyle name="Comma 57 2 2" xfId="9745" xr:uid="{00000000-0005-0000-0000-0000751B0000}"/>
    <cellStyle name="Comma 57 3" xfId="8406" xr:uid="{00000000-0005-0000-0000-0000761B0000}"/>
    <cellStyle name="Comma 58" xfId="1334" xr:uid="{00000000-0005-0000-0000-0000771B0000}"/>
    <cellStyle name="Comma 58 2" xfId="7039" xr:uid="{00000000-0005-0000-0000-0000781B0000}"/>
    <cellStyle name="Comma 58 2 2" xfId="9746" xr:uid="{00000000-0005-0000-0000-0000791B0000}"/>
    <cellStyle name="Comma 58 3" xfId="8407" xr:uid="{00000000-0005-0000-0000-00007A1B0000}"/>
    <cellStyle name="Comma 59" xfId="1335" xr:uid="{00000000-0005-0000-0000-00007B1B0000}"/>
    <cellStyle name="Comma 59 2" xfId="7040" xr:uid="{00000000-0005-0000-0000-00007C1B0000}"/>
    <cellStyle name="Comma 59 2 2" xfId="9747" xr:uid="{00000000-0005-0000-0000-00007D1B0000}"/>
    <cellStyle name="Comma 59 3" xfId="8408" xr:uid="{00000000-0005-0000-0000-00007E1B0000}"/>
    <cellStyle name="Comma 6" xfId="115" xr:uid="{00000000-0005-0000-0000-00007F1B0000}"/>
    <cellStyle name="Comma 6 10" xfId="6353" xr:uid="{00000000-0005-0000-0000-0000801B0000}"/>
    <cellStyle name="Comma 6 10 2" xfId="9072" xr:uid="{00000000-0005-0000-0000-0000811B0000}"/>
    <cellStyle name="Comma 6 11" xfId="7733" xr:uid="{00000000-0005-0000-0000-0000821B0000}"/>
    <cellStyle name="Comma 6 12" xfId="157" xr:uid="{00000000-0005-0000-0000-0000831B0000}"/>
    <cellStyle name="Comma 6 2" xfId="127" xr:uid="{00000000-0005-0000-0000-0000841B0000}"/>
    <cellStyle name="Comma 6 2 10" xfId="1352" xr:uid="{00000000-0005-0000-0000-0000851B0000}"/>
    <cellStyle name="Comma 6 2 10 2" xfId="7057" xr:uid="{00000000-0005-0000-0000-0000861B0000}"/>
    <cellStyle name="Comma 6 2 10 2 2" xfId="9764" xr:uid="{00000000-0005-0000-0000-0000871B0000}"/>
    <cellStyle name="Comma 6 2 10 3" xfId="8425" xr:uid="{00000000-0005-0000-0000-0000881B0000}"/>
    <cellStyle name="Comma 6 2 11" xfId="6334" xr:uid="{00000000-0005-0000-0000-0000891B0000}"/>
    <cellStyle name="Comma 6 2 11 2" xfId="9053" xr:uid="{00000000-0005-0000-0000-00008A1B0000}"/>
    <cellStyle name="Comma 6 2 12" xfId="7714" xr:uid="{00000000-0005-0000-0000-00008B1B0000}"/>
    <cellStyle name="Comma 6 2 2" xfId="556" xr:uid="{00000000-0005-0000-0000-00008C1B0000}"/>
    <cellStyle name="Comma 6 2 2 2" xfId="557" xr:uid="{00000000-0005-0000-0000-00008D1B0000}"/>
    <cellStyle name="Comma 6 2 2 3" xfId="953" xr:uid="{00000000-0005-0000-0000-00008E1B0000}"/>
    <cellStyle name="Comma 6 2 2 3 2" xfId="1231" xr:uid="{00000000-0005-0000-0000-00008F1B0000}"/>
    <cellStyle name="Comma 6 2 2 3 2 2" xfId="6949" xr:uid="{00000000-0005-0000-0000-0000901B0000}"/>
    <cellStyle name="Comma 6 2 2 3 2 2 2" xfId="9656" xr:uid="{00000000-0005-0000-0000-0000911B0000}"/>
    <cellStyle name="Comma 6 2 2 3 2 3" xfId="8317" xr:uid="{00000000-0005-0000-0000-0000921B0000}"/>
    <cellStyle name="Comma 6 2 2 3 3" xfId="4933" xr:uid="{00000000-0005-0000-0000-0000931B0000}"/>
    <cellStyle name="Comma 6 2 2 3 3 2" xfId="7564" xr:uid="{00000000-0005-0000-0000-0000941B0000}"/>
    <cellStyle name="Comma 6 2 2 3 3 2 2" xfId="10263" xr:uid="{00000000-0005-0000-0000-0000951B0000}"/>
    <cellStyle name="Comma 6 2 2 3 3 3" xfId="8923" xr:uid="{00000000-0005-0000-0000-0000961B0000}"/>
    <cellStyle name="Comma 6 2 2 3 4" xfId="6686" xr:uid="{00000000-0005-0000-0000-0000971B0000}"/>
    <cellStyle name="Comma 6 2 2 3 4 2" xfId="9393" xr:uid="{00000000-0005-0000-0000-0000981B0000}"/>
    <cellStyle name="Comma 6 2 2 3 5" xfId="8054" xr:uid="{00000000-0005-0000-0000-0000991B0000}"/>
    <cellStyle name="Comma 6 2 2 4" xfId="1111" xr:uid="{00000000-0005-0000-0000-00009A1B0000}"/>
    <cellStyle name="Comma 6 2 2 4 2" xfId="6841" xr:uid="{00000000-0005-0000-0000-00009B1B0000}"/>
    <cellStyle name="Comma 6 2 2 4 2 2" xfId="9548" xr:uid="{00000000-0005-0000-0000-00009C1B0000}"/>
    <cellStyle name="Comma 6 2 2 4 3" xfId="8209" xr:uid="{00000000-0005-0000-0000-00009D1B0000}"/>
    <cellStyle name="Comma 6 2 2 5" xfId="6524" xr:uid="{00000000-0005-0000-0000-00009E1B0000}"/>
    <cellStyle name="Comma 6 2 2 5 2" xfId="9241" xr:uid="{00000000-0005-0000-0000-00009F1B0000}"/>
    <cellStyle name="Comma 6 2 2 6" xfId="7902" xr:uid="{00000000-0005-0000-0000-0000A01B0000}"/>
    <cellStyle name="Comma 6 2 3" xfId="558" xr:uid="{00000000-0005-0000-0000-0000A11B0000}"/>
    <cellStyle name="Comma 6 2 4" xfId="559" xr:uid="{00000000-0005-0000-0000-0000A21B0000}"/>
    <cellStyle name="Comma 6 2 5" xfId="952" xr:uid="{00000000-0005-0000-0000-0000A31B0000}"/>
    <cellStyle name="Comma 6 2 5 2" xfId="1223" xr:uid="{00000000-0005-0000-0000-0000A41B0000}"/>
    <cellStyle name="Comma 6 2 5 2 2" xfId="6941" xr:uid="{00000000-0005-0000-0000-0000A51B0000}"/>
    <cellStyle name="Comma 6 2 5 2 2 2" xfId="9648" xr:uid="{00000000-0005-0000-0000-0000A61B0000}"/>
    <cellStyle name="Comma 6 2 5 2 3" xfId="8309" xr:uid="{00000000-0005-0000-0000-0000A71B0000}"/>
    <cellStyle name="Comma 6 2 5 3" xfId="1110" xr:uid="{00000000-0005-0000-0000-0000A81B0000}"/>
    <cellStyle name="Comma 6 2 5 3 2" xfId="6840" xr:uid="{00000000-0005-0000-0000-0000A91B0000}"/>
    <cellStyle name="Comma 6 2 5 3 2 2" xfId="9547" xr:uid="{00000000-0005-0000-0000-0000AA1B0000}"/>
    <cellStyle name="Comma 6 2 5 3 3" xfId="8208" xr:uid="{00000000-0005-0000-0000-0000AB1B0000}"/>
    <cellStyle name="Comma 6 2 5 4" xfId="6685" xr:uid="{00000000-0005-0000-0000-0000AC1B0000}"/>
    <cellStyle name="Comma 6 2 5 4 2" xfId="9392" xr:uid="{00000000-0005-0000-0000-0000AD1B0000}"/>
    <cellStyle name="Comma 6 2 5 5" xfId="8053" xr:uid="{00000000-0005-0000-0000-0000AE1B0000}"/>
    <cellStyle name="Comma 6 2 6" xfId="974" xr:uid="{00000000-0005-0000-0000-0000AF1B0000}"/>
    <cellStyle name="Comma 6 2 6 2" xfId="1230" xr:uid="{00000000-0005-0000-0000-0000B01B0000}"/>
    <cellStyle name="Comma 6 2 6 2 2" xfId="6948" xr:uid="{00000000-0005-0000-0000-0000B11B0000}"/>
    <cellStyle name="Comma 6 2 6 2 2 2" xfId="9655" xr:uid="{00000000-0005-0000-0000-0000B21B0000}"/>
    <cellStyle name="Comma 6 2 6 2 3" xfId="8316" xr:uid="{00000000-0005-0000-0000-0000B31B0000}"/>
    <cellStyle name="Comma 6 2 6 3" xfId="6706" xr:uid="{00000000-0005-0000-0000-0000B41B0000}"/>
    <cellStyle name="Comma 6 2 6 3 2" xfId="9413" xr:uid="{00000000-0005-0000-0000-0000B51B0000}"/>
    <cellStyle name="Comma 6 2 6 4" xfId="8074" xr:uid="{00000000-0005-0000-0000-0000B61B0000}"/>
    <cellStyle name="Comma 6 2 7" xfId="1293" xr:uid="{00000000-0005-0000-0000-0000B71B0000}"/>
    <cellStyle name="Comma 6 2 7 2" xfId="7003" xr:uid="{00000000-0005-0000-0000-0000B81B0000}"/>
    <cellStyle name="Comma 6 2 7 2 2" xfId="9710" xr:uid="{00000000-0005-0000-0000-0000B91B0000}"/>
    <cellStyle name="Comma 6 2 7 3" xfId="8371" xr:uid="{00000000-0005-0000-0000-0000BA1B0000}"/>
    <cellStyle name="Comma 6 2 8" xfId="1049" xr:uid="{00000000-0005-0000-0000-0000BB1B0000}"/>
    <cellStyle name="Comma 6 2 8 2" xfId="6780" xr:uid="{00000000-0005-0000-0000-0000BC1B0000}"/>
    <cellStyle name="Comma 6 2 8 2 2" xfId="9487" xr:uid="{00000000-0005-0000-0000-0000BD1B0000}"/>
    <cellStyle name="Comma 6 2 8 3" xfId="8148" xr:uid="{00000000-0005-0000-0000-0000BE1B0000}"/>
    <cellStyle name="Comma 6 2 9" xfId="555" xr:uid="{00000000-0005-0000-0000-0000BF1B0000}"/>
    <cellStyle name="Comma 6 2 9 2" xfId="6523" xr:uid="{00000000-0005-0000-0000-0000C01B0000}"/>
    <cellStyle name="Comma 6 2 9 2 2" xfId="9240" xr:uid="{00000000-0005-0000-0000-0000C11B0000}"/>
    <cellStyle name="Comma 6 2 9 3" xfId="7901" xr:uid="{00000000-0005-0000-0000-0000C21B0000}"/>
    <cellStyle name="Comma 6 3" xfId="560" xr:uid="{00000000-0005-0000-0000-0000C31B0000}"/>
    <cellStyle name="Comma 6 3 2" xfId="4934" xr:uid="{00000000-0005-0000-0000-0000C41B0000}"/>
    <cellStyle name="Comma 6 3 2 2" xfId="4935" xr:uid="{00000000-0005-0000-0000-0000C51B0000}"/>
    <cellStyle name="Comma 6 3 2 2 2" xfId="7566" xr:uid="{00000000-0005-0000-0000-0000C61B0000}"/>
    <cellStyle name="Comma 6 3 2 2 2 2" xfId="10265" xr:uid="{00000000-0005-0000-0000-0000C71B0000}"/>
    <cellStyle name="Comma 6 3 2 2 3" xfId="8925" xr:uid="{00000000-0005-0000-0000-0000C81B0000}"/>
    <cellStyle name="Comma 6 3 2 3" xfId="4936" xr:uid="{00000000-0005-0000-0000-0000C91B0000}"/>
    <cellStyle name="Comma 6 3 2 3 2" xfId="7567" xr:uid="{00000000-0005-0000-0000-0000CA1B0000}"/>
    <cellStyle name="Comma 6 3 2 3 2 2" xfId="10266" xr:uid="{00000000-0005-0000-0000-0000CB1B0000}"/>
    <cellStyle name="Comma 6 3 2 3 3" xfId="8926" xr:uid="{00000000-0005-0000-0000-0000CC1B0000}"/>
    <cellStyle name="Comma 6 3 2 4" xfId="7565" xr:uid="{00000000-0005-0000-0000-0000CD1B0000}"/>
    <cellStyle name="Comma 6 3 2 4 2" xfId="10264" xr:uid="{00000000-0005-0000-0000-0000CE1B0000}"/>
    <cellStyle name="Comma 6 3 2 5" xfId="8924" xr:uid="{00000000-0005-0000-0000-0000CF1B0000}"/>
    <cellStyle name="Comma 6 4" xfId="554" xr:uid="{00000000-0005-0000-0000-0000D01B0000}"/>
    <cellStyle name="Comma 6 4 2" xfId="1229" xr:uid="{00000000-0005-0000-0000-0000D11B0000}"/>
    <cellStyle name="Comma 6 4 2 2" xfId="4939" xr:uid="{00000000-0005-0000-0000-0000D21B0000}"/>
    <cellStyle name="Comma 6 4 2 2 2" xfId="7570" xr:uid="{00000000-0005-0000-0000-0000D31B0000}"/>
    <cellStyle name="Comma 6 4 2 2 2 2" xfId="10269" xr:uid="{00000000-0005-0000-0000-0000D41B0000}"/>
    <cellStyle name="Comma 6 4 2 2 3" xfId="8929" xr:uid="{00000000-0005-0000-0000-0000D51B0000}"/>
    <cellStyle name="Comma 6 4 2 3" xfId="4940" xr:uid="{00000000-0005-0000-0000-0000D61B0000}"/>
    <cellStyle name="Comma 6 4 2 3 2" xfId="7571" xr:uid="{00000000-0005-0000-0000-0000D71B0000}"/>
    <cellStyle name="Comma 6 4 2 3 2 2" xfId="10270" xr:uid="{00000000-0005-0000-0000-0000D81B0000}"/>
    <cellStyle name="Comma 6 4 2 3 3" xfId="8930" xr:uid="{00000000-0005-0000-0000-0000D91B0000}"/>
    <cellStyle name="Comma 6 4 2 4" xfId="4938" xr:uid="{00000000-0005-0000-0000-0000DA1B0000}"/>
    <cellStyle name="Comma 6 4 2 4 2" xfId="7569" xr:uid="{00000000-0005-0000-0000-0000DB1B0000}"/>
    <cellStyle name="Comma 6 4 2 4 2 2" xfId="10268" xr:uid="{00000000-0005-0000-0000-0000DC1B0000}"/>
    <cellStyle name="Comma 6 4 2 4 3" xfId="8928" xr:uid="{00000000-0005-0000-0000-0000DD1B0000}"/>
    <cellStyle name="Comma 6 4 2 5" xfId="6947" xr:uid="{00000000-0005-0000-0000-0000DE1B0000}"/>
    <cellStyle name="Comma 6 4 2 5 2" xfId="9654" xr:uid="{00000000-0005-0000-0000-0000DF1B0000}"/>
    <cellStyle name="Comma 6 4 2 6" xfId="8315" xr:uid="{00000000-0005-0000-0000-0000E01B0000}"/>
    <cellStyle name="Comma 6 4 3" xfId="4937" xr:uid="{00000000-0005-0000-0000-0000E11B0000}"/>
    <cellStyle name="Comma 6 4 3 2" xfId="7568" xr:uid="{00000000-0005-0000-0000-0000E21B0000}"/>
    <cellStyle name="Comma 6 4 3 2 2" xfId="10267" xr:uid="{00000000-0005-0000-0000-0000E31B0000}"/>
    <cellStyle name="Comma 6 4 3 3" xfId="8927" xr:uid="{00000000-0005-0000-0000-0000E41B0000}"/>
    <cellStyle name="Comma 6 4 4" xfId="6522" xr:uid="{00000000-0005-0000-0000-0000E51B0000}"/>
    <cellStyle name="Comma 6 4 4 2" xfId="9239" xr:uid="{00000000-0005-0000-0000-0000E61B0000}"/>
    <cellStyle name="Comma 6 4 5" xfId="7900" xr:uid="{00000000-0005-0000-0000-0000E71B0000}"/>
    <cellStyle name="Comma 6 5" xfId="951" xr:uid="{00000000-0005-0000-0000-0000E81B0000}"/>
    <cellStyle name="Comma 6 5 2" xfId="4942" xr:uid="{00000000-0005-0000-0000-0000E91B0000}"/>
    <cellStyle name="Comma 6 5 2 2" xfId="7573" xr:uid="{00000000-0005-0000-0000-0000EA1B0000}"/>
    <cellStyle name="Comma 6 5 2 2 2" xfId="10272" xr:uid="{00000000-0005-0000-0000-0000EB1B0000}"/>
    <cellStyle name="Comma 6 5 2 3" xfId="8932" xr:uid="{00000000-0005-0000-0000-0000EC1B0000}"/>
    <cellStyle name="Comma 6 5 3" xfId="4943" xr:uid="{00000000-0005-0000-0000-0000ED1B0000}"/>
    <cellStyle name="Comma 6 5 3 2" xfId="7574" xr:uid="{00000000-0005-0000-0000-0000EE1B0000}"/>
    <cellStyle name="Comma 6 5 3 2 2" xfId="10273" xr:uid="{00000000-0005-0000-0000-0000EF1B0000}"/>
    <cellStyle name="Comma 6 5 3 3" xfId="8933" xr:uid="{00000000-0005-0000-0000-0000F01B0000}"/>
    <cellStyle name="Comma 6 5 4" xfId="4941" xr:uid="{00000000-0005-0000-0000-0000F11B0000}"/>
    <cellStyle name="Comma 6 5 4 2" xfId="7572" xr:uid="{00000000-0005-0000-0000-0000F21B0000}"/>
    <cellStyle name="Comma 6 5 4 2 2" xfId="10271" xr:uid="{00000000-0005-0000-0000-0000F31B0000}"/>
    <cellStyle name="Comma 6 5 4 3" xfId="8931" xr:uid="{00000000-0005-0000-0000-0000F41B0000}"/>
    <cellStyle name="Comma 6 5 5" xfId="6684" xr:uid="{00000000-0005-0000-0000-0000F51B0000}"/>
    <cellStyle name="Comma 6 5 5 2" xfId="9391" xr:uid="{00000000-0005-0000-0000-0000F61B0000}"/>
    <cellStyle name="Comma 6 5 6" xfId="8052" xr:uid="{00000000-0005-0000-0000-0000F71B0000}"/>
    <cellStyle name="Comma 6 6" xfId="1021" xr:uid="{00000000-0005-0000-0000-0000F81B0000}"/>
    <cellStyle name="Comma 6 6 2" xfId="4944" xr:uid="{00000000-0005-0000-0000-0000F91B0000}"/>
    <cellStyle name="Comma 6 6 2 2" xfId="7575" xr:uid="{00000000-0005-0000-0000-0000FA1B0000}"/>
    <cellStyle name="Comma 6 6 2 2 2" xfId="10274" xr:uid="{00000000-0005-0000-0000-0000FB1B0000}"/>
    <cellStyle name="Comma 6 6 2 3" xfId="8934" xr:uid="{00000000-0005-0000-0000-0000FC1B0000}"/>
    <cellStyle name="Comma 6 6 3" xfId="6752" xr:uid="{00000000-0005-0000-0000-0000FD1B0000}"/>
    <cellStyle name="Comma 6 6 3 2" xfId="9459" xr:uid="{00000000-0005-0000-0000-0000FE1B0000}"/>
    <cellStyle name="Comma 6 6 4" xfId="8120" xr:uid="{00000000-0005-0000-0000-0000FF1B0000}"/>
    <cellStyle name="Comma 6 7" xfId="275" xr:uid="{00000000-0005-0000-0000-0000001C0000}"/>
    <cellStyle name="Comma 6 7 2" xfId="6426" xr:uid="{00000000-0005-0000-0000-0000011C0000}"/>
    <cellStyle name="Comma 6 7 2 2" xfId="9145" xr:uid="{00000000-0005-0000-0000-0000021C0000}"/>
    <cellStyle name="Comma 6 7 3" xfId="7806" xr:uid="{00000000-0005-0000-0000-0000031C0000}"/>
    <cellStyle name="Comma 6 8" xfId="1373" xr:uid="{00000000-0005-0000-0000-0000041C0000}"/>
    <cellStyle name="Comma 6 8 2" xfId="7078" xr:uid="{00000000-0005-0000-0000-0000051C0000}"/>
    <cellStyle name="Comma 6 8 2 2" xfId="9783" xr:uid="{00000000-0005-0000-0000-0000061C0000}"/>
    <cellStyle name="Comma 6 8 3" xfId="8444" xr:uid="{00000000-0005-0000-0000-0000071C0000}"/>
    <cellStyle name="Comma 6 9" xfId="1490" xr:uid="{00000000-0005-0000-0000-0000081C0000}"/>
    <cellStyle name="Comma 6 9 2" xfId="7181" xr:uid="{00000000-0005-0000-0000-0000091C0000}"/>
    <cellStyle name="Comma 6 9 2 2" xfId="9884" xr:uid="{00000000-0005-0000-0000-00000A1C0000}"/>
    <cellStyle name="Comma 6 9 3" xfId="8544" xr:uid="{00000000-0005-0000-0000-00000B1C0000}"/>
    <cellStyle name="Comma 60" xfId="1006" xr:uid="{00000000-0005-0000-0000-00000C1C0000}"/>
    <cellStyle name="Comma 60 2" xfId="6737" xr:uid="{00000000-0005-0000-0000-00000D1C0000}"/>
    <cellStyle name="Comma 60 2 2" xfId="9444" xr:uid="{00000000-0005-0000-0000-00000E1C0000}"/>
    <cellStyle name="Comma 60 3" xfId="8105" xr:uid="{00000000-0005-0000-0000-00000F1C0000}"/>
    <cellStyle name="Comma 61" xfId="1338" xr:uid="{00000000-0005-0000-0000-0000101C0000}"/>
    <cellStyle name="Comma 61 2" xfId="7043" xr:uid="{00000000-0005-0000-0000-0000111C0000}"/>
    <cellStyle name="Comma 61 2 2" xfId="9750" xr:uid="{00000000-0005-0000-0000-0000121C0000}"/>
    <cellStyle name="Comma 61 3" xfId="8411" xr:uid="{00000000-0005-0000-0000-0000131C0000}"/>
    <cellStyle name="Comma 62" xfId="260" xr:uid="{00000000-0005-0000-0000-0000141C0000}"/>
    <cellStyle name="Comma 62 2" xfId="6411" xr:uid="{00000000-0005-0000-0000-0000151C0000}"/>
    <cellStyle name="Comma 62 2 2" xfId="9130" xr:uid="{00000000-0005-0000-0000-0000161C0000}"/>
    <cellStyle name="Comma 62 3" xfId="7791" xr:uid="{00000000-0005-0000-0000-0000171C0000}"/>
    <cellStyle name="Comma 63" xfId="247" xr:uid="{00000000-0005-0000-0000-0000181C0000}"/>
    <cellStyle name="Comma 63 2" xfId="6408" xr:uid="{00000000-0005-0000-0000-0000191C0000}"/>
    <cellStyle name="Comma 63 2 2" xfId="9127" xr:uid="{00000000-0005-0000-0000-00001A1C0000}"/>
    <cellStyle name="Comma 63 3" xfId="7788" xr:uid="{00000000-0005-0000-0000-00001B1C0000}"/>
    <cellStyle name="Comma 64" xfId="1344" xr:uid="{00000000-0005-0000-0000-00001C1C0000}"/>
    <cellStyle name="Comma 64 2" xfId="7049" xr:uid="{00000000-0005-0000-0000-00001D1C0000}"/>
    <cellStyle name="Comma 64 2 2" xfId="9756" xr:uid="{00000000-0005-0000-0000-00001E1C0000}"/>
    <cellStyle name="Comma 64 3" xfId="8417" xr:uid="{00000000-0005-0000-0000-00001F1C0000}"/>
    <cellStyle name="Comma 65" xfId="1345" xr:uid="{00000000-0005-0000-0000-0000201C0000}"/>
    <cellStyle name="Comma 65 2" xfId="7050" xr:uid="{00000000-0005-0000-0000-0000211C0000}"/>
    <cellStyle name="Comma 65 2 2" xfId="9757" xr:uid="{00000000-0005-0000-0000-0000221C0000}"/>
    <cellStyle name="Comma 65 3" xfId="8418" xr:uid="{00000000-0005-0000-0000-0000231C0000}"/>
    <cellStyle name="Comma 65 6" xfId="4945" xr:uid="{00000000-0005-0000-0000-0000241C0000}"/>
    <cellStyle name="Comma 65 6 2" xfId="4946" xr:uid="{00000000-0005-0000-0000-0000251C0000}"/>
    <cellStyle name="Comma 65 6 2 2" xfId="4947" xr:uid="{00000000-0005-0000-0000-0000261C0000}"/>
    <cellStyle name="Comma 65 6 2 2 2" xfId="7578" xr:uid="{00000000-0005-0000-0000-0000271C0000}"/>
    <cellStyle name="Comma 65 6 2 2 2 2" xfId="10277" xr:uid="{00000000-0005-0000-0000-0000281C0000}"/>
    <cellStyle name="Comma 65 6 2 2 3" xfId="8937" xr:uid="{00000000-0005-0000-0000-0000291C0000}"/>
    <cellStyle name="Comma 65 6 2 3" xfId="7577" xr:uid="{00000000-0005-0000-0000-00002A1C0000}"/>
    <cellStyle name="Comma 65 6 2 3 2" xfId="10276" xr:uid="{00000000-0005-0000-0000-00002B1C0000}"/>
    <cellStyle name="Comma 65 6 2 4" xfId="8936" xr:uid="{00000000-0005-0000-0000-00002C1C0000}"/>
    <cellStyle name="Comma 65 6 3" xfId="4948" xr:uid="{00000000-0005-0000-0000-00002D1C0000}"/>
    <cellStyle name="Comma 65 6 3 2" xfId="7579" xr:uid="{00000000-0005-0000-0000-00002E1C0000}"/>
    <cellStyle name="Comma 65 6 3 2 2" xfId="10278" xr:uid="{00000000-0005-0000-0000-00002F1C0000}"/>
    <cellStyle name="Comma 65 6 3 3" xfId="8938" xr:uid="{00000000-0005-0000-0000-0000301C0000}"/>
    <cellStyle name="Comma 65 6 4" xfId="7576" xr:uid="{00000000-0005-0000-0000-0000311C0000}"/>
    <cellStyle name="Comma 65 6 4 2" xfId="10275" xr:uid="{00000000-0005-0000-0000-0000321C0000}"/>
    <cellStyle name="Comma 65 6 5" xfId="8935" xr:uid="{00000000-0005-0000-0000-0000331C0000}"/>
    <cellStyle name="Comma 66" xfId="1348" xr:uid="{00000000-0005-0000-0000-0000341C0000}"/>
    <cellStyle name="Comma 66 2" xfId="7053" xr:uid="{00000000-0005-0000-0000-0000351C0000}"/>
    <cellStyle name="Comma 66 2 2" xfId="9760" xr:uid="{00000000-0005-0000-0000-0000361C0000}"/>
    <cellStyle name="Comma 66 3" xfId="8421" xr:uid="{00000000-0005-0000-0000-0000371C0000}"/>
    <cellStyle name="Comma 67" xfId="1336" xr:uid="{00000000-0005-0000-0000-0000381C0000}"/>
    <cellStyle name="Comma 67 2" xfId="7041" xr:uid="{00000000-0005-0000-0000-0000391C0000}"/>
    <cellStyle name="Comma 67 2 2" xfId="9748" xr:uid="{00000000-0005-0000-0000-00003A1C0000}"/>
    <cellStyle name="Comma 67 3" xfId="8409" xr:uid="{00000000-0005-0000-0000-00003B1C0000}"/>
    <cellStyle name="Comma 68" xfId="1337" xr:uid="{00000000-0005-0000-0000-00003C1C0000}"/>
    <cellStyle name="Comma 68 2" xfId="7042" xr:uid="{00000000-0005-0000-0000-00003D1C0000}"/>
    <cellStyle name="Comma 68 2 2" xfId="9749" xr:uid="{00000000-0005-0000-0000-00003E1C0000}"/>
    <cellStyle name="Comma 68 3" xfId="8410" xr:uid="{00000000-0005-0000-0000-00003F1C0000}"/>
    <cellStyle name="Comma 69" xfId="1349" xr:uid="{00000000-0005-0000-0000-0000401C0000}"/>
    <cellStyle name="Comma 69 2" xfId="7054" xr:uid="{00000000-0005-0000-0000-0000411C0000}"/>
    <cellStyle name="Comma 69 2 2" xfId="9761" xr:uid="{00000000-0005-0000-0000-0000421C0000}"/>
    <cellStyle name="Comma 69 3" xfId="8422" xr:uid="{00000000-0005-0000-0000-0000431C0000}"/>
    <cellStyle name="Comma 7" xfId="75" xr:uid="{00000000-0005-0000-0000-0000441C0000}"/>
    <cellStyle name="Comma 7 10" xfId="6354" xr:uid="{00000000-0005-0000-0000-0000451C0000}"/>
    <cellStyle name="Comma 7 10 2" xfId="9073" xr:uid="{00000000-0005-0000-0000-0000461C0000}"/>
    <cellStyle name="Comma 7 11" xfId="7734" xr:uid="{00000000-0005-0000-0000-0000471C0000}"/>
    <cellStyle name="Comma 7 12" xfId="158" xr:uid="{00000000-0005-0000-0000-0000481C0000}"/>
    <cellStyle name="Comma 7 2" xfId="101" xr:uid="{00000000-0005-0000-0000-0000491C0000}"/>
    <cellStyle name="Comma 7 2 10" xfId="159" xr:uid="{00000000-0005-0000-0000-00004A1C0000}"/>
    <cellStyle name="Comma 7 2 2" xfId="563" xr:uid="{00000000-0005-0000-0000-00004B1C0000}"/>
    <cellStyle name="Comma 7 2 2 2" xfId="956" xr:uid="{00000000-0005-0000-0000-00004C1C0000}"/>
    <cellStyle name="Comma 7 2 2 2 2" xfId="1234" xr:uid="{00000000-0005-0000-0000-00004D1C0000}"/>
    <cellStyle name="Comma 7 2 2 2 2 2" xfId="6952" xr:uid="{00000000-0005-0000-0000-00004E1C0000}"/>
    <cellStyle name="Comma 7 2 2 2 2 2 2" xfId="9659" xr:uid="{00000000-0005-0000-0000-00004F1C0000}"/>
    <cellStyle name="Comma 7 2 2 2 2 3" xfId="8320" xr:uid="{00000000-0005-0000-0000-0000501C0000}"/>
    <cellStyle name="Comma 7 2 2 2 3" xfId="4949" xr:uid="{00000000-0005-0000-0000-0000511C0000}"/>
    <cellStyle name="Comma 7 2 2 2 3 2" xfId="7580" xr:uid="{00000000-0005-0000-0000-0000521C0000}"/>
    <cellStyle name="Comma 7 2 2 2 3 2 2" xfId="10279" xr:uid="{00000000-0005-0000-0000-0000531C0000}"/>
    <cellStyle name="Comma 7 2 2 2 3 3" xfId="8939" xr:uid="{00000000-0005-0000-0000-0000541C0000}"/>
    <cellStyle name="Comma 7 2 2 2 4" xfId="6689" xr:uid="{00000000-0005-0000-0000-0000551C0000}"/>
    <cellStyle name="Comma 7 2 2 2 4 2" xfId="9396" xr:uid="{00000000-0005-0000-0000-0000561C0000}"/>
    <cellStyle name="Comma 7 2 2 2 5" xfId="8057" xr:uid="{00000000-0005-0000-0000-0000571C0000}"/>
    <cellStyle name="Comma 7 2 2 3" xfId="1114" xr:uid="{00000000-0005-0000-0000-0000581C0000}"/>
    <cellStyle name="Comma 7 2 2 3 2" xfId="4950" xr:uid="{00000000-0005-0000-0000-0000591C0000}"/>
    <cellStyle name="Comma 7 2 2 3 2 2" xfId="7581" xr:uid="{00000000-0005-0000-0000-00005A1C0000}"/>
    <cellStyle name="Comma 7 2 2 3 2 2 2" xfId="10280" xr:uid="{00000000-0005-0000-0000-00005B1C0000}"/>
    <cellStyle name="Comma 7 2 2 3 2 3" xfId="8940" xr:uid="{00000000-0005-0000-0000-00005C1C0000}"/>
    <cellStyle name="Comma 7 2 2 3 3" xfId="6844" xr:uid="{00000000-0005-0000-0000-00005D1C0000}"/>
    <cellStyle name="Comma 7 2 2 3 3 2" xfId="9551" xr:uid="{00000000-0005-0000-0000-00005E1C0000}"/>
    <cellStyle name="Comma 7 2 2 3 4" xfId="8212" xr:uid="{00000000-0005-0000-0000-00005F1C0000}"/>
    <cellStyle name="Comma 7 2 2 4" xfId="6527" xr:uid="{00000000-0005-0000-0000-0000601C0000}"/>
    <cellStyle name="Comma 7 2 2 4 2" xfId="9244" xr:uid="{00000000-0005-0000-0000-0000611C0000}"/>
    <cellStyle name="Comma 7 2 2 5" xfId="7905" xr:uid="{00000000-0005-0000-0000-0000621C0000}"/>
    <cellStyle name="Comma 7 2 3" xfId="955" xr:uid="{00000000-0005-0000-0000-0000631C0000}"/>
    <cellStyle name="Comma 7 2 3 2" xfId="1233" xr:uid="{00000000-0005-0000-0000-0000641C0000}"/>
    <cellStyle name="Comma 7 2 3 2 2" xfId="6951" xr:uid="{00000000-0005-0000-0000-0000651C0000}"/>
    <cellStyle name="Comma 7 2 3 2 2 2" xfId="9658" xr:uid="{00000000-0005-0000-0000-0000661C0000}"/>
    <cellStyle name="Comma 7 2 3 2 3" xfId="8319" xr:uid="{00000000-0005-0000-0000-0000671C0000}"/>
    <cellStyle name="Comma 7 2 3 3" xfId="6688" xr:uid="{00000000-0005-0000-0000-0000681C0000}"/>
    <cellStyle name="Comma 7 2 3 3 2" xfId="9395" xr:uid="{00000000-0005-0000-0000-0000691C0000}"/>
    <cellStyle name="Comma 7 2 3 4" xfId="8056" xr:uid="{00000000-0005-0000-0000-00006A1C0000}"/>
    <cellStyle name="Comma 7 2 4" xfId="1113" xr:uid="{00000000-0005-0000-0000-00006B1C0000}"/>
    <cellStyle name="Comma 7 2 4 2" xfId="6843" xr:uid="{00000000-0005-0000-0000-00006C1C0000}"/>
    <cellStyle name="Comma 7 2 4 2 2" xfId="9550" xr:uid="{00000000-0005-0000-0000-00006D1C0000}"/>
    <cellStyle name="Comma 7 2 4 3" xfId="8211" xr:uid="{00000000-0005-0000-0000-00006E1C0000}"/>
    <cellStyle name="Comma 7 2 5" xfId="562" xr:uid="{00000000-0005-0000-0000-00006F1C0000}"/>
    <cellStyle name="Comma 7 2 5 2" xfId="6526" xr:uid="{00000000-0005-0000-0000-0000701C0000}"/>
    <cellStyle name="Comma 7 2 5 2 2" xfId="9243" xr:uid="{00000000-0005-0000-0000-0000711C0000}"/>
    <cellStyle name="Comma 7 2 5 3" xfId="7904" xr:uid="{00000000-0005-0000-0000-0000721C0000}"/>
    <cellStyle name="Comma 7 2 6" xfId="1375" xr:uid="{00000000-0005-0000-0000-0000731C0000}"/>
    <cellStyle name="Comma 7 2 6 2" xfId="7080" xr:uid="{00000000-0005-0000-0000-0000741C0000}"/>
    <cellStyle name="Comma 7 2 6 2 2" xfId="9785" xr:uid="{00000000-0005-0000-0000-0000751C0000}"/>
    <cellStyle name="Comma 7 2 6 3" xfId="8446" xr:uid="{00000000-0005-0000-0000-0000761C0000}"/>
    <cellStyle name="Comma 7 2 7" xfId="1491" xr:uid="{00000000-0005-0000-0000-0000771C0000}"/>
    <cellStyle name="Comma 7 2 7 2" xfId="7182" xr:uid="{00000000-0005-0000-0000-0000781C0000}"/>
    <cellStyle name="Comma 7 2 7 2 2" xfId="9885" xr:uid="{00000000-0005-0000-0000-0000791C0000}"/>
    <cellStyle name="Comma 7 2 7 3" xfId="8545" xr:uid="{00000000-0005-0000-0000-00007A1C0000}"/>
    <cellStyle name="Comma 7 2 8" xfId="6355" xr:uid="{00000000-0005-0000-0000-00007B1C0000}"/>
    <cellStyle name="Comma 7 2 8 2" xfId="9074" xr:uid="{00000000-0005-0000-0000-00007C1C0000}"/>
    <cellStyle name="Comma 7 2 9" xfId="7735" xr:uid="{00000000-0005-0000-0000-00007D1C0000}"/>
    <cellStyle name="Comma 7 3" xfId="116" xr:uid="{00000000-0005-0000-0000-00007E1C0000}"/>
    <cellStyle name="Comma 7 3 2" xfId="4951" xr:uid="{00000000-0005-0000-0000-00007F1C0000}"/>
    <cellStyle name="Comma 7 3 2 2" xfId="4952" xr:uid="{00000000-0005-0000-0000-0000801C0000}"/>
    <cellStyle name="Comma 7 3 2 2 2" xfId="7583" xr:uid="{00000000-0005-0000-0000-0000811C0000}"/>
    <cellStyle name="Comma 7 3 2 2 2 2" xfId="10282" xr:uid="{00000000-0005-0000-0000-0000821C0000}"/>
    <cellStyle name="Comma 7 3 2 2 3" xfId="8942" xr:uid="{00000000-0005-0000-0000-0000831C0000}"/>
    <cellStyle name="Comma 7 3 2 3" xfId="4953" xr:uid="{00000000-0005-0000-0000-0000841C0000}"/>
    <cellStyle name="Comma 7 3 2 3 2" xfId="7584" xr:uid="{00000000-0005-0000-0000-0000851C0000}"/>
    <cellStyle name="Comma 7 3 2 3 2 2" xfId="10283" xr:uid="{00000000-0005-0000-0000-0000861C0000}"/>
    <cellStyle name="Comma 7 3 2 3 3" xfId="8943" xr:uid="{00000000-0005-0000-0000-0000871C0000}"/>
    <cellStyle name="Comma 7 3 2 4" xfId="7582" xr:uid="{00000000-0005-0000-0000-0000881C0000}"/>
    <cellStyle name="Comma 7 3 2 4 2" xfId="10281" xr:uid="{00000000-0005-0000-0000-0000891C0000}"/>
    <cellStyle name="Comma 7 3 2 5" xfId="8941" xr:uid="{00000000-0005-0000-0000-00008A1C0000}"/>
    <cellStyle name="Comma 7 3 3" xfId="564" xr:uid="{00000000-0005-0000-0000-00008B1C0000}"/>
    <cellStyle name="Comma 7 4" xfId="565" xr:uid="{00000000-0005-0000-0000-00008C1C0000}"/>
    <cellStyle name="Comma 7 4 2" xfId="957" xr:uid="{00000000-0005-0000-0000-00008D1C0000}"/>
    <cellStyle name="Comma 7 4 2 2" xfId="1235" xr:uid="{00000000-0005-0000-0000-00008E1C0000}"/>
    <cellStyle name="Comma 7 4 2 2 2" xfId="6953" xr:uid="{00000000-0005-0000-0000-00008F1C0000}"/>
    <cellStyle name="Comma 7 4 2 2 2 2" xfId="9660" xr:uid="{00000000-0005-0000-0000-0000901C0000}"/>
    <cellStyle name="Comma 7 4 2 2 3" xfId="8321" xr:uid="{00000000-0005-0000-0000-0000911C0000}"/>
    <cellStyle name="Comma 7 4 2 3" xfId="4954" xr:uid="{00000000-0005-0000-0000-0000921C0000}"/>
    <cellStyle name="Comma 7 4 2 3 2" xfId="7585" xr:uid="{00000000-0005-0000-0000-0000931C0000}"/>
    <cellStyle name="Comma 7 4 2 3 2 2" xfId="10284" xr:uid="{00000000-0005-0000-0000-0000941C0000}"/>
    <cellStyle name="Comma 7 4 2 3 3" xfId="8944" xr:uid="{00000000-0005-0000-0000-0000951C0000}"/>
    <cellStyle name="Comma 7 4 2 4" xfId="6690" xr:uid="{00000000-0005-0000-0000-0000961C0000}"/>
    <cellStyle name="Comma 7 4 2 4 2" xfId="9397" xr:uid="{00000000-0005-0000-0000-0000971C0000}"/>
    <cellStyle name="Comma 7 4 2 5" xfId="8058" xr:uid="{00000000-0005-0000-0000-0000981C0000}"/>
    <cellStyle name="Comma 7 4 3" xfId="1115" xr:uid="{00000000-0005-0000-0000-0000991C0000}"/>
    <cellStyle name="Comma 7 4 3 2" xfId="4955" xr:uid="{00000000-0005-0000-0000-00009A1C0000}"/>
    <cellStyle name="Comma 7 4 3 2 2" xfId="7586" xr:uid="{00000000-0005-0000-0000-00009B1C0000}"/>
    <cellStyle name="Comma 7 4 3 2 2 2" xfId="10285" xr:uid="{00000000-0005-0000-0000-00009C1C0000}"/>
    <cellStyle name="Comma 7 4 3 2 3" xfId="8945" xr:uid="{00000000-0005-0000-0000-00009D1C0000}"/>
    <cellStyle name="Comma 7 4 3 3" xfId="6845" xr:uid="{00000000-0005-0000-0000-00009E1C0000}"/>
    <cellStyle name="Comma 7 4 3 3 2" xfId="9552" xr:uid="{00000000-0005-0000-0000-00009F1C0000}"/>
    <cellStyle name="Comma 7 4 3 4" xfId="8213" xr:uid="{00000000-0005-0000-0000-0000A01C0000}"/>
    <cellStyle name="Comma 7 4 4" xfId="1493" xr:uid="{00000000-0005-0000-0000-0000A11C0000}"/>
    <cellStyle name="Comma 7 4 4 2" xfId="7184" xr:uid="{00000000-0005-0000-0000-0000A21C0000}"/>
    <cellStyle name="Comma 7 4 4 2 2" xfId="9887" xr:uid="{00000000-0005-0000-0000-0000A31C0000}"/>
    <cellStyle name="Comma 7 4 4 3" xfId="8547" xr:uid="{00000000-0005-0000-0000-0000A41C0000}"/>
    <cellStyle name="Comma 7 4 5" xfId="6528" xr:uid="{00000000-0005-0000-0000-0000A51C0000}"/>
    <cellStyle name="Comma 7 4 5 2" xfId="9245" xr:uid="{00000000-0005-0000-0000-0000A61C0000}"/>
    <cellStyle name="Comma 7 4 6" xfId="7906" xr:uid="{00000000-0005-0000-0000-0000A71C0000}"/>
    <cellStyle name="Comma 7 5" xfId="954" xr:uid="{00000000-0005-0000-0000-0000A81C0000}"/>
    <cellStyle name="Comma 7 5 2" xfId="1216" xr:uid="{00000000-0005-0000-0000-0000A91C0000}"/>
    <cellStyle name="Comma 7 5 2 2" xfId="6934" xr:uid="{00000000-0005-0000-0000-0000AA1C0000}"/>
    <cellStyle name="Comma 7 5 2 2 2" xfId="9641" xr:uid="{00000000-0005-0000-0000-0000AB1C0000}"/>
    <cellStyle name="Comma 7 5 2 3" xfId="8302" xr:uid="{00000000-0005-0000-0000-0000AC1C0000}"/>
    <cellStyle name="Comma 7 5 3" xfId="1112" xr:uid="{00000000-0005-0000-0000-0000AD1C0000}"/>
    <cellStyle name="Comma 7 5 3 2" xfId="6842" xr:uid="{00000000-0005-0000-0000-0000AE1C0000}"/>
    <cellStyle name="Comma 7 5 3 2 2" xfId="9549" xr:uid="{00000000-0005-0000-0000-0000AF1C0000}"/>
    <cellStyle name="Comma 7 5 3 3" xfId="8210" xr:uid="{00000000-0005-0000-0000-0000B01C0000}"/>
    <cellStyle name="Comma 7 5 4" xfId="6687" xr:uid="{00000000-0005-0000-0000-0000B11C0000}"/>
    <cellStyle name="Comma 7 5 4 2" xfId="9394" xr:uid="{00000000-0005-0000-0000-0000B21C0000}"/>
    <cellStyle name="Comma 7 5 5" xfId="8055" xr:uid="{00000000-0005-0000-0000-0000B31C0000}"/>
    <cellStyle name="Comma 7 6" xfId="1232" xr:uid="{00000000-0005-0000-0000-0000B41C0000}"/>
    <cellStyle name="Comma 7 6 2" xfId="6950" xr:uid="{00000000-0005-0000-0000-0000B51C0000}"/>
    <cellStyle name="Comma 7 6 2 2" xfId="9657" xr:uid="{00000000-0005-0000-0000-0000B61C0000}"/>
    <cellStyle name="Comma 7 6 3" xfId="8318" xr:uid="{00000000-0005-0000-0000-0000B71C0000}"/>
    <cellStyle name="Comma 7 7" xfId="1034" xr:uid="{00000000-0005-0000-0000-0000B81C0000}"/>
    <cellStyle name="Comma 7 7 2" xfId="6765" xr:uid="{00000000-0005-0000-0000-0000B91C0000}"/>
    <cellStyle name="Comma 7 7 2 2" xfId="9472" xr:uid="{00000000-0005-0000-0000-0000BA1C0000}"/>
    <cellStyle name="Comma 7 7 3" xfId="8133" xr:uid="{00000000-0005-0000-0000-0000BB1C0000}"/>
    <cellStyle name="Comma 7 8" xfId="561" xr:uid="{00000000-0005-0000-0000-0000BC1C0000}"/>
    <cellStyle name="Comma 7 8 2" xfId="6525" xr:uid="{00000000-0005-0000-0000-0000BD1C0000}"/>
    <cellStyle name="Comma 7 8 2 2" xfId="9242" xr:uid="{00000000-0005-0000-0000-0000BE1C0000}"/>
    <cellStyle name="Comma 7 8 3" xfId="7903" xr:uid="{00000000-0005-0000-0000-0000BF1C0000}"/>
    <cellStyle name="Comma 7 9" xfId="1374" xr:uid="{00000000-0005-0000-0000-0000C01C0000}"/>
    <cellStyle name="Comma 7 9 2" xfId="7079" xr:uid="{00000000-0005-0000-0000-0000C11C0000}"/>
    <cellStyle name="Comma 7 9 2 2" xfId="9784" xr:uid="{00000000-0005-0000-0000-0000C21C0000}"/>
    <cellStyle name="Comma 7 9 3" xfId="8445" xr:uid="{00000000-0005-0000-0000-0000C31C0000}"/>
    <cellStyle name="Comma 7_BRIGADE BLOCK A &amp; B  IBMS DDC BUDGETARY ESTIMATES 10 03 14 R0" xfId="566" xr:uid="{00000000-0005-0000-0000-0000C41C0000}"/>
    <cellStyle name="Comma 70" xfId="1339" xr:uid="{00000000-0005-0000-0000-0000C51C0000}"/>
    <cellStyle name="Comma 70 2" xfId="7044" xr:uid="{00000000-0005-0000-0000-0000C61C0000}"/>
    <cellStyle name="Comma 70 2 2" xfId="9751" xr:uid="{00000000-0005-0000-0000-0000C71C0000}"/>
    <cellStyle name="Comma 70 3" xfId="8412" xr:uid="{00000000-0005-0000-0000-0000C81C0000}"/>
    <cellStyle name="Comma 71" xfId="1340" xr:uid="{00000000-0005-0000-0000-0000C91C0000}"/>
    <cellStyle name="Comma 71 2" xfId="7045" xr:uid="{00000000-0005-0000-0000-0000CA1C0000}"/>
    <cellStyle name="Comma 71 2 2" xfId="9752" xr:uid="{00000000-0005-0000-0000-0000CB1C0000}"/>
    <cellStyle name="Comma 71 2 3" xfId="10443" xr:uid="{00000000-0005-0000-0000-0000CC1C0000}"/>
    <cellStyle name="Comma 71 3" xfId="8413" xr:uid="{00000000-0005-0000-0000-0000CD1C0000}"/>
    <cellStyle name="Comma 72" xfId="1341" xr:uid="{00000000-0005-0000-0000-0000CE1C0000}"/>
    <cellStyle name="Comma 72 2" xfId="7046" xr:uid="{00000000-0005-0000-0000-0000CF1C0000}"/>
    <cellStyle name="Comma 72 2 2" xfId="9753" xr:uid="{00000000-0005-0000-0000-0000D01C0000}"/>
    <cellStyle name="Comma 72 3" xfId="8414" xr:uid="{00000000-0005-0000-0000-0000D11C0000}"/>
    <cellStyle name="Comma 73" xfId="1342" xr:uid="{00000000-0005-0000-0000-0000D21C0000}"/>
    <cellStyle name="Comma 73 2" xfId="7047" xr:uid="{00000000-0005-0000-0000-0000D31C0000}"/>
    <cellStyle name="Comma 73 2 2" xfId="9754" xr:uid="{00000000-0005-0000-0000-0000D41C0000}"/>
    <cellStyle name="Comma 73 3" xfId="8415" xr:uid="{00000000-0005-0000-0000-0000D51C0000}"/>
    <cellStyle name="Comma 74" xfId="1421" xr:uid="{00000000-0005-0000-0000-0000D61C0000}"/>
    <cellStyle name="Comma 74 2" xfId="7123" xr:uid="{00000000-0005-0000-0000-0000D71C0000}"/>
    <cellStyle name="Comma 74 2 2" xfId="9826" xr:uid="{00000000-0005-0000-0000-0000D81C0000}"/>
    <cellStyle name="Comma 75" xfId="1343" xr:uid="{00000000-0005-0000-0000-0000D91C0000}"/>
    <cellStyle name="Comma 75 2" xfId="7048" xr:uid="{00000000-0005-0000-0000-0000DA1C0000}"/>
    <cellStyle name="Comma 75 2 2" xfId="9755" xr:uid="{00000000-0005-0000-0000-0000DB1C0000}"/>
    <cellStyle name="Comma 75 3" xfId="8416" xr:uid="{00000000-0005-0000-0000-0000DC1C0000}"/>
    <cellStyle name="Comma 76" xfId="1424" xr:uid="{00000000-0005-0000-0000-0000DD1C0000}"/>
    <cellStyle name="Comma 76 2" xfId="10445" xr:uid="{00000000-0005-0000-0000-0000DE1C0000}"/>
    <cellStyle name="Comma 77" xfId="1522" xr:uid="{00000000-0005-0000-0000-0000DF1C0000}"/>
    <cellStyle name="Comma 77 2" xfId="160" xr:uid="{00000000-0005-0000-0000-0000E01C0000}"/>
    <cellStyle name="Comma 77 2 2" xfId="162" xr:uid="{00000000-0005-0000-0000-0000E11C0000}"/>
    <cellStyle name="Comma 77 2 2 2" xfId="237" xr:uid="{00000000-0005-0000-0000-0000E21C0000}"/>
    <cellStyle name="Comma 77 2 2 2 2" xfId="6398" xr:uid="{00000000-0005-0000-0000-0000E31C0000}"/>
    <cellStyle name="Comma 77 2 2 2 2 2" xfId="9117" xr:uid="{00000000-0005-0000-0000-0000E41C0000}"/>
    <cellStyle name="Comma 77 2 2 2 3" xfId="7778" xr:uid="{00000000-0005-0000-0000-0000E51C0000}"/>
    <cellStyle name="Comma 77 2 2 3" xfId="1287" xr:uid="{00000000-0005-0000-0000-0000E61C0000}"/>
    <cellStyle name="Comma 77 2 2 3 2" xfId="6997" xr:uid="{00000000-0005-0000-0000-0000E71C0000}"/>
    <cellStyle name="Comma 77 2 2 3 2 2" xfId="9704" xr:uid="{00000000-0005-0000-0000-0000E81C0000}"/>
    <cellStyle name="Comma 77 2 2 3 3" xfId="8365" xr:uid="{00000000-0005-0000-0000-0000E91C0000}"/>
    <cellStyle name="Comma 77 2 2 4" xfId="1377" xr:uid="{00000000-0005-0000-0000-0000EA1C0000}"/>
    <cellStyle name="Comma 77 2 2 4 2" xfId="7082" xr:uid="{00000000-0005-0000-0000-0000EB1C0000}"/>
    <cellStyle name="Comma 77 2 2 4 2 2" xfId="9787" xr:uid="{00000000-0005-0000-0000-0000EC1C0000}"/>
    <cellStyle name="Comma 77 2 2 4 3" xfId="8448" xr:uid="{00000000-0005-0000-0000-0000ED1C0000}"/>
    <cellStyle name="Comma 77 2 2 5" xfId="6223" xr:uid="{00000000-0005-0000-0000-0000EE1C0000}"/>
    <cellStyle name="Comma 77 2 2 5 2" xfId="7701" xr:uid="{00000000-0005-0000-0000-0000EF1C0000}"/>
    <cellStyle name="Comma 77 2 2 5 2 2" xfId="10382" xr:uid="{00000000-0005-0000-0000-0000F01C0000}"/>
    <cellStyle name="Comma 77 2 2 5 3" xfId="9042" xr:uid="{00000000-0005-0000-0000-0000F11C0000}"/>
    <cellStyle name="Comma 77 2 2 6" xfId="6357" xr:uid="{00000000-0005-0000-0000-0000F21C0000}"/>
    <cellStyle name="Comma 77 2 2 6 2" xfId="9076" xr:uid="{00000000-0005-0000-0000-0000F31C0000}"/>
    <cellStyle name="Comma 77 2 2 7" xfId="7737" xr:uid="{00000000-0005-0000-0000-0000F41C0000}"/>
    <cellStyle name="Comma 77 2 3" xfId="163" xr:uid="{00000000-0005-0000-0000-0000F51C0000}"/>
    <cellStyle name="Comma 77 2 3 2" xfId="1286" xr:uid="{00000000-0005-0000-0000-0000F61C0000}"/>
    <cellStyle name="Comma 77 2 3 2 2" xfId="6996" xr:uid="{00000000-0005-0000-0000-0000F71C0000}"/>
    <cellStyle name="Comma 77 2 3 2 2 2" xfId="9703" xr:uid="{00000000-0005-0000-0000-0000F81C0000}"/>
    <cellStyle name="Comma 77 2 3 2 3" xfId="8364" xr:uid="{00000000-0005-0000-0000-0000F91C0000}"/>
    <cellStyle name="Comma 77 2 3 3" xfId="1378" xr:uid="{00000000-0005-0000-0000-0000FA1C0000}"/>
    <cellStyle name="Comma 77 2 3 3 2" xfId="7083" xr:uid="{00000000-0005-0000-0000-0000FB1C0000}"/>
    <cellStyle name="Comma 77 2 3 3 2 2" xfId="9788" xr:uid="{00000000-0005-0000-0000-0000FC1C0000}"/>
    <cellStyle name="Comma 77 2 3 3 3" xfId="8449" xr:uid="{00000000-0005-0000-0000-0000FD1C0000}"/>
    <cellStyle name="Comma 77 2 3 4" xfId="6224" xr:uid="{00000000-0005-0000-0000-0000FE1C0000}"/>
    <cellStyle name="Comma 77 2 3 4 2" xfId="7702" xr:uid="{00000000-0005-0000-0000-0000FF1C0000}"/>
    <cellStyle name="Comma 77 2 3 4 2 2" xfId="10383" xr:uid="{00000000-0005-0000-0000-0000001D0000}"/>
    <cellStyle name="Comma 77 2 3 4 3" xfId="9043" xr:uid="{00000000-0005-0000-0000-0000011D0000}"/>
    <cellStyle name="Comma 77 2 3 5" xfId="6358" xr:uid="{00000000-0005-0000-0000-0000021D0000}"/>
    <cellStyle name="Comma 77 2 3 5 2" xfId="9077" xr:uid="{00000000-0005-0000-0000-0000031D0000}"/>
    <cellStyle name="Comma 77 2 3 6" xfId="7738" xr:uid="{00000000-0005-0000-0000-0000041D0000}"/>
    <cellStyle name="Comma 77 2 4" xfId="235" xr:uid="{00000000-0005-0000-0000-0000051D0000}"/>
    <cellStyle name="Comma 77 2 4 2" xfId="6396" xr:uid="{00000000-0005-0000-0000-0000061D0000}"/>
    <cellStyle name="Comma 77 2 4 2 2" xfId="9115" xr:uid="{00000000-0005-0000-0000-0000071D0000}"/>
    <cellStyle name="Comma 77 2 4 3" xfId="7776" xr:uid="{00000000-0005-0000-0000-0000081D0000}"/>
    <cellStyle name="Comma 77 2 5" xfId="1288" xr:uid="{00000000-0005-0000-0000-0000091D0000}"/>
    <cellStyle name="Comma 77 2 5 2" xfId="6998" xr:uid="{00000000-0005-0000-0000-00000A1D0000}"/>
    <cellStyle name="Comma 77 2 5 2 2" xfId="9705" xr:uid="{00000000-0005-0000-0000-00000B1D0000}"/>
    <cellStyle name="Comma 77 2 5 3" xfId="8366" xr:uid="{00000000-0005-0000-0000-00000C1D0000}"/>
    <cellStyle name="Comma 77 2 6" xfId="1376" xr:uid="{00000000-0005-0000-0000-00000D1D0000}"/>
    <cellStyle name="Comma 77 2 6 2" xfId="7081" xr:uid="{00000000-0005-0000-0000-00000E1D0000}"/>
    <cellStyle name="Comma 77 2 6 2 2" xfId="9786" xr:uid="{00000000-0005-0000-0000-00000F1D0000}"/>
    <cellStyle name="Comma 77 2 6 3" xfId="8447" xr:uid="{00000000-0005-0000-0000-0000101D0000}"/>
    <cellStyle name="Comma 77 2 7" xfId="6222" xr:uid="{00000000-0005-0000-0000-0000111D0000}"/>
    <cellStyle name="Comma 77 2 7 2" xfId="7700" xr:uid="{00000000-0005-0000-0000-0000121D0000}"/>
    <cellStyle name="Comma 77 2 7 2 2" xfId="10381" xr:uid="{00000000-0005-0000-0000-0000131D0000}"/>
    <cellStyle name="Comma 77 2 7 3" xfId="9041" xr:uid="{00000000-0005-0000-0000-0000141D0000}"/>
    <cellStyle name="Comma 77 2 8" xfId="6356" xr:uid="{00000000-0005-0000-0000-0000151D0000}"/>
    <cellStyle name="Comma 77 2 8 2" xfId="9075" xr:uid="{00000000-0005-0000-0000-0000161D0000}"/>
    <cellStyle name="Comma 77 2 9" xfId="7736" xr:uid="{00000000-0005-0000-0000-0000171D0000}"/>
    <cellStyle name="Comma 78" xfId="6235" xr:uid="{00000000-0005-0000-0000-0000181D0000}"/>
    <cellStyle name="Comma 79" xfId="6328" xr:uid="{00000000-0005-0000-0000-0000191D0000}"/>
    <cellStyle name="Comma 8" xfId="165" xr:uid="{00000000-0005-0000-0000-00001A1D0000}"/>
    <cellStyle name="Comma 8 2" xfId="568" xr:uid="{00000000-0005-0000-0000-00001B1D0000}"/>
    <cellStyle name="Comma 8 2 2" xfId="569" xr:uid="{00000000-0005-0000-0000-00001C1D0000}"/>
    <cellStyle name="Comma 8 2 2 2" xfId="960" xr:uid="{00000000-0005-0000-0000-00001D1D0000}"/>
    <cellStyle name="Comma 8 2 2 2 2" xfId="1238" xr:uid="{00000000-0005-0000-0000-00001E1D0000}"/>
    <cellStyle name="Comma 8 2 2 2 2 2" xfId="6956" xr:uid="{00000000-0005-0000-0000-00001F1D0000}"/>
    <cellStyle name="Comma 8 2 2 2 2 2 2" xfId="9663" xr:uid="{00000000-0005-0000-0000-0000201D0000}"/>
    <cellStyle name="Comma 8 2 2 2 2 3" xfId="8324" xr:uid="{00000000-0005-0000-0000-0000211D0000}"/>
    <cellStyle name="Comma 8 2 2 2 3" xfId="4956" xr:uid="{00000000-0005-0000-0000-0000221D0000}"/>
    <cellStyle name="Comma 8 2 2 2 3 2" xfId="7587" xr:uid="{00000000-0005-0000-0000-0000231D0000}"/>
    <cellStyle name="Comma 8 2 2 2 3 2 2" xfId="10286" xr:uid="{00000000-0005-0000-0000-0000241D0000}"/>
    <cellStyle name="Comma 8 2 2 2 3 3" xfId="8946" xr:uid="{00000000-0005-0000-0000-0000251D0000}"/>
    <cellStyle name="Comma 8 2 2 2 4" xfId="6693" xr:uid="{00000000-0005-0000-0000-0000261D0000}"/>
    <cellStyle name="Comma 8 2 2 2 4 2" xfId="9400" xr:uid="{00000000-0005-0000-0000-0000271D0000}"/>
    <cellStyle name="Comma 8 2 2 2 5" xfId="8061" xr:uid="{00000000-0005-0000-0000-0000281D0000}"/>
    <cellStyle name="Comma 8 2 2 3" xfId="1118" xr:uid="{00000000-0005-0000-0000-0000291D0000}"/>
    <cellStyle name="Comma 8 2 2 3 2" xfId="4957" xr:uid="{00000000-0005-0000-0000-00002A1D0000}"/>
    <cellStyle name="Comma 8 2 2 3 2 2" xfId="7588" xr:uid="{00000000-0005-0000-0000-00002B1D0000}"/>
    <cellStyle name="Comma 8 2 2 3 2 2 2" xfId="10287" xr:uid="{00000000-0005-0000-0000-00002C1D0000}"/>
    <cellStyle name="Comma 8 2 2 3 2 3" xfId="8947" xr:uid="{00000000-0005-0000-0000-00002D1D0000}"/>
    <cellStyle name="Comma 8 2 2 3 3" xfId="6848" xr:uid="{00000000-0005-0000-0000-00002E1D0000}"/>
    <cellStyle name="Comma 8 2 2 3 3 2" xfId="9555" xr:uid="{00000000-0005-0000-0000-00002F1D0000}"/>
    <cellStyle name="Comma 8 2 2 3 4" xfId="8216" xr:uid="{00000000-0005-0000-0000-0000301D0000}"/>
    <cellStyle name="Comma 8 2 2 4" xfId="1432" xr:uid="{00000000-0005-0000-0000-0000311D0000}"/>
    <cellStyle name="Comma 8 2 2 4 2" xfId="7129" xr:uid="{00000000-0005-0000-0000-0000321D0000}"/>
    <cellStyle name="Comma 8 2 2 4 2 2" xfId="9832" xr:uid="{00000000-0005-0000-0000-0000331D0000}"/>
    <cellStyle name="Comma 8 2 2 4 3" xfId="8492" xr:uid="{00000000-0005-0000-0000-0000341D0000}"/>
    <cellStyle name="Comma 8 2 2 5" xfId="6531" xr:uid="{00000000-0005-0000-0000-0000351D0000}"/>
    <cellStyle name="Comma 8 2 2 5 2" xfId="9248" xr:uid="{00000000-0005-0000-0000-0000361D0000}"/>
    <cellStyle name="Comma 8 2 2 6" xfId="7909" xr:uid="{00000000-0005-0000-0000-0000371D0000}"/>
    <cellStyle name="Comma 8 2 3" xfId="570" xr:uid="{00000000-0005-0000-0000-0000381D0000}"/>
    <cellStyle name="Comma 8 2 3 2" xfId="961" xr:uid="{00000000-0005-0000-0000-0000391D0000}"/>
    <cellStyle name="Comma 8 2 3 2 2" xfId="1239" xr:uid="{00000000-0005-0000-0000-00003A1D0000}"/>
    <cellStyle name="Comma 8 2 3 2 2 2" xfId="6957" xr:uid="{00000000-0005-0000-0000-00003B1D0000}"/>
    <cellStyle name="Comma 8 2 3 2 2 2 2" xfId="9664" xr:uid="{00000000-0005-0000-0000-00003C1D0000}"/>
    <cellStyle name="Comma 8 2 3 2 2 3" xfId="8325" xr:uid="{00000000-0005-0000-0000-00003D1D0000}"/>
    <cellStyle name="Comma 8 2 3 2 3" xfId="6694" xr:uid="{00000000-0005-0000-0000-00003E1D0000}"/>
    <cellStyle name="Comma 8 2 3 2 3 2" xfId="9401" xr:uid="{00000000-0005-0000-0000-00003F1D0000}"/>
    <cellStyle name="Comma 8 2 3 2 4" xfId="8062" xr:uid="{00000000-0005-0000-0000-0000401D0000}"/>
    <cellStyle name="Comma 8 2 3 3" xfId="1119" xr:uid="{00000000-0005-0000-0000-0000411D0000}"/>
    <cellStyle name="Comma 8 2 3 3 2" xfId="6849" xr:uid="{00000000-0005-0000-0000-0000421D0000}"/>
    <cellStyle name="Comma 8 2 3 3 2 2" xfId="9556" xr:uid="{00000000-0005-0000-0000-0000431D0000}"/>
    <cellStyle name="Comma 8 2 3 3 3" xfId="8217" xr:uid="{00000000-0005-0000-0000-0000441D0000}"/>
    <cellStyle name="Comma 8 2 3 4" xfId="1433" xr:uid="{00000000-0005-0000-0000-0000451D0000}"/>
    <cellStyle name="Comma 8 2 3 4 2" xfId="7130" xr:uid="{00000000-0005-0000-0000-0000461D0000}"/>
    <cellStyle name="Comma 8 2 3 4 2 2" xfId="9833" xr:uid="{00000000-0005-0000-0000-0000471D0000}"/>
    <cellStyle name="Comma 8 2 3 4 3" xfId="8493" xr:uid="{00000000-0005-0000-0000-0000481D0000}"/>
    <cellStyle name="Comma 8 2 3 5" xfId="6532" xr:uid="{00000000-0005-0000-0000-0000491D0000}"/>
    <cellStyle name="Comma 8 2 3 5 2" xfId="9249" xr:uid="{00000000-0005-0000-0000-00004A1D0000}"/>
    <cellStyle name="Comma 8 2 3 6" xfId="7910" xr:uid="{00000000-0005-0000-0000-00004B1D0000}"/>
    <cellStyle name="Comma 8 2 4" xfId="959" xr:uid="{00000000-0005-0000-0000-00004C1D0000}"/>
    <cellStyle name="Comma 8 2 4 2" xfId="1237" xr:uid="{00000000-0005-0000-0000-00004D1D0000}"/>
    <cellStyle name="Comma 8 2 4 2 2" xfId="6955" xr:uid="{00000000-0005-0000-0000-00004E1D0000}"/>
    <cellStyle name="Comma 8 2 4 2 2 2" xfId="9662" xr:uid="{00000000-0005-0000-0000-00004F1D0000}"/>
    <cellStyle name="Comma 8 2 4 2 3" xfId="8323" xr:uid="{00000000-0005-0000-0000-0000501D0000}"/>
    <cellStyle name="Comma 8 2 4 3" xfId="6692" xr:uid="{00000000-0005-0000-0000-0000511D0000}"/>
    <cellStyle name="Comma 8 2 4 3 2" xfId="9399" xr:uid="{00000000-0005-0000-0000-0000521D0000}"/>
    <cellStyle name="Comma 8 2 4 4" xfId="8060" xr:uid="{00000000-0005-0000-0000-0000531D0000}"/>
    <cellStyle name="Comma 8 2 5" xfId="1117" xr:uid="{00000000-0005-0000-0000-0000541D0000}"/>
    <cellStyle name="Comma 8 2 5 2" xfId="6847" xr:uid="{00000000-0005-0000-0000-0000551D0000}"/>
    <cellStyle name="Comma 8 2 5 2 2" xfId="9554" xr:uid="{00000000-0005-0000-0000-0000561D0000}"/>
    <cellStyle name="Comma 8 2 5 3" xfId="8215" xr:uid="{00000000-0005-0000-0000-0000571D0000}"/>
    <cellStyle name="Comma 8 2 6" xfId="1495" xr:uid="{00000000-0005-0000-0000-0000581D0000}"/>
    <cellStyle name="Comma 8 2 6 2" xfId="7186" xr:uid="{00000000-0005-0000-0000-0000591D0000}"/>
    <cellStyle name="Comma 8 2 6 2 2" xfId="9889" xr:uid="{00000000-0005-0000-0000-00005A1D0000}"/>
    <cellStyle name="Comma 8 2 6 3" xfId="8549" xr:uid="{00000000-0005-0000-0000-00005B1D0000}"/>
    <cellStyle name="Comma 8 2 7" xfId="6530" xr:uid="{00000000-0005-0000-0000-00005C1D0000}"/>
    <cellStyle name="Comma 8 2 7 2" xfId="9247" xr:uid="{00000000-0005-0000-0000-00005D1D0000}"/>
    <cellStyle name="Comma 8 2 8" xfId="7908" xr:uid="{00000000-0005-0000-0000-00005E1D0000}"/>
    <cellStyle name="Comma 8 24" xfId="10500" xr:uid="{00000000-0005-0000-0000-00005F1D0000}"/>
    <cellStyle name="Comma 8 24 2 2" xfId="10599" xr:uid="{00000000-0005-0000-0000-0000601D0000}"/>
    <cellStyle name="Comma 8 24 2 2 2" xfId="10625" xr:uid="{CFBA9D27-3E32-4460-A151-1FFC6B331B71}"/>
    <cellStyle name="Comma 8 24 3" xfId="10615" xr:uid="{00000000-0005-0000-0000-0000611D0000}"/>
    <cellStyle name="Comma 8 3" xfId="958" xr:uid="{00000000-0005-0000-0000-0000621D0000}"/>
    <cellStyle name="Comma 8 3 10" xfId="10590" xr:uid="{00000000-0005-0000-0000-0000631D0000}"/>
    <cellStyle name="Comma 8 3 2" xfId="1236" xr:uid="{00000000-0005-0000-0000-0000641D0000}"/>
    <cellStyle name="Comma 8 3 2 2" xfId="4959" xr:uid="{00000000-0005-0000-0000-0000651D0000}"/>
    <cellStyle name="Comma 8 3 2 2 2" xfId="7590" xr:uid="{00000000-0005-0000-0000-0000661D0000}"/>
    <cellStyle name="Comma 8 3 2 2 2 2" xfId="10289" xr:uid="{00000000-0005-0000-0000-0000671D0000}"/>
    <cellStyle name="Comma 8 3 2 2 3" xfId="8949" xr:uid="{00000000-0005-0000-0000-0000681D0000}"/>
    <cellStyle name="Comma 8 3 2 3" xfId="6954" xr:uid="{00000000-0005-0000-0000-0000691D0000}"/>
    <cellStyle name="Comma 8 3 2 3 2" xfId="9661" xr:uid="{00000000-0005-0000-0000-00006A1D0000}"/>
    <cellStyle name="Comma 8 3 2 4" xfId="8322" xr:uid="{00000000-0005-0000-0000-00006B1D0000}"/>
    <cellStyle name="Comma 8 3 3" xfId="4960" xr:uid="{00000000-0005-0000-0000-00006C1D0000}"/>
    <cellStyle name="Comma 8 3 3 2" xfId="7591" xr:uid="{00000000-0005-0000-0000-00006D1D0000}"/>
    <cellStyle name="Comma 8 3 3 2 2" xfId="10290" xr:uid="{00000000-0005-0000-0000-00006E1D0000}"/>
    <cellStyle name="Comma 8 3 3 3" xfId="8950" xr:uid="{00000000-0005-0000-0000-00006F1D0000}"/>
    <cellStyle name="Comma 8 3 4" xfId="4958" xr:uid="{00000000-0005-0000-0000-0000701D0000}"/>
    <cellStyle name="Comma 8 3 4 2" xfId="7589" xr:uid="{00000000-0005-0000-0000-0000711D0000}"/>
    <cellStyle name="Comma 8 3 4 2 2" xfId="10288" xr:uid="{00000000-0005-0000-0000-0000721D0000}"/>
    <cellStyle name="Comma 8 3 4 3" xfId="8948" xr:uid="{00000000-0005-0000-0000-0000731D0000}"/>
    <cellStyle name="Comma 8 3 5" xfId="6691" xr:uid="{00000000-0005-0000-0000-0000741D0000}"/>
    <cellStyle name="Comma 8 3 5 2" xfId="9398" xr:uid="{00000000-0005-0000-0000-0000751D0000}"/>
    <cellStyle name="Comma 8 3 6" xfId="8059" xr:uid="{00000000-0005-0000-0000-0000761D0000}"/>
    <cellStyle name="Comma 8 3 7" xfId="10508" xr:uid="{00000000-0005-0000-0000-0000771D0000}"/>
    <cellStyle name="Comma 8 3 8" xfId="10541" xr:uid="{00000000-0005-0000-0000-0000781D0000}"/>
    <cellStyle name="Comma 8 3 8 2" xfId="10574" xr:uid="{00000000-0005-0000-0000-0000791D0000}"/>
    <cellStyle name="Comma 8 3 8 2 2" xfId="10600" xr:uid="{00000000-0005-0000-0000-00007A1D0000}"/>
    <cellStyle name="Comma 8 3 8 2 2 2" xfId="10626" xr:uid="{A1A3CA4B-141E-4FEF-A7D7-780F9A023EC7}"/>
    <cellStyle name="Comma 8 3 9" xfId="10571" xr:uid="{00000000-0005-0000-0000-00007B1D0000}"/>
    <cellStyle name="Comma 8 4" xfId="1116" xr:uid="{00000000-0005-0000-0000-00007C1D0000}"/>
    <cellStyle name="Comma 8 4 2" xfId="6846" xr:uid="{00000000-0005-0000-0000-00007D1D0000}"/>
    <cellStyle name="Comma 8 4 2 2" xfId="9553" xr:uid="{00000000-0005-0000-0000-00007E1D0000}"/>
    <cellStyle name="Comma 8 4 3" xfId="8214" xr:uid="{00000000-0005-0000-0000-00007F1D0000}"/>
    <cellStyle name="Comma 8 5" xfId="567" xr:uid="{00000000-0005-0000-0000-0000801D0000}"/>
    <cellStyle name="Comma 8 5 2" xfId="4961" xr:uid="{00000000-0005-0000-0000-0000811D0000}"/>
    <cellStyle name="Comma 8 5 2 2" xfId="7592" xr:uid="{00000000-0005-0000-0000-0000821D0000}"/>
    <cellStyle name="Comma 8 5 2 2 2" xfId="10291" xr:uid="{00000000-0005-0000-0000-0000831D0000}"/>
    <cellStyle name="Comma 8 5 2 3" xfId="8951" xr:uid="{00000000-0005-0000-0000-0000841D0000}"/>
    <cellStyle name="Comma 8 5 3" xfId="6529" xr:uid="{00000000-0005-0000-0000-0000851D0000}"/>
    <cellStyle name="Comma 8 5 3 2" xfId="9246" xr:uid="{00000000-0005-0000-0000-0000861D0000}"/>
    <cellStyle name="Comma 8 5 4" xfId="7907" xr:uid="{00000000-0005-0000-0000-0000871D0000}"/>
    <cellStyle name="Comma 8 6" xfId="1380" xr:uid="{00000000-0005-0000-0000-0000881D0000}"/>
    <cellStyle name="Comma 8 6 2" xfId="7085" xr:uid="{00000000-0005-0000-0000-0000891D0000}"/>
    <cellStyle name="Comma 8 6 2 2" xfId="9790" xr:uid="{00000000-0005-0000-0000-00008A1D0000}"/>
    <cellStyle name="Comma 8 6 3" xfId="8451" xr:uid="{00000000-0005-0000-0000-00008B1D0000}"/>
    <cellStyle name="Comma 8 7" xfId="6360" xr:uid="{00000000-0005-0000-0000-00008C1D0000}"/>
    <cellStyle name="Comma 8 7 2" xfId="9079" xr:uid="{00000000-0005-0000-0000-00008D1D0000}"/>
    <cellStyle name="Comma 8 8" xfId="7740" xr:uid="{00000000-0005-0000-0000-00008E1D0000}"/>
    <cellStyle name="Comma 8_BRIGADE BLOCK A &amp; B  IBMS DDC BUDGETARY ESTIMATES 10 03 14 R0" xfId="571" xr:uid="{00000000-0005-0000-0000-00008F1D0000}"/>
    <cellStyle name="Comma 80" xfId="6329" xr:uid="{00000000-0005-0000-0000-0000901D0000}"/>
    <cellStyle name="Comma 81" xfId="6233" xr:uid="{00000000-0005-0000-0000-0000911D0000}"/>
    <cellStyle name="Comma 82" xfId="6331" xr:uid="{00000000-0005-0000-0000-0000921D0000}"/>
    <cellStyle name="Comma 82 2" xfId="9050" xr:uid="{00000000-0005-0000-0000-0000931D0000}"/>
    <cellStyle name="Comma 83" xfId="7711" xr:uid="{00000000-0005-0000-0000-0000941D0000}"/>
    <cellStyle name="Comma 84" xfId="10402" xr:uid="{00000000-0005-0000-0000-0000951D0000}"/>
    <cellStyle name="Comma 85" xfId="10406" xr:uid="{00000000-0005-0000-0000-0000961D0000}"/>
    <cellStyle name="Comma 86" xfId="10410" xr:uid="{00000000-0005-0000-0000-0000971D0000}"/>
    <cellStyle name="Comma 87" xfId="10412" xr:uid="{00000000-0005-0000-0000-0000981D0000}"/>
    <cellStyle name="Comma 88" xfId="10414" xr:uid="{00000000-0005-0000-0000-0000991D0000}"/>
    <cellStyle name="Comma 89" xfId="10416" xr:uid="{00000000-0005-0000-0000-00009A1D0000}"/>
    <cellStyle name="Comma 9" xfId="87" xr:uid="{00000000-0005-0000-0000-00009B1D0000}"/>
    <cellStyle name="Comma 9 10" xfId="166" xr:uid="{00000000-0005-0000-0000-00009C1D0000}"/>
    <cellStyle name="Comma 9 2" xfId="107" xr:uid="{00000000-0005-0000-0000-00009D1D0000}"/>
    <cellStyle name="Comma 9 2 2" xfId="963" xr:uid="{00000000-0005-0000-0000-00009E1D0000}"/>
    <cellStyle name="Comma 9 2 2 2" xfId="1241" xr:uid="{00000000-0005-0000-0000-00009F1D0000}"/>
    <cellStyle name="Comma 9 2 2 2 2" xfId="4963" xr:uid="{00000000-0005-0000-0000-0000A01D0000}"/>
    <cellStyle name="Comma 9 2 2 2 2 2" xfId="7594" xr:uid="{00000000-0005-0000-0000-0000A11D0000}"/>
    <cellStyle name="Comma 9 2 2 2 2 2 2" xfId="10293" xr:uid="{00000000-0005-0000-0000-0000A21D0000}"/>
    <cellStyle name="Comma 9 2 2 2 2 3" xfId="8953" xr:uid="{00000000-0005-0000-0000-0000A31D0000}"/>
    <cellStyle name="Comma 9 2 2 2 3" xfId="6959" xr:uid="{00000000-0005-0000-0000-0000A41D0000}"/>
    <cellStyle name="Comma 9 2 2 2 3 2" xfId="9666" xr:uid="{00000000-0005-0000-0000-0000A51D0000}"/>
    <cellStyle name="Comma 9 2 2 2 4" xfId="8327" xr:uid="{00000000-0005-0000-0000-0000A61D0000}"/>
    <cellStyle name="Comma 9 2 2 3" xfId="4964" xr:uid="{00000000-0005-0000-0000-0000A71D0000}"/>
    <cellStyle name="Comma 9 2 2 3 2" xfId="7595" xr:uid="{00000000-0005-0000-0000-0000A81D0000}"/>
    <cellStyle name="Comma 9 2 2 3 2 2" xfId="10294" xr:uid="{00000000-0005-0000-0000-0000A91D0000}"/>
    <cellStyle name="Comma 9 2 2 3 3" xfId="8954" xr:uid="{00000000-0005-0000-0000-0000AA1D0000}"/>
    <cellStyle name="Comma 9 2 2 4" xfId="4962" xr:uid="{00000000-0005-0000-0000-0000AB1D0000}"/>
    <cellStyle name="Comma 9 2 2 4 2" xfId="7593" xr:uid="{00000000-0005-0000-0000-0000AC1D0000}"/>
    <cellStyle name="Comma 9 2 2 4 2 2" xfId="10292" xr:uid="{00000000-0005-0000-0000-0000AD1D0000}"/>
    <cellStyle name="Comma 9 2 2 4 3" xfId="8952" xr:uid="{00000000-0005-0000-0000-0000AE1D0000}"/>
    <cellStyle name="Comma 9 2 2 5" xfId="6696" xr:uid="{00000000-0005-0000-0000-0000AF1D0000}"/>
    <cellStyle name="Comma 9 2 2 5 2" xfId="9403" xr:uid="{00000000-0005-0000-0000-0000B01D0000}"/>
    <cellStyle name="Comma 9 2 2 6" xfId="8064" xr:uid="{00000000-0005-0000-0000-0000B11D0000}"/>
    <cellStyle name="Comma 9 2 3" xfId="1121" xr:uid="{00000000-0005-0000-0000-0000B21D0000}"/>
    <cellStyle name="Comma 9 2 3 2" xfId="6851" xr:uid="{00000000-0005-0000-0000-0000B31D0000}"/>
    <cellStyle name="Comma 9 2 3 2 2" xfId="9558" xr:uid="{00000000-0005-0000-0000-0000B41D0000}"/>
    <cellStyle name="Comma 9 2 3 3" xfId="8219" xr:uid="{00000000-0005-0000-0000-0000B51D0000}"/>
    <cellStyle name="Comma 9 2 4" xfId="6534" xr:uid="{00000000-0005-0000-0000-0000B61D0000}"/>
    <cellStyle name="Comma 9 2 4 2" xfId="9251" xr:uid="{00000000-0005-0000-0000-0000B71D0000}"/>
    <cellStyle name="Comma 9 2 5" xfId="7912" xr:uid="{00000000-0005-0000-0000-0000B81D0000}"/>
    <cellStyle name="Comma 9 2 6" xfId="573" xr:uid="{00000000-0005-0000-0000-0000B91D0000}"/>
    <cellStyle name="Comma 9 3" xfId="962" xr:uid="{00000000-0005-0000-0000-0000BA1D0000}"/>
    <cellStyle name="Comma 9 3 2" xfId="1240" xr:uid="{00000000-0005-0000-0000-0000BB1D0000}"/>
    <cellStyle name="Comma 9 3 2 2" xfId="4966" xr:uid="{00000000-0005-0000-0000-0000BC1D0000}"/>
    <cellStyle name="Comma 9 3 2 2 2" xfId="7597" xr:uid="{00000000-0005-0000-0000-0000BD1D0000}"/>
    <cellStyle name="Comma 9 3 2 2 2 2" xfId="10296" xr:uid="{00000000-0005-0000-0000-0000BE1D0000}"/>
    <cellStyle name="Comma 9 3 2 2 3" xfId="8956" xr:uid="{00000000-0005-0000-0000-0000BF1D0000}"/>
    <cellStyle name="Comma 9 3 2 3" xfId="6958" xr:uid="{00000000-0005-0000-0000-0000C01D0000}"/>
    <cellStyle name="Comma 9 3 2 3 2" xfId="9665" xr:uid="{00000000-0005-0000-0000-0000C11D0000}"/>
    <cellStyle name="Comma 9 3 2 4" xfId="8326" xr:uid="{00000000-0005-0000-0000-0000C21D0000}"/>
    <cellStyle name="Comma 9 3 3" xfId="4967" xr:uid="{00000000-0005-0000-0000-0000C31D0000}"/>
    <cellStyle name="Comma 9 3 3 2" xfId="7598" xr:uid="{00000000-0005-0000-0000-0000C41D0000}"/>
    <cellStyle name="Comma 9 3 3 2 2" xfId="10297" xr:uid="{00000000-0005-0000-0000-0000C51D0000}"/>
    <cellStyle name="Comma 9 3 3 3" xfId="8957" xr:uid="{00000000-0005-0000-0000-0000C61D0000}"/>
    <cellStyle name="Comma 9 3 4" xfId="4965" xr:uid="{00000000-0005-0000-0000-0000C71D0000}"/>
    <cellStyle name="Comma 9 3 4 2" xfId="7596" xr:uid="{00000000-0005-0000-0000-0000C81D0000}"/>
    <cellStyle name="Comma 9 3 4 2 2" xfId="10295" xr:uid="{00000000-0005-0000-0000-0000C91D0000}"/>
    <cellStyle name="Comma 9 3 4 3" xfId="8955" xr:uid="{00000000-0005-0000-0000-0000CA1D0000}"/>
    <cellStyle name="Comma 9 3 5" xfId="6695" xr:uid="{00000000-0005-0000-0000-0000CB1D0000}"/>
    <cellStyle name="Comma 9 3 5 2" xfId="9402" xr:uid="{00000000-0005-0000-0000-0000CC1D0000}"/>
    <cellStyle name="Comma 9 3 6" xfId="8063" xr:uid="{00000000-0005-0000-0000-0000CD1D0000}"/>
    <cellStyle name="Comma 9 4" xfId="1285" xr:uid="{00000000-0005-0000-0000-0000CE1D0000}"/>
    <cellStyle name="Comma 9 4 2" xfId="4968" xr:uid="{00000000-0005-0000-0000-0000CF1D0000}"/>
    <cellStyle name="Comma 9 4 2 2" xfId="7599" xr:uid="{00000000-0005-0000-0000-0000D01D0000}"/>
    <cellStyle name="Comma 9 4 2 2 2" xfId="10298" xr:uid="{00000000-0005-0000-0000-0000D11D0000}"/>
    <cellStyle name="Comma 9 4 2 3" xfId="8958" xr:uid="{00000000-0005-0000-0000-0000D21D0000}"/>
    <cellStyle name="Comma 9 4 3" xfId="6995" xr:uid="{00000000-0005-0000-0000-0000D31D0000}"/>
    <cellStyle name="Comma 9 4 3 2" xfId="9702" xr:uid="{00000000-0005-0000-0000-0000D41D0000}"/>
    <cellStyle name="Comma 9 4 4" xfId="8363" xr:uid="{00000000-0005-0000-0000-0000D51D0000}"/>
    <cellStyle name="Comma 9 5" xfId="1120" xr:uid="{00000000-0005-0000-0000-0000D61D0000}"/>
    <cellStyle name="Comma 9 5 2" xfId="6850" xr:uid="{00000000-0005-0000-0000-0000D71D0000}"/>
    <cellStyle name="Comma 9 5 2 2" xfId="9557" xr:uid="{00000000-0005-0000-0000-0000D81D0000}"/>
    <cellStyle name="Comma 9 5 3" xfId="8218" xr:uid="{00000000-0005-0000-0000-0000D91D0000}"/>
    <cellStyle name="Comma 9 6" xfId="572" xr:uid="{00000000-0005-0000-0000-0000DA1D0000}"/>
    <cellStyle name="Comma 9 6 2" xfId="6533" xr:uid="{00000000-0005-0000-0000-0000DB1D0000}"/>
    <cellStyle name="Comma 9 6 2 2" xfId="9250" xr:uid="{00000000-0005-0000-0000-0000DC1D0000}"/>
    <cellStyle name="Comma 9 6 3" xfId="7911" xr:uid="{00000000-0005-0000-0000-0000DD1D0000}"/>
    <cellStyle name="Comma 9 7" xfId="1381" xr:uid="{00000000-0005-0000-0000-0000DE1D0000}"/>
    <cellStyle name="Comma 9 7 2" xfId="7086" xr:uid="{00000000-0005-0000-0000-0000DF1D0000}"/>
    <cellStyle name="Comma 9 7 2 2" xfId="9791" xr:uid="{00000000-0005-0000-0000-0000E01D0000}"/>
    <cellStyle name="Comma 9 7 3" xfId="8452" xr:uid="{00000000-0005-0000-0000-0000E11D0000}"/>
    <cellStyle name="Comma 9 8" xfId="6361" xr:uid="{00000000-0005-0000-0000-0000E21D0000}"/>
    <cellStyle name="Comma 9 8 2" xfId="9080" xr:uid="{00000000-0005-0000-0000-0000E31D0000}"/>
    <cellStyle name="Comma 9 9" xfId="7741" xr:uid="{00000000-0005-0000-0000-0000E41D0000}"/>
    <cellStyle name="Comma 9_BRIGADE BLOCK A &amp; B  IBMS DDC BUDGETARY ESTIMATES 10 03 14 R0" xfId="574" xr:uid="{00000000-0005-0000-0000-0000E51D0000}"/>
    <cellStyle name="Comma 90" xfId="10418" xr:uid="{00000000-0005-0000-0000-0000E61D0000}"/>
    <cellStyle name="Comma 91" xfId="10420" xr:uid="{00000000-0005-0000-0000-0000E71D0000}"/>
    <cellStyle name="Comma 92" xfId="124" xr:uid="{00000000-0005-0000-0000-0000E81D0000}"/>
    <cellStyle name="Comma 93" xfId="653" xr:uid="{00000000-0005-0000-0000-0000E91D0000}"/>
    <cellStyle name="Comma 94" xfId="10453" xr:uid="{00000000-0005-0000-0000-0000EA1D0000}"/>
    <cellStyle name="Comma 95" xfId="10458" xr:uid="{00000000-0005-0000-0000-0000EB1D0000}"/>
    <cellStyle name="Comma 96" xfId="31" xr:uid="{00000000-0005-0000-0000-0000EC1D0000}"/>
    <cellStyle name="Comma 96 2" xfId="41" xr:uid="{00000000-0005-0000-0000-0000ED1D0000}"/>
    <cellStyle name="Comma 96 2 2" xfId="10473" xr:uid="{00000000-0005-0000-0000-0000EE1D0000}"/>
    <cellStyle name="Comma 96 3" xfId="10466" xr:uid="{00000000-0005-0000-0000-0000EF1D0000}"/>
    <cellStyle name="Comma 96 3 2" xfId="10565" xr:uid="{00000000-0005-0000-0000-0000F01D0000}"/>
    <cellStyle name="Comma 96 3 2 2" xfId="10564" xr:uid="{00000000-0005-0000-0000-0000F11D0000}"/>
    <cellStyle name="Comma 96 3 2 2 2" xfId="10601" xr:uid="{00000000-0005-0000-0000-0000F21D0000}"/>
    <cellStyle name="Comma 96 4" xfId="10589" xr:uid="{00000000-0005-0000-0000-0000F31D0000}"/>
    <cellStyle name="Comma 96 4 2" xfId="10619" xr:uid="{76C071A6-7BE6-41FB-BB35-28A26EDF1FDE}"/>
    <cellStyle name="Comma 96 5" xfId="10579" xr:uid="{00000000-0005-0000-0000-0000F41D0000}"/>
    <cellStyle name="Comma 96 6 2" xfId="10604" xr:uid="{00000000-0005-0000-0000-0000F51D0000}"/>
    <cellStyle name="Comma 97" xfId="10464" xr:uid="{00000000-0005-0000-0000-0000F61D0000}"/>
    <cellStyle name="Comma 98" xfId="6" xr:uid="{00000000-0005-0000-0000-0000F71D0000}"/>
    <cellStyle name="Comma 98 2" xfId="10465" xr:uid="{00000000-0005-0000-0000-0000F81D0000}"/>
    <cellStyle name="Comma 98 3" xfId="10479" xr:uid="{00000000-0005-0000-0000-0000F91D0000}"/>
    <cellStyle name="Comma 99" xfId="58" xr:uid="{00000000-0005-0000-0000-0000FA1D0000}"/>
    <cellStyle name="comma zerodec" xfId="575" xr:uid="{00000000-0005-0000-0000-0000FB1D0000}"/>
    <cellStyle name="Comma0" xfId="576" xr:uid="{00000000-0005-0000-0000-0000FC1D0000}"/>
    <cellStyle name="Comŭa" xfId="4969" xr:uid="{00000000-0005-0000-0000-0000FD1D0000}"/>
    <cellStyle name="Comŭa 2" xfId="4970" xr:uid="{00000000-0005-0000-0000-0000FE1D0000}"/>
    <cellStyle name="Comŭa 2 2" xfId="4971" xr:uid="{00000000-0005-0000-0000-0000FF1D0000}"/>
    <cellStyle name="Comŭa 2 2 2" xfId="7602" xr:uid="{00000000-0005-0000-0000-0000001E0000}"/>
    <cellStyle name="Comŭa 2 2 2 2" xfId="10301" xr:uid="{00000000-0005-0000-0000-0000011E0000}"/>
    <cellStyle name="Comŭa 2 2 3" xfId="8961" xr:uid="{00000000-0005-0000-0000-0000021E0000}"/>
    <cellStyle name="Comŭa 2 3" xfId="4972" xr:uid="{00000000-0005-0000-0000-0000031E0000}"/>
    <cellStyle name="Comŭa 2 3 2" xfId="7603" xr:uid="{00000000-0005-0000-0000-0000041E0000}"/>
    <cellStyle name="Comŭa 2 3 2 2" xfId="10302" xr:uid="{00000000-0005-0000-0000-0000051E0000}"/>
    <cellStyle name="Comŭa 2 3 3" xfId="8962" xr:uid="{00000000-0005-0000-0000-0000061E0000}"/>
    <cellStyle name="Comŭa 2 4" xfId="7601" xr:uid="{00000000-0005-0000-0000-0000071E0000}"/>
    <cellStyle name="Comŭa 2 4 2" xfId="10300" xr:uid="{00000000-0005-0000-0000-0000081E0000}"/>
    <cellStyle name="Comŭa 2 5" xfId="8960" xr:uid="{00000000-0005-0000-0000-0000091E0000}"/>
    <cellStyle name="Comŭa 3" xfId="7600" xr:uid="{00000000-0005-0000-0000-00000A1E0000}"/>
    <cellStyle name="Comŭa 3 2" xfId="10299" xr:uid="{00000000-0005-0000-0000-00000B1E0000}"/>
    <cellStyle name="Comŭa 4" xfId="8959" xr:uid="{00000000-0005-0000-0000-00000C1E0000}"/>
    <cellStyle name="Copied" xfId="577" xr:uid="{00000000-0005-0000-0000-00000D1E0000}"/>
    <cellStyle name="Copied 2" xfId="1122" xr:uid="{00000000-0005-0000-0000-00000E1E0000}"/>
    <cellStyle name="COURIER" xfId="578" xr:uid="{00000000-0005-0000-0000-00000F1E0000}"/>
    <cellStyle name="COURIER 2" xfId="1123" xr:uid="{00000000-0005-0000-0000-0000101E0000}"/>
    <cellStyle name="CSI" xfId="4973" xr:uid="{00000000-0005-0000-0000-0000111E0000}"/>
    <cellStyle name="Currency [00]" xfId="579" xr:uid="{00000000-0005-0000-0000-0000121E0000}"/>
    <cellStyle name="Currency 15" xfId="10483" xr:uid="{00000000-0005-0000-0000-0000131E0000}"/>
    <cellStyle name="Currency 15 2" xfId="10553" xr:uid="{00000000-0005-0000-0000-0000141E0000}"/>
    <cellStyle name="Currency 2" xfId="55" xr:uid="{00000000-0005-0000-0000-0000151E0000}"/>
    <cellStyle name="Currency 2 10" xfId="4974" xr:uid="{00000000-0005-0000-0000-0000161E0000}"/>
    <cellStyle name="Currency 2 11" xfId="4975" xr:uid="{00000000-0005-0000-0000-0000171E0000}"/>
    <cellStyle name="Currency 2 12" xfId="4976" xr:uid="{00000000-0005-0000-0000-0000181E0000}"/>
    <cellStyle name="Currency 2 13" xfId="4977" xr:uid="{00000000-0005-0000-0000-0000191E0000}"/>
    <cellStyle name="Currency 2 14" xfId="4978" xr:uid="{00000000-0005-0000-0000-00001A1E0000}"/>
    <cellStyle name="Currency 2 15" xfId="4979" xr:uid="{00000000-0005-0000-0000-00001B1E0000}"/>
    <cellStyle name="Currency 2 16" xfId="4980" xr:uid="{00000000-0005-0000-0000-00001C1E0000}"/>
    <cellStyle name="Currency 2 17" xfId="4981" xr:uid="{00000000-0005-0000-0000-00001D1E0000}"/>
    <cellStyle name="Currency 2 18" xfId="4982" xr:uid="{00000000-0005-0000-0000-00001E1E0000}"/>
    <cellStyle name="Currency 2 19" xfId="4983" xr:uid="{00000000-0005-0000-0000-00001F1E0000}"/>
    <cellStyle name="Currency 2 2" xfId="168" xr:uid="{00000000-0005-0000-0000-0000201E0000}"/>
    <cellStyle name="Currency 2 2 2" xfId="1284" xr:uid="{00000000-0005-0000-0000-0000211E0000}"/>
    <cellStyle name="Currency 2 2 2 2" xfId="4984" xr:uid="{00000000-0005-0000-0000-0000221E0000}"/>
    <cellStyle name="Currency 2 2 2 3" xfId="6994" xr:uid="{00000000-0005-0000-0000-0000231E0000}"/>
    <cellStyle name="Currency 2 2 2 3 2" xfId="9701" xr:uid="{00000000-0005-0000-0000-0000241E0000}"/>
    <cellStyle name="Currency 2 2 2 4" xfId="8362" xr:uid="{00000000-0005-0000-0000-0000251E0000}"/>
    <cellStyle name="Currency 2 2 3" xfId="581" xr:uid="{00000000-0005-0000-0000-0000261E0000}"/>
    <cellStyle name="Currency 2 2 3 2" xfId="4985" xr:uid="{00000000-0005-0000-0000-0000271E0000}"/>
    <cellStyle name="Currency 2 2 4" xfId="1382" xr:uid="{00000000-0005-0000-0000-0000281E0000}"/>
    <cellStyle name="Currency 2 2 4 2" xfId="7087" xr:uid="{00000000-0005-0000-0000-0000291E0000}"/>
    <cellStyle name="Currency 2 2 4 2 2" xfId="9792" xr:uid="{00000000-0005-0000-0000-00002A1E0000}"/>
    <cellStyle name="Currency 2 2 4 3" xfId="8453" xr:uid="{00000000-0005-0000-0000-00002B1E0000}"/>
    <cellStyle name="Currency 2 2 5" xfId="6362" xr:uid="{00000000-0005-0000-0000-00002C1E0000}"/>
    <cellStyle name="Currency 2 2 5 2" xfId="9081" xr:uid="{00000000-0005-0000-0000-00002D1E0000}"/>
    <cellStyle name="Currency 2 2 6" xfId="7742" xr:uid="{00000000-0005-0000-0000-00002E1E0000}"/>
    <cellStyle name="Currency 2 20" xfId="4986" xr:uid="{00000000-0005-0000-0000-00002F1E0000}"/>
    <cellStyle name="Currency 2 21" xfId="4987" xr:uid="{00000000-0005-0000-0000-0000301E0000}"/>
    <cellStyle name="Currency 2 22" xfId="4988" xr:uid="{00000000-0005-0000-0000-0000311E0000}"/>
    <cellStyle name="Currency 2 23" xfId="4989" xr:uid="{00000000-0005-0000-0000-0000321E0000}"/>
    <cellStyle name="Currency 2 24" xfId="4990" xr:uid="{00000000-0005-0000-0000-0000331E0000}"/>
    <cellStyle name="Currency 2 25" xfId="4991" xr:uid="{00000000-0005-0000-0000-0000341E0000}"/>
    <cellStyle name="Currency 2 26" xfId="4992" xr:uid="{00000000-0005-0000-0000-0000351E0000}"/>
    <cellStyle name="Currency 2 27" xfId="4993" xr:uid="{00000000-0005-0000-0000-0000361E0000}"/>
    <cellStyle name="Currency 2 28" xfId="4994" xr:uid="{00000000-0005-0000-0000-0000371E0000}"/>
    <cellStyle name="Currency 2 29" xfId="4995" xr:uid="{00000000-0005-0000-0000-0000381E0000}"/>
    <cellStyle name="Currency 2 3" xfId="231" xr:uid="{00000000-0005-0000-0000-0000391E0000}"/>
    <cellStyle name="Currency 2 3 2" xfId="582" xr:uid="{00000000-0005-0000-0000-00003A1E0000}"/>
    <cellStyle name="Currency 2 30" xfId="4996" xr:uid="{00000000-0005-0000-0000-00003B1E0000}"/>
    <cellStyle name="Currency 2 31" xfId="4997" xr:uid="{00000000-0005-0000-0000-00003C1E0000}"/>
    <cellStyle name="Currency 2 32" xfId="4998" xr:uid="{00000000-0005-0000-0000-00003D1E0000}"/>
    <cellStyle name="Currency 2 33" xfId="4999" xr:uid="{00000000-0005-0000-0000-00003E1E0000}"/>
    <cellStyle name="Currency 2 34" xfId="5000" xr:uid="{00000000-0005-0000-0000-00003F1E0000}"/>
    <cellStyle name="Currency 2 35" xfId="5001" xr:uid="{00000000-0005-0000-0000-0000401E0000}"/>
    <cellStyle name="Currency 2 36" xfId="5002" xr:uid="{00000000-0005-0000-0000-0000411E0000}"/>
    <cellStyle name="Currency 2 37" xfId="5003" xr:uid="{00000000-0005-0000-0000-0000421E0000}"/>
    <cellStyle name="Currency 2 38" xfId="5004" xr:uid="{00000000-0005-0000-0000-0000431E0000}"/>
    <cellStyle name="Currency 2 39" xfId="5005" xr:uid="{00000000-0005-0000-0000-0000441E0000}"/>
    <cellStyle name="Currency 2 4" xfId="583" xr:uid="{00000000-0005-0000-0000-0000451E0000}"/>
    <cellStyle name="Currency 2 4 2" xfId="964" xr:uid="{00000000-0005-0000-0000-0000461E0000}"/>
    <cellStyle name="Currency 2 4 2 2" xfId="1242" xr:uid="{00000000-0005-0000-0000-0000471E0000}"/>
    <cellStyle name="Currency 2 4 2 2 2" xfId="6960" xr:uid="{00000000-0005-0000-0000-0000481E0000}"/>
    <cellStyle name="Currency 2 4 2 2 2 2" xfId="9667" xr:uid="{00000000-0005-0000-0000-0000491E0000}"/>
    <cellStyle name="Currency 2 4 2 2 3" xfId="8328" xr:uid="{00000000-0005-0000-0000-00004A1E0000}"/>
    <cellStyle name="Currency 2 4 2 3" xfId="5006" xr:uid="{00000000-0005-0000-0000-00004B1E0000}"/>
    <cellStyle name="Currency 2 4 2 4" xfId="6697" xr:uid="{00000000-0005-0000-0000-00004C1E0000}"/>
    <cellStyle name="Currency 2 4 2 4 2" xfId="9404" xr:uid="{00000000-0005-0000-0000-00004D1E0000}"/>
    <cellStyle name="Currency 2 4 2 5" xfId="8065" xr:uid="{00000000-0005-0000-0000-00004E1E0000}"/>
    <cellStyle name="Currency 2 4 3" xfId="1124" xr:uid="{00000000-0005-0000-0000-00004F1E0000}"/>
    <cellStyle name="Currency 2 4 3 2" xfId="5007" xr:uid="{00000000-0005-0000-0000-0000501E0000}"/>
    <cellStyle name="Currency 2 4 3 3" xfId="6852" xr:uid="{00000000-0005-0000-0000-0000511E0000}"/>
    <cellStyle name="Currency 2 4 3 3 2" xfId="9559" xr:uid="{00000000-0005-0000-0000-0000521E0000}"/>
    <cellStyle name="Currency 2 4 3 4" xfId="8220" xr:uid="{00000000-0005-0000-0000-0000531E0000}"/>
    <cellStyle name="Currency 2 4 4" xfId="5008" xr:uid="{00000000-0005-0000-0000-0000541E0000}"/>
    <cellStyle name="Currency 2 4 5" xfId="6535" xr:uid="{00000000-0005-0000-0000-0000551E0000}"/>
    <cellStyle name="Currency 2 4 5 2" xfId="9252" xr:uid="{00000000-0005-0000-0000-0000561E0000}"/>
    <cellStyle name="Currency 2 4 6" xfId="7913" xr:uid="{00000000-0005-0000-0000-0000571E0000}"/>
    <cellStyle name="Currency 2 40" xfId="5009" xr:uid="{00000000-0005-0000-0000-0000581E0000}"/>
    <cellStyle name="Currency 2 41" xfId="5010" xr:uid="{00000000-0005-0000-0000-0000591E0000}"/>
    <cellStyle name="Currency 2 42" xfId="5011" xr:uid="{00000000-0005-0000-0000-00005A1E0000}"/>
    <cellStyle name="Currency 2 43" xfId="5012" xr:uid="{00000000-0005-0000-0000-00005B1E0000}"/>
    <cellStyle name="Currency 2 44" xfId="5013" xr:uid="{00000000-0005-0000-0000-00005C1E0000}"/>
    <cellStyle name="Currency 2 45" xfId="5014" xr:uid="{00000000-0005-0000-0000-00005D1E0000}"/>
    <cellStyle name="Currency 2 46" xfId="5015" xr:uid="{00000000-0005-0000-0000-00005E1E0000}"/>
    <cellStyle name="Currency 2 47" xfId="5016" xr:uid="{00000000-0005-0000-0000-00005F1E0000}"/>
    <cellStyle name="Currency 2 48" xfId="5017" xr:uid="{00000000-0005-0000-0000-0000601E0000}"/>
    <cellStyle name="Currency 2 49" xfId="5018" xr:uid="{00000000-0005-0000-0000-0000611E0000}"/>
    <cellStyle name="Currency 2 5" xfId="580" xr:uid="{00000000-0005-0000-0000-0000621E0000}"/>
    <cellStyle name="Currency 2 5 2" xfId="5020" xr:uid="{00000000-0005-0000-0000-0000631E0000}"/>
    <cellStyle name="Currency 2 5 3" xfId="5019" xr:uid="{00000000-0005-0000-0000-0000641E0000}"/>
    <cellStyle name="Currency 2 50" xfId="5021" xr:uid="{00000000-0005-0000-0000-0000651E0000}"/>
    <cellStyle name="Currency 2 51" xfId="167" xr:uid="{00000000-0005-0000-0000-0000661E0000}"/>
    <cellStyle name="Currency 2 6" xfId="5022" xr:uid="{00000000-0005-0000-0000-0000671E0000}"/>
    <cellStyle name="Currency 2 7" xfId="5023" xr:uid="{00000000-0005-0000-0000-0000681E0000}"/>
    <cellStyle name="Currency 2 8" xfId="5024" xr:uid="{00000000-0005-0000-0000-0000691E0000}"/>
    <cellStyle name="Currency 2 9" xfId="5025" xr:uid="{00000000-0005-0000-0000-00006A1E0000}"/>
    <cellStyle name="Currency 3" xfId="169" xr:uid="{00000000-0005-0000-0000-00006B1E0000}"/>
    <cellStyle name="Currency 3 2" xfId="170" xr:uid="{00000000-0005-0000-0000-00006C1E0000}"/>
    <cellStyle name="Currency 3 2 2" xfId="1282" xr:uid="{00000000-0005-0000-0000-00006D1E0000}"/>
    <cellStyle name="Currency 3 2 2 2" xfId="6992" xr:uid="{00000000-0005-0000-0000-00006E1E0000}"/>
    <cellStyle name="Currency 3 2 2 2 2" xfId="9699" xr:uid="{00000000-0005-0000-0000-00006F1E0000}"/>
    <cellStyle name="Currency 3 2 2 3" xfId="8360" xr:uid="{00000000-0005-0000-0000-0000701E0000}"/>
    <cellStyle name="Currency 3 2 3" xfId="1384" xr:uid="{00000000-0005-0000-0000-0000711E0000}"/>
    <cellStyle name="Currency 3 2 3 2" xfId="7089" xr:uid="{00000000-0005-0000-0000-0000721E0000}"/>
    <cellStyle name="Currency 3 2 3 2 2" xfId="9794" xr:uid="{00000000-0005-0000-0000-0000731E0000}"/>
    <cellStyle name="Currency 3 2 3 3" xfId="8455" xr:uid="{00000000-0005-0000-0000-0000741E0000}"/>
    <cellStyle name="Currency 3 2 4" xfId="5026" xr:uid="{00000000-0005-0000-0000-0000751E0000}"/>
    <cellStyle name="Currency 3 2 5" xfId="6364" xr:uid="{00000000-0005-0000-0000-0000761E0000}"/>
    <cellStyle name="Currency 3 2 5 2" xfId="9083" xr:uid="{00000000-0005-0000-0000-0000771E0000}"/>
    <cellStyle name="Currency 3 2 6" xfId="7744" xr:uid="{00000000-0005-0000-0000-0000781E0000}"/>
    <cellStyle name="Currency 3 3" xfId="1283" xr:uid="{00000000-0005-0000-0000-0000791E0000}"/>
    <cellStyle name="Currency 3 3 2" xfId="6993" xr:uid="{00000000-0005-0000-0000-00007A1E0000}"/>
    <cellStyle name="Currency 3 3 2 2" xfId="9700" xr:uid="{00000000-0005-0000-0000-00007B1E0000}"/>
    <cellStyle name="Currency 3 3 3" xfId="8361" xr:uid="{00000000-0005-0000-0000-00007C1E0000}"/>
    <cellStyle name="Currency 3 4" xfId="584" xr:uid="{00000000-0005-0000-0000-00007D1E0000}"/>
    <cellStyle name="Currency 3 5" xfId="1383" xr:uid="{00000000-0005-0000-0000-00007E1E0000}"/>
    <cellStyle name="Currency 3 5 2" xfId="7088" xr:uid="{00000000-0005-0000-0000-00007F1E0000}"/>
    <cellStyle name="Currency 3 5 2 2" xfId="9793" xr:uid="{00000000-0005-0000-0000-0000801E0000}"/>
    <cellStyle name="Currency 3 5 3" xfId="8454" xr:uid="{00000000-0005-0000-0000-0000811E0000}"/>
    <cellStyle name="Currency 3 6" xfId="6363" xr:uid="{00000000-0005-0000-0000-0000821E0000}"/>
    <cellStyle name="Currency 3 6 2" xfId="9082" xr:uid="{00000000-0005-0000-0000-0000831E0000}"/>
    <cellStyle name="Currency 3 7" xfId="7743" xr:uid="{00000000-0005-0000-0000-0000841E0000}"/>
    <cellStyle name="Currency 4" xfId="5027" xr:uid="{00000000-0005-0000-0000-0000851E0000}"/>
    <cellStyle name="Currency 4 2" xfId="5028" xr:uid="{00000000-0005-0000-0000-0000861E0000}"/>
    <cellStyle name="Currency 4 3" xfId="5029" xr:uid="{00000000-0005-0000-0000-0000871E0000}"/>
    <cellStyle name="Currency 4 3 2" xfId="5030" xr:uid="{00000000-0005-0000-0000-0000881E0000}"/>
    <cellStyle name="Currency 4 4" xfId="5031" xr:uid="{00000000-0005-0000-0000-0000891E0000}"/>
    <cellStyle name="Currency 4 4 2" xfId="5032" xr:uid="{00000000-0005-0000-0000-00008A1E0000}"/>
    <cellStyle name="Currency 5" xfId="5033" xr:uid="{00000000-0005-0000-0000-00008B1E0000}"/>
    <cellStyle name="Currency 5 2" xfId="5034" xr:uid="{00000000-0005-0000-0000-00008C1E0000}"/>
    <cellStyle name="Currency 6" xfId="5035" xr:uid="{00000000-0005-0000-0000-00008D1E0000}"/>
    <cellStyle name="Currency0" xfId="585" xr:uid="{00000000-0005-0000-0000-00008E1E0000}"/>
    <cellStyle name="Currency1" xfId="586" xr:uid="{00000000-0005-0000-0000-00008F1E0000}"/>
    <cellStyle name="Date" xfId="587" xr:uid="{00000000-0005-0000-0000-0000901E0000}"/>
    <cellStyle name="Date 2" xfId="5036" xr:uid="{00000000-0005-0000-0000-0000911E0000}"/>
    <cellStyle name="Date Short" xfId="588" xr:uid="{00000000-0005-0000-0000-0000921E0000}"/>
    <cellStyle name="Date_BRIGADE BLOCK A &amp; B  IBMS DDC BUDGETARY ESTIMATES 10 03 14 R0" xfId="589" xr:uid="{00000000-0005-0000-0000-0000931E0000}"/>
    <cellStyle name="DELTA" xfId="590" xr:uid="{00000000-0005-0000-0000-0000941E0000}"/>
    <cellStyle name="Description" xfId="5037" xr:uid="{00000000-0005-0000-0000-0000951E0000}"/>
    <cellStyle name="Description 2" xfId="5038" xr:uid="{00000000-0005-0000-0000-0000961E0000}"/>
    <cellStyle name="Description 3" xfId="5039" xr:uid="{00000000-0005-0000-0000-0000971E0000}"/>
    <cellStyle name="Dollar (zero dec)" xfId="591" xr:uid="{00000000-0005-0000-0000-0000981E0000}"/>
    <cellStyle name="Enter Currency (0)" xfId="592" xr:uid="{00000000-0005-0000-0000-0000991E0000}"/>
    <cellStyle name="Enter Currency (2)" xfId="593" xr:uid="{00000000-0005-0000-0000-00009A1E0000}"/>
    <cellStyle name="Enter Units (0)" xfId="594" xr:uid="{00000000-0005-0000-0000-00009B1E0000}"/>
    <cellStyle name="Enter Units (1)" xfId="595" xr:uid="{00000000-0005-0000-0000-00009C1E0000}"/>
    <cellStyle name="Enter Units (2)" xfId="596" xr:uid="{00000000-0005-0000-0000-00009D1E0000}"/>
    <cellStyle name="Entered" xfId="597" xr:uid="{00000000-0005-0000-0000-00009E1E0000}"/>
    <cellStyle name="Entered 2" xfId="1125" xr:uid="{00000000-0005-0000-0000-00009F1E0000}"/>
    <cellStyle name="Euro" xfId="598" xr:uid="{00000000-0005-0000-0000-0000A01E0000}"/>
    <cellStyle name="Euro 2" xfId="599" xr:uid="{00000000-0005-0000-0000-0000A11E0000}"/>
    <cellStyle name="Euro 3" xfId="600" xr:uid="{00000000-0005-0000-0000-0000A21E0000}"/>
    <cellStyle name="Euro 3 2" xfId="601" xr:uid="{00000000-0005-0000-0000-0000A31E0000}"/>
    <cellStyle name="Excel Built-in Comma" xfId="5040" xr:uid="{00000000-0005-0000-0000-0000A41E0000}"/>
    <cellStyle name="Excel Built-in Normal" xfId="602" xr:uid="{00000000-0005-0000-0000-0000A51E0000}"/>
    <cellStyle name="Excel Built-in Normal 1" xfId="603" xr:uid="{00000000-0005-0000-0000-0000A61E0000}"/>
    <cellStyle name="Excel_BuiltIn_Bad 1" xfId="5041" xr:uid="{00000000-0005-0000-0000-0000A71E0000}"/>
    <cellStyle name="Explanatory Text 10" xfId="5042" xr:uid="{00000000-0005-0000-0000-0000A81E0000}"/>
    <cellStyle name="Explanatory Text 10 2" xfId="5043" xr:uid="{00000000-0005-0000-0000-0000A91E0000}"/>
    <cellStyle name="Explanatory Text 11" xfId="5044" xr:uid="{00000000-0005-0000-0000-0000AA1E0000}"/>
    <cellStyle name="Explanatory Text 2" xfId="604" xr:uid="{00000000-0005-0000-0000-0000AB1E0000}"/>
    <cellStyle name="Explanatory Text 2 2" xfId="5045" xr:uid="{00000000-0005-0000-0000-0000AC1E0000}"/>
    <cellStyle name="Explanatory Text 2 2 2" xfId="10501" xr:uid="{00000000-0005-0000-0000-0000AD1E0000}"/>
    <cellStyle name="Explanatory Text 3" xfId="5046" xr:uid="{00000000-0005-0000-0000-0000AE1E0000}"/>
    <cellStyle name="Explanatory Text 3 2" xfId="5047" xr:uid="{00000000-0005-0000-0000-0000AF1E0000}"/>
    <cellStyle name="Explanatory Text 4" xfId="5048" xr:uid="{00000000-0005-0000-0000-0000B01E0000}"/>
    <cellStyle name="Explanatory Text 4 2" xfId="5049" xr:uid="{00000000-0005-0000-0000-0000B11E0000}"/>
    <cellStyle name="Explanatory Text 5" xfId="5050" xr:uid="{00000000-0005-0000-0000-0000B21E0000}"/>
    <cellStyle name="Explanatory Text 5 2" xfId="5051" xr:uid="{00000000-0005-0000-0000-0000B31E0000}"/>
    <cellStyle name="Explanatory Text 6" xfId="5052" xr:uid="{00000000-0005-0000-0000-0000B41E0000}"/>
    <cellStyle name="Explanatory Text 6 2" xfId="5053" xr:uid="{00000000-0005-0000-0000-0000B51E0000}"/>
    <cellStyle name="Explanatory Text 7" xfId="5054" xr:uid="{00000000-0005-0000-0000-0000B61E0000}"/>
    <cellStyle name="Explanatory Text 7 2" xfId="5055" xr:uid="{00000000-0005-0000-0000-0000B71E0000}"/>
    <cellStyle name="Explanatory Text 8" xfId="5056" xr:uid="{00000000-0005-0000-0000-0000B81E0000}"/>
    <cellStyle name="Explanatory Text 8 2" xfId="5057" xr:uid="{00000000-0005-0000-0000-0000B91E0000}"/>
    <cellStyle name="Explanatory Text 9" xfId="5058" xr:uid="{00000000-0005-0000-0000-0000BA1E0000}"/>
    <cellStyle name="Explanatory Text 9 2" xfId="5059" xr:uid="{00000000-0005-0000-0000-0000BB1E0000}"/>
    <cellStyle name="F2" xfId="605" xr:uid="{00000000-0005-0000-0000-0000BC1E0000}"/>
    <cellStyle name="F2 2" xfId="1126" xr:uid="{00000000-0005-0000-0000-0000BD1E0000}"/>
    <cellStyle name="F2 2 2" xfId="5060" xr:uid="{00000000-0005-0000-0000-0000BE1E0000}"/>
    <cellStyle name="F3" xfId="606" xr:uid="{00000000-0005-0000-0000-0000BF1E0000}"/>
    <cellStyle name="F3 2" xfId="1127" xr:uid="{00000000-0005-0000-0000-0000C01E0000}"/>
    <cellStyle name="F3 2 2" xfId="5061" xr:uid="{00000000-0005-0000-0000-0000C11E0000}"/>
    <cellStyle name="F4" xfId="607" xr:uid="{00000000-0005-0000-0000-0000C21E0000}"/>
    <cellStyle name="F4 2" xfId="1128" xr:uid="{00000000-0005-0000-0000-0000C31E0000}"/>
    <cellStyle name="F4 2 2" xfId="5062" xr:uid="{00000000-0005-0000-0000-0000C41E0000}"/>
    <cellStyle name="F5" xfId="608" xr:uid="{00000000-0005-0000-0000-0000C51E0000}"/>
    <cellStyle name="F5 2" xfId="1129" xr:uid="{00000000-0005-0000-0000-0000C61E0000}"/>
    <cellStyle name="F5 2 2" xfId="5063" xr:uid="{00000000-0005-0000-0000-0000C71E0000}"/>
    <cellStyle name="F6" xfId="609" xr:uid="{00000000-0005-0000-0000-0000C81E0000}"/>
    <cellStyle name="F6 2" xfId="1130" xr:uid="{00000000-0005-0000-0000-0000C91E0000}"/>
    <cellStyle name="F6 2 2" xfId="5064" xr:uid="{00000000-0005-0000-0000-0000CA1E0000}"/>
    <cellStyle name="F7" xfId="610" xr:uid="{00000000-0005-0000-0000-0000CB1E0000}"/>
    <cellStyle name="F7 2" xfId="1131" xr:uid="{00000000-0005-0000-0000-0000CC1E0000}"/>
    <cellStyle name="F7 2 2" xfId="5065" xr:uid="{00000000-0005-0000-0000-0000CD1E0000}"/>
    <cellStyle name="F8" xfId="611" xr:uid="{00000000-0005-0000-0000-0000CE1E0000}"/>
    <cellStyle name="F8 2" xfId="1132" xr:uid="{00000000-0005-0000-0000-0000CF1E0000}"/>
    <cellStyle name="F8 2 2" xfId="5066" xr:uid="{00000000-0005-0000-0000-0000D01E0000}"/>
    <cellStyle name="Fixed" xfId="612" xr:uid="{00000000-0005-0000-0000-0000D11E0000}"/>
    <cellStyle name="Fixed 2" xfId="5067" xr:uid="{00000000-0005-0000-0000-0000D21E0000}"/>
    <cellStyle name="Foottitle" xfId="5068" xr:uid="{00000000-0005-0000-0000-0000D31E0000}"/>
    <cellStyle name="Foottitle 2" xfId="5069" xr:uid="{00000000-0005-0000-0000-0000D41E0000}"/>
    <cellStyle name="FORM" xfId="613" xr:uid="{00000000-0005-0000-0000-0000D51E0000}"/>
    <cellStyle name="Formula" xfId="614" xr:uid="{00000000-0005-0000-0000-0000D61E0000}"/>
    <cellStyle name="Good 10" xfId="5070" xr:uid="{00000000-0005-0000-0000-0000D71E0000}"/>
    <cellStyle name="Good 10 2" xfId="5071" xr:uid="{00000000-0005-0000-0000-0000D81E0000}"/>
    <cellStyle name="Good 10 2 2" xfId="5072" xr:uid="{00000000-0005-0000-0000-0000D91E0000}"/>
    <cellStyle name="Good 10 3" xfId="5073" xr:uid="{00000000-0005-0000-0000-0000DA1E0000}"/>
    <cellStyle name="Good 11" xfId="5074" xr:uid="{00000000-0005-0000-0000-0000DB1E0000}"/>
    <cellStyle name="Good 11 2" xfId="5075" xr:uid="{00000000-0005-0000-0000-0000DC1E0000}"/>
    <cellStyle name="Good 12" xfId="5076" xr:uid="{00000000-0005-0000-0000-0000DD1E0000}"/>
    <cellStyle name="Good 2" xfId="615" xr:uid="{00000000-0005-0000-0000-0000DE1E0000}"/>
    <cellStyle name="Good 2 10" xfId="5077" xr:uid="{00000000-0005-0000-0000-0000DF1E0000}"/>
    <cellStyle name="Good 2 11" xfId="5078" xr:uid="{00000000-0005-0000-0000-0000E01E0000}"/>
    <cellStyle name="Good 2 12" xfId="5079" xr:uid="{00000000-0005-0000-0000-0000E11E0000}"/>
    <cellStyle name="Good 2 13" xfId="5080" xr:uid="{00000000-0005-0000-0000-0000E21E0000}"/>
    <cellStyle name="Good 2 14" xfId="5081" xr:uid="{00000000-0005-0000-0000-0000E31E0000}"/>
    <cellStyle name="Good 2 15" xfId="5082" xr:uid="{00000000-0005-0000-0000-0000E41E0000}"/>
    <cellStyle name="Good 2 16" xfId="5083" xr:uid="{00000000-0005-0000-0000-0000E51E0000}"/>
    <cellStyle name="Good 2 17" xfId="5084" xr:uid="{00000000-0005-0000-0000-0000E61E0000}"/>
    <cellStyle name="Good 2 18" xfId="5085" xr:uid="{00000000-0005-0000-0000-0000E71E0000}"/>
    <cellStyle name="Good 2 19" xfId="5086" xr:uid="{00000000-0005-0000-0000-0000E81E0000}"/>
    <cellStyle name="Good 2 2" xfId="616" xr:uid="{00000000-0005-0000-0000-0000E91E0000}"/>
    <cellStyle name="Good 2 2 2" xfId="5087" xr:uid="{00000000-0005-0000-0000-0000EA1E0000}"/>
    <cellStyle name="Good 2 2 3" xfId="5088" xr:uid="{00000000-0005-0000-0000-0000EB1E0000}"/>
    <cellStyle name="Good 2 20" xfId="5089" xr:uid="{00000000-0005-0000-0000-0000EC1E0000}"/>
    <cellStyle name="Good 2 21" xfId="5090" xr:uid="{00000000-0005-0000-0000-0000ED1E0000}"/>
    <cellStyle name="Good 2 22" xfId="5091" xr:uid="{00000000-0005-0000-0000-0000EE1E0000}"/>
    <cellStyle name="Good 2 23" xfId="5092" xr:uid="{00000000-0005-0000-0000-0000EF1E0000}"/>
    <cellStyle name="Good 2 24" xfId="5093" xr:uid="{00000000-0005-0000-0000-0000F01E0000}"/>
    <cellStyle name="Good 2 25" xfId="5094" xr:uid="{00000000-0005-0000-0000-0000F11E0000}"/>
    <cellStyle name="Good 2 26" xfId="5095" xr:uid="{00000000-0005-0000-0000-0000F21E0000}"/>
    <cellStyle name="Good 2 27" xfId="5096" xr:uid="{00000000-0005-0000-0000-0000F31E0000}"/>
    <cellStyle name="Good 2 28" xfId="5097" xr:uid="{00000000-0005-0000-0000-0000F41E0000}"/>
    <cellStyle name="Good 2 29" xfId="5098" xr:uid="{00000000-0005-0000-0000-0000F51E0000}"/>
    <cellStyle name="Good 2 3" xfId="5099" xr:uid="{00000000-0005-0000-0000-0000F61E0000}"/>
    <cellStyle name="Good 2 3 2" xfId="5100" xr:uid="{00000000-0005-0000-0000-0000F71E0000}"/>
    <cellStyle name="Good 2 30" xfId="5101" xr:uid="{00000000-0005-0000-0000-0000F81E0000}"/>
    <cellStyle name="Good 2 31" xfId="5102" xr:uid="{00000000-0005-0000-0000-0000F91E0000}"/>
    <cellStyle name="Good 2 32" xfId="5103" xr:uid="{00000000-0005-0000-0000-0000FA1E0000}"/>
    <cellStyle name="Good 2 33" xfId="5104" xr:uid="{00000000-0005-0000-0000-0000FB1E0000}"/>
    <cellStyle name="Good 2 34" xfId="5105" xr:uid="{00000000-0005-0000-0000-0000FC1E0000}"/>
    <cellStyle name="Good 2 35" xfId="5106" xr:uid="{00000000-0005-0000-0000-0000FD1E0000}"/>
    <cellStyle name="Good 2 36" xfId="5107" xr:uid="{00000000-0005-0000-0000-0000FE1E0000}"/>
    <cellStyle name="Good 2 37" xfId="5108" xr:uid="{00000000-0005-0000-0000-0000FF1E0000}"/>
    <cellStyle name="Good 2 38" xfId="5109" xr:uid="{00000000-0005-0000-0000-0000001F0000}"/>
    <cellStyle name="Good 2 39" xfId="5110" xr:uid="{00000000-0005-0000-0000-0000011F0000}"/>
    <cellStyle name="Good 2 4" xfId="5111" xr:uid="{00000000-0005-0000-0000-0000021F0000}"/>
    <cellStyle name="Good 2 40" xfId="5112" xr:uid="{00000000-0005-0000-0000-0000031F0000}"/>
    <cellStyle name="Good 2 41" xfId="5113" xr:uid="{00000000-0005-0000-0000-0000041F0000}"/>
    <cellStyle name="Good 2 42" xfId="5114" xr:uid="{00000000-0005-0000-0000-0000051F0000}"/>
    <cellStyle name="Good 2 43" xfId="5115" xr:uid="{00000000-0005-0000-0000-0000061F0000}"/>
    <cellStyle name="Good 2 44" xfId="5116" xr:uid="{00000000-0005-0000-0000-0000071F0000}"/>
    <cellStyle name="Good 2 45" xfId="5117" xr:uid="{00000000-0005-0000-0000-0000081F0000}"/>
    <cellStyle name="Good 2 46" xfId="5118" xr:uid="{00000000-0005-0000-0000-0000091F0000}"/>
    <cellStyle name="Good 2 47" xfId="5119" xr:uid="{00000000-0005-0000-0000-00000A1F0000}"/>
    <cellStyle name="Good 2 48" xfId="5120" xr:uid="{00000000-0005-0000-0000-00000B1F0000}"/>
    <cellStyle name="Good 2 49" xfId="5121" xr:uid="{00000000-0005-0000-0000-00000C1F0000}"/>
    <cellStyle name="Good 2 5" xfId="5122" xr:uid="{00000000-0005-0000-0000-00000D1F0000}"/>
    <cellStyle name="Good 2 50" xfId="5123" xr:uid="{00000000-0005-0000-0000-00000E1F0000}"/>
    <cellStyle name="Good 2 51" xfId="5124" xr:uid="{00000000-0005-0000-0000-00000F1F0000}"/>
    <cellStyle name="Good 2 6" xfId="5125" xr:uid="{00000000-0005-0000-0000-0000101F0000}"/>
    <cellStyle name="Good 2 7" xfId="5126" xr:uid="{00000000-0005-0000-0000-0000111F0000}"/>
    <cellStyle name="Good 2 8" xfId="5127" xr:uid="{00000000-0005-0000-0000-0000121F0000}"/>
    <cellStyle name="Good 2 9" xfId="5128" xr:uid="{00000000-0005-0000-0000-0000131F0000}"/>
    <cellStyle name="Good 3" xfId="5129" xr:uid="{00000000-0005-0000-0000-0000141F0000}"/>
    <cellStyle name="Good 3 2" xfId="5130" xr:uid="{00000000-0005-0000-0000-0000151F0000}"/>
    <cellStyle name="Good 3 2 2" xfId="5131" xr:uid="{00000000-0005-0000-0000-0000161F0000}"/>
    <cellStyle name="Good 3 3" xfId="5132" xr:uid="{00000000-0005-0000-0000-0000171F0000}"/>
    <cellStyle name="Good 4" xfId="5133" xr:uid="{00000000-0005-0000-0000-0000181F0000}"/>
    <cellStyle name="Good 4 2" xfId="5134" xr:uid="{00000000-0005-0000-0000-0000191F0000}"/>
    <cellStyle name="Good 4 2 2" xfId="5135" xr:uid="{00000000-0005-0000-0000-00001A1F0000}"/>
    <cellStyle name="Good 4 3" xfId="5136" xr:uid="{00000000-0005-0000-0000-00001B1F0000}"/>
    <cellStyle name="Good 5" xfId="5137" xr:uid="{00000000-0005-0000-0000-00001C1F0000}"/>
    <cellStyle name="Good 5 2" xfId="5138" xr:uid="{00000000-0005-0000-0000-00001D1F0000}"/>
    <cellStyle name="Good 5 2 2" xfId="5139" xr:uid="{00000000-0005-0000-0000-00001E1F0000}"/>
    <cellStyle name="Good 5 3" xfId="5140" xr:uid="{00000000-0005-0000-0000-00001F1F0000}"/>
    <cellStyle name="Good 6" xfId="5141" xr:uid="{00000000-0005-0000-0000-0000201F0000}"/>
    <cellStyle name="Good 6 2" xfId="5142" xr:uid="{00000000-0005-0000-0000-0000211F0000}"/>
    <cellStyle name="Good 6 2 2" xfId="5143" xr:uid="{00000000-0005-0000-0000-0000221F0000}"/>
    <cellStyle name="Good 6 3" xfId="5144" xr:uid="{00000000-0005-0000-0000-0000231F0000}"/>
    <cellStyle name="Good 7" xfId="5145" xr:uid="{00000000-0005-0000-0000-0000241F0000}"/>
    <cellStyle name="Good 7 2" xfId="5146" xr:uid="{00000000-0005-0000-0000-0000251F0000}"/>
    <cellStyle name="Good 7 2 2" xfId="5147" xr:uid="{00000000-0005-0000-0000-0000261F0000}"/>
    <cellStyle name="Good 7 3" xfId="5148" xr:uid="{00000000-0005-0000-0000-0000271F0000}"/>
    <cellStyle name="Good 8" xfId="5149" xr:uid="{00000000-0005-0000-0000-0000281F0000}"/>
    <cellStyle name="Good 8 2" xfId="5150" xr:uid="{00000000-0005-0000-0000-0000291F0000}"/>
    <cellStyle name="Good 8 2 2" xfId="5151" xr:uid="{00000000-0005-0000-0000-00002A1F0000}"/>
    <cellStyle name="Good 8 3" xfId="5152" xr:uid="{00000000-0005-0000-0000-00002B1F0000}"/>
    <cellStyle name="Good 9" xfId="5153" xr:uid="{00000000-0005-0000-0000-00002C1F0000}"/>
    <cellStyle name="Good 9 2" xfId="5154" xr:uid="{00000000-0005-0000-0000-00002D1F0000}"/>
    <cellStyle name="Good 9 2 2" xfId="5155" xr:uid="{00000000-0005-0000-0000-00002E1F0000}"/>
    <cellStyle name="Good 9 3" xfId="5156" xr:uid="{00000000-0005-0000-0000-00002F1F0000}"/>
    <cellStyle name="Grey" xfId="617" xr:uid="{00000000-0005-0000-0000-0000301F0000}"/>
    <cellStyle name="Grey 2" xfId="5157" xr:uid="{00000000-0005-0000-0000-0000311F0000}"/>
    <cellStyle name="header" xfId="5158" xr:uid="{00000000-0005-0000-0000-0000321F0000}"/>
    <cellStyle name="Header1" xfId="618" xr:uid="{00000000-0005-0000-0000-0000331F0000}"/>
    <cellStyle name="Header2" xfId="619" xr:uid="{00000000-0005-0000-0000-0000341F0000}"/>
    <cellStyle name="Header2 2" xfId="1472" xr:uid="{00000000-0005-0000-0000-0000351F0000}"/>
    <cellStyle name="Heading 1 10" xfId="5159" xr:uid="{00000000-0005-0000-0000-0000361F0000}"/>
    <cellStyle name="Heading 1 10 2" xfId="5160" xr:uid="{00000000-0005-0000-0000-0000371F0000}"/>
    <cellStyle name="Heading 1 11" xfId="5161" xr:uid="{00000000-0005-0000-0000-0000381F0000}"/>
    <cellStyle name="Heading 1 2" xfId="620" xr:uid="{00000000-0005-0000-0000-0000391F0000}"/>
    <cellStyle name="Heading 1 2 2" xfId="5162" xr:uid="{00000000-0005-0000-0000-00003A1F0000}"/>
    <cellStyle name="Heading 1 3" xfId="5163" xr:uid="{00000000-0005-0000-0000-00003B1F0000}"/>
    <cellStyle name="Heading 1 3 2" xfId="5164" xr:uid="{00000000-0005-0000-0000-00003C1F0000}"/>
    <cellStyle name="Heading 1 4" xfId="5165" xr:uid="{00000000-0005-0000-0000-00003D1F0000}"/>
    <cellStyle name="Heading 1 4 2" xfId="5166" xr:uid="{00000000-0005-0000-0000-00003E1F0000}"/>
    <cellStyle name="Heading 1 5" xfId="5167" xr:uid="{00000000-0005-0000-0000-00003F1F0000}"/>
    <cellStyle name="Heading 1 5 2" xfId="5168" xr:uid="{00000000-0005-0000-0000-0000401F0000}"/>
    <cellStyle name="Heading 1 6" xfId="5169" xr:uid="{00000000-0005-0000-0000-0000411F0000}"/>
    <cellStyle name="Heading 1 6 2" xfId="5170" xr:uid="{00000000-0005-0000-0000-0000421F0000}"/>
    <cellStyle name="Heading 1 7" xfId="5171" xr:uid="{00000000-0005-0000-0000-0000431F0000}"/>
    <cellStyle name="Heading 1 7 2" xfId="5172" xr:uid="{00000000-0005-0000-0000-0000441F0000}"/>
    <cellStyle name="Heading 1 8" xfId="5173" xr:uid="{00000000-0005-0000-0000-0000451F0000}"/>
    <cellStyle name="Heading 1 8 2" xfId="5174" xr:uid="{00000000-0005-0000-0000-0000461F0000}"/>
    <cellStyle name="Heading 1 9" xfId="5175" xr:uid="{00000000-0005-0000-0000-0000471F0000}"/>
    <cellStyle name="Heading 1 9 2" xfId="5176" xr:uid="{00000000-0005-0000-0000-0000481F0000}"/>
    <cellStyle name="Heading 2 10" xfId="5177" xr:uid="{00000000-0005-0000-0000-0000491F0000}"/>
    <cellStyle name="Heading 2 10 2" xfId="5178" xr:uid="{00000000-0005-0000-0000-00004A1F0000}"/>
    <cellStyle name="Heading 2 11" xfId="5179" xr:uid="{00000000-0005-0000-0000-00004B1F0000}"/>
    <cellStyle name="Heading 2 2" xfId="621" xr:uid="{00000000-0005-0000-0000-00004C1F0000}"/>
    <cellStyle name="Heading 2 2 2" xfId="5180" xr:uid="{00000000-0005-0000-0000-00004D1F0000}"/>
    <cellStyle name="Heading 2 3" xfId="5181" xr:uid="{00000000-0005-0000-0000-00004E1F0000}"/>
    <cellStyle name="Heading 2 3 2" xfId="5182" xr:uid="{00000000-0005-0000-0000-00004F1F0000}"/>
    <cellStyle name="Heading 2 4" xfId="5183" xr:uid="{00000000-0005-0000-0000-0000501F0000}"/>
    <cellStyle name="Heading 2 4 2" xfId="5184" xr:uid="{00000000-0005-0000-0000-0000511F0000}"/>
    <cellStyle name="Heading 2 5" xfId="5185" xr:uid="{00000000-0005-0000-0000-0000521F0000}"/>
    <cellStyle name="Heading 2 5 2" xfId="5186" xr:uid="{00000000-0005-0000-0000-0000531F0000}"/>
    <cellStyle name="Heading 2 6" xfId="5187" xr:uid="{00000000-0005-0000-0000-0000541F0000}"/>
    <cellStyle name="Heading 2 6 2" xfId="5188" xr:uid="{00000000-0005-0000-0000-0000551F0000}"/>
    <cellStyle name="Heading 2 7" xfId="5189" xr:uid="{00000000-0005-0000-0000-0000561F0000}"/>
    <cellStyle name="Heading 2 7 2" xfId="5190" xr:uid="{00000000-0005-0000-0000-0000571F0000}"/>
    <cellStyle name="Heading 2 8" xfId="5191" xr:uid="{00000000-0005-0000-0000-0000581F0000}"/>
    <cellStyle name="Heading 2 8 2" xfId="5192" xr:uid="{00000000-0005-0000-0000-0000591F0000}"/>
    <cellStyle name="Heading 2 9" xfId="5193" xr:uid="{00000000-0005-0000-0000-00005A1F0000}"/>
    <cellStyle name="Heading 2 9 2" xfId="5194" xr:uid="{00000000-0005-0000-0000-00005B1F0000}"/>
    <cellStyle name="Heading 3 10" xfId="5195" xr:uid="{00000000-0005-0000-0000-00005C1F0000}"/>
    <cellStyle name="Heading 3 10 2" xfId="5196" xr:uid="{00000000-0005-0000-0000-00005D1F0000}"/>
    <cellStyle name="Heading 3 10 2 2" xfId="7605" xr:uid="{00000000-0005-0000-0000-00005E1F0000}"/>
    <cellStyle name="Heading 3 10 3" xfId="7604" xr:uid="{00000000-0005-0000-0000-00005F1F0000}"/>
    <cellStyle name="Heading 3 11" xfId="5197" xr:uid="{00000000-0005-0000-0000-0000601F0000}"/>
    <cellStyle name="Heading 3 11 2" xfId="7606" xr:uid="{00000000-0005-0000-0000-0000611F0000}"/>
    <cellStyle name="Heading 3 2" xfId="622" xr:uid="{00000000-0005-0000-0000-0000621F0000}"/>
    <cellStyle name="Heading 3 2 2" xfId="5198" xr:uid="{00000000-0005-0000-0000-0000631F0000}"/>
    <cellStyle name="Heading 3 2 2 2" xfId="7607" xr:uid="{00000000-0005-0000-0000-0000641F0000}"/>
    <cellStyle name="Heading 3 2 3" xfId="6536" xr:uid="{00000000-0005-0000-0000-0000651F0000}"/>
    <cellStyle name="Heading 3 3" xfId="5199" xr:uid="{00000000-0005-0000-0000-0000661F0000}"/>
    <cellStyle name="Heading 3 3 2" xfId="5200" xr:uid="{00000000-0005-0000-0000-0000671F0000}"/>
    <cellStyle name="Heading 3 3 2 2" xfId="7609" xr:uid="{00000000-0005-0000-0000-0000681F0000}"/>
    <cellStyle name="Heading 3 3 3" xfId="7608" xr:uid="{00000000-0005-0000-0000-0000691F0000}"/>
    <cellStyle name="Heading 3 4" xfId="5201" xr:uid="{00000000-0005-0000-0000-00006A1F0000}"/>
    <cellStyle name="Heading 3 4 2" xfId="5202" xr:uid="{00000000-0005-0000-0000-00006B1F0000}"/>
    <cellStyle name="Heading 3 4 2 2" xfId="7611" xr:uid="{00000000-0005-0000-0000-00006C1F0000}"/>
    <cellStyle name="Heading 3 4 3" xfId="7610" xr:uid="{00000000-0005-0000-0000-00006D1F0000}"/>
    <cellStyle name="Heading 3 5" xfId="5203" xr:uid="{00000000-0005-0000-0000-00006E1F0000}"/>
    <cellStyle name="Heading 3 5 2" xfId="5204" xr:uid="{00000000-0005-0000-0000-00006F1F0000}"/>
    <cellStyle name="Heading 3 5 2 2" xfId="7613" xr:uid="{00000000-0005-0000-0000-0000701F0000}"/>
    <cellStyle name="Heading 3 5 3" xfId="7612" xr:uid="{00000000-0005-0000-0000-0000711F0000}"/>
    <cellStyle name="Heading 3 6" xfId="5205" xr:uid="{00000000-0005-0000-0000-0000721F0000}"/>
    <cellStyle name="Heading 3 6 2" xfId="5206" xr:uid="{00000000-0005-0000-0000-0000731F0000}"/>
    <cellStyle name="Heading 3 6 2 2" xfId="7615" xr:uid="{00000000-0005-0000-0000-0000741F0000}"/>
    <cellStyle name="Heading 3 6 3" xfId="7614" xr:uid="{00000000-0005-0000-0000-0000751F0000}"/>
    <cellStyle name="Heading 3 7" xfId="5207" xr:uid="{00000000-0005-0000-0000-0000761F0000}"/>
    <cellStyle name="Heading 3 7 2" xfId="5208" xr:uid="{00000000-0005-0000-0000-0000771F0000}"/>
    <cellStyle name="Heading 3 7 2 2" xfId="7617" xr:uid="{00000000-0005-0000-0000-0000781F0000}"/>
    <cellStyle name="Heading 3 7 3" xfId="7616" xr:uid="{00000000-0005-0000-0000-0000791F0000}"/>
    <cellStyle name="Heading 3 8" xfId="5209" xr:uid="{00000000-0005-0000-0000-00007A1F0000}"/>
    <cellStyle name="Heading 3 8 2" xfId="5210" xr:uid="{00000000-0005-0000-0000-00007B1F0000}"/>
    <cellStyle name="Heading 3 8 2 2" xfId="7619" xr:uid="{00000000-0005-0000-0000-00007C1F0000}"/>
    <cellStyle name="Heading 3 8 3" xfId="7618" xr:uid="{00000000-0005-0000-0000-00007D1F0000}"/>
    <cellStyle name="Heading 3 9" xfId="5211" xr:uid="{00000000-0005-0000-0000-00007E1F0000}"/>
    <cellStyle name="Heading 3 9 2" xfId="5212" xr:uid="{00000000-0005-0000-0000-00007F1F0000}"/>
    <cellStyle name="Heading 3 9 2 2" xfId="7621" xr:uid="{00000000-0005-0000-0000-0000801F0000}"/>
    <cellStyle name="Heading 3 9 3" xfId="7620" xr:uid="{00000000-0005-0000-0000-0000811F0000}"/>
    <cellStyle name="Heading 4 10" xfId="5213" xr:uid="{00000000-0005-0000-0000-0000821F0000}"/>
    <cellStyle name="Heading 4 10 2" xfId="5214" xr:uid="{00000000-0005-0000-0000-0000831F0000}"/>
    <cellStyle name="Heading 4 11" xfId="5215" xr:uid="{00000000-0005-0000-0000-0000841F0000}"/>
    <cellStyle name="Heading 4 2" xfId="623" xr:uid="{00000000-0005-0000-0000-0000851F0000}"/>
    <cellStyle name="Heading 4 2 2" xfId="5216" xr:uid="{00000000-0005-0000-0000-0000861F0000}"/>
    <cellStyle name="Heading 4 3" xfId="624" xr:uid="{00000000-0005-0000-0000-0000871F0000}"/>
    <cellStyle name="Heading 4 3 2" xfId="5217" xr:uid="{00000000-0005-0000-0000-0000881F0000}"/>
    <cellStyle name="Heading 4 4" xfId="5218" xr:uid="{00000000-0005-0000-0000-0000891F0000}"/>
    <cellStyle name="Heading 4 4 2" xfId="5219" xr:uid="{00000000-0005-0000-0000-00008A1F0000}"/>
    <cellStyle name="Heading 4 5" xfId="5220" xr:uid="{00000000-0005-0000-0000-00008B1F0000}"/>
    <cellStyle name="Heading 4 5 2" xfId="5221" xr:uid="{00000000-0005-0000-0000-00008C1F0000}"/>
    <cellStyle name="Heading 4 6" xfId="5222" xr:uid="{00000000-0005-0000-0000-00008D1F0000}"/>
    <cellStyle name="Heading 4 6 2" xfId="5223" xr:uid="{00000000-0005-0000-0000-00008E1F0000}"/>
    <cellStyle name="Heading 4 7" xfId="5224" xr:uid="{00000000-0005-0000-0000-00008F1F0000}"/>
    <cellStyle name="Heading 4 7 2" xfId="5225" xr:uid="{00000000-0005-0000-0000-0000901F0000}"/>
    <cellStyle name="Heading 4 8" xfId="5226" xr:uid="{00000000-0005-0000-0000-0000911F0000}"/>
    <cellStyle name="Heading 4 8 2" xfId="5227" xr:uid="{00000000-0005-0000-0000-0000921F0000}"/>
    <cellStyle name="Heading 4 9" xfId="5228" xr:uid="{00000000-0005-0000-0000-0000931F0000}"/>
    <cellStyle name="Heading 4 9 2" xfId="5229" xr:uid="{00000000-0005-0000-0000-0000941F0000}"/>
    <cellStyle name="HEADING1" xfId="625" xr:uid="{00000000-0005-0000-0000-0000951F0000}"/>
    <cellStyle name="Heading1 2" xfId="5230" xr:uid="{00000000-0005-0000-0000-0000961F0000}"/>
    <cellStyle name="HEADING2" xfId="626" xr:uid="{00000000-0005-0000-0000-0000971F0000}"/>
    <cellStyle name="Heading2 2" xfId="5231" xr:uid="{00000000-0005-0000-0000-0000981F0000}"/>
    <cellStyle name="Hyperlink 2" xfId="627" xr:uid="{00000000-0005-0000-0000-0000991F0000}"/>
    <cellStyle name="Hyperlink 2 2" xfId="628" xr:uid="{00000000-0005-0000-0000-00009A1F0000}"/>
    <cellStyle name="Hyperlink 2 2 2" xfId="5232" xr:uid="{00000000-0005-0000-0000-00009B1F0000}"/>
    <cellStyle name="Hyperlink 2 3" xfId="5233" xr:uid="{00000000-0005-0000-0000-00009C1F0000}"/>
    <cellStyle name="Hyperlink 3" xfId="91" xr:uid="{00000000-0005-0000-0000-00009D1F0000}"/>
    <cellStyle name="Hyperlink 3 2" xfId="629" xr:uid="{00000000-0005-0000-0000-00009E1F0000}"/>
    <cellStyle name="Hyperlink 875" xfId="10450" xr:uid="{00000000-0005-0000-0000-00009F1F0000}"/>
    <cellStyle name="Hypertextový odkaz" xfId="630" xr:uid="{00000000-0005-0000-0000-0000A01F0000}"/>
    <cellStyle name="INCHES" xfId="631" xr:uid="{00000000-0005-0000-0000-0000A11F0000}"/>
    <cellStyle name="Input [yellow]" xfId="632" xr:uid="{00000000-0005-0000-0000-0000A21F0000}"/>
    <cellStyle name="Input [yellow] 2" xfId="5234" xr:uid="{00000000-0005-0000-0000-0000A31F0000}"/>
    <cellStyle name="Input [yellow] 2 2" xfId="6325" xr:uid="{00000000-0005-0000-0000-0000A41F0000}"/>
    <cellStyle name="Input [yellow] 3" xfId="1498" xr:uid="{00000000-0005-0000-0000-0000A51F0000}"/>
    <cellStyle name="Input [yellow] 3 2" xfId="10436" xr:uid="{00000000-0005-0000-0000-0000A61F0000}"/>
    <cellStyle name="Input [yellow] 4" xfId="1445" xr:uid="{00000000-0005-0000-0000-0000A71F0000}"/>
    <cellStyle name="Input 10" xfId="5235" xr:uid="{00000000-0005-0000-0000-0000A81F0000}"/>
    <cellStyle name="Input 10 2" xfId="5236" xr:uid="{00000000-0005-0000-0000-0000A91F0000}"/>
    <cellStyle name="Input 10 2 2" xfId="5237" xr:uid="{00000000-0005-0000-0000-0000AA1F0000}"/>
    <cellStyle name="Input 10 3" xfId="5238" xr:uid="{00000000-0005-0000-0000-0000AB1F0000}"/>
    <cellStyle name="Input 11" xfId="5239" xr:uid="{00000000-0005-0000-0000-0000AC1F0000}"/>
    <cellStyle name="Input 11 2" xfId="5240" xr:uid="{00000000-0005-0000-0000-0000AD1F0000}"/>
    <cellStyle name="Input 12" xfId="5241" xr:uid="{00000000-0005-0000-0000-0000AE1F0000}"/>
    <cellStyle name="Input 12 2" xfId="5242" xr:uid="{00000000-0005-0000-0000-0000AF1F0000}"/>
    <cellStyle name="Input 13" xfId="5243" xr:uid="{00000000-0005-0000-0000-0000B01F0000}"/>
    <cellStyle name="Input 13 2" xfId="5244" xr:uid="{00000000-0005-0000-0000-0000B11F0000}"/>
    <cellStyle name="Input 14" xfId="5245" xr:uid="{00000000-0005-0000-0000-0000B21F0000}"/>
    <cellStyle name="Input 14 2" xfId="5246" xr:uid="{00000000-0005-0000-0000-0000B31F0000}"/>
    <cellStyle name="Input 15" xfId="5247" xr:uid="{00000000-0005-0000-0000-0000B41F0000}"/>
    <cellStyle name="Input 15 2" xfId="5248" xr:uid="{00000000-0005-0000-0000-0000B51F0000}"/>
    <cellStyle name="Input 16" xfId="5249" xr:uid="{00000000-0005-0000-0000-0000B61F0000}"/>
    <cellStyle name="Input 16 2" xfId="5250" xr:uid="{00000000-0005-0000-0000-0000B71F0000}"/>
    <cellStyle name="Input 17" xfId="5251" xr:uid="{00000000-0005-0000-0000-0000B81F0000}"/>
    <cellStyle name="Input 17 2" xfId="5252" xr:uid="{00000000-0005-0000-0000-0000B91F0000}"/>
    <cellStyle name="Input 18" xfId="5253" xr:uid="{00000000-0005-0000-0000-0000BA1F0000}"/>
    <cellStyle name="Input 18 2" xfId="5254" xr:uid="{00000000-0005-0000-0000-0000BB1F0000}"/>
    <cellStyle name="Input 19" xfId="5255" xr:uid="{00000000-0005-0000-0000-0000BC1F0000}"/>
    <cellStyle name="Input 19 2" xfId="5256" xr:uid="{00000000-0005-0000-0000-0000BD1F0000}"/>
    <cellStyle name="Input 2" xfId="633" xr:uid="{00000000-0005-0000-0000-0000BE1F0000}"/>
    <cellStyle name="Input 2 10" xfId="5257" xr:uid="{00000000-0005-0000-0000-0000BF1F0000}"/>
    <cellStyle name="Input 2 11" xfId="5258" xr:uid="{00000000-0005-0000-0000-0000C01F0000}"/>
    <cellStyle name="Input 2 12" xfId="5259" xr:uid="{00000000-0005-0000-0000-0000C11F0000}"/>
    <cellStyle name="Input 2 13" xfId="5260" xr:uid="{00000000-0005-0000-0000-0000C21F0000}"/>
    <cellStyle name="Input 2 14" xfId="5261" xr:uid="{00000000-0005-0000-0000-0000C31F0000}"/>
    <cellStyle name="Input 2 15" xfId="5262" xr:uid="{00000000-0005-0000-0000-0000C41F0000}"/>
    <cellStyle name="Input 2 16" xfId="5263" xr:uid="{00000000-0005-0000-0000-0000C51F0000}"/>
    <cellStyle name="Input 2 17" xfId="5264" xr:uid="{00000000-0005-0000-0000-0000C61F0000}"/>
    <cellStyle name="Input 2 18" xfId="5265" xr:uid="{00000000-0005-0000-0000-0000C71F0000}"/>
    <cellStyle name="Input 2 19" xfId="5266" xr:uid="{00000000-0005-0000-0000-0000C81F0000}"/>
    <cellStyle name="Input 2 2" xfId="634" xr:uid="{00000000-0005-0000-0000-0000C91F0000}"/>
    <cellStyle name="Input 2 2 2" xfId="635" xr:uid="{00000000-0005-0000-0000-0000CA1F0000}"/>
    <cellStyle name="Input 2 2 2 2" xfId="5268" xr:uid="{00000000-0005-0000-0000-0000CB1F0000}"/>
    <cellStyle name="Input 2 2 2 3" xfId="6537" xr:uid="{00000000-0005-0000-0000-0000CC1F0000}"/>
    <cellStyle name="Input 2 2 3" xfId="5269" xr:uid="{00000000-0005-0000-0000-0000CD1F0000}"/>
    <cellStyle name="Input 2 2 4" xfId="5267" xr:uid="{00000000-0005-0000-0000-0000CE1F0000}"/>
    <cellStyle name="Input 2 20" xfId="5270" xr:uid="{00000000-0005-0000-0000-0000CF1F0000}"/>
    <cellStyle name="Input 2 21" xfId="5271" xr:uid="{00000000-0005-0000-0000-0000D01F0000}"/>
    <cellStyle name="Input 2 22" xfId="5272" xr:uid="{00000000-0005-0000-0000-0000D11F0000}"/>
    <cellStyle name="Input 2 23" xfId="5273" xr:uid="{00000000-0005-0000-0000-0000D21F0000}"/>
    <cellStyle name="Input 2 24" xfId="5274" xr:uid="{00000000-0005-0000-0000-0000D31F0000}"/>
    <cellStyle name="Input 2 25" xfId="5275" xr:uid="{00000000-0005-0000-0000-0000D41F0000}"/>
    <cellStyle name="Input 2 26" xfId="5276" xr:uid="{00000000-0005-0000-0000-0000D51F0000}"/>
    <cellStyle name="Input 2 27" xfId="5277" xr:uid="{00000000-0005-0000-0000-0000D61F0000}"/>
    <cellStyle name="Input 2 28" xfId="5278" xr:uid="{00000000-0005-0000-0000-0000D71F0000}"/>
    <cellStyle name="Input 2 29" xfId="5279" xr:uid="{00000000-0005-0000-0000-0000D81F0000}"/>
    <cellStyle name="Input 2 3" xfId="636" xr:uid="{00000000-0005-0000-0000-0000D91F0000}"/>
    <cellStyle name="Input 2 3 2" xfId="5281" xr:uid="{00000000-0005-0000-0000-0000DA1F0000}"/>
    <cellStyle name="Input 2 3 3" xfId="5280" xr:uid="{00000000-0005-0000-0000-0000DB1F0000}"/>
    <cellStyle name="Input 2 30" xfId="5282" xr:uid="{00000000-0005-0000-0000-0000DC1F0000}"/>
    <cellStyle name="Input 2 31" xfId="5283" xr:uid="{00000000-0005-0000-0000-0000DD1F0000}"/>
    <cellStyle name="Input 2 32" xfId="5284" xr:uid="{00000000-0005-0000-0000-0000DE1F0000}"/>
    <cellStyle name="Input 2 33" xfId="5285" xr:uid="{00000000-0005-0000-0000-0000DF1F0000}"/>
    <cellStyle name="Input 2 34" xfId="5286" xr:uid="{00000000-0005-0000-0000-0000E01F0000}"/>
    <cellStyle name="Input 2 35" xfId="5287" xr:uid="{00000000-0005-0000-0000-0000E11F0000}"/>
    <cellStyle name="Input 2 36" xfId="5288" xr:uid="{00000000-0005-0000-0000-0000E21F0000}"/>
    <cellStyle name="Input 2 37" xfId="5289" xr:uid="{00000000-0005-0000-0000-0000E31F0000}"/>
    <cellStyle name="Input 2 38" xfId="5290" xr:uid="{00000000-0005-0000-0000-0000E41F0000}"/>
    <cellStyle name="Input 2 39" xfId="5291" xr:uid="{00000000-0005-0000-0000-0000E51F0000}"/>
    <cellStyle name="Input 2 4" xfId="637" xr:uid="{00000000-0005-0000-0000-0000E61F0000}"/>
    <cellStyle name="Input 2 4 2" xfId="5292" xr:uid="{00000000-0005-0000-0000-0000E71F0000}"/>
    <cellStyle name="Input 2 4 3" xfId="6538" xr:uid="{00000000-0005-0000-0000-0000E81F0000}"/>
    <cellStyle name="Input 2 40" xfId="5293" xr:uid="{00000000-0005-0000-0000-0000E91F0000}"/>
    <cellStyle name="Input 2 41" xfId="5294" xr:uid="{00000000-0005-0000-0000-0000EA1F0000}"/>
    <cellStyle name="Input 2 42" xfId="5295" xr:uid="{00000000-0005-0000-0000-0000EB1F0000}"/>
    <cellStyle name="Input 2 43" xfId="5296" xr:uid="{00000000-0005-0000-0000-0000EC1F0000}"/>
    <cellStyle name="Input 2 44" xfId="5297" xr:uid="{00000000-0005-0000-0000-0000ED1F0000}"/>
    <cellStyle name="Input 2 45" xfId="5298" xr:uid="{00000000-0005-0000-0000-0000EE1F0000}"/>
    <cellStyle name="Input 2 46" xfId="5299" xr:uid="{00000000-0005-0000-0000-0000EF1F0000}"/>
    <cellStyle name="Input 2 47" xfId="5300" xr:uid="{00000000-0005-0000-0000-0000F01F0000}"/>
    <cellStyle name="Input 2 48" xfId="5301" xr:uid="{00000000-0005-0000-0000-0000F11F0000}"/>
    <cellStyle name="Input 2 49" xfId="5302" xr:uid="{00000000-0005-0000-0000-0000F21F0000}"/>
    <cellStyle name="Input 2 5" xfId="5303" xr:uid="{00000000-0005-0000-0000-0000F31F0000}"/>
    <cellStyle name="Input 2 50" xfId="1435" xr:uid="{00000000-0005-0000-0000-0000F41F0000}"/>
    <cellStyle name="Input 2 6" xfId="5304" xr:uid="{00000000-0005-0000-0000-0000F51F0000}"/>
    <cellStyle name="Input 2 7" xfId="5305" xr:uid="{00000000-0005-0000-0000-0000F61F0000}"/>
    <cellStyle name="Input 2 8" xfId="5306" xr:uid="{00000000-0005-0000-0000-0000F71F0000}"/>
    <cellStyle name="Input 2 9" xfId="5307" xr:uid="{00000000-0005-0000-0000-0000F81F0000}"/>
    <cellStyle name="Input 20" xfId="5308" xr:uid="{00000000-0005-0000-0000-0000F91F0000}"/>
    <cellStyle name="Input 20 2" xfId="5309" xr:uid="{00000000-0005-0000-0000-0000FA1F0000}"/>
    <cellStyle name="Input 21" xfId="5310" xr:uid="{00000000-0005-0000-0000-0000FB1F0000}"/>
    <cellStyle name="Input 21 2" xfId="5311" xr:uid="{00000000-0005-0000-0000-0000FC1F0000}"/>
    <cellStyle name="Input 22" xfId="5312" xr:uid="{00000000-0005-0000-0000-0000FD1F0000}"/>
    <cellStyle name="Input 22 2" xfId="5313" xr:uid="{00000000-0005-0000-0000-0000FE1F0000}"/>
    <cellStyle name="Input 23" xfId="5314" xr:uid="{00000000-0005-0000-0000-0000FF1F0000}"/>
    <cellStyle name="Input 23 2" xfId="5315" xr:uid="{00000000-0005-0000-0000-000000200000}"/>
    <cellStyle name="Input 24" xfId="5316" xr:uid="{00000000-0005-0000-0000-000001200000}"/>
    <cellStyle name="Input 25" xfId="5317" xr:uid="{00000000-0005-0000-0000-000002200000}"/>
    <cellStyle name="Input 26" xfId="5318" xr:uid="{00000000-0005-0000-0000-000003200000}"/>
    <cellStyle name="Input 27" xfId="5319" xr:uid="{00000000-0005-0000-0000-000004200000}"/>
    <cellStyle name="Input 28" xfId="5320" xr:uid="{00000000-0005-0000-0000-000005200000}"/>
    <cellStyle name="Input 29" xfId="5321" xr:uid="{00000000-0005-0000-0000-000006200000}"/>
    <cellStyle name="Input 3" xfId="5322" xr:uid="{00000000-0005-0000-0000-000007200000}"/>
    <cellStyle name="Input 3 2" xfId="5323" xr:uid="{00000000-0005-0000-0000-000008200000}"/>
    <cellStyle name="Input 3 2 2" xfId="5324" xr:uid="{00000000-0005-0000-0000-000009200000}"/>
    <cellStyle name="Input 3 3" xfId="5325" xr:uid="{00000000-0005-0000-0000-00000A200000}"/>
    <cellStyle name="Input 30" xfId="5326" xr:uid="{00000000-0005-0000-0000-00000B200000}"/>
    <cellStyle name="Input 31" xfId="5327" xr:uid="{00000000-0005-0000-0000-00000C200000}"/>
    <cellStyle name="Input 32" xfId="5328" xr:uid="{00000000-0005-0000-0000-00000D200000}"/>
    <cellStyle name="Input 33" xfId="5329" xr:uid="{00000000-0005-0000-0000-00000E200000}"/>
    <cellStyle name="Input 34" xfId="5330" xr:uid="{00000000-0005-0000-0000-00000F200000}"/>
    <cellStyle name="Input 35" xfId="5331" xr:uid="{00000000-0005-0000-0000-000010200000}"/>
    <cellStyle name="Input 4" xfId="5332" xr:uid="{00000000-0005-0000-0000-000011200000}"/>
    <cellStyle name="Input 4 2" xfId="5333" xr:uid="{00000000-0005-0000-0000-000012200000}"/>
    <cellStyle name="Input 4 2 2" xfId="5334" xr:uid="{00000000-0005-0000-0000-000013200000}"/>
    <cellStyle name="Input 4 3" xfId="5335" xr:uid="{00000000-0005-0000-0000-000014200000}"/>
    <cellStyle name="Input 5" xfId="5336" xr:uid="{00000000-0005-0000-0000-000015200000}"/>
    <cellStyle name="Input 5 2" xfId="5337" xr:uid="{00000000-0005-0000-0000-000016200000}"/>
    <cellStyle name="Input 5 2 2" xfId="5338" xr:uid="{00000000-0005-0000-0000-000017200000}"/>
    <cellStyle name="Input 5 3" xfId="5339" xr:uid="{00000000-0005-0000-0000-000018200000}"/>
    <cellStyle name="Input 6" xfId="5340" xr:uid="{00000000-0005-0000-0000-000019200000}"/>
    <cellStyle name="Input 6 2" xfId="5341" xr:uid="{00000000-0005-0000-0000-00001A200000}"/>
    <cellStyle name="Input 6 2 2" xfId="5342" xr:uid="{00000000-0005-0000-0000-00001B200000}"/>
    <cellStyle name="Input 6 3" xfId="5343" xr:uid="{00000000-0005-0000-0000-00001C200000}"/>
    <cellStyle name="Input 7" xfId="5344" xr:uid="{00000000-0005-0000-0000-00001D200000}"/>
    <cellStyle name="Input 7 2" xfId="5345" xr:uid="{00000000-0005-0000-0000-00001E200000}"/>
    <cellStyle name="Input 7 2 2" xfId="5346" xr:uid="{00000000-0005-0000-0000-00001F200000}"/>
    <cellStyle name="Input 7 3" xfId="5347" xr:uid="{00000000-0005-0000-0000-000020200000}"/>
    <cellStyle name="Input 8" xfId="5348" xr:uid="{00000000-0005-0000-0000-000021200000}"/>
    <cellStyle name="Input 8 2" xfId="5349" xr:uid="{00000000-0005-0000-0000-000022200000}"/>
    <cellStyle name="Input 8 2 2" xfId="5350" xr:uid="{00000000-0005-0000-0000-000023200000}"/>
    <cellStyle name="Input 8 3" xfId="5351" xr:uid="{00000000-0005-0000-0000-000024200000}"/>
    <cellStyle name="Input 9" xfId="5352" xr:uid="{00000000-0005-0000-0000-000025200000}"/>
    <cellStyle name="Input 9 2" xfId="5353" xr:uid="{00000000-0005-0000-0000-000026200000}"/>
    <cellStyle name="Input 9 2 2" xfId="5354" xr:uid="{00000000-0005-0000-0000-000027200000}"/>
    <cellStyle name="Input 9 3" xfId="5355" xr:uid="{00000000-0005-0000-0000-000028200000}"/>
    <cellStyle name="Jun" xfId="5356" xr:uid="{00000000-0005-0000-0000-000029200000}"/>
    <cellStyle name="k" xfId="5357" xr:uid="{00000000-0005-0000-0000-00002A200000}"/>
    <cellStyle name="k 2" xfId="5358" xr:uid="{00000000-0005-0000-0000-00002B200000}"/>
    <cellStyle name="L" xfId="5359" xr:uid="{00000000-0005-0000-0000-00002C200000}"/>
    <cellStyle name="L 2" xfId="5360" xr:uid="{00000000-0005-0000-0000-00002D200000}"/>
    <cellStyle name="Length" xfId="5361" xr:uid="{00000000-0005-0000-0000-00002E200000}"/>
    <cellStyle name="Length 2" xfId="5362" xr:uid="{00000000-0005-0000-0000-00002F200000}"/>
    <cellStyle name="Link Currency (0)" xfId="638" xr:uid="{00000000-0005-0000-0000-000030200000}"/>
    <cellStyle name="Link Currency (2)" xfId="639" xr:uid="{00000000-0005-0000-0000-000031200000}"/>
    <cellStyle name="Link Units (0)" xfId="640" xr:uid="{00000000-0005-0000-0000-000032200000}"/>
    <cellStyle name="Link Units (1)" xfId="641" xr:uid="{00000000-0005-0000-0000-000033200000}"/>
    <cellStyle name="Link Units (2)" xfId="642" xr:uid="{00000000-0005-0000-0000-000034200000}"/>
    <cellStyle name="Linked Cell 10" xfId="5363" xr:uid="{00000000-0005-0000-0000-000035200000}"/>
    <cellStyle name="Linked Cell 10 2" xfId="5364" xr:uid="{00000000-0005-0000-0000-000036200000}"/>
    <cellStyle name="Linked Cell 11" xfId="5365" xr:uid="{00000000-0005-0000-0000-000037200000}"/>
    <cellStyle name="Linked Cell 2" xfId="643" xr:uid="{00000000-0005-0000-0000-000038200000}"/>
    <cellStyle name="Linked Cell 2 2" xfId="5366" xr:uid="{00000000-0005-0000-0000-000039200000}"/>
    <cellStyle name="Linked Cell 3" xfId="5367" xr:uid="{00000000-0005-0000-0000-00003A200000}"/>
    <cellStyle name="Linked Cell 3 2" xfId="5368" xr:uid="{00000000-0005-0000-0000-00003B200000}"/>
    <cellStyle name="Linked Cell 4" xfId="5369" xr:uid="{00000000-0005-0000-0000-00003C200000}"/>
    <cellStyle name="Linked Cell 4 2" xfId="5370" xr:uid="{00000000-0005-0000-0000-00003D200000}"/>
    <cellStyle name="Linked Cell 5" xfId="5371" xr:uid="{00000000-0005-0000-0000-00003E200000}"/>
    <cellStyle name="Linked Cell 5 2" xfId="5372" xr:uid="{00000000-0005-0000-0000-00003F200000}"/>
    <cellStyle name="Linked Cell 6" xfId="5373" xr:uid="{00000000-0005-0000-0000-000040200000}"/>
    <cellStyle name="Linked Cell 6 2" xfId="5374" xr:uid="{00000000-0005-0000-0000-000041200000}"/>
    <cellStyle name="Linked Cell 7" xfId="5375" xr:uid="{00000000-0005-0000-0000-000042200000}"/>
    <cellStyle name="Linked Cell 7 2" xfId="5376" xr:uid="{00000000-0005-0000-0000-000043200000}"/>
    <cellStyle name="Linked Cell 8" xfId="5377" xr:uid="{00000000-0005-0000-0000-000044200000}"/>
    <cellStyle name="Linked Cell 8 2" xfId="5378" xr:uid="{00000000-0005-0000-0000-000045200000}"/>
    <cellStyle name="Linked Cell 9" xfId="5379" xr:uid="{00000000-0005-0000-0000-000046200000}"/>
    <cellStyle name="Linked Cell 9 2" xfId="5380" xr:uid="{00000000-0005-0000-0000-000047200000}"/>
    <cellStyle name="Locked" xfId="644" xr:uid="{00000000-0005-0000-0000-000048200000}"/>
    <cellStyle name="M" xfId="5381" xr:uid="{00000000-0005-0000-0000-000049200000}"/>
    <cellStyle name="M 2" xfId="5382" xr:uid="{00000000-0005-0000-0000-00004A200000}"/>
    <cellStyle name="M-0" xfId="5383" xr:uid="{00000000-0005-0000-0000-00004B200000}"/>
    <cellStyle name="M-0 2" xfId="5384" xr:uid="{00000000-0005-0000-0000-00004C200000}"/>
    <cellStyle name="MainDescription" xfId="5385" xr:uid="{00000000-0005-0000-0000-00004D200000}"/>
    <cellStyle name="Measure" xfId="5386" xr:uid="{00000000-0005-0000-0000-00004E200000}"/>
    <cellStyle name="Measure 2" xfId="5387" xr:uid="{00000000-0005-0000-0000-00004F200000}"/>
    <cellStyle name="Milliers [0]_laroux" xfId="645" xr:uid="{00000000-0005-0000-0000-000050200000}"/>
    <cellStyle name="Milliers_laroux" xfId="646" xr:uid="{00000000-0005-0000-0000-000051200000}"/>
    <cellStyle name="m-o" xfId="5388" xr:uid="{00000000-0005-0000-0000-000052200000}"/>
    <cellStyle name="m-o 2" xfId="5389" xr:uid="{00000000-0005-0000-0000-000053200000}"/>
    <cellStyle name="Monétaire [0]_laroux" xfId="647" xr:uid="{00000000-0005-0000-0000-000054200000}"/>
    <cellStyle name="Monétaire_laroux" xfId="648" xr:uid="{00000000-0005-0000-0000-000055200000}"/>
    <cellStyle name="n" xfId="5390" xr:uid="{00000000-0005-0000-0000-000056200000}"/>
    <cellStyle name="n 2" xfId="5391" xr:uid="{00000000-0005-0000-0000-000057200000}"/>
    <cellStyle name="Neutral 10" xfId="5392" xr:uid="{00000000-0005-0000-0000-000058200000}"/>
    <cellStyle name="Neutral 10 2" xfId="5393" xr:uid="{00000000-0005-0000-0000-000059200000}"/>
    <cellStyle name="Neutral 10 2 2" xfId="5394" xr:uid="{00000000-0005-0000-0000-00005A200000}"/>
    <cellStyle name="Neutral 10 3" xfId="5395" xr:uid="{00000000-0005-0000-0000-00005B200000}"/>
    <cellStyle name="Neutral 11" xfId="5396" xr:uid="{00000000-0005-0000-0000-00005C200000}"/>
    <cellStyle name="Neutral 11 2" xfId="5397" xr:uid="{00000000-0005-0000-0000-00005D200000}"/>
    <cellStyle name="Neutral 12" xfId="5398" xr:uid="{00000000-0005-0000-0000-00005E200000}"/>
    <cellStyle name="Neutral 2" xfId="649" xr:uid="{00000000-0005-0000-0000-00005F200000}"/>
    <cellStyle name="Neutral 2 10" xfId="5399" xr:uid="{00000000-0005-0000-0000-000060200000}"/>
    <cellStyle name="Neutral 2 11" xfId="5400" xr:uid="{00000000-0005-0000-0000-000061200000}"/>
    <cellStyle name="Neutral 2 12" xfId="5401" xr:uid="{00000000-0005-0000-0000-000062200000}"/>
    <cellStyle name="Neutral 2 13" xfId="5402" xr:uid="{00000000-0005-0000-0000-000063200000}"/>
    <cellStyle name="Neutral 2 14" xfId="5403" xr:uid="{00000000-0005-0000-0000-000064200000}"/>
    <cellStyle name="Neutral 2 15" xfId="5404" xr:uid="{00000000-0005-0000-0000-000065200000}"/>
    <cellStyle name="Neutral 2 16" xfId="5405" xr:uid="{00000000-0005-0000-0000-000066200000}"/>
    <cellStyle name="Neutral 2 17" xfId="5406" xr:uid="{00000000-0005-0000-0000-000067200000}"/>
    <cellStyle name="Neutral 2 18" xfId="5407" xr:uid="{00000000-0005-0000-0000-000068200000}"/>
    <cellStyle name="Neutral 2 19" xfId="5408" xr:uid="{00000000-0005-0000-0000-000069200000}"/>
    <cellStyle name="Neutral 2 2" xfId="248" xr:uid="{00000000-0005-0000-0000-00006A200000}"/>
    <cellStyle name="Neutral 2 2 2" xfId="5410" xr:uid="{00000000-0005-0000-0000-00006B200000}"/>
    <cellStyle name="Neutral 2 2 3" xfId="5411" xr:uid="{00000000-0005-0000-0000-00006C200000}"/>
    <cellStyle name="Neutral 2 2 4" xfId="5409" xr:uid="{00000000-0005-0000-0000-00006D200000}"/>
    <cellStyle name="Neutral 2 20" xfId="5412" xr:uid="{00000000-0005-0000-0000-00006E200000}"/>
    <cellStyle name="Neutral 2 21" xfId="5413" xr:uid="{00000000-0005-0000-0000-00006F200000}"/>
    <cellStyle name="Neutral 2 22" xfId="5414" xr:uid="{00000000-0005-0000-0000-000070200000}"/>
    <cellStyle name="Neutral 2 23" xfId="5415" xr:uid="{00000000-0005-0000-0000-000071200000}"/>
    <cellStyle name="Neutral 2 24" xfId="5416" xr:uid="{00000000-0005-0000-0000-000072200000}"/>
    <cellStyle name="Neutral 2 25" xfId="5417" xr:uid="{00000000-0005-0000-0000-000073200000}"/>
    <cellStyle name="Neutral 2 26" xfId="5418" xr:uid="{00000000-0005-0000-0000-000074200000}"/>
    <cellStyle name="Neutral 2 27" xfId="5419" xr:uid="{00000000-0005-0000-0000-000075200000}"/>
    <cellStyle name="Neutral 2 28" xfId="5420" xr:uid="{00000000-0005-0000-0000-000076200000}"/>
    <cellStyle name="Neutral 2 29" xfId="5421" xr:uid="{00000000-0005-0000-0000-000077200000}"/>
    <cellStyle name="Neutral 2 3" xfId="5422" xr:uid="{00000000-0005-0000-0000-000078200000}"/>
    <cellStyle name="Neutral 2 3 2" xfId="5423" xr:uid="{00000000-0005-0000-0000-000079200000}"/>
    <cellStyle name="Neutral 2 30" xfId="5424" xr:uid="{00000000-0005-0000-0000-00007A200000}"/>
    <cellStyle name="Neutral 2 31" xfId="5425" xr:uid="{00000000-0005-0000-0000-00007B200000}"/>
    <cellStyle name="Neutral 2 32" xfId="5426" xr:uid="{00000000-0005-0000-0000-00007C200000}"/>
    <cellStyle name="Neutral 2 33" xfId="5427" xr:uid="{00000000-0005-0000-0000-00007D200000}"/>
    <cellStyle name="Neutral 2 34" xfId="5428" xr:uid="{00000000-0005-0000-0000-00007E200000}"/>
    <cellStyle name="Neutral 2 35" xfId="5429" xr:uid="{00000000-0005-0000-0000-00007F200000}"/>
    <cellStyle name="Neutral 2 36" xfId="5430" xr:uid="{00000000-0005-0000-0000-000080200000}"/>
    <cellStyle name="Neutral 2 37" xfId="5431" xr:uid="{00000000-0005-0000-0000-000081200000}"/>
    <cellStyle name="Neutral 2 38" xfId="5432" xr:uid="{00000000-0005-0000-0000-000082200000}"/>
    <cellStyle name="Neutral 2 39" xfId="5433" xr:uid="{00000000-0005-0000-0000-000083200000}"/>
    <cellStyle name="Neutral 2 4" xfId="5434" xr:uid="{00000000-0005-0000-0000-000084200000}"/>
    <cellStyle name="Neutral 2 40" xfId="5435" xr:uid="{00000000-0005-0000-0000-000085200000}"/>
    <cellStyle name="Neutral 2 41" xfId="5436" xr:uid="{00000000-0005-0000-0000-000086200000}"/>
    <cellStyle name="Neutral 2 42" xfId="5437" xr:uid="{00000000-0005-0000-0000-000087200000}"/>
    <cellStyle name="Neutral 2 43" xfId="5438" xr:uid="{00000000-0005-0000-0000-000088200000}"/>
    <cellStyle name="Neutral 2 44" xfId="5439" xr:uid="{00000000-0005-0000-0000-000089200000}"/>
    <cellStyle name="Neutral 2 45" xfId="5440" xr:uid="{00000000-0005-0000-0000-00008A200000}"/>
    <cellStyle name="Neutral 2 46" xfId="5441" xr:uid="{00000000-0005-0000-0000-00008B200000}"/>
    <cellStyle name="Neutral 2 47" xfId="5442" xr:uid="{00000000-0005-0000-0000-00008C200000}"/>
    <cellStyle name="Neutral 2 48" xfId="5443" xr:uid="{00000000-0005-0000-0000-00008D200000}"/>
    <cellStyle name="Neutral 2 49" xfId="5444" xr:uid="{00000000-0005-0000-0000-00008E200000}"/>
    <cellStyle name="Neutral 2 5" xfId="5445" xr:uid="{00000000-0005-0000-0000-00008F200000}"/>
    <cellStyle name="Neutral 2 6" xfId="5446" xr:uid="{00000000-0005-0000-0000-000090200000}"/>
    <cellStyle name="Neutral 2 7" xfId="5447" xr:uid="{00000000-0005-0000-0000-000091200000}"/>
    <cellStyle name="Neutral 2 8" xfId="5448" xr:uid="{00000000-0005-0000-0000-000092200000}"/>
    <cellStyle name="Neutral 2 9" xfId="5449" xr:uid="{00000000-0005-0000-0000-000093200000}"/>
    <cellStyle name="Neutral 3" xfId="5450" xr:uid="{00000000-0005-0000-0000-000094200000}"/>
    <cellStyle name="Neutral 3 2" xfId="5451" xr:uid="{00000000-0005-0000-0000-000095200000}"/>
    <cellStyle name="Neutral 3 2 2" xfId="5452" xr:uid="{00000000-0005-0000-0000-000096200000}"/>
    <cellStyle name="Neutral 3 3" xfId="5453" xr:uid="{00000000-0005-0000-0000-000097200000}"/>
    <cellStyle name="Neutral 4" xfId="5454" xr:uid="{00000000-0005-0000-0000-000098200000}"/>
    <cellStyle name="Neutral 4 2" xfId="5455" xr:uid="{00000000-0005-0000-0000-000099200000}"/>
    <cellStyle name="Neutral 4 2 2" xfId="5456" xr:uid="{00000000-0005-0000-0000-00009A200000}"/>
    <cellStyle name="Neutral 4 3" xfId="5457" xr:uid="{00000000-0005-0000-0000-00009B200000}"/>
    <cellStyle name="Neutral 5" xfId="5458" xr:uid="{00000000-0005-0000-0000-00009C200000}"/>
    <cellStyle name="Neutral 5 2" xfId="5459" xr:uid="{00000000-0005-0000-0000-00009D200000}"/>
    <cellStyle name="Neutral 5 2 2" xfId="5460" xr:uid="{00000000-0005-0000-0000-00009E200000}"/>
    <cellStyle name="Neutral 5 3" xfId="5461" xr:uid="{00000000-0005-0000-0000-00009F200000}"/>
    <cellStyle name="Neutral 6" xfId="5462" xr:uid="{00000000-0005-0000-0000-0000A0200000}"/>
    <cellStyle name="Neutral 6 2" xfId="5463" xr:uid="{00000000-0005-0000-0000-0000A1200000}"/>
    <cellStyle name="Neutral 6 2 2" xfId="5464" xr:uid="{00000000-0005-0000-0000-0000A2200000}"/>
    <cellStyle name="Neutral 6 3" xfId="5465" xr:uid="{00000000-0005-0000-0000-0000A3200000}"/>
    <cellStyle name="Neutral 7" xfId="5466" xr:uid="{00000000-0005-0000-0000-0000A4200000}"/>
    <cellStyle name="Neutral 7 2" xfId="5467" xr:uid="{00000000-0005-0000-0000-0000A5200000}"/>
    <cellStyle name="Neutral 7 2 2" xfId="5468" xr:uid="{00000000-0005-0000-0000-0000A6200000}"/>
    <cellStyle name="Neutral 7 3" xfId="5469" xr:uid="{00000000-0005-0000-0000-0000A7200000}"/>
    <cellStyle name="Neutral 8" xfId="5470" xr:uid="{00000000-0005-0000-0000-0000A8200000}"/>
    <cellStyle name="Neutral 8 2" xfId="5471" xr:uid="{00000000-0005-0000-0000-0000A9200000}"/>
    <cellStyle name="Neutral 8 2 2" xfId="5472" xr:uid="{00000000-0005-0000-0000-0000AA200000}"/>
    <cellStyle name="Neutral 8 3" xfId="5473" xr:uid="{00000000-0005-0000-0000-0000AB200000}"/>
    <cellStyle name="Neutral 9" xfId="5474" xr:uid="{00000000-0005-0000-0000-0000AC200000}"/>
    <cellStyle name="Neutral 9 2" xfId="5475" xr:uid="{00000000-0005-0000-0000-0000AD200000}"/>
    <cellStyle name="Neutral 9 2 2" xfId="5476" xr:uid="{00000000-0005-0000-0000-0000AE200000}"/>
    <cellStyle name="Neutral 9 3" xfId="5477" xr:uid="{00000000-0005-0000-0000-0000AF200000}"/>
    <cellStyle name="NEW" xfId="650" xr:uid="{00000000-0005-0000-0000-0000B0200000}"/>
    <cellStyle name="no dec" xfId="651" xr:uid="{00000000-0005-0000-0000-0000B1200000}"/>
    <cellStyle name="no dec 2" xfId="1133" xr:uid="{00000000-0005-0000-0000-0000B2200000}"/>
    <cellStyle name="Normal" xfId="0" builtinId="0"/>
    <cellStyle name="Normal - Style1" xfId="122" xr:uid="{00000000-0005-0000-0000-0000B4200000}"/>
    <cellStyle name="Normal - Style1 2" xfId="49" xr:uid="{00000000-0005-0000-0000-0000B5200000}"/>
    <cellStyle name="Normal - Style1 2 2" xfId="652" xr:uid="{00000000-0005-0000-0000-0000B6200000}"/>
    <cellStyle name="Normal - Style1 2 2 2 2" xfId="5478" xr:uid="{00000000-0005-0000-0000-0000B7200000}"/>
    <cellStyle name="Normal - Style1 2 2 2 3" xfId="10521" xr:uid="{00000000-0005-0000-0000-0000B8200000}"/>
    <cellStyle name="Normal - Style1 3" xfId="5479" xr:uid="{00000000-0005-0000-0000-0000B9200000}"/>
    <cellStyle name="Normal 1" xfId="171" xr:uid="{00000000-0005-0000-0000-0000BA200000}"/>
    <cellStyle name="Normal 1 2" xfId="6217" xr:uid="{00000000-0005-0000-0000-0000BB200000}"/>
    <cellStyle name="Normal 1 3" xfId="5480" xr:uid="{00000000-0005-0000-0000-0000BC200000}"/>
    <cellStyle name="Normal 10" xfId="20" xr:uid="{00000000-0005-0000-0000-0000BD200000}"/>
    <cellStyle name="Normal 10 10" xfId="5481" xr:uid="{00000000-0005-0000-0000-0000BE200000}"/>
    <cellStyle name="Normal 10 11" xfId="172" xr:uid="{00000000-0005-0000-0000-0000BF200000}"/>
    <cellStyle name="Normal 10 12" xfId="5482" xr:uid="{00000000-0005-0000-0000-0000C0200000}"/>
    <cellStyle name="Normal 10 13" xfId="5483" xr:uid="{00000000-0005-0000-0000-0000C1200000}"/>
    <cellStyle name="Normal 10 14" xfId="5484" xr:uid="{00000000-0005-0000-0000-0000C2200000}"/>
    <cellStyle name="Normal 10 15" xfId="5485" xr:uid="{00000000-0005-0000-0000-0000C3200000}"/>
    <cellStyle name="Normal 10 15 2" xfId="7622" xr:uid="{00000000-0005-0000-0000-0000C4200000}"/>
    <cellStyle name="Normal 10 15 2 2" xfId="10303" xr:uid="{00000000-0005-0000-0000-0000C5200000}"/>
    <cellStyle name="Normal 10 15 3" xfId="8963" xr:uid="{00000000-0005-0000-0000-0000C6200000}"/>
    <cellStyle name="Normal 10 16" xfId="5486" xr:uid="{00000000-0005-0000-0000-0000C7200000}"/>
    <cellStyle name="Normal 10 2" xfId="113" xr:uid="{00000000-0005-0000-0000-0000C8200000}"/>
    <cellStyle name="Normal 10 2 2" xfId="5487" xr:uid="{00000000-0005-0000-0000-0000C9200000}"/>
    <cellStyle name="Normal 10 2 2 2" xfId="654" xr:uid="{00000000-0005-0000-0000-0000CA200000}"/>
    <cellStyle name="Normal 10 2 2 3" xfId="7623" xr:uid="{00000000-0005-0000-0000-0000CB200000}"/>
    <cellStyle name="Normal 10 2 2 3 2" xfId="10304" xr:uid="{00000000-0005-0000-0000-0000CC200000}"/>
    <cellStyle name="Normal 10 2 2 4" xfId="8964" xr:uid="{00000000-0005-0000-0000-0000CD200000}"/>
    <cellStyle name="Normal 10 2 3" xfId="5488" xr:uid="{00000000-0005-0000-0000-0000CE200000}"/>
    <cellStyle name="Normal 10 2 4" xfId="5489" xr:uid="{00000000-0005-0000-0000-0000CF200000}"/>
    <cellStyle name="Normal 10 2 4 2" xfId="7624" xr:uid="{00000000-0005-0000-0000-0000D0200000}"/>
    <cellStyle name="Normal 10 2 4 2 2" xfId="10305" xr:uid="{00000000-0005-0000-0000-0000D1200000}"/>
    <cellStyle name="Normal 10 2 4 3" xfId="174" xr:uid="{00000000-0005-0000-0000-0000D2200000}"/>
    <cellStyle name="Normal 10 2 4 3 2" xfId="1280" xr:uid="{00000000-0005-0000-0000-0000D3200000}"/>
    <cellStyle name="Normal 10 2 4 3 2 2" xfId="6990" xr:uid="{00000000-0005-0000-0000-0000D4200000}"/>
    <cellStyle name="Normal 10 2 4 3 2 2 2" xfId="9697" xr:uid="{00000000-0005-0000-0000-0000D5200000}"/>
    <cellStyle name="Normal 10 2 4 3 2 3" xfId="8358" xr:uid="{00000000-0005-0000-0000-0000D6200000}"/>
    <cellStyle name="Normal 10 2 4 3 3" xfId="1386" xr:uid="{00000000-0005-0000-0000-0000D7200000}"/>
    <cellStyle name="Normal 10 2 4 3 3 2" xfId="7091" xr:uid="{00000000-0005-0000-0000-0000D8200000}"/>
    <cellStyle name="Normal 10 2 4 3 3 2 2" xfId="9796" xr:uid="{00000000-0005-0000-0000-0000D9200000}"/>
    <cellStyle name="Normal 10 2 4 3 3 3" xfId="8457" xr:uid="{00000000-0005-0000-0000-0000DA200000}"/>
    <cellStyle name="Normal 10 2 4 3 4" xfId="6225" xr:uid="{00000000-0005-0000-0000-0000DB200000}"/>
    <cellStyle name="Normal 10 2 4 3 4 2" xfId="7703" xr:uid="{00000000-0005-0000-0000-0000DC200000}"/>
    <cellStyle name="Normal 10 2 4 3 4 2 2" xfId="10384" xr:uid="{00000000-0005-0000-0000-0000DD200000}"/>
    <cellStyle name="Normal 10 2 4 3 4 3" xfId="9044" xr:uid="{00000000-0005-0000-0000-0000DE200000}"/>
    <cellStyle name="Normal 10 2 4 3 5" xfId="6366" xr:uid="{00000000-0005-0000-0000-0000DF200000}"/>
    <cellStyle name="Normal 10 2 4 3 5 2" xfId="9085" xr:uid="{00000000-0005-0000-0000-0000E0200000}"/>
    <cellStyle name="Normal 10 2 4 3 6" xfId="7746" xr:uid="{00000000-0005-0000-0000-0000E1200000}"/>
    <cellStyle name="Normal 10 2 4 4" xfId="8965" xr:uid="{00000000-0005-0000-0000-0000E2200000}"/>
    <cellStyle name="Normal 10 20 2 3 2 2" xfId="10518" xr:uid="{00000000-0005-0000-0000-0000E3200000}"/>
    <cellStyle name="Normal 10 20 2 3 2 2 2" xfId="10552" xr:uid="{00000000-0005-0000-0000-0000E4200000}"/>
    <cellStyle name="Normal 10 20 2 3 2 2 2 2" xfId="10582" xr:uid="{00000000-0005-0000-0000-0000E5200000}"/>
    <cellStyle name="Normal 10 20 2 3 2 2 2 3" xfId="10597" xr:uid="{00000000-0005-0000-0000-0000E6200000}"/>
    <cellStyle name="Normal 10 20 2 3 2 2 3" xfId="10581" xr:uid="{00000000-0005-0000-0000-0000E7200000}"/>
    <cellStyle name="Normal 10 3" xfId="655" xr:uid="{00000000-0005-0000-0000-0000E8200000}"/>
    <cellStyle name="Normal 10 3 2" xfId="656" xr:uid="{00000000-0005-0000-0000-0000E9200000}"/>
    <cellStyle name="Normal 10 3 2 2" xfId="175" xr:uid="{00000000-0005-0000-0000-0000EA200000}"/>
    <cellStyle name="Normal 10 3 2 3" xfId="43" xr:uid="{00000000-0005-0000-0000-0000EB200000}"/>
    <cellStyle name="Normal 10 3 2 9" xfId="10498" xr:uid="{00000000-0005-0000-0000-0000EC200000}"/>
    <cellStyle name="Normal 10 4" xfId="5490" xr:uid="{00000000-0005-0000-0000-0000ED200000}"/>
    <cellStyle name="Normal 10 4 2" xfId="23" xr:uid="{00000000-0005-0000-0000-0000EE200000}"/>
    <cellStyle name="Normal 10 5" xfId="5491" xr:uid="{00000000-0005-0000-0000-0000EF200000}"/>
    <cellStyle name="Normal 10 5 2" xfId="5492" xr:uid="{00000000-0005-0000-0000-0000F0200000}"/>
    <cellStyle name="Normal 10 6" xfId="5493" xr:uid="{00000000-0005-0000-0000-0000F1200000}"/>
    <cellStyle name="Normal 10 7" xfId="5494" xr:uid="{00000000-0005-0000-0000-0000F2200000}"/>
    <cellStyle name="Normal 10 8" xfId="5495" xr:uid="{00000000-0005-0000-0000-0000F3200000}"/>
    <cellStyle name="Normal 10 9" xfId="5496" xr:uid="{00000000-0005-0000-0000-0000F4200000}"/>
    <cellStyle name="Normal 100" xfId="10408" xr:uid="{00000000-0005-0000-0000-0000F5200000}"/>
    <cellStyle name="Normal 100 4 2 2" xfId="10524" xr:uid="{00000000-0005-0000-0000-0000F6200000}"/>
    <cellStyle name="Normal 100 4 2 2 2" xfId="10549" xr:uid="{00000000-0005-0000-0000-0000F7200000}"/>
    <cellStyle name="Normal 101" xfId="10411" xr:uid="{00000000-0005-0000-0000-0000F8200000}"/>
    <cellStyle name="Normal 101 2" xfId="10452" xr:uid="{00000000-0005-0000-0000-0000F9200000}"/>
    <cellStyle name="Normal 102" xfId="10413" xr:uid="{00000000-0005-0000-0000-0000FA200000}"/>
    <cellStyle name="Normal 103" xfId="10415" xr:uid="{00000000-0005-0000-0000-0000FB200000}"/>
    <cellStyle name="Normal 104" xfId="10417" xr:uid="{00000000-0005-0000-0000-0000FC200000}"/>
    <cellStyle name="Normal 105" xfId="10419" xr:uid="{00000000-0005-0000-0000-0000FD200000}"/>
    <cellStyle name="Normal 106" xfId="10421" xr:uid="{00000000-0005-0000-0000-0000FE200000}"/>
    <cellStyle name="Normal 107" xfId="10423" xr:uid="{00000000-0005-0000-0000-0000FF200000}"/>
    <cellStyle name="Normal 107 2" xfId="10438" xr:uid="{00000000-0005-0000-0000-000000210000}"/>
    <cellStyle name="Normal 108" xfId="10424" xr:uid="{00000000-0005-0000-0000-000001210000}"/>
    <cellStyle name="Normal 109" xfId="5497" xr:uid="{00000000-0005-0000-0000-000002210000}"/>
    <cellStyle name="Normal 109 2" xfId="5498" xr:uid="{00000000-0005-0000-0000-000003210000}"/>
    <cellStyle name="Normal 109 2 2" xfId="7626" xr:uid="{00000000-0005-0000-0000-000004210000}"/>
    <cellStyle name="Normal 109 2 2 2" xfId="10307" xr:uid="{00000000-0005-0000-0000-000005210000}"/>
    <cellStyle name="Normal 109 2 3" xfId="8967" xr:uid="{00000000-0005-0000-0000-000006210000}"/>
    <cellStyle name="Normal 109 3" xfId="7625" xr:uid="{00000000-0005-0000-0000-000007210000}"/>
    <cellStyle name="Normal 109 3 2" xfId="10306" xr:uid="{00000000-0005-0000-0000-000008210000}"/>
    <cellStyle name="Normal 109 4" xfId="8966" xr:uid="{00000000-0005-0000-0000-000009210000}"/>
    <cellStyle name="Normal 11" xfId="82" xr:uid="{00000000-0005-0000-0000-00000A210000}"/>
    <cellStyle name="Normal 11 2" xfId="84" xr:uid="{00000000-0005-0000-0000-00000B210000}"/>
    <cellStyle name="Normal 11 2 10" xfId="5499" xr:uid="{00000000-0005-0000-0000-00000C210000}"/>
    <cellStyle name="Normal 11 2 11" xfId="5500" xr:uid="{00000000-0005-0000-0000-00000D210000}"/>
    <cellStyle name="Normal 11 2 12" xfId="5501" xr:uid="{00000000-0005-0000-0000-00000E210000}"/>
    <cellStyle name="Normal 11 2 13" xfId="5502" xr:uid="{00000000-0005-0000-0000-00000F210000}"/>
    <cellStyle name="Normal 11 2 14" xfId="5503" xr:uid="{00000000-0005-0000-0000-000010210000}"/>
    <cellStyle name="Normal 11 2 15" xfId="6368" xr:uid="{00000000-0005-0000-0000-000011210000}"/>
    <cellStyle name="Normal 11 2 15 2" xfId="9087" xr:uid="{00000000-0005-0000-0000-000012210000}"/>
    <cellStyle name="Normal 11 2 16" xfId="7748" xr:uid="{00000000-0005-0000-0000-000013210000}"/>
    <cellStyle name="Normal 11 2 17" xfId="177" xr:uid="{00000000-0005-0000-0000-000014210000}"/>
    <cellStyle name="Normal 11 2 2" xfId="1278" xr:uid="{00000000-0005-0000-0000-000015210000}"/>
    <cellStyle name="Normal 11 2 2 2" xfId="5505" xr:uid="{00000000-0005-0000-0000-000016210000}"/>
    <cellStyle name="Normal 11 2 2 2 2" xfId="5506" xr:uid="{00000000-0005-0000-0000-000017210000}"/>
    <cellStyle name="Normal 11 2 2 2 3" xfId="5507" xr:uid="{00000000-0005-0000-0000-000018210000}"/>
    <cellStyle name="Normal 11 2 2 2 4" xfId="5508" xr:uid="{00000000-0005-0000-0000-000019210000}"/>
    <cellStyle name="Normal 11 2 2 2 4 2" xfId="10497" xr:uid="{00000000-0005-0000-0000-00001A210000}"/>
    <cellStyle name="Normal 11 2 2 2 5" xfId="5509" xr:uid="{00000000-0005-0000-0000-00001B210000}"/>
    <cellStyle name="Normal 11 2 2 2 6" xfId="42" xr:uid="{00000000-0005-0000-0000-00001C210000}"/>
    <cellStyle name="Normal 11 2 2 3" xfId="5510" xr:uid="{00000000-0005-0000-0000-00001D210000}"/>
    <cellStyle name="Normal 11 2 2 4" xfId="5511" xr:uid="{00000000-0005-0000-0000-00001E210000}"/>
    <cellStyle name="Normal 11 2 2 5" xfId="5512" xr:uid="{00000000-0005-0000-0000-00001F210000}"/>
    <cellStyle name="Normal 11 2 2 6" xfId="5504" xr:uid="{00000000-0005-0000-0000-000020210000}"/>
    <cellStyle name="Normal 11 2 2 7" xfId="6988" xr:uid="{00000000-0005-0000-0000-000021210000}"/>
    <cellStyle name="Normal 11 2 2 7 2" xfId="9695" xr:uid="{00000000-0005-0000-0000-000022210000}"/>
    <cellStyle name="Normal 11 2 2 8" xfId="8356" xr:uid="{00000000-0005-0000-0000-000023210000}"/>
    <cellStyle name="Normal 11 2 3" xfId="658" xr:uid="{00000000-0005-0000-0000-000024210000}"/>
    <cellStyle name="Normal 11 2 3 2" xfId="5513" xr:uid="{00000000-0005-0000-0000-000025210000}"/>
    <cellStyle name="Normal 11 2 4" xfId="1388" xr:uid="{00000000-0005-0000-0000-000026210000}"/>
    <cellStyle name="Normal 11 2 4 2" xfId="5514" xr:uid="{00000000-0005-0000-0000-000027210000}"/>
    <cellStyle name="Normal 11 2 4 3" xfId="7093" xr:uid="{00000000-0005-0000-0000-000028210000}"/>
    <cellStyle name="Normal 11 2 4 3 2" xfId="9798" xr:uid="{00000000-0005-0000-0000-000029210000}"/>
    <cellStyle name="Normal 11 2 4 4" xfId="8459" xr:uid="{00000000-0005-0000-0000-00002A210000}"/>
    <cellStyle name="Normal 11 2 5" xfId="5515" xr:uid="{00000000-0005-0000-0000-00002B210000}"/>
    <cellStyle name="Normal 11 2 6" xfId="5516" xr:uid="{00000000-0005-0000-0000-00002C210000}"/>
    <cellStyle name="Normal 11 2 7" xfId="5517" xr:uid="{00000000-0005-0000-0000-00002D210000}"/>
    <cellStyle name="Normal 11 2 8" xfId="5518" xr:uid="{00000000-0005-0000-0000-00002E210000}"/>
    <cellStyle name="Normal 11 2 9" xfId="5519" xr:uid="{00000000-0005-0000-0000-00002F210000}"/>
    <cellStyle name="Normal 11 3" xfId="1279" xr:uid="{00000000-0005-0000-0000-000030210000}"/>
    <cellStyle name="Normal 11 3 2" xfId="5521" xr:uid="{00000000-0005-0000-0000-000031210000}"/>
    <cellStyle name="Normal 11 3 2 2" xfId="5522" xr:uid="{00000000-0005-0000-0000-000032210000}"/>
    <cellStyle name="Normal 11 3 2 2 2" xfId="5523" xr:uid="{00000000-0005-0000-0000-000033210000}"/>
    <cellStyle name="Normal 11 3 2 2 3" xfId="5524" xr:uid="{00000000-0005-0000-0000-000034210000}"/>
    <cellStyle name="Normal 11 3 2 2 3 2" xfId="5525" xr:uid="{00000000-0005-0000-0000-000035210000}"/>
    <cellStyle name="Normal 11 3 2 2 3 3" xfId="7628" xr:uid="{00000000-0005-0000-0000-000036210000}"/>
    <cellStyle name="Normal 11 3 2 2 3 3 2" xfId="10309" xr:uid="{00000000-0005-0000-0000-000037210000}"/>
    <cellStyle name="Normal 11 3 2 2 3 4" xfId="8969" xr:uid="{00000000-0005-0000-0000-000038210000}"/>
    <cellStyle name="Normal 11 3 2 3" xfId="5526" xr:uid="{00000000-0005-0000-0000-000039210000}"/>
    <cellStyle name="Normal 11 3 2 4" xfId="7627" xr:uid="{00000000-0005-0000-0000-00003A210000}"/>
    <cellStyle name="Normal 11 3 2 4 2" xfId="10308" xr:uid="{00000000-0005-0000-0000-00003B210000}"/>
    <cellStyle name="Normal 11 3 2 5" xfId="8968" xr:uid="{00000000-0005-0000-0000-00003C210000}"/>
    <cellStyle name="Normal 11 3 3" xfId="5527" xr:uid="{00000000-0005-0000-0000-00003D210000}"/>
    <cellStyle name="Normal 11 3 4" xfId="5528" xr:uid="{00000000-0005-0000-0000-00003E210000}"/>
    <cellStyle name="Normal 11 3 5" xfId="5520" xr:uid="{00000000-0005-0000-0000-00003F210000}"/>
    <cellStyle name="Normal 11 3 6" xfId="6989" xr:uid="{00000000-0005-0000-0000-000040210000}"/>
    <cellStyle name="Normal 11 3 6 2" xfId="9696" xr:uid="{00000000-0005-0000-0000-000041210000}"/>
    <cellStyle name="Normal 11 3 7" xfId="8357" xr:uid="{00000000-0005-0000-0000-000042210000}"/>
    <cellStyle name="Normal 11 4" xfId="657" xr:uid="{00000000-0005-0000-0000-000043210000}"/>
    <cellStyle name="Normal 11 4 2" xfId="5530" xr:uid="{00000000-0005-0000-0000-000044210000}"/>
    <cellStyle name="Normal 11 4 2 2" xfId="5531" xr:uid="{00000000-0005-0000-0000-000045210000}"/>
    <cellStyle name="Normal 11 4 2 3" xfId="7630" xr:uid="{00000000-0005-0000-0000-000046210000}"/>
    <cellStyle name="Normal 11 4 2 3 2" xfId="10311" xr:uid="{00000000-0005-0000-0000-000047210000}"/>
    <cellStyle name="Normal 11 4 2 4" xfId="8971" xr:uid="{00000000-0005-0000-0000-000048210000}"/>
    <cellStyle name="Normal 11 4 3" xfId="5532" xr:uid="{00000000-0005-0000-0000-000049210000}"/>
    <cellStyle name="Normal 11 4 4" xfId="5529" xr:uid="{00000000-0005-0000-0000-00004A210000}"/>
    <cellStyle name="Normal 11 4 4 2" xfId="7629" xr:uid="{00000000-0005-0000-0000-00004B210000}"/>
    <cellStyle name="Normal 11 4 4 2 2" xfId="10310" xr:uid="{00000000-0005-0000-0000-00004C210000}"/>
    <cellStyle name="Normal 11 4 4 3" xfId="8970" xr:uid="{00000000-0005-0000-0000-00004D210000}"/>
    <cellStyle name="Normal 11 5" xfId="1387" xr:uid="{00000000-0005-0000-0000-00004E210000}"/>
    <cellStyle name="Normal 11 5 2" xfId="7092" xr:uid="{00000000-0005-0000-0000-00004F210000}"/>
    <cellStyle name="Normal 11 5 2 2" xfId="9797" xr:uid="{00000000-0005-0000-0000-000050210000}"/>
    <cellStyle name="Normal 11 5 3" xfId="8458" xr:uid="{00000000-0005-0000-0000-000051210000}"/>
    <cellStyle name="Normal 11 6" xfId="6367" xr:uid="{00000000-0005-0000-0000-000052210000}"/>
    <cellStyle name="Normal 11 6 2" xfId="9086" xr:uid="{00000000-0005-0000-0000-000053210000}"/>
    <cellStyle name="Normal 11 7" xfId="7747" xr:uid="{00000000-0005-0000-0000-000054210000}"/>
    <cellStyle name="Normal 110" xfId="123" xr:uid="{00000000-0005-0000-0000-000055210000}"/>
    <cellStyle name="Normal 111" xfId="176" xr:uid="{00000000-0005-0000-0000-000056210000}"/>
    <cellStyle name="Normal 112" xfId="32" xr:uid="{00000000-0005-0000-0000-000057210000}"/>
    <cellStyle name="Normal 112 2" xfId="37" xr:uid="{00000000-0005-0000-0000-000058210000}"/>
    <cellStyle name="Normal 112 3" xfId="10467" xr:uid="{00000000-0005-0000-0000-000059210000}"/>
    <cellStyle name="Normal 112 3 2" xfId="10578" xr:uid="{00000000-0005-0000-0000-00005A210000}"/>
    <cellStyle name="Normal 112 4" xfId="10484" xr:uid="{00000000-0005-0000-0000-00005B210000}"/>
    <cellStyle name="Normal 112 4 2" xfId="10563" xr:uid="{00000000-0005-0000-0000-00005C210000}"/>
    <cellStyle name="Normal 112 4 2 2" xfId="10588" xr:uid="{00000000-0005-0000-0000-00005D210000}"/>
    <cellStyle name="Normal 113" xfId="5533" xr:uid="{00000000-0005-0000-0000-00005E210000}"/>
    <cellStyle name="Normal 113 2" xfId="5534" xr:uid="{00000000-0005-0000-0000-00005F210000}"/>
    <cellStyle name="Normal 113 3" xfId="7631" xr:uid="{00000000-0005-0000-0000-000060210000}"/>
    <cellStyle name="Normal 113 3 2" xfId="10312" xr:uid="{00000000-0005-0000-0000-000061210000}"/>
    <cellStyle name="Normal 113 4" xfId="8972" xr:uid="{00000000-0005-0000-0000-000062210000}"/>
    <cellStyle name="Normal 114" xfId="40" xr:uid="{00000000-0005-0000-0000-000063210000}"/>
    <cellStyle name="Normal 114 2" xfId="10472" xr:uid="{00000000-0005-0000-0000-000064210000}"/>
    <cellStyle name="Normal 115" xfId="35" xr:uid="{00000000-0005-0000-0000-000065210000}"/>
    <cellStyle name="Normal 115 2" xfId="10469" xr:uid="{00000000-0005-0000-0000-000066210000}"/>
    <cellStyle name="Normal 116" xfId="57" xr:uid="{00000000-0005-0000-0000-000067210000}"/>
    <cellStyle name="Normal 117" xfId="10475" xr:uid="{00000000-0005-0000-0000-000068210000}"/>
    <cellStyle name="Normal 117 2" xfId="10566" xr:uid="{00000000-0005-0000-0000-000069210000}"/>
    <cellStyle name="Normal 117 2 2" xfId="10605" xr:uid="{00000000-0005-0000-0000-00006A210000}"/>
    <cellStyle name="Normal 118" xfId="10512" xr:uid="{00000000-0005-0000-0000-00006B210000}"/>
    <cellStyle name="Normal 119" xfId="6230" xr:uid="{00000000-0005-0000-0000-00006C210000}"/>
    <cellStyle name="Normal 12" xfId="88" xr:uid="{00000000-0005-0000-0000-00006D210000}"/>
    <cellStyle name="Normal 12 10 2" xfId="5535" xr:uid="{00000000-0005-0000-0000-00006E210000}"/>
    <cellStyle name="Normal 12 2" xfId="179" xr:uid="{00000000-0005-0000-0000-00006F210000}"/>
    <cellStyle name="Normal 12 2 2" xfId="1276" xr:uid="{00000000-0005-0000-0000-000070210000}"/>
    <cellStyle name="Normal 12 2 2 2" xfId="6986" xr:uid="{00000000-0005-0000-0000-000071210000}"/>
    <cellStyle name="Normal 12 2 2 2 2" xfId="9693" xr:uid="{00000000-0005-0000-0000-000072210000}"/>
    <cellStyle name="Normal 12 2 2 3" xfId="8354" xr:uid="{00000000-0005-0000-0000-000073210000}"/>
    <cellStyle name="Normal 12 2 3" xfId="1390" xr:uid="{00000000-0005-0000-0000-000074210000}"/>
    <cellStyle name="Normal 12 2 3 2" xfId="7095" xr:uid="{00000000-0005-0000-0000-000075210000}"/>
    <cellStyle name="Normal 12 2 3 2 2" xfId="9800" xr:uid="{00000000-0005-0000-0000-000076210000}"/>
    <cellStyle name="Normal 12 2 3 3" xfId="8461" xr:uid="{00000000-0005-0000-0000-000077210000}"/>
    <cellStyle name="Normal 12 2 4" xfId="5536" xr:uid="{00000000-0005-0000-0000-000078210000}"/>
    <cellStyle name="Normal 12 2 5" xfId="6370" xr:uid="{00000000-0005-0000-0000-000079210000}"/>
    <cellStyle name="Normal 12 2 5 2" xfId="9089" xr:uid="{00000000-0005-0000-0000-00007A210000}"/>
    <cellStyle name="Normal 12 2 6" xfId="7750" xr:uid="{00000000-0005-0000-0000-00007B210000}"/>
    <cellStyle name="Normal 12 3" xfId="1277" xr:uid="{00000000-0005-0000-0000-00007C210000}"/>
    <cellStyle name="Normal 12 3 2" xfId="5538" xr:uid="{00000000-0005-0000-0000-00007D210000}"/>
    <cellStyle name="Normal 12 3 3" xfId="5537" xr:uid="{00000000-0005-0000-0000-00007E210000}"/>
    <cellStyle name="Normal 12 3 3 2" xfId="7632" xr:uid="{00000000-0005-0000-0000-00007F210000}"/>
    <cellStyle name="Normal 12 3 3 2 2" xfId="10313" xr:uid="{00000000-0005-0000-0000-000080210000}"/>
    <cellStyle name="Normal 12 3 3 3" xfId="8973" xr:uid="{00000000-0005-0000-0000-000081210000}"/>
    <cellStyle name="Normal 12 3 4" xfId="6987" xr:uid="{00000000-0005-0000-0000-000082210000}"/>
    <cellStyle name="Normal 12 3 4 2" xfId="9694" xr:uid="{00000000-0005-0000-0000-000083210000}"/>
    <cellStyle name="Normal 12 3 5" xfId="8355" xr:uid="{00000000-0005-0000-0000-000084210000}"/>
    <cellStyle name="Normal 12 4" xfId="659" xr:uid="{00000000-0005-0000-0000-000085210000}"/>
    <cellStyle name="Normal 12 4 2" xfId="5539" xr:uid="{00000000-0005-0000-0000-000086210000}"/>
    <cellStyle name="Normal 12 5" xfId="1389" xr:uid="{00000000-0005-0000-0000-000087210000}"/>
    <cellStyle name="Normal 12 5 2" xfId="5540" xr:uid="{00000000-0005-0000-0000-000088210000}"/>
    <cellStyle name="Normal 12 5 2 2" xfId="7633" xr:uid="{00000000-0005-0000-0000-000089210000}"/>
    <cellStyle name="Normal 12 5 2 2 2" xfId="10314" xr:uid="{00000000-0005-0000-0000-00008A210000}"/>
    <cellStyle name="Normal 12 5 2 3" xfId="8974" xr:uid="{00000000-0005-0000-0000-00008B210000}"/>
    <cellStyle name="Normal 12 5 3" xfId="7094" xr:uid="{00000000-0005-0000-0000-00008C210000}"/>
    <cellStyle name="Normal 12 5 3 2" xfId="9799" xr:uid="{00000000-0005-0000-0000-00008D210000}"/>
    <cellStyle name="Normal 12 5 4" xfId="8460" xr:uid="{00000000-0005-0000-0000-00008E210000}"/>
    <cellStyle name="Normal 12 6" xfId="6369" xr:uid="{00000000-0005-0000-0000-00008F210000}"/>
    <cellStyle name="Normal 12 6 2" xfId="9088" xr:uid="{00000000-0005-0000-0000-000090210000}"/>
    <cellStyle name="Normal 12 7" xfId="7749" xr:uid="{00000000-0005-0000-0000-000091210000}"/>
    <cellStyle name="Normal 12 8" xfId="178" xr:uid="{00000000-0005-0000-0000-000092210000}"/>
    <cellStyle name="Normal 120" xfId="10570" xr:uid="{00000000-0005-0000-0000-000093210000}"/>
    <cellStyle name="Normal 121" xfId="5541" xr:uid="{00000000-0005-0000-0000-000094210000}"/>
    <cellStyle name="Normal 121 2" xfId="5542" xr:uid="{00000000-0005-0000-0000-000095210000}"/>
    <cellStyle name="Normal 122" xfId="10587" xr:uid="{00000000-0005-0000-0000-000096210000}"/>
    <cellStyle name="Normal 122 2" xfId="10618" xr:uid="{71055DE5-E905-48A9-A993-88E09CAEA3EC}"/>
    <cellStyle name="Normal 123" xfId="10616" xr:uid="{00000000-0005-0000-0000-000097210000}"/>
    <cellStyle name="Normal 124" xfId="10628" xr:uid="{7D0622AB-9460-488B-86A3-6D47FA15A9D8}"/>
    <cellStyle name="Normal 13" xfId="180" xr:uid="{00000000-0005-0000-0000-000098210000}"/>
    <cellStyle name="Normal 13 2" xfId="181" xr:uid="{00000000-0005-0000-0000-000099210000}"/>
    <cellStyle name="Normal 13 2 2" xfId="1274" xr:uid="{00000000-0005-0000-0000-00009A210000}"/>
    <cellStyle name="Normal 13 2 2 2" xfId="5544" xr:uid="{00000000-0005-0000-0000-00009B210000}"/>
    <cellStyle name="Normal 13 2 2 3" xfId="5545" xr:uid="{00000000-0005-0000-0000-00009C210000}"/>
    <cellStyle name="Normal 13 2 2 4" xfId="5543" xr:uid="{00000000-0005-0000-0000-00009D210000}"/>
    <cellStyle name="Normal 13 2 2 5" xfId="6984" xr:uid="{00000000-0005-0000-0000-00009E210000}"/>
    <cellStyle name="Normal 13 2 2 5 2" xfId="9691" xr:uid="{00000000-0005-0000-0000-00009F210000}"/>
    <cellStyle name="Normal 13 2 2 6" xfId="8352" xr:uid="{00000000-0005-0000-0000-0000A0210000}"/>
    <cellStyle name="Normal 13 2 3" xfId="661" xr:uid="{00000000-0005-0000-0000-0000A1210000}"/>
    <cellStyle name="Normal 13 2 4" xfId="1392" xr:uid="{00000000-0005-0000-0000-0000A2210000}"/>
    <cellStyle name="Normal 13 2 4 2" xfId="7097" xr:uid="{00000000-0005-0000-0000-0000A3210000}"/>
    <cellStyle name="Normal 13 2 4 2 2" xfId="9802" xr:uid="{00000000-0005-0000-0000-0000A4210000}"/>
    <cellStyle name="Normal 13 2 4 3" xfId="8463" xr:uid="{00000000-0005-0000-0000-0000A5210000}"/>
    <cellStyle name="Normal 13 2 5" xfId="6372" xr:uid="{00000000-0005-0000-0000-0000A6210000}"/>
    <cellStyle name="Normal 13 2 5 2" xfId="9091" xr:uid="{00000000-0005-0000-0000-0000A7210000}"/>
    <cellStyle name="Normal 13 2 6" xfId="7752" xr:uid="{00000000-0005-0000-0000-0000A8210000}"/>
    <cellStyle name="Normal 13 3" xfId="1275" xr:uid="{00000000-0005-0000-0000-0000A9210000}"/>
    <cellStyle name="Normal 13 3 2" xfId="5547" xr:uid="{00000000-0005-0000-0000-0000AA210000}"/>
    <cellStyle name="Normal 13 3 3" xfId="5546" xr:uid="{00000000-0005-0000-0000-0000AB210000}"/>
    <cellStyle name="Normal 13 3 3 2" xfId="7634" xr:uid="{00000000-0005-0000-0000-0000AC210000}"/>
    <cellStyle name="Normal 13 3 3 2 2" xfId="10315" xr:uid="{00000000-0005-0000-0000-0000AD210000}"/>
    <cellStyle name="Normal 13 3 3 3" xfId="8975" xr:uid="{00000000-0005-0000-0000-0000AE210000}"/>
    <cellStyle name="Normal 13 3 4" xfId="6985" xr:uid="{00000000-0005-0000-0000-0000AF210000}"/>
    <cellStyle name="Normal 13 3 4 2" xfId="9692" xr:uid="{00000000-0005-0000-0000-0000B0210000}"/>
    <cellStyle name="Normal 13 3 5" xfId="8353" xr:uid="{00000000-0005-0000-0000-0000B1210000}"/>
    <cellStyle name="Normal 13 4" xfId="660" xr:uid="{00000000-0005-0000-0000-0000B2210000}"/>
    <cellStyle name="Normal 13 5" xfId="1391" xr:uid="{00000000-0005-0000-0000-0000B3210000}"/>
    <cellStyle name="Normal 13 5 2" xfId="5548" xr:uid="{00000000-0005-0000-0000-0000B4210000}"/>
    <cellStyle name="Normal 13 5 3" xfId="7096" xr:uid="{00000000-0005-0000-0000-0000B5210000}"/>
    <cellStyle name="Normal 13 5 3 2" xfId="9801" xr:uid="{00000000-0005-0000-0000-0000B6210000}"/>
    <cellStyle name="Normal 13 5 4" xfId="8462" xr:uid="{00000000-0005-0000-0000-0000B7210000}"/>
    <cellStyle name="Normal 13 6" xfId="5549" xr:uid="{00000000-0005-0000-0000-0000B8210000}"/>
    <cellStyle name="Normal 13 6 2" xfId="7635" xr:uid="{00000000-0005-0000-0000-0000B9210000}"/>
    <cellStyle name="Normal 13 6 2 2" xfId="10316" xr:uid="{00000000-0005-0000-0000-0000BA210000}"/>
    <cellStyle name="Normal 13 6 3" xfId="8976" xr:uid="{00000000-0005-0000-0000-0000BB210000}"/>
    <cellStyle name="Normal 13 7" xfId="6371" xr:uid="{00000000-0005-0000-0000-0000BC210000}"/>
    <cellStyle name="Normal 13 7 2" xfId="9090" xr:uid="{00000000-0005-0000-0000-0000BD210000}"/>
    <cellStyle name="Normal 13 8" xfId="7751" xr:uid="{00000000-0005-0000-0000-0000BE210000}"/>
    <cellStyle name="Normal 13_Electrical BOQ -working" xfId="5550" xr:uid="{00000000-0005-0000-0000-0000BF210000}"/>
    <cellStyle name="Normal 135" xfId="6231" xr:uid="{00000000-0005-0000-0000-0000C0210000}"/>
    <cellStyle name="Normal 135 2" xfId="7708" xr:uid="{00000000-0005-0000-0000-0000C1210000}"/>
    <cellStyle name="Normal 135 2 2" xfId="10389" xr:uid="{00000000-0005-0000-0000-0000C2210000}"/>
    <cellStyle name="Normal 135 3" xfId="9049" xr:uid="{00000000-0005-0000-0000-0000C3210000}"/>
    <cellStyle name="Normal 14" xfId="182" xr:uid="{00000000-0005-0000-0000-0000C4210000}"/>
    <cellStyle name="Normal 14 2" xfId="183" xr:uid="{00000000-0005-0000-0000-0000C5210000}"/>
    <cellStyle name="Normal 14 2 2" xfId="664" xr:uid="{00000000-0005-0000-0000-0000C6210000}"/>
    <cellStyle name="Normal 14 2 3" xfId="1273" xr:uid="{00000000-0005-0000-0000-0000C7210000}"/>
    <cellStyle name="Normal 14 2 3 2" xfId="6983" xr:uid="{00000000-0005-0000-0000-0000C8210000}"/>
    <cellStyle name="Normal 14 2 3 2 2" xfId="9690" xr:uid="{00000000-0005-0000-0000-0000C9210000}"/>
    <cellStyle name="Normal 14 2 3 3" xfId="8351" xr:uid="{00000000-0005-0000-0000-0000CA210000}"/>
    <cellStyle name="Normal 14 2 4" xfId="663" xr:uid="{00000000-0005-0000-0000-0000CB210000}"/>
    <cellStyle name="Normal 14 2 5" xfId="1394" xr:uid="{00000000-0005-0000-0000-0000CC210000}"/>
    <cellStyle name="Normal 14 2 5 2" xfId="7099" xr:uid="{00000000-0005-0000-0000-0000CD210000}"/>
    <cellStyle name="Normal 14 2 5 2 2" xfId="9804" xr:uid="{00000000-0005-0000-0000-0000CE210000}"/>
    <cellStyle name="Normal 14 2 5 3" xfId="8465" xr:uid="{00000000-0005-0000-0000-0000CF210000}"/>
    <cellStyle name="Normal 14 2 6" xfId="6374" xr:uid="{00000000-0005-0000-0000-0000D0210000}"/>
    <cellStyle name="Normal 14 2 6 2" xfId="9093" xr:uid="{00000000-0005-0000-0000-0000D1210000}"/>
    <cellStyle name="Normal 14 2 7" xfId="7754" xr:uid="{00000000-0005-0000-0000-0000D2210000}"/>
    <cellStyle name="Normal 14 3" xfId="662" xr:uid="{00000000-0005-0000-0000-0000D3210000}"/>
    <cellStyle name="Normal 14 3 2" xfId="5552" xr:uid="{00000000-0005-0000-0000-0000D4210000}"/>
    <cellStyle name="Normal 14 3 3" xfId="5551" xr:uid="{00000000-0005-0000-0000-0000D5210000}"/>
    <cellStyle name="Normal 14 3 3 2" xfId="7636" xr:uid="{00000000-0005-0000-0000-0000D6210000}"/>
    <cellStyle name="Normal 14 3 3 2 2" xfId="10317" xr:uid="{00000000-0005-0000-0000-0000D7210000}"/>
    <cellStyle name="Normal 14 3 3 3" xfId="8977" xr:uid="{00000000-0005-0000-0000-0000D8210000}"/>
    <cellStyle name="Normal 14 3 4" xfId="6539" xr:uid="{00000000-0005-0000-0000-0000D9210000}"/>
    <cellStyle name="Normal 14 3 4 2" xfId="9253" xr:uid="{00000000-0005-0000-0000-0000DA210000}"/>
    <cellStyle name="Normal 14 3 5" xfId="7914" xr:uid="{00000000-0005-0000-0000-0000DB210000}"/>
    <cellStyle name="Normal 14 4" xfId="1393" xr:uid="{00000000-0005-0000-0000-0000DC210000}"/>
    <cellStyle name="Normal 14 4 2" xfId="5553" xr:uid="{00000000-0005-0000-0000-0000DD210000}"/>
    <cellStyle name="Normal 14 4 3" xfId="7098" xr:uid="{00000000-0005-0000-0000-0000DE210000}"/>
    <cellStyle name="Normal 14 4 3 2" xfId="9803" xr:uid="{00000000-0005-0000-0000-0000DF210000}"/>
    <cellStyle name="Normal 14 4 4" xfId="8464" xr:uid="{00000000-0005-0000-0000-0000E0210000}"/>
    <cellStyle name="Normal 14 5" xfId="5554" xr:uid="{00000000-0005-0000-0000-0000E1210000}"/>
    <cellStyle name="Normal 14 5 2" xfId="7637" xr:uid="{00000000-0005-0000-0000-0000E2210000}"/>
    <cellStyle name="Normal 14 5 2 2" xfId="10318" xr:uid="{00000000-0005-0000-0000-0000E3210000}"/>
    <cellStyle name="Normal 14 5 3" xfId="8978" xr:uid="{00000000-0005-0000-0000-0000E4210000}"/>
    <cellStyle name="Normal 14 6" xfId="5555" xr:uid="{00000000-0005-0000-0000-0000E5210000}"/>
    <cellStyle name="Normal 14 7" xfId="1500" xr:uid="{00000000-0005-0000-0000-0000E6210000}"/>
    <cellStyle name="Normal 14 7 2" xfId="7190" xr:uid="{00000000-0005-0000-0000-0000E7210000}"/>
    <cellStyle name="Normal 14 7 2 2" xfId="9893" xr:uid="{00000000-0005-0000-0000-0000E8210000}"/>
    <cellStyle name="Normal 14 7 3" xfId="8553" xr:uid="{00000000-0005-0000-0000-0000E9210000}"/>
    <cellStyle name="Normal 14 8" xfId="6373" xr:uid="{00000000-0005-0000-0000-0000EA210000}"/>
    <cellStyle name="Normal 14 8 2" xfId="9092" xr:uid="{00000000-0005-0000-0000-0000EB210000}"/>
    <cellStyle name="Normal 14 9" xfId="7753" xr:uid="{00000000-0005-0000-0000-0000EC210000}"/>
    <cellStyle name="Normal 140 2" xfId="665" xr:uid="{00000000-0005-0000-0000-0000ED210000}"/>
    <cellStyle name="Normal 140 2 2" xfId="6540" xr:uid="{00000000-0005-0000-0000-0000EE210000}"/>
    <cellStyle name="Normal 140 2 2 2" xfId="9254" xr:uid="{00000000-0005-0000-0000-0000EF210000}"/>
    <cellStyle name="Normal 140 2 3" xfId="7915" xr:uid="{00000000-0005-0000-0000-0000F0210000}"/>
    <cellStyle name="Normal 15" xfId="185" xr:uid="{00000000-0005-0000-0000-0000F1210000}"/>
    <cellStyle name="Normal 15 2" xfId="186" xr:uid="{00000000-0005-0000-0000-0000F2210000}"/>
    <cellStyle name="Normal 15 2 2" xfId="5556" xr:uid="{00000000-0005-0000-0000-0000F3210000}"/>
    <cellStyle name="Normal 15 3" xfId="667" xr:uid="{00000000-0005-0000-0000-0000F4210000}"/>
    <cellStyle name="Normal 15 3 2" xfId="1496" xr:uid="{00000000-0005-0000-0000-0000F5210000}"/>
    <cellStyle name="Normal 15 3 2 2" xfId="7187" xr:uid="{00000000-0005-0000-0000-0000F6210000}"/>
    <cellStyle name="Normal 15 3 2 2 2" xfId="9890" xr:uid="{00000000-0005-0000-0000-0000F7210000}"/>
    <cellStyle name="Normal 15 3 2 3" xfId="8550" xr:uid="{00000000-0005-0000-0000-0000F8210000}"/>
    <cellStyle name="Normal 15 3 3" xfId="6541" xr:uid="{00000000-0005-0000-0000-0000F9210000}"/>
    <cellStyle name="Normal 15 3 3 2" xfId="9255" xr:uid="{00000000-0005-0000-0000-0000FA210000}"/>
    <cellStyle name="Normal 15 3 4" xfId="7916" xr:uid="{00000000-0005-0000-0000-0000FB210000}"/>
    <cellStyle name="Normal 15 4" xfId="668" xr:uid="{00000000-0005-0000-0000-0000FC210000}"/>
    <cellStyle name="Normal 15 4 2" xfId="5557" xr:uid="{00000000-0005-0000-0000-0000FD210000}"/>
    <cellStyle name="Normal 15 4 2 2" xfId="7638" xr:uid="{00000000-0005-0000-0000-0000FE210000}"/>
    <cellStyle name="Normal 15 4 2 2 2" xfId="10319" xr:uid="{00000000-0005-0000-0000-0000FF210000}"/>
    <cellStyle name="Normal 15 4 2 3" xfId="8979" xr:uid="{00000000-0005-0000-0000-000000220000}"/>
    <cellStyle name="Normal 15 5" xfId="666" xr:uid="{00000000-0005-0000-0000-000001220000}"/>
    <cellStyle name="Normal 16" xfId="83" xr:uid="{00000000-0005-0000-0000-000002220000}"/>
    <cellStyle name="Normal 16 10" xfId="187" xr:uid="{00000000-0005-0000-0000-000003220000}"/>
    <cellStyle name="Normal 16 2" xfId="189" xr:uid="{00000000-0005-0000-0000-000004220000}"/>
    <cellStyle name="Normal 16 2 2" xfId="670" xr:uid="{00000000-0005-0000-0000-000005220000}"/>
    <cellStyle name="Normal 16 2 2 2" xfId="5558" xr:uid="{00000000-0005-0000-0000-000006220000}"/>
    <cellStyle name="Normal 16 2 2 3" xfId="6542" xr:uid="{00000000-0005-0000-0000-000007220000}"/>
    <cellStyle name="Normal 16 2 2 3 2" xfId="9256" xr:uid="{00000000-0005-0000-0000-000008220000}"/>
    <cellStyle name="Normal 16 2 2 4" xfId="7917" xr:uid="{00000000-0005-0000-0000-000009220000}"/>
    <cellStyle name="Normal 16 2 25" xfId="10480" xr:uid="{00000000-0005-0000-0000-00000A220000}"/>
    <cellStyle name="Normal 16 2 25 2" xfId="10533" xr:uid="{00000000-0005-0000-0000-00000B220000}"/>
    <cellStyle name="Normal 16 2 25 2 2" xfId="10560" xr:uid="{00000000-0005-0000-0000-00000C220000}"/>
    <cellStyle name="Normal 16 2 25 2 2 2" xfId="10598" xr:uid="{00000000-0005-0000-0000-00000D220000}"/>
    <cellStyle name="Normal 16 2 25 2 2 2 2" xfId="10627" xr:uid="{381CA88E-8DDC-4918-AB98-1403894A1DAA}"/>
    <cellStyle name="Normal 16 2 25 3" xfId="10614" xr:uid="{00000000-0005-0000-0000-00000E220000}"/>
    <cellStyle name="Normal 16 2 3" xfId="1396" xr:uid="{00000000-0005-0000-0000-00000F220000}"/>
    <cellStyle name="Normal 16 2 3 2" xfId="7101" xr:uid="{00000000-0005-0000-0000-000010220000}"/>
    <cellStyle name="Normal 16 2 3 2 2" xfId="9806" xr:uid="{00000000-0005-0000-0000-000011220000}"/>
    <cellStyle name="Normal 16 2 3 3" xfId="8467" xr:uid="{00000000-0005-0000-0000-000012220000}"/>
    <cellStyle name="Normal 16 2 4" xfId="1448" xr:uid="{00000000-0005-0000-0000-000013220000}"/>
    <cellStyle name="Normal 16 2 4 2" xfId="7143" xr:uid="{00000000-0005-0000-0000-000014220000}"/>
    <cellStyle name="Normal 16 2 4 2 2" xfId="9846" xr:uid="{00000000-0005-0000-0000-000015220000}"/>
    <cellStyle name="Normal 16 2 4 3" xfId="8506" xr:uid="{00000000-0005-0000-0000-000016220000}"/>
    <cellStyle name="Normal 16 2 5" xfId="6376" xr:uid="{00000000-0005-0000-0000-000017220000}"/>
    <cellStyle name="Normal 16 2 5 2" xfId="9095" xr:uid="{00000000-0005-0000-0000-000018220000}"/>
    <cellStyle name="Normal 16 2 6" xfId="7756" xr:uid="{00000000-0005-0000-0000-000019220000}"/>
    <cellStyle name="Normal 16 2 7" xfId="47" xr:uid="{00000000-0005-0000-0000-00001A220000}"/>
    <cellStyle name="Normal 16 2 7 2" xfId="10474" xr:uid="{00000000-0005-0000-0000-00001B220000}"/>
    <cellStyle name="Normal 16 3" xfId="671" xr:uid="{00000000-0005-0000-0000-00001C220000}"/>
    <cellStyle name="Normal 16 4" xfId="672" xr:uid="{00000000-0005-0000-0000-00001D220000}"/>
    <cellStyle name="Normal 16 4 2" xfId="5559" xr:uid="{00000000-0005-0000-0000-00001E220000}"/>
    <cellStyle name="Normal 16 4 2 2" xfId="7639" xr:uid="{00000000-0005-0000-0000-00001F220000}"/>
    <cellStyle name="Normal 16 4 2 2 2" xfId="10320" xr:uid="{00000000-0005-0000-0000-000020220000}"/>
    <cellStyle name="Normal 16 4 2 3" xfId="8980" xr:uid="{00000000-0005-0000-0000-000021220000}"/>
    <cellStyle name="Normal 16 4 3" xfId="6543" xr:uid="{00000000-0005-0000-0000-000022220000}"/>
    <cellStyle name="Normal 16 4 3 2" xfId="9257" xr:uid="{00000000-0005-0000-0000-000023220000}"/>
    <cellStyle name="Normal 16 4 4" xfId="7918" xr:uid="{00000000-0005-0000-0000-000024220000}"/>
    <cellStyle name="Normal 16 5" xfId="669" xr:uid="{00000000-0005-0000-0000-000025220000}"/>
    <cellStyle name="Normal 16 6" xfId="1395" xr:uid="{00000000-0005-0000-0000-000026220000}"/>
    <cellStyle name="Normal 16 6 2" xfId="7100" xr:uid="{00000000-0005-0000-0000-000027220000}"/>
    <cellStyle name="Normal 16 6 2 2" xfId="9805" xr:uid="{00000000-0005-0000-0000-000028220000}"/>
    <cellStyle name="Normal 16 6 3" xfId="8466" xr:uid="{00000000-0005-0000-0000-000029220000}"/>
    <cellStyle name="Normal 16 7" xfId="1501" xr:uid="{00000000-0005-0000-0000-00002A220000}"/>
    <cellStyle name="Normal 16 7 2" xfId="7191" xr:uid="{00000000-0005-0000-0000-00002B220000}"/>
    <cellStyle name="Normal 16 7 2 2" xfId="9894" xr:uid="{00000000-0005-0000-0000-00002C220000}"/>
    <cellStyle name="Normal 16 7 3" xfId="8554" xr:uid="{00000000-0005-0000-0000-00002D220000}"/>
    <cellStyle name="Normal 16 8" xfId="6375" xr:uid="{00000000-0005-0000-0000-00002E220000}"/>
    <cellStyle name="Normal 16 8 2" xfId="9094" xr:uid="{00000000-0005-0000-0000-00002F220000}"/>
    <cellStyle name="Normal 16 9" xfId="7755" xr:uid="{00000000-0005-0000-0000-000030220000}"/>
    <cellStyle name="Normal 17" xfId="27" xr:uid="{00000000-0005-0000-0000-000031220000}"/>
    <cellStyle name="Normal 17 2" xfId="1253" xr:uid="{00000000-0005-0000-0000-000032220000}"/>
    <cellStyle name="Normal 17 2 2" xfId="5561" xr:uid="{00000000-0005-0000-0000-000033220000}"/>
    <cellStyle name="Normal 17 2 3" xfId="5560" xr:uid="{00000000-0005-0000-0000-000034220000}"/>
    <cellStyle name="Normal 17 2 3 2" xfId="7640" xr:uid="{00000000-0005-0000-0000-000035220000}"/>
    <cellStyle name="Normal 17 2 3 2 2" xfId="10321" xr:uid="{00000000-0005-0000-0000-000036220000}"/>
    <cellStyle name="Normal 17 2 3 3" xfId="8981" xr:uid="{00000000-0005-0000-0000-000037220000}"/>
    <cellStyle name="Normal 17 2 4" xfId="6970" xr:uid="{00000000-0005-0000-0000-000038220000}"/>
    <cellStyle name="Normal 17 2 4 2" xfId="9677" xr:uid="{00000000-0005-0000-0000-000039220000}"/>
    <cellStyle name="Normal 17 2 5" xfId="8338" xr:uid="{00000000-0005-0000-0000-00003A220000}"/>
    <cellStyle name="Normal 17 3" xfId="673" xr:uid="{00000000-0005-0000-0000-00003B220000}"/>
    <cellStyle name="Normal 17 3 2" xfId="5562" xr:uid="{00000000-0005-0000-0000-00003C220000}"/>
    <cellStyle name="Normal 17 4" xfId="1414" xr:uid="{00000000-0005-0000-0000-00003D220000}"/>
    <cellStyle name="Normal 17 4 2" xfId="5563" xr:uid="{00000000-0005-0000-0000-00003E220000}"/>
    <cellStyle name="Normal 17 4 2 2" xfId="7641" xr:uid="{00000000-0005-0000-0000-00003F220000}"/>
    <cellStyle name="Normal 17 4 2 2 2" xfId="10322" xr:uid="{00000000-0005-0000-0000-000040220000}"/>
    <cellStyle name="Normal 17 4 2 3" xfId="8982" xr:uid="{00000000-0005-0000-0000-000041220000}"/>
    <cellStyle name="Normal 17 4 3" xfId="7119" xr:uid="{00000000-0005-0000-0000-000042220000}"/>
    <cellStyle name="Normal 17 4 3 2" xfId="9822" xr:uid="{00000000-0005-0000-0000-000043220000}"/>
    <cellStyle name="Normal 17 4 4" xfId="8483" xr:uid="{00000000-0005-0000-0000-000044220000}"/>
    <cellStyle name="Normal 17 5" xfId="6392" xr:uid="{00000000-0005-0000-0000-000045220000}"/>
    <cellStyle name="Normal 17 5 2" xfId="9111" xr:uid="{00000000-0005-0000-0000-000046220000}"/>
    <cellStyle name="Normal 17 6" xfId="7772" xr:uid="{00000000-0005-0000-0000-000047220000}"/>
    <cellStyle name="Normal 17 7" xfId="226" xr:uid="{00000000-0005-0000-0000-000048220000}"/>
    <cellStyle name="Normal 18" xfId="674" xr:uid="{00000000-0005-0000-0000-000049220000}"/>
    <cellStyle name="Normal 18 2" xfId="5564" xr:uid="{00000000-0005-0000-0000-00004A220000}"/>
    <cellStyle name="Normal 18 2 2" xfId="5565" xr:uid="{00000000-0005-0000-0000-00004B220000}"/>
    <cellStyle name="Normal 18 2 3" xfId="7642" xr:uid="{00000000-0005-0000-0000-00004C220000}"/>
    <cellStyle name="Normal 18 2 3 2" xfId="10323" xr:uid="{00000000-0005-0000-0000-00004D220000}"/>
    <cellStyle name="Normal 18 2 4" xfId="8983" xr:uid="{00000000-0005-0000-0000-00004E220000}"/>
    <cellStyle name="Normal 18 3" xfId="5566" xr:uid="{00000000-0005-0000-0000-00004F220000}"/>
    <cellStyle name="Normal 18 4" xfId="5567" xr:uid="{00000000-0005-0000-0000-000050220000}"/>
    <cellStyle name="Normal 18 4 2" xfId="7643" xr:uid="{00000000-0005-0000-0000-000051220000}"/>
    <cellStyle name="Normal 18 4 2 2" xfId="10324" xr:uid="{00000000-0005-0000-0000-000052220000}"/>
    <cellStyle name="Normal 18 4 3" xfId="8984" xr:uid="{00000000-0005-0000-0000-000053220000}"/>
    <cellStyle name="Normal 18 5" xfId="10462" xr:uid="{00000000-0005-0000-0000-000054220000}"/>
    <cellStyle name="Normal 183 2" xfId="675" xr:uid="{00000000-0005-0000-0000-000055220000}"/>
    <cellStyle name="Normal 183 2 2" xfId="6544" xr:uid="{00000000-0005-0000-0000-000056220000}"/>
    <cellStyle name="Normal 183 2 2 2" xfId="9258" xr:uid="{00000000-0005-0000-0000-000057220000}"/>
    <cellStyle name="Normal 183 2 3" xfId="7919" xr:uid="{00000000-0005-0000-0000-000058220000}"/>
    <cellStyle name="Normal 19" xfId="676" xr:uid="{00000000-0005-0000-0000-000059220000}"/>
    <cellStyle name="Normal 19 2" xfId="5568" xr:uid="{00000000-0005-0000-0000-00005A220000}"/>
    <cellStyle name="Normal 19 2 2" xfId="5569" xr:uid="{00000000-0005-0000-0000-00005B220000}"/>
    <cellStyle name="Normal 19 2 3" xfId="7644" xr:uid="{00000000-0005-0000-0000-00005C220000}"/>
    <cellStyle name="Normal 19 2 3 2" xfId="10325" xr:uid="{00000000-0005-0000-0000-00005D220000}"/>
    <cellStyle name="Normal 19 2 4" xfId="8985" xr:uid="{00000000-0005-0000-0000-00005E220000}"/>
    <cellStyle name="Normal 19 3" xfId="5570" xr:uid="{00000000-0005-0000-0000-00005F220000}"/>
    <cellStyle name="Normal 19 4" xfId="5571" xr:uid="{00000000-0005-0000-0000-000060220000}"/>
    <cellStyle name="Normal 19 4 2" xfId="7645" xr:uid="{00000000-0005-0000-0000-000061220000}"/>
    <cellStyle name="Normal 19 4 2 2" xfId="10326" xr:uid="{00000000-0005-0000-0000-000062220000}"/>
    <cellStyle name="Normal 19 4 3" xfId="8986" xr:uid="{00000000-0005-0000-0000-000063220000}"/>
    <cellStyle name="Normal 2" xfId="4" xr:uid="{00000000-0005-0000-0000-000064220000}"/>
    <cellStyle name="Normal 2 1 2" xfId="44" xr:uid="{00000000-0005-0000-0000-000065220000}"/>
    <cellStyle name="Normal 2 10" xfId="29" xr:uid="{00000000-0005-0000-0000-000066220000}"/>
    <cellStyle name="Normal 2 10 2" xfId="56" xr:uid="{00000000-0005-0000-0000-000067220000}"/>
    <cellStyle name="Normal 2 10 3" xfId="5572" xr:uid="{00000000-0005-0000-0000-000068220000}"/>
    <cellStyle name="Normal 2 10 4" xfId="5573" xr:uid="{00000000-0005-0000-0000-000069220000}"/>
    <cellStyle name="Normal 2 10 47" xfId="5574" xr:uid="{00000000-0005-0000-0000-00006A220000}"/>
    <cellStyle name="Normal 2 11" xfId="28" xr:uid="{00000000-0005-0000-0000-00006B220000}"/>
    <cellStyle name="Normal 2 11 2" xfId="677" xr:uid="{00000000-0005-0000-0000-00006C220000}"/>
    <cellStyle name="Normal 2 11 3" xfId="6409" xr:uid="{00000000-0005-0000-0000-00006D220000}"/>
    <cellStyle name="Normal 2 11 3 2" xfId="9128" xr:uid="{00000000-0005-0000-0000-00006E220000}"/>
    <cellStyle name="Normal 2 11 4" xfId="7789" xr:uid="{00000000-0005-0000-0000-00006F220000}"/>
    <cellStyle name="Normal 2 11 5" xfId="10449" xr:uid="{00000000-0005-0000-0000-000070220000}"/>
    <cellStyle name="Normal 2 11 6" xfId="250" xr:uid="{00000000-0005-0000-0000-000071220000}"/>
    <cellStyle name="Normal 2 12" xfId="190" xr:uid="{00000000-0005-0000-0000-000072220000}"/>
    <cellStyle name="Normal 2 12 2" xfId="5575" xr:uid="{00000000-0005-0000-0000-000073220000}"/>
    <cellStyle name="Normal 2 12 3" xfId="1528" xr:uid="{00000000-0005-0000-0000-000074220000}"/>
    <cellStyle name="Normal 2 12 3 2" xfId="7207" xr:uid="{00000000-0005-0000-0000-000075220000}"/>
    <cellStyle name="Normal 2 12 3 2 2" xfId="9910" xr:uid="{00000000-0005-0000-0000-000076220000}"/>
    <cellStyle name="Normal 2 12 3 3" xfId="8570" xr:uid="{00000000-0005-0000-0000-000077220000}"/>
    <cellStyle name="Normal 2 13" xfId="249" xr:uid="{00000000-0005-0000-0000-000078220000}"/>
    <cellStyle name="Normal 2 13 2" xfId="5577" xr:uid="{00000000-0005-0000-0000-000079220000}"/>
    <cellStyle name="Normal 2 13 2 2" xfId="5578" xr:uid="{00000000-0005-0000-0000-00007A220000}"/>
    <cellStyle name="Normal 2 13 3" xfId="5576" xr:uid="{00000000-0005-0000-0000-00007B220000}"/>
    <cellStyle name="Normal 2 14" xfId="678" xr:uid="{00000000-0005-0000-0000-00007C220000}"/>
    <cellStyle name="Normal 2 14 2" xfId="5579" xr:uid="{00000000-0005-0000-0000-00007D220000}"/>
    <cellStyle name="Normal 2 14 3" xfId="5580" xr:uid="{00000000-0005-0000-0000-00007E220000}"/>
    <cellStyle name="Normal 2 15" xfId="5581" xr:uid="{00000000-0005-0000-0000-00007F220000}"/>
    <cellStyle name="Normal 2 16" xfId="5582" xr:uid="{00000000-0005-0000-0000-000080220000}"/>
    <cellStyle name="Normal 2 16 3" xfId="5583" xr:uid="{00000000-0005-0000-0000-000081220000}"/>
    <cellStyle name="Normal 2 17" xfId="5584" xr:uid="{00000000-0005-0000-0000-000082220000}"/>
    <cellStyle name="Normal 2 18" xfId="5585" xr:uid="{00000000-0005-0000-0000-000083220000}"/>
    <cellStyle name="Normal 2 19" xfId="5586" xr:uid="{00000000-0005-0000-0000-000084220000}"/>
    <cellStyle name="Normal 2 2" xfId="11" xr:uid="{00000000-0005-0000-0000-000085220000}"/>
    <cellStyle name="Normal 2 2 10" xfId="5587" xr:uid="{00000000-0005-0000-0000-000086220000}"/>
    <cellStyle name="Normal 2 2 10 2" xfId="5588" xr:uid="{00000000-0005-0000-0000-000087220000}"/>
    <cellStyle name="Normal 2 2 10 3" xfId="50" xr:uid="{00000000-0005-0000-0000-000088220000}"/>
    <cellStyle name="Normal 2 2 11" xfId="5589" xr:uid="{00000000-0005-0000-0000-000089220000}"/>
    <cellStyle name="Normal 2 2 12" xfId="5590" xr:uid="{00000000-0005-0000-0000-00008A220000}"/>
    <cellStyle name="Normal 2 2 13" xfId="5591" xr:uid="{00000000-0005-0000-0000-00008B220000}"/>
    <cellStyle name="Normal 2 2 14" xfId="5592" xr:uid="{00000000-0005-0000-0000-00008C220000}"/>
    <cellStyle name="Normal 2 2 14 2 5" xfId="10482" xr:uid="{00000000-0005-0000-0000-00008D220000}"/>
    <cellStyle name="Normal 2 2 15" xfId="5593" xr:uid="{00000000-0005-0000-0000-00008E220000}"/>
    <cellStyle name="Normal 2 2 16" xfId="5594" xr:uid="{00000000-0005-0000-0000-00008F220000}"/>
    <cellStyle name="Normal 2 2 17" xfId="5595" xr:uid="{00000000-0005-0000-0000-000090220000}"/>
    <cellStyle name="Normal 2 2 18" xfId="10461" xr:uid="{00000000-0005-0000-0000-000091220000}"/>
    <cellStyle name="Normal 2 2 19" xfId="191" xr:uid="{00000000-0005-0000-0000-000092220000}"/>
    <cellStyle name="Normal 2 2 2" xfId="192" xr:uid="{00000000-0005-0000-0000-000093220000}"/>
    <cellStyle name="Normal 2 2 2 2" xfId="679" xr:uid="{00000000-0005-0000-0000-000094220000}"/>
    <cellStyle name="Normal 2 2 2 2 2" xfId="5596" xr:uid="{00000000-0005-0000-0000-000095220000}"/>
    <cellStyle name="Normal 2 2 2 2 2 2 2" xfId="5597" xr:uid="{00000000-0005-0000-0000-000096220000}"/>
    <cellStyle name="Normal 2 2 2 2 2 2 2 4" xfId="10486" xr:uid="{00000000-0005-0000-0000-000097220000}"/>
    <cellStyle name="Normal 2 2 2 2 3" xfId="5598" xr:uid="{00000000-0005-0000-0000-000098220000}"/>
    <cellStyle name="Normal 2 2 2 2 4" xfId="5599" xr:uid="{00000000-0005-0000-0000-000099220000}"/>
    <cellStyle name="Normal 2 2 2 2 5" xfId="5600" xr:uid="{00000000-0005-0000-0000-00009A220000}"/>
    <cellStyle name="Normal 2 2 2 3" xfId="5601" xr:uid="{00000000-0005-0000-0000-00009B220000}"/>
    <cellStyle name="Normal 2 2 2 3 3" xfId="193" xr:uid="{00000000-0005-0000-0000-00009C220000}"/>
    <cellStyle name="Normal 2 2 2 3 9" xfId="5602" xr:uid="{00000000-0005-0000-0000-00009D220000}"/>
    <cellStyle name="Normal 2 2 2 3 9 2" xfId="5603" xr:uid="{00000000-0005-0000-0000-00009E220000}"/>
    <cellStyle name="Normal 2 2 2 3 9 2 2" xfId="7647" xr:uid="{00000000-0005-0000-0000-00009F220000}"/>
    <cellStyle name="Normal 2 2 2 3 9 2 2 2" xfId="10328" xr:uid="{00000000-0005-0000-0000-0000A0220000}"/>
    <cellStyle name="Normal 2 2 2 3 9 2 3" xfId="8988" xr:uid="{00000000-0005-0000-0000-0000A1220000}"/>
    <cellStyle name="Normal 2 2 2 3 9 3" xfId="7646" xr:uid="{00000000-0005-0000-0000-0000A2220000}"/>
    <cellStyle name="Normal 2 2 2 3 9 3 2" xfId="10327" xr:uid="{00000000-0005-0000-0000-0000A3220000}"/>
    <cellStyle name="Normal 2 2 2 3 9 4" xfId="8987" xr:uid="{00000000-0005-0000-0000-0000A4220000}"/>
    <cellStyle name="Normal 2 2 2 4" xfId="5604" xr:uid="{00000000-0005-0000-0000-0000A5220000}"/>
    <cellStyle name="Normal 2 2 2 5" xfId="5605" xr:uid="{00000000-0005-0000-0000-0000A6220000}"/>
    <cellStyle name="Normal 2 2 2 6" xfId="5606" xr:uid="{00000000-0005-0000-0000-0000A7220000}"/>
    <cellStyle name="Normal 2 2 2 7" xfId="5607" xr:uid="{00000000-0005-0000-0000-0000A8220000}"/>
    <cellStyle name="Normal 2 2 3" xfId="680" xr:uid="{00000000-0005-0000-0000-0000A9220000}"/>
    <cellStyle name="Normal 2 2 3 2" xfId="5608" xr:uid="{00000000-0005-0000-0000-0000AA220000}"/>
    <cellStyle name="Normal 2 2 4" xfId="681" xr:uid="{00000000-0005-0000-0000-0000AB220000}"/>
    <cellStyle name="Normal 2 2 4 2" xfId="5609" xr:uid="{00000000-0005-0000-0000-0000AC220000}"/>
    <cellStyle name="Normal 2 2 49" xfId="5610" xr:uid="{00000000-0005-0000-0000-0000AD220000}"/>
    <cellStyle name="Normal 2 2 49 2" xfId="5611" xr:uid="{00000000-0005-0000-0000-0000AE220000}"/>
    <cellStyle name="Normal 2 2 49 2 2" xfId="7649" xr:uid="{00000000-0005-0000-0000-0000AF220000}"/>
    <cellStyle name="Normal 2 2 49 2 2 2" xfId="10330" xr:uid="{00000000-0005-0000-0000-0000B0220000}"/>
    <cellStyle name="Normal 2 2 49 2 3" xfId="8990" xr:uid="{00000000-0005-0000-0000-0000B1220000}"/>
    <cellStyle name="Normal 2 2 49 3" xfId="7648" xr:uid="{00000000-0005-0000-0000-0000B2220000}"/>
    <cellStyle name="Normal 2 2 49 3 2" xfId="10329" xr:uid="{00000000-0005-0000-0000-0000B3220000}"/>
    <cellStyle name="Normal 2 2 49 4" xfId="8989" xr:uid="{00000000-0005-0000-0000-0000B4220000}"/>
    <cellStyle name="Normal 2 2 5" xfId="194" xr:uid="{00000000-0005-0000-0000-0000B5220000}"/>
    <cellStyle name="Normal 2 2 5 2" xfId="6219" xr:uid="{00000000-0005-0000-0000-0000B6220000}"/>
    <cellStyle name="Normal 2 2 5 3" xfId="5612" xr:uid="{00000000-0005-0000-0000-0000B7220000}"/>
    <cellStyle name="Normal 2 2 6" xfId="1270" xr:uid="{00000000-0005-0000-0000-0000B8220000}"/>
    <cellStyle name="Normal 2 2 6 2" xfId="5613" xr:uid="{00000000-0005-0000-0000-0000B9220000}"/>
    <cellStyle name="Normal 2 2 7" xfId="5614" xr:uid="{00000000-0005-0000-0000-0000BA220000}"/>
    <cellStyle name="Normal 2 2 8" xfId="5615" xr:uid="{00000000-0005-0000-0000-0000BB220000}"/>
    <cellStyle name="Normal 2 2 9" xfId="5616" xr:uid="{00000000-0005-0000-0000-0000BC220000}"/>
    <cellStyle name="Normal 2 2_BRIGADE BLOCK A &amp; B  IBMS DDC BUDGETARY ESTIMATES 10 03 14 R0" xfId="682" xr:uid="{00000000-0005-0000-0000-0000BD220000}"/>
    <cellStyle name="Normal 2 20" xfId="67" xr:uid="{00000000-0005-0000-0000-0000BE220000}"/>
    <cellStyle name="Normal 2 21" xfId="10477" xr:uid="{00000000-0005-0000-0000-0000BF220000}"/>
    <cellStyle name="Normal 2 3" xfId="16" xr:uid="{00000000-0005-0000-0000-0000C0220000}"/>
    <cellStyle name="Normal 2 3 10" xfId="6377" xr:uid="{00000000-0005-0000-0000-0000C1220000}"/>
    <cellStyle name="Normal 2 3 10 2" xfId="9096" xr:uid="{00000000-0005-0000-0000-0000C2220000}"/>
    <cellStyle name="Normal 2 3 11" xfId="7757" xr:uid="{00000000-0005-0000-0000-0000C3220000}"/>
    <cellStyle name="Normal 2 3 12" xfId="195" xr:uid="{00000000-0005-0000-0000-0000C4220000}"/>
    <cellStyle name="Normal 2 3 2" xfId="196" xr:uid="{00000000-0005-0000-0000-0000C5220000}"/>
    <cellStyle name="Normal 2 3 2 2" xfId="1268" xr:uid="{00000000-0005-0000-0000-0000C6220000}"/>
    <cellStyle name="Normal 2 3 2 2 2" xfId="5618" xr:uid="{00000000-0005-0000-0000-0000C7220000}"/>
    <cellStyle name="Normal 2 3 2 2 3" xfId="5619" xr:uid="{00000000-0005-0000-0000-0000C8220000}"/>
    <cellStyle name="Normal 2 3 2 2 4" xfId="5617" xr:uid="{00000000-0005-0000-0000-0000C9220000}"/>
    <cellStyle name="Normal 2 3 2 2 5" xfId="6979" xr:uid="{00000000-0005-0000-0000-0000CA220000}"/>
    <cellStyle name="Normal 2 3 2 2 5 2" xfId="9686" xr:uid="{00000000-0005-0000-0000-0000CB220000}"/>
    <cellStyle name="Normal 2 3 2 2 6" xfId="8347" xr:uid="{00000000-0005-0000-0000-0000CC220000}"/>
    <cellStyle name="Normal 2 3 2 3" xfId="684" xr:uid="{00000000-0005-0000-0000-0000CD220000}"/>
    <cellStyle name="Normal 2 3 2 3 2" xfId="5620" xr:uid="{00000000-0005-0000-0000-0000CE220000}"/>
    <cellStyle name="Normal 2 3 2 4" xfId="1398" xr:uid="{00000000-0005-0000-0000-0000CF220000}"/>
    <cellStyle name="Normal 2 3 2 4 2" xfId="5621" xr:uid="{00000000-0005-0000-0000-0000D0220000}"/>
    <cellStyle name="Normal 2 3 2 4 3" xfId="7103" xr:uid="{00000000-0005-0000-0000-0000D1220000}"/>
    <cellStyle name="Normal 2 3 2 4 3 2" xfId="9808" xr:uid="{00000000-0005-0000-0000-0000D2220000}"/>
    <cellStyle name="Normal 2 3 2 4 4" xfId="8469" xr:uid="{00000000-0005-0000-0000-0000D3220000}"/>
    <cellStyle name="Normal 2 3 2 5" xfId="5622" xr:uid="{00000000-0005-0000-0000-0000D4220000}"/>
    <cellStyle name="Normal 2 3 2 6" xfId="6378" xr:uid="{00000000-0005-0000-0000-0000D5220000}"/>
    <cellStyle name="Normal 2 3 2 6 2" xfId="9097" xr:uid="{00000000-0005-0000-0000-0000D6220000}"/>
    <cellStyle name="Normal 2 3 2 7" xfId="7758" xr:uid="{00000000-0005-0000-0000-0000D7220000}"/>
    <cellStyle name="Normal 2 3 3" xfId="685" xr:uid="{00000000-0005-0000-0000-0000D8220000}"/>
    <cellStyle name="Normal 2 3 4" xfId="1269" xr:uid="{00000000-0005-0000-0000-0000D9220000}"/>
    <cellStyle name="Normal 2 3 4 2" xfId="5623" xr:uid="{00000000-0005-0000-0000-0000DA220000}"/>
    <cellStyle name="Normal 2 3 4 3" xfId="6980" xr:uid="{00000000-0005-0000-0000-0000DB220000}"/>
    <cellStyle name="Normal 2 3 4 3 2" xfId="9687" xr:uid="{00000000-0005-0000-0000-0000DC220000}"/>
    <cellStyle name="Normal 2 3 4 4" xfId="8348" xr:uid="{00000000-0005-0000-0000-0000DD220000}"/>
    <cellStyle name="Normal 2 3 5" xfId="683" xr:uid="{00000000-0005-0000-0000-0000DE220000}"/>
    <cellStyle name="Normal 2 3 5 2" xfId="5624" xr:uid="{00000000-0005-0000-0000-0000DF220000}"/>
    <cellStyle name="Normal 2 3 5 2 2" xfId="7650" xr:uid="{00000000-0005-0000-0000-0000E0220000}"/>
    <cellStyle name="Normal 2 3 5 2 2 2" xfId="10331" xr:uid="{00000000-0005-0000-0000-0000E1220000}"/>
    <cellStyle name="Normal 2 3 5 2 3" xfId="8991" xr:uid="{00000000-0005-0000-0000-0000E2220000}"/>
    <cellStyle name="Normal 2 3 5 3" xfId="5625" xr:uid="{00000000-0005-0000-0000-0000E3220000}"/>
    <cellStyle name="Normal 2 3 5 4" xfId="5626" xr:uid="{00000000-0005-0000-0000-0000E4220000}"/>
    <cellStyle name="Normal 2 3 5 4 2" xfId="7651" xr:uid="{00000000-0005-0000-0000-0000E5220000}"/>
    <cellStyle name="Normal 2 3 5 4 2 2" xfId="10332" xr:uid="{00000000-0005-0000-0000-0000E6220000}"/>
    <cellStyle name="Normal 2 3 5 4 3" xfId="8992" xr:uid="{00000000-0005-0000-0000-0000E7220000}"/>
    <cellStyle name="Normal 2 3 6" xfId="1397" xr:uid="{00000000-0005-0000-0000-0000E8220000}"/>
    <cellStyle name="Normal 2 3 6 2" xfId="5627" xr:uid="{00000000-0005-0000-0000-0000E9220000}"/>
    <cellStyle name="Normal 2 3 6 2 2" xfId="7652" xr:uid="{00000000-0005-0000-0000-0000EA220000}"/>
    <cellStyle name="Normal 2 3 6 2 2 2" xfId="10333" xr:uid="{00000000-0005-0000-0000-0000EB220000}"/>
    <cellStyle name="Normal 2 3 6 2 3" xfId="8993" xr:uid="{00000000-0005-0000-0000-0000EC220000}"/>
    <cellStyle name="Normal 2 3 6 3" xfId="7102" xr:uid="{00000000-0005-0000-0000-0000ED220000}"/>
    <cellStyle name="Normal 2 3 6 3 2" xfId="9807" xr:uid="{00000000-0005-0000-0000-0000EE220000}"/>
    <cellStyle name="Normal 2 3 6 4" xfId="8468" xr:uid="{00000000-0005-0000-0000-0000EF220000}"/>
    <cellStyle name="Normal 2 3 7" xfId="5628" xr:uid="{00000000-0005-0000-0000-0000F0220000}"/>
    <cellStyle name="Normal 2 3 8" xfId="5629" xr:uid="{00000000-0005-0000-0000-0000F1220000}"/>
    <cellStyle name="Normal 2 3 9" xfId="5630" xr:uid="{00000000-0005-0000-0000-0000F2220000}"/>
    <cellStyle name="Normal 2 32 5 2" xfId="10522" xr:uid="{00000000-0005-0000-0000-0000F3220000}"/>
    <cellStyle name="Normal 2 4" xfId="227" xr:uid="{00000000-0005-0000-0000-0000F4220000}"/>
    <cellStyle name="Normal 2 4 2" xfId="686" xr:uid="{00000000-0005-0000-0000-0000F5220000}"/>
    <cellStyle name="Normal 2 4 3" xfId="5631" xr:uid="{00000000-0005-0000-0000-0000F6220000}"/>
    <cellStyle name="Normal 2 4 4" xfId="5632" xr:uid="{00000000-0005-0000-0000-0000F7220000}"/>
    <cellStyle name="Normal 2 5" xfId="687" xr:uid="{00000000-0005-0000-0000-0000F8220000}"/>
    <cellStyle name="Normal 2 5 2" xfId="5633" xr:uid="{00000000-0005-0000-0000-0000F9220000}"/>
    <cellStyle name="Normal 2 5 3" xfId="5634" xr:uid="{00000000-0005-0000-0000-0000FA220000}"/>
    <cellStyle name="Normal 2 6" xfId="688" xr:uid="{00000000-0005-0000-0000-0000FB220000}"/>
    <cellStyle name="Normal 2 6 2" xfId="5635" xr:uid="{00000000-0005-0000-0000-0000FC220000}"/>
    <cellStyle name="Normal 2 6 3" xfId="5636" xr:uid="{00000000-0005-0000-0000-0000FD220000}"/>
    <cellStyle name="Normal 2 7" xfId="197" xr:uid="{00000000-0005-0000-0000-0000FE220000}"/>
    <cellStyle name="Normal 2 7 2" xfId="5637" xr:uid="{00000000-0005-0000-0000-0000FF220000}"/>
    <cellStyle name="Normal 2 7 3" xfId="5638" xr:uid="{00000000-0005-0000-0000-000000230000}"/>
    <cellStyle name="Normal 2 8" xfId="110" xr:uid="{00000000-0005-0000-0000-000001230000}"/>
    <cellStyle name="Normal 2 8 16" xfId="10488" xr:uid="{00000000-0005-0000-0000-000002230000}"/>
    <cellStyle name="Normal 2 8 2" xfId="5639" xr:uid="{00000000-0005-0000-0000-000003230000}"/>
    <cellStyle name="Normal 2 8 3" xfId="5640" xr:uid="{00000000-0005-0000-0000-000004230000}"/>
    <cellStyle name="Normal 2 8 4" xfId="51" xr:uid="{00000000-0005-0000-0000-000005230000}"/>
    <cellStyle name="Normal 2 9" xfId="689" xr:uid="{00000000-0005-0000-0000-000006230000}"/>
    <cellStyle name="Normal 2 9 2" xfId="5641" xr:uid="{00000000-0005-0000-0000-000007230000}"/>
    <cellStyle name="Normal 2 9 3" xfId="5642" xr:uid="{00000000-0005-0000-0000-000008230000}"/>
    <cellStyle name="Normal 2_Electrical BOQ -working" xfId="5643" xr:uid="{00000000-0005-0000-0000-000009230000}"/>
    <cellStyle name="Normal 20" xfId="184" xr:uid="{00000000-0005-0000-0000-00000A230000}"/>
    <cellStyle name="Normal 20 2" xfId="5644" xr:uid="{00000000-0005-0000-0000-00000B230000}"/>
    <cellStyle name="Normal 20 2 2" xfId="5645" xr:uid="{00000000-0005-0000-0000-00000C230000}"/>
    <cellStyle name="Normal 20 2 3" xfId="7653" xr:uid="{00000000-0005-0000-0000-00000D230000}"/>
    <cellStyle name="Normal 20 2 3 2" xfId="10334" xr:uid="{00000000-0005-0000-0000-00000E230000}"/>
    <cellStyle name="Normal 20 2 4" xfId="8994" xr:uid="{00000000-0005-0000-0000-00000F230000}"/>
    <cellStyle name="Normal 20 3" xfId="5646" xr:uid="{00000000-0005-0000-0000-000010230000}"/>
    <cellStyle name="Normal 20 4" xfId="5647" xr:uid="{00000000-0005-0000-0000-000011230000}"/>
    <cellStyle name="Normal 20 4 2" xfId="7654" xr:uid="{00000000-0005-0000-0000-000012230000}"/>
    <cellStyle name="Normal 20 4 2 2" xfId="10335" xr:uid="{00000000-0005-0000-0000-000013230000}"/>
    <cellStyle name="Normal 20 4 3" xfId="8995" xr:uid="{00000000-0005-0000-0000-000014230000}"/>
    <cellStyle name="Normal 21" xfId="690" xr:uid="{00000000-0005-0000-0000-000015230000}"/>
    <cellStyle name="Normal 21 2" xfId="188" xr:uid="{00000000-0005-0000-0000-000016230000}"/>
    <cellStyle name="Normal 21 3" xfId="5648" xr:uid="{00000000-0005-0000-0000-000017230000}"/>
    <cellStyle name="Normal 22" xfId="691" xr:uid="{00000000-0005-0000-0000-000018230000}"/>
    <cellStyle name="Normal 22 2" xfId="5649" xr:uid="{00000000-0005-0000-0000-000019230000}"/>
    <cellStyle name="Normal 226" xfId="692" xr:uid="{00000000-0005-0000-0000-00001A230000}"/>
    <cellStyle name="Normal 226 2" xfId="5650" xr:uid="{00000000-0005-0000-0000-00001B230000}"/>
    <cellStyle name="Normal 23" xfId="693" xr:uid="{00000000-0005-0000-0000-00001C230000}"/>
    <cellStyle name="Normal 23 2" xfId="5651" xr:uid="{00000000-0005-0000-0000-00001D230000}"/>
    <cellStyle name="Normal 23 2 2" xfId="5652" xr:uid="{00000000-0005-0000-0000-00001E230000}"/>
    <cellStyle name="Normal 24" xfId="694" xr:uid="{00000000-0005-0000-0000-00001F230000}"/>
    <cellStyle name="Normal 24 2" xfId="5653" xr:uid="{00000000-0005-0000-0000-000020230000}"/>
    <cellStyle name="Normal 25" xfId="695" xr:uid="{00000000-0005-0000-0000-000021230000}"/>
    <cellStyle name="Normal 25 2" xfId="5654" xr:uid="{00000000-0005-0000-0000-000022230000}"/>
    <cellStyle name="Normal 26" xfId="696" xr:uid="{00000000-0005-0000-0000-000023230000}"/>
    <cellStyle name="Normal 26 2" xfId="5655" xr:uid="{00000000-0005-0000-0000-000024230000}"/>
    <cellStyle name="Normal 26 2 2" xfId="5656" xr:uid="{00000000-0005-0000-0000-000025230000}"/>
    <cellStyle name="Normal 26 2 2 2" xfId="5657" xr:uid="{00000000-0005-0000-0000-000026230000}"/>
    <cellStyle name="Normal 27" xfId="198" xr:uid="{00000000-0005-0000-0000-000027230000}"/>
    <cellStyle name="Normal 27 2" xfId="5658" xr:uid="{00000000-0005-0000-0000-000028230000}"/>
    <cellStyle name="Normal 28" xfId="697" xr:uid="{00000000-0005-0000-0000-000029230000}"/>
    <cellStyle name="Normal 28 2" xfId="5659" xr:uid="{00000000-0005-0000-0000-00002A230000}"/>
    <cellStyle name="Normal 29" xfId="90" xr:uid="{00000000-0005-0000-0000-00002B230000}"/>
    <cellStyle name="Normal 29 2" xfId="5660" xr:uid="{00000000-0005-0000-0000-00002C230000}"/>
    <cellStyle name="Normal 29 3" xfId="5661" xr:uid="{00000000-0005-0000-0000-00002D230000}"/>
    <cellStyle name="Normal 29 4" xfId="5662" xr:uid="{00000000-0005-0000-0000-00002E230000}"/>
    <cellStyle name="Normal 29 4 2" xfId="5663" xr:uid="{00000000-0005-0000-0000-00002F230000}"/>
    <cellStyle name="Normal 29 4 3" xfId="7655" xr:uid="{00000000-0005-0000-0000-000030230000}"/>
    <cellStyle name="Normal 29 4 3 2" xfId="10336" xr:uid="{00000000-0005-0000-0000-000031230000}"/>
    <cellStyle name="Normal 29 4 4" xfId="8996" xr:uid="{00000000-0005-0000-0000-000032230000}"/>
    <cellStyle name="Normal 29 5" xfId="5664" xr:uid="{00000000-0005-0000-0000-000033230000}"/>
    <cellStyle name="Normal 29 6" xfId="5665" xr:uid="{00000000-0005-0000-0000-000034230000}"/>
    <cellStyle name="Normal 29 6 2" xfId="7656" xr:uid="{00000000-0005-0000-0000-000035230000}"/>
    <cellStyle name="Normal 29 6 2 2" xfId="10337" xr:uid="{00000000-0005-0000-0000-000036230000}"/>
    <cellStyle name="Normal 29 6 3" xfId="8997" xr:uid="{00000000-0005-0000-0000-000037230000}"/>
    <cellStyle name="Normal 29 7" xfId="698" xr:uid="{00000000-0005-0000-0000-000038230000}"/>
    <cellStyle name="Normal 3" xfId="7" xr:uid="{00000000-0005-0000-0000-000039230000}"/>
    <cellStyle name="Normal 3 10" xfId="129" xr:uid="{00000000-0005-0000-0000-00003A230000}"/>
    <cellStyle name="Normal 3 10 2" xfId="230" xr:uid="{00000000-0005-0000-0000-00003B230000}"/>
    <cellStyle name="Normal 3 10 2 2" xfId="1252" xr:uid="{00000000-0005-0000-0000-00003C230000}"/>
    <cellStyle name="Normal 3 10 3" xfId="5666" xr:uid="{00000000-0005-0000-0000-00003D230000}"/>
    <cellStyle name="Normal 3 11" xfId="5667" xr:uid="{00000000-0005-0000-0000-00003E230000}"/>
    <cellStyle name="Normal 3 12" xfId="5668" xr:uid="{00000000-0005-0000-0000-00003F230000}"/>
    <cellStyle name="Normal 3 13" xfId="70" xr:uid="{00000000-0005-0000-0000-000040230000}"/>
    <cellStyle name="Normal 3 13 2" xfId="5669" xr:uid="{00000000-0005-0000-0000-000041230000}"/>
    <cellStyle name="Normal 3 14" xfId="5670" xr:uid="{00000000-0005-0000-0000-000042230000}"/>
    <cellStyle name="Normal 3 15" xfId="1492" xr:uid="{00000000-0005-0000-0000-000043230000}"/>
    <cellStyle name="Normal 3 15 2" xfId="7183" xr:uid="{00000000-0005-0000-0000-000044230000}"/>
    <cellStyle name="Normal 3 15 2 2" xfId="9886" xr:uid="{00000000-0005-0000-0000-000045230000}"/>
    <cellStyle name="Normal 3 15 3" xfId="8546" xr:uid="{00000000-0005-0000-0000-000046230000}"/>
    <cellStyle name="Normal 3 15 4" xfId="10457" xr:uid="{00000000-0005-0000-0000-000047230000}"/>
    <cellStyle name="Normal 3 16" xfId="119" xr:uid="{00000000-0005-0000-0000-000048230000}"/>
    <cellStyle name="Normal 3 2" xfId="199" xr:uid="{00000000-0005-0000-0000-000049230000}"/>
    <cellStyle name="Normal 3 2 2" xfId="700" xr:uid="{00000000-0005-0000-0000-00004A230000}"/>
    <cellStyle name="Normal 3 2 2 2" xfId="701" xr:uid="{00000000-0005-0000-0000-00004B230000}"/>
    <cellStyle name="Normal 3 2 2 2 2" xfId="1427" xr:uid="{00000000-0005-0000-0000-00004C230000}"/>
    <cellStyle name="Normal 3 2 2 2 2 2" xfId="7126" xr:uid="{00000000-0005-0000-0000-00004D230000}"/>
    <cellStyle name="Normal 3 2 2 2 2 2 2" xfId="9829" xr:uid="{00000000-0005-0000-0000-00004E230000}"/>
    <cellStyle name="Normal 3 2 2 2 2 3" xfId="8489" xr:uid="{00000000-0005-0000-0000-00004F230000}"/>
    <cellStyle name="Normal 3 2 2 2 3" xfId="6547" xr:uid="{00000000-0005-0000-0000-000050230000}"/>
    <cellStyle name="Normal 3 2 2 2 3 2" xfId="9261" xr:uid="{00000000-0005-0000-0000-000051230000}"/>
    <cellStyle name="Normal 3 2 2 2 4" xfId="7922" xr:uid="{00000000-0005-0000-0000-000052230000}"/>
    <cellStyle name="Normal 3 2 2 2 5 2" xfId="10629" xr:uid="{606B98C6-4E6B-4BEC-9C45-92DD93BB7DE0}"/>
    <cellStyle name="Normal 3 2 2 3" xfId="5671" xr:uid="{00000000-0005-0000-0000-000053230000}"/>
    <cellStyle name="Normal 3 2 2 4" xfId="5672" xr:uid="{00000000-0005-0000-0000-000054230000}"/>
    <cellStyle name="Normal 3 2 2 5" xfId="5673" xr:uid="{00000000-0005-0000-0000-000055230000}"/>
    <cellStyle name="Normal 3 2 2 6" xfId="1444" xr:uid="{00000000-0005-0000-0000-000056230000}"/>
    <cellStyle name="Normal 3 2 2 6 2" xfId="7140" xr:uid="{00000000-0005-0000-0000-000057230000}"/>
    <cellStyle name="Normal 3 2 2 6 2 2" xfId="9843" xr:uid="{00000000-0005-0000-0000-000058230000}"/>
    <cellStyle name="Normal 3 2 2 6 3" xfId="8503" xr:uid="{00000000-0005-0000-0000-000059230000}"/>
    <cellStyle name="Normal 3 2 2 7" xfId="6546" xr:uid="{00000000-0005-0000-0000-00005A230000}"/>
    <cellStyle name="Normal 3 2 2 7 2" xfId="9260" xr:uid="{00000000-0005-0000-0000-00005B230000}"/>
    <cellStyle name="Normal 3 2 2 8" xfId="7921" xr:uid="{00000000-0005-0000-0000-00005C230000}"/>
    <cellStyle name="Normal 3 2 3" xfId="200" xr:uid="{00000000-0005-0000-0000-00005D230000}"/>
    <cellStyle name="Normal 3 2 4" xfId="702" xr:uid="{00000000-0005-0000-0000-00005E230000}"/>
    <cellStyle name="Normal 3 2 5" xfId="703" xr:uid="{00000000-0005-0000-0000-00005F230000}"/>
    <cellStyle name="Normal 3 2 5 2" xfId="1530" xr:uid="{00000000-0005-0000-0000-000060230000}"/>
    <cellStyle name="Normal 3 2 5 2 2" xfId="7209" xr:uid="{00000000-0005-0000-0000-000061230000}"/>
    <cellStyle name="Normal 3 2 5 2 2 2" xfId="9912" xr:uid="{00000000-0005-0000-0000-000062230000}"/>
    <cellStyle name="Normal 3 2 5 2 3" xfId="8572" xr:uid="{00000000-0005-0000-0000-000063230000}"/>
    <cellStyle name="Normal 3 2 6" xfId="699" xr:uid="{00000000-0005-0000-0000-000064230000}"/>
    <cellStyle name="Normal 3 2 6 2" xfId="5674" xr:uid="{00000000-0005-0000-0000-000065230000}"/>
    <cellStyle name="Normal 3 2 6 3" xfId="6545" xr:uid="{00000000-0005-0000-0000-000066230000}"/>
    <cellStyle name="Normal 3 2 6 3 2" xfId="9259" xr:uid="{00000000-0005-0000-0000-000067230000}"/>
    <cellStyle name="Normal 3 2 6 4" xfId="7920" xr:uid="{00000000-0005-0000-0000-000068230000}"/>
    <cellStyle name="Normal 3 2 7" xfId="5675" xr:uid="{00000000-0005-0000-0000-000069230000}"/>
    <cellStyle name="Normal 3 2 8" xfId="10507" xr:uid="{00000000-0005-0000-0000-00006A230000}"/>
    <cellStyle name="Normal 3 3" xfId="201" xr:uid="{00000000-0005-0000-0000-00006B230000}"/>
    <cellStyle name="Normal 3 3 2" xfId="164" xr:uid="{00000000-0005-0000-0000-00006C230000}"/>
    <cellStyle name="Normal 3 3 2 2" xfId="705" xr:uid="{00000000-0005-0000-0000-00006D230000}"/>
    <cellStyle name="Normal 3 3 2 2 2" xfId="6549" xr:uid="{00000000-0005-0000-0000-00006E230000}"/>
    <cellStyle name="Normal 3 3 2 2 2 2" xfId="9263" xr:uid="{00000000-0005-0000-0000-00006F230000}"/>
    <cellStyle name="Normal 3 3 2 2 3" xfId="7924" xr:uid="{00000000-0005-0000-0000-000070230000}"/>
    <cellStyle name="Normal 3 3 2 3" xfId="1379" xr:uid="{00000000-0005-0000-0000-000071230000}"/>
    <cellStyle name="Normal 3 3 2 3 2" xfId="5676" xr:uid="{00000000-0005-0000-0000-000072230000}"/>
    <cellStyle name="Normal 3 3 2 3 2 2" xfId="7657" xr:uid="{00000000-0005-0000-0000-000073230000}"/>
    <cellStyle name="Normal 3 3 2 3 2 2 2" xfId="10338" xr:uid="{00000000-0005-0000-0000-000074230000}"/>
    <cellStyle name="Normal 3 3 2 3 2 3" xfId="8998" xr:uid="{00000000-0005-0000-0000-000075230000}"/>
    <cellStyle name="Normal 3 3 2 3 3" xfId="7084" xr:uid="{00000000-0005-0000-0000-000076230000}"/>
    <cellStyle name="Normal 3 3 2 3 3 2" xfId="9789" xr:uid="{00000000-0005-0000-0000-000077230000}"/>
    <cellStyle name="Normal 3 3 2 3 4" xfId="8450" xr:uid="{00000000-0005-0000-0000-000078230000}"/>
    <cellStyle name="Normal 3 3 2 4" xfId="1494" xr:uid="{00000000-0005-0000-0000-000079230000}"/>
    <cellStyle name="Normal 3 3 2 4 2" xfId="7185" xr:uid="{00000000-0005-0000-0000-00007A230000}"/>
    <cellStyle name="Normal 3 3 2 4 2 2" xfId="9888" xr:uid="{00000000-0005-0000-0000-00007B230000}"/>
    <cellStyle name="Normal 3 3 2 4 3" xfId="8548" xr:uid="{00000000-0005-0000-0000-00007C230000}"/>
    <cellStyle name="Normal 3 3 2 5" xfId="6359" xr:uid="{00000000-0005-0000-0000-00007D230000}"/>
    <cellStyle name="Normal 3 3 2 5 2" xfId="9078" xr:uid="{00000000-0005-0000-0000-00007E230000}"/>
    <cellStyle name="Normal 3 3 2 6" xfId="7739" xr:uid="{00000000-0005-0000-0000-00007F230000}"/>
    <cellStyle name="Normal 3 3 3" xfId="704" xr:uid="{00000000-0005-0000-0000-000080230000}"/>
    <cellStyle name="Normal 3 3 3 2" xfId="233" xr:uid="{00000000-0005-0000-0000-000081230000}"/>
    <cellStyle name="Normal 3 3 3 2 2" xfId="1250" xr:uid="{00000000-0005-0000-0000-000082230000}"/>
    <cellStyle name="Normal 3 3 3 2 2 2" xfId="6968" xr:uid="{00000000-0005-0000-0000-000083230000}"/>
    <cellStyle name="Normal 3 3 3 2 2 2 2" xfId="9675" xr:uid="{00000000-0005-0000-0000-000084230000}"/>
    <cellStyle name="Normal 3 3 3 2 2 3" xfId="8336" xr:uid="{00000000-0005-0000-0000-000085230000}"/>
    <cellStyle name="Normal 3 3 3 2 3" xfId="1416" xr:uid="{00000000-0005-0000-0000-000086230000}"/>
    <cellStyle name="Normal 3 3 3 2 3 2" xfId="7121" xr:uid="{00000000-0005-0000-0000-000087230000}"/>
    <cellStyle name="Normal 3 3 3 2 3 2 2" xfId="9824" xr:uid="{00000000-0005-0000-0000-000088230000}"/>
    <cellStyle name="Normal 3 3 3 2 3 3" xfId="8485" xr:uid="{00000000-0005-0000-0000-000089230000}"/>
    <cellStyle name="Normal 3 3 3 2 4" xfId="6226" xr:uid="{00000000-0005-0000-0000-00008A230000}"/>
    <cellStyle name="Normal 3 3 3 2 4 2" xfId="7704" xr:uid="{00000000-0005-0000-0000-00008B230000}"/>
    <cellStyle name="Normal 3 3 3 2 4 2 2" xfId="10385" xr:uid="{00000000-0005-0000-0000-00008C230000}"/>
    <cellStyle name="Normal 3 3 3 2 4 3" xfId="9045" xr:uid="{00000000-0005-0000-0000-00008D230000}"/>
    <cellStyle name="Normal 3 3 3 2 5" xfId="6394" xr:uid="{00000000-0005-0000-0000-00008E230000}"/>
    <cellStyle name="Normal 3 3 3 2 5 2" xfId="9113" xr:uid="{00000000-0005-0000-0000-00008F230000}"/>
    <cellStyle name="Normal 3 3 3 2 6" xfId="7774" xr:uid="{00000000-0005-0000-0000-000090230000}"/>
    <cellStyle name="Normal 3 3 3 3" xfId="5677" xr:uid="{00000000-0005-0000-0000-000091230000}"/>
    <cellStyle name="Normal 3 3 3 4" xfId="6548" xr:uid="{00000000-0005-0000-0000-000092230000}"/>
    <cellStyle name="Normal 3 3 3 4 2" xfId="9262" xr:uid="{00000000-0005-0000-0000-000093230000}"/>
    <cellStyle name="Normal 3 3 3 5" xfId="7923" xr:uid="{00000000-0005-0000-0000-000094230000}"/>
    <cellStyle name="Normal 3 3 4" xfId="1399" xr:uid="{00000000-0005-0000-0000-000095230000}"/>
    <cellStyle name="Normal 3 3 4 2" xfId="7104" xr:uid="{00000000-0005-0000-0000-000096230000}"/>
    <cellStyle name="Normal 3 3 4 2 2" xfId="9809" xr:uid="{00000000-0005-0000-0000-000097230000}"/>
    <cellStyle name="Normal 3 3 4 3" xfId="8470" xr:uid="{00000000-0005-0000-0000-000098230000}"/>
    <cellStyle name="Normal 3 3 5" xfId="1446" xr:uid="{00000000-0005-0000-0000-000099230000}"/>
    <cellStyle name="Normal 3 3 5 2" xfId="7141" xr:uid="{00000000-0005-0000-0000-00009A230000}"/>
    <cellStyle name="Normal 3 3 5 2 2" xfId="9844" xr:uid="{00000000-0005-0000-0000-00009B230000}"/>
    <cellStyle name="Normal 3 3 5 3" xfId="8504" xr:uid="{00000000-0005-0000-0000-00009C230000}"/>
    <cellStyle name="Normal 3 3 6" xfId="6379" xr:uid="{00000000-0005-0000-0000-00009D230000}"/>
    <cellStyle name="Normal 3 3 6 2" xfId="9098" xr:uid="{00000000-0005-0000-0000-00009E230000}"/>
    <cellStyle name="Normal 3 3 7" xfId="7759" xr:uid="{00000000-0005-0000-0000-00009F230000}"/>
    <cellStyle name="Normal 3 4" xfId="706" xr:uid="{00000000-0005-0000-0000-0000A0230000}"/>
    <cellStyle name="Normal 3 4 2" xfId="5678" xr:uid="{00000000-0005-0000-0000-0000A1230000}"/>
    <cellStyle name="Normal 3 4 3" xfId="5679" xr:uid="{00000000-0005-0000-0000-0000A2230000}"/>
    <cellStyle name="Normal 3 4 3 2" xfId="7658" xr:uid="{00000000-0005-0000-0000-0000A3230000}"/>
    <cellStyle name="Normal 3 4 3 2 2" xfId="10339" xr:uid="{00000000-0005-0000-0000-0000A4230000}"/>
    <cellStyle name="Normal 3 4 3 3" xfId="8999" xr:uid="{00000000-0005-0000-0000-0000A5230000}"/>
    <cellStyle name="Normal 3 5" xfId="5680" xr:uid="{00000000-0005-0000-0000-0000A6230000}"/>
    <cellStyle name="Normal 3 5 5 2" xfId="54" xr:uid="{00000000-0005-0000-0000-0000A7230000}"/>
    <cellStyle name="Normal 3 5 5 2 10" xfId="10481" xr:uid="{00000000-0005-0000-0000-0000A8230000}"/>
    <cellStyle name="Normal 3 6" xfId="5681" xr:uid="{00000000-0005-0000-0000-0000A9230000}"/>
    <cellStyle name="Normal 3 7" xfId="5682" xr:uid="{00000000-0005-0000-0000-0000AA230000}"/>
    <cellStyle name="Normal 3 8" xfId="5683" xr:uid="{00000000-0005-0000-0000-0000AB230000}"/>
    <cellStyle name="Normal 3 9" xfId="5684" xr:uid="{00000000-0005-0000-0000-0000AC230000}"/>
    <cellStyle name="Normal 30" xfId="707" xr:uid="{00000000-0005-0000-0000-0000AD230000}"/>
    <cellStyle name="Normal 30 2" xfId="5685" xr:uid="{00000000-0005-0000-0000-0000AE230000}"/>
    <cellStyle name="Normal 30 3" xfId="5686" xr:uid="{00000000-0005-0000-0000-0000AF230000}"/>
    <cellStyle name="Normal 30 4" xfId="5687" xr:uid="{00000000-0005-0000-0000-0000B0230000}"/>
    <cellStyle name="Normal 30 4 2" xfId="7659" xr:uid="{00000000-0005-0000-0000-0000B1230000}"/>
    <cellStyle name="Normal 30 4 2 2" xfId="10340" xr:uid="{00000000-0005-0000-0000-0000B2230000}"/>
    <cellStyle name="Normal 30 4 3" xfId="9000" xr:uid="{00000000-0005-0000-0000-0000B3230000}"/>
    <cellStyle name="Normal 31" xfId="708" xr:uid="{00000000-0005-0000-0000-0000B4230000}"/>
    <cellStyle name="Normal 31 2" xfId="5688" xr:uid="{00000000-0005-0000-0000-0000B5230000}"/>
    <cellStyle name="Normal 31 3" xfId="5689" xr:uid="{00000000-0005-0000-0000-0000B6230000}"/>
    <cellStyle name="Normal 31 4" xfId="5690" xr:uid="{00000000-0005-0000-0000-0000B7230000}"/>
    <cellStyle name="Normal 31 4 2" xfId="7660" xr:uid="{00000000-0005-0000-0000-0000B8230000}"/>
    <cellStyle name="Normal 31 4 2 2" xfId="10341" xr:uid="{00000000-0005-0000-0000-0000B9230000}"/>
    <cellStyle name="Normal 31 4 3" xfId="9001" xr:uid="{00000000-0005-0000-0000-0000BA230000}"/>
    <cellStyle name="Normal 32" xfId="709" xr:uid="{00000000-0005-0000-0000-0000BB230000}"/>
    <cellStyle name="Normal 32 2" xfId="710" xr:uid="{00000000-0005-0000-0000-0000BC230000}"/>
    <cellStyle name="Normal 32 3" xfId="5691" xr:uid="{00000000-0005-0000-0000-0000BD230000}"/>
    <cellStyle name="Normal 32 4" xfId="5692" xr:uid="{00000000-0005-0000-0000-0000BE230000}"/>
    <cellStyle name="Normal 32 4 2" xfId="7661" xr:uid="{00000000-0005-0000-0000-0000BF230000}"/>
    <cellStyle name="Normal 32 4 2 2" xfId="10342" xr:uid="{00000000-0005-0000-0000-0000C0230000}"/>
    <cellStyle name="Normal 32 4 3" xfId="9002" xr:uid="{00000000-0005-0000-0000-0000C1230000}"/>
    <cellStyle name="Normal 32 5" xfId="1462" xr:uid="{00000000-0005-0000-0000-0000C2230000}"/>
    <cellStyle name="Normal 32 5 2" xfId="7155" xr:uid="{00000000-0005-0000-0000-0000C3230000}"/>
    <cellStyle name="Normal 32 5 2 2" xfId="9858" xr:uid="{00000000-0005-0000-0000-0000C4230000}"/>
    <cellStyle name="Normal 32 5 3" xfId="8518" xr:uid="{00000000-0005-0000-0000-0000C5230000}"/>
    <cellStyle name="Normal 32 6" xfId="6550" xr:uid="{00000000-0005-0000-0000-0000C6230000}"/>
    <cellStyle name="Normal 32 6 2" xfId="9264" xr:uid="{00000000-0005-0000-0000-0000C7230000}"/>
    <cellStyle name="Normal 32 7" xfId="7925" xr:uid="{00000000-0005-0000-0000-0000C8230000}"/>
    <cellStyle name="Normal 33" xfId="711" xr:uid="{00000000-0005-0000-0000-0000C9230000}"/>
    <cellStyle name="Normal 33 2" xfId="5693" xr:uid="{00000000-0005-0000-0000-0000CA230000}"/>
    <cellStyle name="Normal 33 3" xfId="5694" xr:uid="{00000000-0005-0000-0000-0000CB230000}"/>
    <cellStyle name="Normal 33 4" xfId="5695" xr:uid="{00000000-0005-0000-0000-0000CC230000}"/>
    <cellStyle name="Normal 33 4 2" xfId="7662" xr:uid="{00000000-0005-0000-0000-0000CD230000}"/>
    <cellStyle name="Normal 33 4 2 2" xfId="10343" xr:uid="{00000000-0005-0000-0000-0000CE230000}"/>
    <cellStyle name="Normal 33 4 3" xfId="9003" xr:uid="{00000000-0005-0000-0000-0000CF230000}"/>
    <cellStyle name="Normal 34" xfId="712" xr:uid="{00000000-0005-0000-0000-0000D0230000}"/>
    <cellStyle name="Normal 34 2" xfId="5696" xr:uid="{00000000-0005-0000-0000-0000D1230000}"/>
    <cellStyle name="Normal 34 3" xfId="5697" xr:uid="{00000000-0005-0000-0000-0000D2230000}"/>
    <cellStyle name="Normal 34 3 2" xfId="7663" xr:uid="{00000000-0005-0000-0000-0000D3230000}"/>
    <cellStyle name="Normal 34 3 2 2" xfId="10344" xr:uid="{00000000-0005-0000-0000-0000D4230000}"/>
    <cellStyle name="Normal 34 3 3" xfId="9004" xr:uid="{00000000-0005-0000-0000-0000D5230000}"/>
    <cellStyle name="Normal 34 6" xfId="10502" xr:uid="{00000000-0005-0000-0000-0000D6230000}"/>
    <cellStyle name="Normal 35" xfId="713" xr:uid="{00000000-0005-0000-0000-0000D7230000}"/>
    <cellStyle name="Normal 35 2" xfId="5698" xr:uid="{00000000-0005-0000-0000-0000D8230000}"/>
    <cellStyle name="Normal 35 3" xfId="5699" xr:uid="{00000000-0005-0000-0000-0000D9230000}"/>
    <cellStyle name="Normal 35 3 2" xfId="7664" xr:uid="{00000000-0005-0000-0000-0000DA230000}"/>
    <cellStyle name="Normal 35 3 2 2" xfId="10345" xr:uid="{00000000-0005-0000-0000-0000DB230000}"/>
    <cellStyle name="Normal 35 3 3" xfId="9005" xr:uid="{00000000-0005-0000-0000-0000DC230000}"/>
    <cellStyle name="Normal 36" xfId="714" xr:uid="{00000000-0005-0000-0000-0000DD230000}"/>
    <cellStyle name="Normal 36 2" xfId="5700" xr:uid="{00000000-0005-0000-0000-0000DE230000}"/>
    <cellStyle name="Normal 36 3" xfId="5701" xr:uid="{00000000-0005-0000-0000-0000DF230000}"/>
    <cellStyle name="Normal 36 3 2" xfId="7665" xr:uid="{00000000-0005-0000-0000-0000E0230000}"/>
    <cellStyle name="Normal 36 3 2 2" xfId="10346" xr:uid="{00000000-0005-0000-0000-0000E1230000}"/>
    <cellStyle name="Normal 36 3 3" xfId="9006" xr:uid="{00000000-0005-0000-0000-0000E2230000}"/>
    <cellStyle name="Normal 37" xfId="715" xr:uid="{00000000-0005-0000-0000-0000E3230000}"/>
    <cellStyle name="Normal 37 2" xfId="5702" xr:uid="{00000000-0005-0000-0000-0000E4230000}"/>
    <cellStyle name="Normal 37 3" xfId="5703" xr:uid="{00000000-0005-0000-0000-0000E5230000}"/>
    <cellStyle name="Normal 37 3 2" xfId="7666" xr:uid="{00000000-0005-0000-0000-0000E6230000}"/>
    <cellStyle name="Normal 37 3 2 2" xfId="10347" xr:uid="{00000000-0005-0000-0000-0000E7230000}"/>
    <cellStyle name="Normal 37 3 3" xfId="9007" xr:uid="{00000000-0005-0000-0000-0000E8230000}"/>
    <cellStyle name="Normal 38" xfId="716" xr:uid="{00000000-0005-0000-0000-0000E9230000}"/>
    <cellStyle name="Normal 38 2" xfId="5704" xr:uid="{00000000-0005-0000-0000-0000EA230000}"/>
    <cellStyle name="Normal 38 3" xfId="5705" xr:uid="{00000000-0005-0000-0000-0000EB230000}"/>
    <cellStyle name="Normal 38 3 2" xfId="7667" xr:uid="{00000000-0005-0000-0000-0000EC230000}"/>
    <cellStyle name="Normal 38 3 2 2" xfId="10348" xr:uid="{00000000-0005-0000-0000-0000ED230000}"/>
    <cellStyle name="Normal 38 3 3" xfId="9008" xr:uid="{00000000-0005-0000-0000-0000EE230000}"/>
    <cellStyle name="Normal 39" xfId="717" xr:uid="{00000000-0005-0000-0000-0000EF230000}"/>
    <cellStyle name="Normal 39 2" xfId="5706" xr:uid="{00000000-0005-0000-0000-0000F0230000}"/>
    <cellStyle name="Normal 39 3" xfId="5707" xr:uid="{00000000-0005-0000-0000-0000F1230000}"/>
    <cellStyle name="Normal 39 3 2" xfId="7668" xr:uid="{00000000-0005-0000-0000-0000F2230000}"/>
    <cellStyle name="Normal 39 3 2 2" xfId="10349" xr:uid="{00000000-0005-0000-0000-0000F3230000}"/>
    <cellStyle name="Normal 39 3 3" xfId="9009" xr:uid="{00000000-0005-0000-0000-0000F4230000}"/>
    <cellStyle name="Normal 4" xfId="12" xr:uid="{00000000-0005-0000-0000-0000F5230000}"/>
    <cellStyle name="Normal 4 10" xfId="5708" xr:uid="{00000000-0005-0000-0000-0000F6230000}"/>
    <cellStyle name="Normal 4 11" xfId="5709" xr:uid="{00000000-0005-0000-0000-0000F7230000}"/>
    <cellStyle name="Normal 4 12" xfId="5710" xr:uid="{00000000-0005-0000-0000-0000F8230000}"/>
    <cellStyle name="Normal 4 13" xfId="5711" xr:uid="{00000000-0005-0000-0000-0000F9230000}"/>
    <cellStyle name="Normal 4 14" xfId="5712" xr:uid="{00000000-0005-0000-0000-0000FA230000}"/>
    <cellStyle name="Normal 4 15" xfId="5713" xr:uid="{00000000-0005-0000-0000-0000FB230000}"/>
    <cellStyle name="Normal 4 16" xfId="5714" xr:uid="{00000000-0005-0000-0000-0000FC230000}"/>
    <cellStyle name="Normal 4 17" xfId="202" xr:uid="{00000000-0005-0000-0000-0000FD230000}"/>
    <cellStyle name="Normal 4 18" xfId="121" xr:uid="{00000000-0005-0000-0000-0000FE230000}"/>
    <cellStyle name="Normal 4 2" xfId="203" xr:uid="{00000000-0005-0000-0000-0000FF230000}"/>
    <cellStyle name="Normal 4 2 10" xfId="5715" xr:uid="{00000000-0005-0000-0000-000000240000}"/>
    <cellStyle name="Normal 4 2 11" xfId="5716" xr:uid="{00000000-0005-0000-0000-000001240000}"/>
    <cellStyle name="Normal 4 2 12" xfId="5717" xr:uid="{00000000-0005-0000-0000-000002240000}"/>
    <cellStyle name="Normal 4 2 13" xfId="5718" xr:uid="{00000000-0005-0000-0000-000003240000}"/>
    <cellStyle name="Normal 4 2 14" xfId="5719" xr:uid="{00000000-0005-0000-0000-000004240000}"/>
    <cellStyle name="Normal 4 2 2" xfId="719" xr:uid="{00000000-0005-0000-0000-000005240000}"/>
    <cellStyle name="Normal 4 2 2 2" xfId="720" xr:uid="{00000000-0005-0000-0000-000006240000}"/>
    <cellStyle name="Normal 4 2 2 2 2" xfId="5720" xr:uid="{00000000-0005-0000-0000-000007240000}"/>
    <cellStyle name="Normal 4 2 2 2 3" xfId="5721" xr:uid="{00000000-0005-0000-0000-000008240000}"/>
    <cellStyle name="Normal 4 2 2 2 4" xfId="5722" xr:uid="{00000000-0005-0000-0000-000009240000}"/>
    <cellStyle name="Normal 4 2 2 2 5" xfId="5723" xr:uid="{00000000-0005-0000-0000-00000A240000}"/>
    <cellStyle name="Normal 4 2 2 2 6" xfId="1457" xr:uid="{00000000-0005-0000-0000-00000B240000}"/>
    <cellStyle name="Normal 4 2 2 2 6 2" xfId="7150" xr:uid="{00000000-0005-0000-0000-00000C240000}"/>
    <cellStyle name="Normal 4 2 2 2 6 2 2" xfId="9853" xr:uid="{00000000-0005-0000-0000-00000D240000}"/>
    <cellStyle name="Normal 4 2 2 2 6 3" xfId="8513" xr:uid="{00000000-0005-0000-0000-00000E240000}"/>
    <cellStyle name="Normal 4 2 2 2 7" xfId="6551" xr:uid="{00000000-0005-0000-0000-00000F240000}"/>
    <cellStyle name="Normal 4 2 2 2 7 2" xfId="9265" xr:uid="{00000000-0005-0000-0000-000010240000}"/>
    <cellStyle name="Normal 4 2 2 2 8" xfId="7926" xr:uid="{00000000-0005-0000-0000-000011240000}"/>
    <cellStyle name="Normal 4 2 2 3" xfId="721" xr:uid="{00000000-0005-0000-0000-000012240000}"/>
    <cellStyle name="Normal 4 2 2 3 2" xfId="5724" xr:uid="{00000000-0005-0000-0000-000013240000}"/>
    <cellStyle name="Normal 4 2 2 3 3" xfId="6552" xr:uid="{00000000-0005-0000-0000-000014240000}"/>
    <cellStyle name="Normal 4 2 2 3 3 2" xfId="9266" xr:uid="{00000000-0005-0000-0000-000015240000}"/>
    <cellStyle name="Normal 4 2 2 3 4" xfId="7927" xr:uid="{00000000-0005-0000-0000-000016240000}"/>
    <cellStyle name="Normal 4 2 2 4" xfId="1419" xr:uid="{00000000-0005-0000-0000-000017240000}"/>
    <cellStyle name="Normal 4 2 2 4 2" xfId="5725" xr:uid="{00000000-0005-0000-0000-000018240000}"/>
    <cellStyle name="Normal 4 2 2 5" xfId="5726" xr:uid="{00000000-0005-0000-0000-000019240000}"/>
    <cellStyle name="Normal 4 2 2 6" xfId="1502" xr:uid="{00000000-0005-0000-0000-00001A240000}"/>
    <cellStyle name="Normal 4 2 2 6 2" xfId="7192" xr:uid="{00000000-0005-0000-0000-00001B240000}"/>
    <cellStyle name="Normal 4 2 2 6 2 2" xfId="9895" xr:uid="{00000000-0005-0000-0000-00001C240000}"/>
    <cellStyle name="Normal 4 2 2 6 3" xfId="8555" xr:uid="{00000000-0005-0000-0000-00001D240000}"/>
    <cellStyle name="Normal 4 2 3" xfId="1267" xr:uid="{00000000-0005-0000-0000-00001E240000}"/>
    <cellStyle name="Normal 4 2 3 2" xfId="5727" xr:uid="{00000000-0005-0000-0000-00001F240000}"/>
    <cellStyle name="Normal 4 2 4" xfId="718" xr:uid="{00000000-0005-0000-0000-000020240000}"/>
    <cellStyle name="Normal 4 2 4 2" xfId="5728" xr:uid="{00000000-0005-0000-0000-000021240000}"/>
    <cellStyle name="Normal 4 2 5" xfId="1400" xr:uid="{00000000-0005-0000-0000-000022240000}"/>
    <cellStyle name="Normal 4 2 5 2" xfId="5729" xr:uid="{00000000-0005-0000-0000-000023240000}"/>
    <cellStyle name="Normal 4 2 5 3" xfId="7105" xr:uid="{00000000-0005-0000-0000-000024240000}"/>
    <cellStyle name="Normal 4 2 6" xfId="5730" xr:uid="{00000000-0005-0000-0000-000025240000}"/>
    <cellStyle name="Normal 4 2 7" xfId="5731" xr:uid="{00000000-0005-0000-0000-000026240000}"/>
    <cellStyle name="Normal 4 2 8" xfId="5732" xr:uid="{00000000-0005-0000-0000-000027240000}"/>
    <cellStyle name="Normal 4 2 9" xfId="5733" xr:uid="{00000000-0005-0000-0000-000028240000}"/>
    <cellStyle name="Normal 4 3" xfId="204" xr:uid="{00000000-0005-0000-0000-000029240000}"/>
    <cellStyle name="Normal 4 3 2" xfId="723" xr:uid="{00000000-0005-0000-0000-00002A240000}"/>
    <cellStyle name="Normal 4 3 2 2" xfId="724" xr:uid="{00000000-0005-0000-0000-00002B240000}"/>
    <cellStyle name="Normal 4 3 2 2 2" xfId="725" xr:uid="{00000000-0005-0000-0000-00002C240000}"/>
    <cellStyle name="Normal 4 3 2 2 2 2" xfId="1499" xr:uid="{00000000-0005-0000-0000-00002D240000}"/>
    <cellStyle name="Normal 4 3 2 2 2 2 2" xfId="7189" xr:uid="{00000000-0005-0000-0000-00002E240000}"/>
    <cellStyle name="Normal 4 3 2 2 2 2 2 2" xfId="9892" xr:uid="{00000000-0005-0000-0000-00002F240000}"/>
    <cellStyle name="Normal 4 3 2 2 2 2 3" xfId="8552" xr:uid="{00000000-0005-0000-0000-000030240000}"/>
    <cellStyle name="Normal 4 3 2 2 2 3" xfId="6556" xr:uid="{00000000-0005-0000-0000-000031240000}"/>
    <cellStyle name="Normal 4 3 2 2 2 3 2" xfId="9270" xr:uid="{00000000-0005-0000-0000-000032240000}"/>
    <cellStyle name="Normal 4 3 2 2 2 4" xfId="7931" xr:uid="{00000000-0005-0000-0000-000033240000}"/>
    <cellStyle name="Normal 4 3 2 2 3" xfId="1487" xr:uid="{00000000-0005-0000-0000-000034240000}"/>
    <cellStyle name="Normal 4 3 2 2 3 2" xfId="7178" xr:uid="{00000000-0005-0000-0000-000035240000}"/>
    <cellStyle name="Normal 4 3 2 2 3 2 2" xfId="9881" xr:uid="{00000000-0005-0000-0000-000036240000}"/>
    <cellStyle name="Normal 4 3 2 2 3 3" xfId="8541" xr:uid="{00000000-0005-0000-0000-000037240000}"/>
    <cellStyle name="Normal 4 3 2 2 4" xfId="6555" xr:uid="{00000000-0005-0000-0000-000038240000}"/>
    <cellStyle name="Normal 4 3 2 2 4 2" xfId="9269" xr:uid="{00000000-0005-0000-0000-000039240000}"/>
    <cellStyle name="Normal 4 3 2 2 5" xfId="7930" xr:uid="{00000000-0005-0000-0000-00003A240000}"/>
    <cellStyle name="Normal 4 3 2 3" xfId="726" xr:uid="{00000000-0005-0000-0000-00003B240000}"/>
    <cellStyle name="Normal 4 3 2 3 2" xfId="1430" xr:uid="{00000000-0005-0000-0000-00003C240000}"/>
    <cellStyle name="Normal 4 3 2 3 2 2" xfId="7128" xr:uid="{00000000-0005-0000-0000-00003D240000}"/>
    <cellStyle name="Normal 4 3 2 3 2 2 2" xfId="9831" xr:uid="{00000000-0005-0000-0000-00003E240000}"/>
    <cellStyle name="Normal 4 3 2 3 2 3" xfId="8491" xr:uid="{00000000-0005-0000-0000-00003F240000}"/>
    <cellStyle name="Normal 4 3 2 3 3" xfId="6557" xr:uid="{00000000-0005-0000-0000-000040240000}"/>
    <cellStyle name="Normal 4 3 2 3 3 2" xfId="9271" xr:uid="{00000000-0005-0000-0000-000041240000}"/>
    <cellStyle name="Normal 4 3 2 3 4" xfId="7932" xr:uid="{00000000-0005-0000-0000-000042240000}"/>
    <cellStyle name="Normal 4 3 2 4" xfId="5734" xr:uid="{00000000-0005-0000-0000-000043240000}"/>
    <cellStyle name="Normal 4 3 2 5" xfId="5735" xr:uid="{00000000-0005-0000-0000-000044240000}"/>
    <cellStyle name="Normal 4 3 2 6" xfId="1504" xr:uid="{00000000-0005-0000-0000-000045240000}"/>
    <cellStyle name="Normal 4 3 2 6 2" xfId="7194" xr:uid="{00000000-0005-0000-0000-000046240000}"/>
    <cellStyle name="Normal 4 3 2 6 2 2" xfId="9897" xr:uid="{00000000-0005-0000-0000-000047240000}"/>
    <cellStyle name="Normal 4 3 2 6 3" xfId="8557" xr:uid="{00000000-0005-0000-0000-000048240000}"/>
    <cellStyle name="Normal 4 3 2 7" xfId="6554" xr:uid="{00000000-0005-0000-0000-000049240000}"/>
    <cellStyle name="Normal 4 3 2 7 2" xfId="9268" xr:uid="{00000000-0005-0000-0000-00004A240000}"/>
    <cellStyle name="Normal 4 3 2 8" xfId="7929" xr:uid="{00000000-0005-0000-0000-00004B240000}"/>
    <cellStyle name="Normal 4 3 3" xfId="727" xr:uid="{00000000-0005-0000-0000-00004C240000}"/>
    <cellStyle name="Normal 4 3 3 2" xfId="728" xr:uid="{00000000-0005-0000-0000-00004D240000}"/>
    <cellStyle name="Normal 4 3 3 2 2" xfId="1506" xr:uid="{00000000-0005-0000-0000-00004E240000}"/>
    <cellStyle name="Normal 4 3 3 2 2 2" xfId="7196" xr:uid="{00000000-0005-0000-0000-00004F240000}"/>
    <cellStyle name="Normal 4 3 3 2 2 2 2" xfId="9899" xr:uid="{00000000-0005-0000-0000-000050240000}"/>
    <cellStyle name="Normal 4 3 3 2 2 3" xfId="8559" xr:uid="{00000000-0005-0000-0000-000051240000}"/>
    <cellStyle name="Normal 4 3 3 2 3" xfId="6559" xr:uid="{00000000-0005-0000-0000-000052240000}"/>
    <cellStyle name="Normal 4 3 3 2 3 2" xfId="9273" xr:uid="{00000000-0005-0000-0000-000053240000}"/>
    <cellStyle name="Normal 4 3 3 2 4" xfId="7934" xr:uid="{00000000-0005-0000-0000-000054240000}"/>
    <cellStyle name="Normal 4 3 3 3" xfId="1505" xr:uid="{00000000-0005-0000-0000-000055240000}"/>
    <cellStyle name="Normal 4 3 3 3 2" xfId="7195" xr:uid="{00000000-0005-0000-0000-000056240000}"/>
    <cellStyle name="Normal 4 3 3 3 2 2" xfId="9898" xr:uid="{00000000-0005-0000-0000-000057240000}"/>
    <cellStyle name="Normal 4 3 3 3 3" xfId="8558" xr:uid="{00000000-0005-0000-0000-000058240000}"/>
    <cellStyle name="Normal 4 3 3 4" xfId="6558" xr:uid="{00000000-0005-0000-0000-000059240000}"/>
    <cellStyle name="Normal 4 3 3 4 2" xfId="9272" xr:uid="{00000000-0005-0000-0000-00005A240000}"/>
    <cellStyle name="Normal 4 3 3 5" xfId="7933" xr:uid="{00000000-0005-0000-0000-00005B240000}"/>
    <cellStyle name="Normal 4 3 4" xfId="729" xr:uid="{00000000-0005-0000-0000-00005C240000}"/>
    <cellStyle name="Normal 4 3 4 2" xfId="730" xr:uid="{00000000-0005-0000-0000-00005D240000}"/>
    <cellStyle name="Normal 4 3 4 2 2" xfId="1497" xr:uid="{00000000-0005-0000-0000-00005E240000}"/>
    <cellStyle name="Normal 4 3 4 2 2 2" xfId="7188" xr:uid="{00000000-0005-0000-0000-00005F240000}"/>
    <cellStyle name="Normal 4 3 4 2 2 2 2" xfId="9891" xr:uid="{00000000-0005-0000-0000-000060240000}"/>
    <cellStyle name="Normal 4 3 4 2 2 3" xfId="8551" xr:uid="{00000000-0005-0000-0000-000061240000}"/>
    <cellStyle name="Normal 4 3 4 2 3" xfId="6561" xr:uid="{00000000-0005-0000-0000-000062240000}"/>
    <cellStyle name="Normal 4 3 4 2 3 2" xfId="9275" xr:uid="{00000000-0005-0000-0000-000063240000}"/>
    <cellStyle name="Normal 4 3 4 2 4" xfId="7936" xr:uid="{00000000-0005-0000-0000-000064240000}"/>
    <cellStyle name="Normal 4 3 4 3" xfId="1438" xr:uid="{00000000-0005-0000-0000-000065240000}"/>
    <cellStyle name="Normal 4 3 4 3 2" xfId="7134" xr:uid="{00000000-0005-0000-0000-000066240000}"/>
    <cellStyle name="Normal 4 3 4 3 2 2" xfId="9837" xr:uid="{00000000-0005-0000-0000-000067240000}"/>
    <cellStyle name="Normal 4 3 4 3 3" xfId="8497" xr:uid="{00000000-0005-0000-0000-000068240000}"/>
    <cellStyle name="Normal 4 3 4 4" xfId="6560" xr:uid="{00000000-0005-0000-0000-000069240000}"/>
    <cellStyle name="Normal 4 3 4 4 2" xfId="9274" xr:uid="{00000000-0005-0000-0000-00006A240000}"/>
    <cellStyle name="Normal 4 3 4 5" xfId="7935" xr:uid="{00000000-0005-0000-0000-00006B240000}"/>
    <cellStyle name="Normal 4 3 5" xfId="731" xr:uid="{00000000-0005-0000-0000-00006C240000}"/>
    <cellStyle name="Normal 4 3 5 2" xfId="1507" xr:uid="{00000000-0005-0000-0000-00006D240000}"/>
    <cellStyle name="Normal 4 3 5 2 2" xfId="7197" xr:uid="{00000000-0005-0000-0000-00006E240000}"/>
    <cellStyle name="Normal 4 3 5 2 2 2" xfId="9900" xr:uid="{00000000-0005-0000-0000-00006F240000}"/>
    <cellStyle name="Normal 4 3 5 2 3" xfId="8560" xr:uid="{00000000-0005-0000-0000-000070240000}"/>
    <cellStyle name="Normal 4 3 5 3" xfId="6562" xr:uid="{00000000-0005-0000-0000-000071240000}"/>
    <cellStyle name="Normal 4 3 5 3 2" xfId="9276" xr:uid="{00000000-0005-0000-0000-000072240000}"/>
    <cellStyle name="Normal 4 3 5 4" xfId="7937" xr:uid="{00000000-0005-0000-0000-000073240000}"/>
    <cellStyle name="Normal 4 3 6" xfId="1266" xr:uid="{00000000-0005-0000-0000-000074240000}"/>
    <cellStyle name="Normal 4 3 7" xfId="722" xr:uid="{00000000-0005-0000-0000-000075240000}"/>
    <cellStyle name="Normal 4 3 7 2" xfId="6553" xr:uid="{00000000-0005-0000-0000-000076240000}"/>
    <cellStyle name="Normal 4 3 7 2 2" xfId="9267" xr:uid="{00000000-0005-0000-0000-000077240000}"/>
    <cellStyle name="Normal 4 3 7 3" xfId="7928" xr:uid="{00000000-0005-0000-0000-000078240000}"/>
    <cellStyle name="Normal 4 3 8" xfId="1503" xr:uid="{00000000-0005-0000-0000-000079240000}"/>
    <cellStyle name="Normal 4 3 8 2" xfId="7193" xr:uid="{00000000-0005-0000-0000-00007A240000}"/>
    <cellStyle name="Normal 4 3 8 2 2" xfId="9896" xr:uid="{00000000-0005-0000-0000-00007B240000}"/>
    <cellStyle name="Normal 4 3 8 3" xfId="8556" xr:uid="{00000000-0005-0000-0000-00007C240000}"/>
    <cellStyle name="Normal 4 4" xfId="732" xr:uid="{00000000-0005-0000-0000-00007D240000}"/>
    <cellStyle name="Normal 4 4 2" xfId="733" xr:uid="{00000000-0005-0000-0000-00007E240000}"/>
    <cellStyle name="Normal 4 4 2 2" xfId="734" xr:uid="{00000000-0005-0000-0000-00007F240000}"/>
    <cellStyle name="Normal 4 4 2 2 2" xfId="1508" xr:uid="{00000000-0005-0000-0000-000080240000}"/>
    <cellStyle name="Normal 4 4 2 2 2 2" xfId="7198" xr:uid="{00000000-0005-0000-0000-000081240000}"/>
    <cellStyle name="Normal 4 4 2 2 2 2 2" xfId="9901" xr:uid="{00000000-0005-0000-0000-000082240000}"/>
    <cellStyle name="Normal 4 4 2 2 2 3" xfId="8561" xr:uid="{00000000-0005-0000-0000-000083240000}"/>
    <cellStyle name="Normal 4 4 2 2 3" xfId="6565" xr:uid="{00000000-0005-0000-0000-000084240000}"/>
    <cellStyle name="Normal 4 4 2 2 3 2" xfId="9279" xr:uid="{00000000-0005-0000-0000-000085240000}"/>
    <cellStyle name="Normal 4 4 2 2 4" xfId="7940" xr:uid="{00000000-0005-0000-0000-000086240000}"/>
    <cellStyle name="Normal 4 4 2 3" xfId="1465" xr:uid="{00000000-0005-0000-0000-000087240000}"/>
    <cellStyle name="Normal 4 4 2 3 2" xfId="7158" xr:uid="{00000000-0005-0000-0000-000088240000}"/>
    <cellStyle name="Normal 4 4 2 3 2 2" xfId="9861" xr:uid="{00000000-0005-0000-0000-000089240000}"/>
    <cellStyle name="Normal 4 4 2 3 3" xfId="8521" xr:uid="{00000000-0005-0000-0000-00008A240000}"/>
    <cellStyle name="Normal 4 4 2 4" xfId="6564" xr:uid="{00000000-0005-0000-0000-00008B240000}"/>
    <cellStyle name="Normal 4 4 2 4 2" xfId="9278" xr:uid="{00000000-0005-0000-0000-00008C240000}"/>
    <cellStyle name="Normal 4 4 2 5" xfId="7939" xr:uid="{00000000-0005-0000-0000-00008D240000}"/>
    <cellStyle name="Normal 4 4 3" xfId="735" xr:uid="{00000000-0005-0000-0000-00008E240000}"/>
    <cellStyle name="Normal 4 4 3 2" xfId="1473" xr:uid="{00000000-0005-0000-0000-00008F240000}"/>
    <cellStyle name="Normal 4 4 3 2 2" xfId="7165" xr:uid="{00000000-0005-0000-0000-000090240000}"/>
    <cellStyle name="Normal 4 4 3 2 2 2" xfId="9868" xr:uid="{00000000-0005-0000-0000-000091240000}"/>
    <cellStyle name="Normal 4 4 3 2 3" xfId="8528" xr:uid="{00000000-0005-0000-0000-000092240000}"/>
    <cellStyle name="Normal 4 4 3 3" xfId="6566" xr:uid="{00000000-0005-0000-0000-000093240000}"/>
    <cellStyle name="Normal 4 4 3 3 2" xfId="9280" xr:uid="{00000000-0005-0000-0000-000094240000}"/>
    <cellStyle name="Normal 4 4 3 4" xfId="7941" xr:uid="{00000000-0005-0000-0000-000095240000}"/>
    <cellStyle name="Normal 4 4 4" xfId="1447" xr:uid="{00000000-0005-0000-0000-000096240000}"/>
    <cellStyle name="Normal 4 4 4 2" xfId="7142" xr:uid="{00000000-0005-0000-0000-000097240000}"/>
    <cellStyle name="Normal 4 4 4 2 2" xfId="9845" xr:uid="{00000000-0005-0000-0000-000098240000}"/>
    <cellStyle name="Normal 4 4 4 3" xfId="8505" xr:uid="{00000000-0005-0000-0000-000099240000}"/>
    <cellStyle name="Normal 4 4 5" xfId="6563" xr:uid="{00000000-0005-0000-0000-00009A240000}"/>
    <cellStyle name="Normal 4 4 5 2" xfId="9277" xr:uid="{00000000-0005-0000-0000-00009B240000}"/>
    <cellStyle name="Normal 4 4 6" xfId="7938" xr:uid="{00000000-0005-0000-0000-00009C240000}"/>
    <cellStyle name="Normal 4 5" xfId="736" xr:uid="{00000000-0005-0000-0000-00009D240000}"/>
    <cellStyle name="Normal 4 5 2" xfId="737" xr:uid="{00000000-0005-0000-0000-00009E240000}"/>
    <cellStyle name="Normal 4 5 2 2" xfId="1452" xr:uid="{00000000-0005-0000-0000-00009F240000}"/>
    <cellStyle name="Normal 4 5 2 2 2" xfId="7147" xr:uid="{00000000-0005-0000-0000-0000A0240000}"/>
    <cellStyle name="Normal 4 5 2 2 2 2" xfId="9850" xr:uid="{00000000-0005-0000-0000-0000A1240000}"/>
    <cellStyle name="Normal 4 5 2 2 3" xfId="8510" xr:uid="{00000000-0005-0000-0000-0000A2240000}"/>
    <cellStyle name="Normal 4 5 2 3" xfId="6568" xr:uid="{00000000-0005-0000-0000-0000A3240000}"/>
    <cellStyle name="Normal 4 5 2 3 2" xfId="9282" xr:uid="{00000000-0005-0000-0000-0000A4240000}"/>
    <cellStyle name="Normal 4 5 2 4" xfId="7943" xr:uid="{00000000-0005-0000-0000-0000A5240000}"/>
    <cellStyle name="Normal 4 5 3" xfId="1450" xr:uid="{00000000-0005-0000-0000-0000A6240000}"/>
    <cellStyle name="Normal 4 5 3 2" xfId="7145" xr:uid="{00000000-0005-0000-0000-0000A7240000}"/>
    <cellStyle name="Normal 4 5 3 2 2" xfId="9848" xr:uid="{00000000-0005-0000-0000-0000A8240000}"/>
    <cellStyle name="Normal 4 5 3 3" xfId="8508" xr:uid="{00000000-0005-0000-0000-0000A9240000}"/>
    <cellStyle name="Normal 4 5 4" xfId="6567" xr:uid="{00000000-0005-0000-0000-0000AA240000}"/>
    <cellStyle name="Normal 4 5 4 2" xfId="9281" xr:uid="{00000000-0005-0000-0000-0000AB240000}"/>
    <cellStyle name="Normal 4 5 5" xfId="7942" xr:uid="{00000000-0005-0000-0000-0000AC240000}"/>
    <cellStyle name="Normal 4 6" xfId="738" xr:uid="{00000000-0005-0000-0000-0000AD240000}"/>
    <cellStyle name="Normal 4 6 2" xfId="739" xr:uid="{00000000-0005-0000-0000-0000AE240000}"/>
    <cellStyle name="Normal 4 6 2 2" xfId="1510" xr:uid="{00000000-0005-0000-0000-0000AF240000}"/>
    <cellStyle name="Normal 4 6 2 2 2" xfId="7200" xr:uid="{00000000-0005-0000-0000-0000B0240000}"/>
    <cellStyle name="Normal 4 6 2 2 2 2" xfId="9903" xr:uid="{00000000-0005-0000-0000-0000B1240000}"/>
    <cellStyle name="Normal 4 6 2 2 3" xfId="8563" xr:uid="{00000000-0005-0000-0000-0000B2240000}"/>
    <cellStyle name="Normal 4 6 2 3" xfId="6570" xr:uid="{00000000-0005-0000-0000-0000B3240000}"/>
    <cellStyle name="Normal 4 6 2 3 2" xfId="9284" xr:uid="{00000000-0005-0000-0000-0000B4240000}"/>
    <cellStyle name="Normal 4 6 2 4" xfId="7945" xr:uid="{00000000-0005-0000-0000-0000B5240000}"/>
    <cellStyle name="Normal 4 6 3" xfId="1509" xr:uid="{00000000-0005-0000-0000-0000B6240000}"/>
    <cellStyle name="Normal 4 6 3 2" xfId="7199" xr:uid="{00000000-0005-0000-0000-0000B7240000}"/>
    <cellStyle name="Normal 4 6 3 2 2" xfId="9902" xr:uid="{00000000-0005-0000-0000-0000B8240000}"/>
    <cellStyle name="Normal 4 6 3 3" xfId="8562" xr:uid="{00000000-0005-0000-0000-0000B9240000}"/>
    <cellStyle name="Normal 4 6 4" xfId="6569" xr:uid="{00000000-0005-0000-0000-0000BA240000}"/>
    <cellStyle name="Normal 4 6 4 2" xfId="9283" xr:uid="{00000000-0005-0000-0000-0000BB240000}"/>
    <cellStyle name="Normal 4 6 5" xfId="7944" xr:uid="{00000000-0005-0000-0000-0000BC240000}"/>
    <cellStyle name="Normal 4 7" xfId="740" xr:uid="{00000000-0005-0000-0000-0000BD240000}"/>
    <cellStyle name="Normal 4 7 2" xfId="1511" xr:uid="{00000000-0005-0000-0000-0000BE240000}"/>
    <cellStyle name="Normal 4 7 2 2" xfId="7201" xr:uid="{00000000-0005-0000-0000-0000BF240000}"/>
    <cellStyle name="Normal 4 7 2 2 2" xfId="9904" xr:uid="{00000000-0005-0000-0000-0000C0240000}"/>
    <cellStyle name="Normal 4 7 2 3" xfId="8564" xr:uid="{00000000-0005-0000-0000-0000C1240000}"/>
    <cellStyle name="Normal 4 7 3" xfId="6571" xr:uid="{00000000-0005-0000-0000-0000C2240000}"/>
    <cellStyle name="Normal 4 7 3 2" xfId="9285" xr:uid="{00000000-0005-0000-0000-0000C3240000}"/>
    <cellStyle name="Normal 4 7 4" xfId="7946" xr:uid="{00000000-0005-0000-0000-0000C4240000}"/>
    <cellStyle name="Normal 4 8" xfId="251" xr:uid="{00000000-0005-0000-0000-0000C5240000}"/>
    <cellStyle name="Normal 4 8 2" xfId="5736" xr:uid="{00000000-0005-0000-0000-0000C6240000}"/>
    <cellStyle name="Normal 4 9" xfId="5737" xr:uid="{00000000-0005-0000-0000-0000C7240000}"/>
    <cellStyle name="Normal 40" xfId="252" xr:uid="{00000000-0005-0000-0000-0000C8240000}"/>
    <cellStyle name="Normal 40 2" xfId="741" xr:uid="{00000000-0005-0000-0000-0000C9240000}"/>
    <cellStyle name="Normal 40 3" xfId="5738" xr:uid="{00000000-0005-0000-0000-0000CA240000}"/>
    <cellStyle name="Normal 40 3 2" xfId="7669" xr:uid="{00000000-0005-0000-0000-0000CB240000}"/>
    <cellStyle name="Normal 40 3 2 2" xfId="10350" xr:uid="{00000000-0005-0000-0000-0000CC240000}"/>
    <cellStyle name="Normal 40 3 3" xfId="9010" xr:uid="{00000000-0005-0000-0000-0000CD240000}"/>
    <cellStyle name="Normal 41" xfId="742" xr:uid="{00000000-0005-0000-0000-0000CE240000}"/>
    <cellStyle name="Normal 41 2" xfId="5739" xr:uid="{00000000-0005-0000-0000-0000CF240000}"/>
    <cellStyle name="Normal 41 3" xfId="5740" xr:uid="{00000000-0005-0000-0000-0000D0240000}"/>
    <cellStyle name="Normal 41 3 2" xfId="7670" xr:uid="{00000000-0005-0000-0000-0000D1240000}"/>
    <cellStyle name="Normal 41 3 2 2" xfId="10351" xr:uid="{00000000-0005-0000-0000-0000D2240000}"/>
    <cellStyle name="Normal 41 3 3" xfId="9011" xr:uid="{00000000-0005-0000-0000-0000D3240000}"/>
    <cellStyle name="Normal 41 4" xfId="1464" xr:uid="{00000000-0005-0000-0000-0000D4240000}"/>
    <cellStyle name="Normal 41 4 2" xfId="7157" xr:uid="{00000000-0005-0000-0000-0000D5240000}"/>
    <cellStyle name="Normal 41 4 2 2" xfId="9860" xr:uid="{00000000-0005-0000-0000-0000D6240000}"/>
    <cellStyle name="Normal 41 4 3" xfId="8520" xr:uid="{00000000-0005-0000-0000-0000D7240000}"/>
    <cellStyle name="Normal 41 5" xfId="6572" xr:uid="{00000000-0005-0000-0000-0000D8240000}"/>
    <cellStyle name="Normal 41 5 2" xfId="9286" xr:uid="{00000000-0005-0000-0000-0000D9240000}"/>
    <cellStyle name="Normal 41 6" xfId="7947" xr:uid="{00000000-0005-0000-0000-0000DA240000}"/>
    <cellStyle name="Normal 42" xfId="743" xr:uid="{00000000-0005-0000-0000-0000DB240000}"/>
    <cellStyle name="Normal 42 2" xfId="5741" xr:uid="{00000000-0005-0000-0000-0000DC240000}"/>
    <cellStyle name="Normal 42 3" xfId="5742" xr:uid="{00000000-0005-0000-0000-0000DD240000}"/>
    <cellStyle name="Normal 42 3 2" xfId="7671" xr:uid="{00000000-0005-0000-0000-0000DE240000}"/>
    <cellStyle name="Normal 42 3 2 2" xfId="10352" xr:uid="{00000000-0005-0000-0000-0000DF240000}"/>
    <cellStyle name="Normal 42 3 3" xfId="9012" xr:uid="{00000000-0005-0000-0000-0000E0240000}"/>
    <cellStyle name="Normal 42 4" xfId="1466" xr:uid="{00000000-0005-0000-0000-0000E1240000}"/>
    <cellStyle name="Normal 42 4 2" xfId="7159" xr:uid="{00000000-0005-0000-0000-0000E2240000}"/>
    <cellStyle name="Normal 42 4 2 2" xfId="9862" xr:uid="{00000000-0005-0000-0000-0000E3240000}"/>
    <cellStyle name="Normal 42 4 3" xfId="8522" xr:uid="{00000000-0005-0000-0000-0000E4240000}"/>
    <cellStyle name="Normal 42 5" xfId="6573" xr:uid="{00000000-0005-0000-0000-0000E5240000}"/>
    <cellStyle name="Normal 42 5 2" xfId="9287" xr:uid="{00000000-0005-0000-0000-0000E6240000}"/>
    <cellStyle name="Normal 42 6" xfId="7948" xr:uid="{00000000-0005-0000-0000-0000E7240000}"/>
    <cellStyle name="Normal 43" xfId="744" xr:uid="{00000000-0005-0000-0000-0000E8240000}"/>
    <cellStyle name="Normal 43 2" xfId="5743" xr:uid="{00000000-0005-0000-0000-0000E9240000}"/>
    <cellStyle name="Normal 43 3" xfId="5744" xr:uid="{00000000-0005-0000-0000-0000EA240000}"/>
    <cellStyle name="Normal 43 3 2" xfId="7672" xr:uid="{00000000-0005-0000-0000-0000EB240000}"/>
    <cellStyle name="Normal 43 3 2 2" xfId="10353" xr:uid="{00000000-0005-0000-0000-0000EC240000}"/>
    <cellStyle name="Normal 43 3 3" xfId="9013" xr:uid="{00000000-0005-0000-0000-0000ED240000}"/>
    <cellStyle name="Normal 43 4" xfId="1475" xr:uid="{00000000-0005-0000-0000-0000EE240000}"/>
    <cellStyle name="Normal 43 4 2" xfId="7167" xr:uid="{00000000-0005-0000-0000-0000EF240000}"/>
    <cellStyle name="Normal 43 4 2 2" xfId="9870" xr:uid="{00000000-0005-0000-0000-0000F0240000}"/>
    <cellStyle name="Normal 43 4 3" xfId="8530" xr:uid="{00000000-0005-0000-0000-0000F1240000}"/>
    <cellStyle name="Normal 43 5" xfId="6574" xr:uid="{00000000-0005-0000-0000-0000F2240000}"/>
    <cellStyle name="Normal 43 5 2" xfId="9288" xr:uid="{00000000-0005-0000-0000-0000F3240000}"/>
    <cellStyle name="Normal 43 6" xfId="7949" xr:uid="{00000000-0005-0000-0000-0000F4240000}"/>
    <cellStyle name="Normal 44" xfId="745" xr:uid="{00000000-0005-0000-0000-0000F5240000}"/>
    <cellStyle name="Normal 44 2" xfId="5745" xr:uid="{00000000-0005-0000-0000-0000F6240000}"/>
    <cellStyle name="Normal 44 3" xfId="5746" xr:uid="{00000000-0005-0000-0000-0000F7240000}"/>
    <cellStyle name="Normal 44 3 2" xfId="7673" xr:uid="{00000000-0005-0000-0000-0000F8240000}"/>
    <cellStyle name="Normal 44 3 2 2" xfId="10354" xr:uid="{00000000-0005-0000-0000-0000F9240000}"/>
    <cellStyle name="Normal 44 3 3" xfId="9014" xr:uid="{00000000-0005-0000-0000-0000FA240000}"/>
    <cellStyle name="Normal 44 4" xfId="1441" xr:uid="{00000000-0005-0000-0000-0000FB240000}"/>
    <cellStyle name="Normal 44 4 2" xfId="7137" xr:uid="{00000000-0005-0000-0000-0000FC240000}"/>
    <cellStyle name="Normal 44 4 2 2" xfId="9840" xr:uid="{00000000-0005-0000-0000-0000FD240000}"/>
    <cellStyle name="Normal 44 4 3" xfId="8500" xr:uid="{00000000-0005-0000-0000-0000FE240000}"/>
    <cellStyle name="Normal 44 5" xfId="6575" xr:uid="{00000000-0005-0000-0000-0000FF240000}"/>
    <cellStyle name="Normal 44 5 2" xfId="9289" xr:uid="{00000000-0005-0000-0000-000000250000}"/>
    <cellStyle name="Normal 44 6" xfId="7950" xr:uid="{00000000-0005-0000-0000-000001250000}"/>
    <cellStyle name="Normal 45" xfId="746" xr:uid="{00000000-0005-0000-0000-000002250000}"/>
    <cellStyle name="Normal 45 2" xfId="5747" xr:uid="{00000000-0005-0000-0000-000003250000}"/>
    <cellStyle name="Normal 45 3" xfId="5748" xr:uid="{00000000-0005-0000-0000-000004250000}"/>
    <cellStyle name="Normal 45 3 2" xfId="7674" xr:uid="{00000000-0005-0000-0000-000005250000}"/>
    <cellStyle name="Normal 45 3 2 2" xfId="10355" xr:uid="{00000000-0005-0000-0000-000006250000}"/>
    <cellStyle name="Normal 45 3 3" xfId="9015" xr:uid="{00000000-0005-0000-0000-000007250000}"/>
    <cellStyle name="Normal 45 4" xfId="1478" xr:uid="{00000000-0005-0000-0000-000008250000}"/>
    <cellStyle name="Normal 45 4 2" xfId="7170" xr:uid="{00000000-0005-0000-0000-000009250000}"/>
    <cellStyle name="Normal 45 4 2 2" xfId="9873" xr:uid="{00000000-0005-0000-0000-00000A250000}"/>
    <cellStyle name="Normal 45 4 3" xfId="8533" xr:uid="{00000000-0005-0000-0000-00000B250000}"/>
    <cellStyle name="Normal 45 5" xfId="6576" xr:uid="{00000000-0005-0000-0000-00000C250000}"/>
    <cellStyle name="Normal 45 5 2" xfId="9290" xr:uid="{00000000-0005-0000-0000-00000D250000}"/>
    <cellStyle name="Normal 45 6" xfId="7951" xr:uid="{00000000-0005-0000-0000-00000E250000}"/>
    <cellStyle name="Normal 46" xfId="747" xr:uid="{00000000-0005-0000-0000-00000F250000}"/>
    <cellStyle name="Normal 46 2" xfId="5749" xr:uid="{00000000-0005-0000-0000-000010250000}"/>
    <cellStyle name="Normal 46 3" xfId="5750" xr:uid="{00000000-0005-0000-0000-000011250000}"/>
    <cellStyle name="Normal 46 3 2" xfId="7675" xr:uid="{00000000-0005-0000-0000-000012250000}"/>
    <cellStyle name="Normal 46 3 2 2" xfId="10356" xr:uid="{00000000-0005-0000-0000-000013250000}"/>
    <cellStyle name="Normal 46 3 3" xfId="9016" xr:uid="{00000000-0005-0000-0000-000014250000}"/>
    <cellStyle name="Normal 46 4" xfId="1480" xr:uid="{00000000-0005-0000-0000-000015250000}"/>
    <cellStyle name="Normal 46 4 2" xfId="7172" xr:uid="{00000000-0005-0000-0000-000016250000}"/>
    <cellStyle name="Normal 46 4 2 2" xfId="9875" xr:uid="{00000000-0005-0000-0000-000017250000}"/>
    <cellStyle name="Normal 46 4 3" xfId="8535" xr:uid="{00000000-0005-0000-0000-000018250000}"/>
    <cellStyle name="Normal 46 5" xfId="6577" xr:uid="{00000000-0005-0000-0000-000019250000}"/>
    <cellStyle name="Normal 46 5 2" xfId="9291" xr:uid="{00000000-0005-0000-0000-00001A250000}"/>
    <cellStyle name="Normal 46 6" xfId="7952" xr:uid="{00000000-0005-0000-0000-00001B250000}"/>
    <cellStyle name="Normal 47" xfId="85" xr:uid="{00000000-0005-0000-0000-00001C250000}"/>
    <cellStyle name="Normal 47 2" xfId="5751" xr:uid="{00000000-0005-0000-0000-00001D250000}"/>
    <cellStyle name="Normal 47 3" xfId="5752" xr:uid="{00000000-0005-0000-0000-00001E250000}"/>
    <cellStyle name="Normal 47 3 2" xfId="7676" xr:uid="{00000000-0005-0000-0000-00001F250000}"/>
    <cellStyle name="Normal 47 3 2 2" xfId="10357" xr:uid="{00000000-0005-0000-0000-000020250000}"/>
    <cellStyle name="Normal 47 3 3" xfId="9017" xr:uid="{00000000-0005-0000-0000-000021250000}"/>
    <cellStyle name="Normal 48" xfId="748" xr:uid="{00000000-0005-0000-0000-000022250000}"/>
    <cellStyle name="Normal 48 2" xfId="5753" xr:uid="{00000000-0005-0000-0000-000023250000}"/>
    <cellStyle name="Normal 49" xfId="749" xr:uid="{00000000-0005-0000-0000-000024250000}"/>
    <cellStyle name="Normal 49 2" xfId="5754" xr:uid="{00000000-0005-0000-0000-000025250000}"/>
    <cellStyle name="Normal 49 3" xfId="1484" xr:uid="{00000000-0005-0000-0000-000026250000}"/>
    <cellStyle name="Normal 49 3 2" xfId="7175" xr:uid="{00000000-0005-0000-0000-000027250000}"/>
    <cellStyle name="Normal 49 3 2 2" xfId="9878" xr:uid="{00000000-0005-0000-0000-000028250000}"/>
    <cellStyle name="Normal 49 3 3" xfId="8538" xr:uid="{00000000-0005-0000-0000-000029250000}"/>
    <cellStyle name="Normal 49 4" xfId="6578" xr:uid="{00000000-0005-0000-0000-00002A250000}"/>
    <cellStyle name="Normal 49 4 2" xfId="9292" xr:uid="{00000000-0005-0000-0000-00002B250000}"/>
    <cellStyle name="Normal 49 5" xfId="7953" xr:uid="{00000000-0005-0000-0000-00002C250000}"/>
    <cellStyle name="Normal 5" xfId="109" xr:uid="{00000000-0005-0000-0000-00002D250000}"/>
    <cellStyle name="Normal 5 10" xfId="5755" xr:uid="{00000000-0005-0000-0000-00002E250000}"/>
    <cellStyle name="Normal 5 11" xfId="5756" xr:uid="{00000000-0005-0000-0000-00002F250000}"/>
    <cellStyle name="Normal 5 12" xfId="5757" xr:uid="{00000000-0005-0000-0000-000030250000}"/>
    <cellStyle name="Normal 5 13" xfId="5758" xr:uid="{00000000-0005-0000-0000-000031250000}"/>
    <cellStyle name="Normal 5 14" xfId="5759" xr:uid="{00000000-0005-0000-0000-000032250000}"/>
    <cellStyle name="Normal 5 15" xfId="5760" xr:uid="{00000000-0005-0000-0000-000033250000}"/>
    <cellStyle name="Normal 5 16" xfId="5761" xr:uid="{00000000-0005-0000-0000-000034250000}"/>
    <cellStyle name="Normal 5 17" xfId="5762" xr:uid="{00000000-0005-0000-0000-000035250000}"/>
    <cellStyle name="Normal 5 18" xfId="5763" xr:uid="{00000000-0005-0000-0000-000036250000}"/>
    <cellStyle name="Normal 5 19" xfId="6216" xr:uid="{00000000-0005-0000-0000-000037250000}"/>
    <cellStyle name="Normal 5 2" xfId="205" xr:uid="{00000000-0005-0000-0000-000038250000}"/>
    <cellStyle name="Normal 5 2 2" xfId="751" xr:uid="{00000000-0005-0000-0000-000039250000}"/>
    <cellStyle name="Normal 5 2 2 2" xfId="5764" xr:uid="{00000000-0005-0000-0000-00003A250000}"/>
    <cellStyle name="Normal 5 2 2 3" xfId="5765" xr:uid="{00000000-0005-0000-0000-00003B250000}"/>
    <cellStyle name="Normal 5 2 2 4" xfId="5766" xr:uid="{00000000-0005-0000-0000-00003C250000}"/>
    <cellStyle name="Normal 5 2 2 5" xfId="5767" xr:uid="{00000000-0005-0000-0000-00003D250000}"/>
    <cellStyle name="Normal 5 2 3" xfId="752" xr:uid="{00000000-0005-0000-0000-00003E250000}"/>
    <cellStyle name="Normal 5 2 3 2" xfId="1425" xr:uid="{00000000-0005-0000-0000-00003F250000}"/>
    <cellStyle name="Normal 5 2 3 2 2" xfId="7125" xr:uid="{00000000-0005-0000-0000-000040250000}"/>
    <cellStyle name="Normal 5 2 3 2 2 2" xfId="9828" xr:uid="{00000000-0005-0000-0000-000041250000}"/>
    <cellStyle name="Normal 5 2 3 2 3" xfId="8488" xr:uid="{00000000-0005-0000-0000-000042250000}"/>
    <cellStyle name="Normal 5 2 3 3" xfId="6579" xr:uid="{00000000-0005-0000-0000-000043250000}"/>
    <cellStyle name="Normal 5 2 3 3 2" xfId="9293" xr:uid="{00000000-0005-0000-0000-000044250000}"/>
    <cellStyle name="Normal 5 2 3 4" xfId="7954" xr:uid="{00000000-0005-0000-0000-000045250000}"/>
    <cellStyle name="Normal 5 2 4" xfId="1265" xr:uid="{00000000-0005-0000-0000-000046250000}"/>
    <cellStyle name="Normal 5 2 4 2" xfId="5768" xr:uid="{00000000-0005-0000-0000-000047250000}"/>
    <cellStyle name="Normal 5 2 5" xfId="750" xr:uid="{00000000-0005-0000-0000-000048250000}"/>
    <cellStyle name="Normal 5 20" xfId="7710" xr:uid="{00000000-0005-0000-0000-000049250000}"/>
    <cellStyle name="Normal 5 3" xfId="753" xr:uid="{00000000-0005-0000-0000-00004A250000}"/>
    <cellStyle name="Normal 5 3 2" xfId="5769" xr:uid="{00000000-0005-0000-0000-00004B250000}"/>
    <cellStyle name="Normal 5 3 4" xfId="10528" xr:uid="{00000000-0005-0000-0000-00004C250000}"/>
    <cellStyle name="Normal 5 3 4 2" xfId="10556" xr:uid="{00000000-0005-0000-0000-00004D250000}"/>
    <cellStyle name="Normal 5 4" xfId="1420" xr:uid="{00000000-0005-0000-0000-00004E250000}"/>
    <cellStyle name="Normal 5 4 2" xfId="5770" xr:uid="{00000000-0005-0000-0000-00004F250000}"/>
    <cellStyle name="Normal 5 4 3" xfId="7122" xr:uid="{00000000-0005-0000-0000-000050250000}"/>
    <cellStyle name="Normal 5 4 3 2" xfId="9825" xr:uid="{00000000-0005-0000-0000-000051250000}"/>
    <cellStyle name="Normal 5 4 4" xfId="8486" xr:uid="{00000000-0005-0000-0000-000052250000}"/>
    <cellStyle name="Normal 5 5" xfId="5771" xr:uid="{00000000-0005-0000-0000-000053250000}"/>
    <cellStyle name="Normal 5 6" xfId="5772" xr:uid="{00000000-0005-0000-0000-000054250000}"/>
    <cellStyle name="Normal 5 6 2" xfId="5773" xr:uid="{00000000-0005-0000-0000-000055250000}"/>
    <cellStyle name="Normal 5 6 2 2" xfId="7677" xr:uid="{00000000-0005-0000-0000-000056250000}"/>
    <cellStyle name="Normal 5 6 2 2 2" xfId="10358" xr:uid="{00000000-0005-0000-0000-000057250000}"/>
    <cellStyle name="Normal 5 6 2 3" xfId="9018" xr:uid="{00000000-0005-0000-0000-000058250000}"/>
    <cellStyle name="Normal 5 7" xfId="5774" xr:uid="{00000000-0005-0000-0000-000059250000}"/>
    <cellStyle name="Normal 5 8" xfId="5775" xr:uid="{00000000-0005-0000-0000-00005A250000}"/>
    <cellStyle name="Normal 5 9" xfId="5776" xr:uid="{00000000-0005-0000-0000-00005B250000}"/>
    <cellStyle name="Normal 5_Inergen" xfId="754" xr:uid="{00000000-0005-0000-0000-00005C250000}"/>
    <cellStyle name="Normal 50" xfId="755" xr:uid="{00000000-0005-0000-0000-00005D250000}"/>
    <cellStyle name="Normal 50 2" xfId="5777" xr:uid="{00000000-0005-0000-0000-00005E250000}"/>
    <cellStyle name="Normal 50 3" xfId="5778" xr:uid="{00000000-0005-0000-0000-00005F250000}"/>
    <cellStyle name="Normal 50 3 2" xfId="7678" xr:uid="{00000000-0005-0000-0000-000060250000}"/>
    <cellStyle name="Normal 50 3 2 2" xfId="10359" xr:uid="{00000000-0005-0000-0000-000061250000}"/>
    <cellStyle name="Normal 50 3 3" xfId="9019" xr:uid="{00000000-0005-0000-0000-000062250000}"/>
    <cellStyle name="Normal 51" xfId="756" xr:uid="{00000000-0005-0000-0000-000063250000}"/>
    <cellStyle name="Normal 51 2" xfId="5779" xr:uid="{00000000-0005-0000-0000-000064250000}"/>
    <cellStyle name="Normal 51 3" xfId="5780" xr:uid="{00000000-0005-0000-0000-000065250000}"/>
    <cellStyle name="Normal 51 3 2" xfId="7679" xr:uid="{00000000-0005-0000-0000-000066250000}"/>
    <cellStyle name="Normal 51 3 2 2" xfId="10360" xr:uid="{00000000-0005-0000-0000-000067250000}"/>
    <cellStyle name="Normal 51 3 3" xfId="9020" xr:uid="{00000000-0005-0000-0000-000068250000}"/>
    <cellStyle name="Normal 52" xfId="1333" xr:uid="{00000000-0005-0000-0000-000069250000}"/>
    <cellStyle name="Normal 52 2" xfId="5781" xr:uid="{00000000-0005-0000-0000-00006A250000}"/>
    <cellStyle name="Normal 53" xfId="238" xr:uid="{00000000-0005-0000-0000-00006B250000}"/>
    <cellStyle name="Normal 53 2" xfId="5782" xr:uid="{00000000-0005-0000-0000-00006C250000}"/>
    <cellStyle name="Normal 53 3" xfId="1527" xr:uid="{00000000-0005-0000-0000-00006D250000}"/>
    <cellStyle name="Normal 53 3 2" xfId="7206" xr:uid="{00000000-0005-0000-0000-00006E250000}"/>
    <cellStyle name="Normal 53 3 2 2" xfId="9909" xr:uid="{00000000-0005-0000-0000-00006F250000}"/>
    <cellStyle name="Normal 53 3 3" xfId="8569" xr:uid="{00000000-0005-0000-0000-000070250000}"/>
    <cellStyle name="Normal 53 4" xfId="6399" xr:uid="{00000000-0005-0000-0000-000071250000}"/>
    <cellStyle name="Normal 53 4 2" xfId="9118" xr:uid="{00000000-0005-0000-0000-000072250000}"/>
    <cellStyle name="Normal 53 5" xfId="7779" xr:uid="{00000000-0005-0000-0000-000073250000}"/>
    <cellStyle name="Normal 54" xfId="1137" xr:uid="{00000000-0005-0000-0000-000074250000}"/>
    <cellStyle name="Normal 54 2" xfId="5784" xr:uid="{00000000-0005-0000-0000-000075250000}"/>
    <cellStyle name="Normal 54 3" xfId="5783" xr:uid="{00000000-0005-0000-0000-000076250000}"/>
    <cellStyle name="Normal 54 3 2" xfId="7680" xr:uid="{00000000-0005-0000-0000-000077250000}"/>
    <cellStyle name="Normal 54 3 2 2" xfId="10361" xr:uid="{00000000-0005-0000-0000-000078250000}"/>
    <cellStyle name="Normal 54 3 3" xfId="9021" xr:uid="{00000000-0005-0000-0000-000079250000}"/>
    <cellStyle name="Normal 55" xfId="820" xr:uid="{00000000-0005-0000-0000-00007A250000}"/>
    <cellStyle name="Normal 55 2" xfId="5785" xr:uid="{00000000-0005-0000-0000-00007B250000}"/>
    <cellStyle name="Normal 55 3" xfId="6591" xr:uid="{00000000-0005-0000-0000-00007C250000}"/>
    <cellStyle name="Normal 55 3 2" xfId="9301" xr:uid="{00000000-0005-0000-0000-00007D250000}"/>
    <cellStyle name="Normal 55 4" xfId="7962" xr:uid="{00000000-0005-0000-0000-00007E250000}"/>
    <cellStyle name="Normal 56" xfId="1346" xr:uid="{00000000-0005-0000-0000-00007F250000}"/>
    <cellStyle name="Normal 56 2" xfId="5787" xr:uid="{00000000-0005-0000-0000-000080250000}"/>
    <cellStyle name="Normal 56 3" xfId="5788" xr:uid="{00000000-0005-0000-0000-000081250000}"/>
    <cellStyle name="Normal 56 4" xfId="5786" xr:uid="{00000000-0005-0000-0000-000082250000}"/>
    <cellStyle name="Normal 56 5" xfId="7051" xr:uid="{00000000-0005-0000-0000-000083250000}"/>
    <cellStyle name="Normal 56 5 2" xfId="9758" xr:uid="{00000000-0005-0000-0000-000084250000}"/>
    <cellStyle name="Normal 56 6" xfId="8419" xr:uid="{00000000-0005-0000-0000-000085250000}"/>
    <cellStyle name="Normal 57" xfId="1347" xr:uid="{00000000-0005-0000-0000-000086250000}"/>
    <cellStyle name="Normal 57 2" xfId="5789" xr:uid="{00000000-0005-0000-0000-000087250000}"/>
    <cellStyle name="Normal 57 3" xfId="7052" xr:uid="{00000000-0005-0000-0000-000088250000}"/>
    <cellStyle name="Normal 57 3 2" xfId="9759" xr:uid="{00000000-0005-0000-0000-000089250000}"/>
    <cellStyle name="Normal 57 4" xfId="8420" xr:uid="{00000000-0005-0000-0000-00008A250000}"/>
    <cellStyle name="Normal 58" xfId="1417" xr:uid="{00000000-0005-0000-0000-00008B250000}"/>
    <cellStyle name="Normal 58 2" xfId="5790" xr:uid="{00000000-0005-0000-0000-00008C250000}"/>
    <cellStyle name="Normal 58 2 2" xfId="7681" xr:uid="{00000000-0005-0000-0000-00008D250000}"/>
    <cellStyle name="Normal 58 2 2 2" xfId="10362" xr:uid="{00000000-0005-0000-0000-00008E250000}"/>
    <cellStyle name="Normal 58 2 3" xfId="9022" xr:uid="{00000000-0005-0000-0000-00008F250000}"/>
    <cellStyle name="Normal 59" xfId="5791" xr:uid="{00000000-0005-0000-0000-000090250000}"/>
    <cellStyle name="Normal 59 2" xfId="7682" xr:uid="{00000000-0005-0000-0000-000091250000}"/>
    <cellStyle name="Normal 59 2 2" xfId="10363" xr:uid="{00000000-0005-0000-0000-000092250000}"/>
    <cellStyle name="Normal 59 3" xfId="9023" xr:uid="{00000000-0005-0000-0000-000093250000}"/>
    <cellStyle name="Normal 6" xfId="206" xr:uid="{00000000-0005-0000-0000-000094250000}"/>
    <cellStyle name="Normal 6 10" xfId="36" xr:uid="{00000000-0005-0000-0000-000095250000}"/>
    <cellStyle name="Normal 6 10 2" xfId="10470" xr:uid="{00000000-0005-0000-0000-000096250000}"/>
    <cellStyle name="Normal 6 10 2 2" xfId="10580" xr:uid="{00000000-0005-0000-0000-000097250000}"/>
    <cellStyle name="Normal 6 2" xfId="59" xr:uid="{00000000-0005-0000-0000-000098250000}"/>
    <cellStyle name="Normal 6 2 2" xfId="1264" xr:uid="{00000000-0005-0000-0000-000099250000}"/>
    <cellStyle name="Normal 6 2 26" xfId="10511" xr:uid="{00000000-0005-0000-0000-00009A250000}"/>
    <cellStyle name="Normal 6 2 3" xfId="759" xr:uid="{00000000-0005-0000-0000-00009B250000}"/>
    <cellStyle name="Normal 6 2 3 2" xfId="1512" xr:uid="{00000000-0005-0000-0000-00009C250000}"/>
    <cellStyle name="Normal 6 2 3 2 2" xfId="7202" xr:uid="{00000000-0005-0000-0000-00009D250000}"/>
    <cellStyle name="Normal 6 2 3 2 2 2" xfId="9905" xr:uid="{00000000-0005-0000-0000-00009E250000}"/>
    <cellStyle name="Normal 6 2 3 2 3" xfId="8565" xr:uid="{00000000-0005-0000-0000-00009F250000}"/>
    <cellStyle name="Normal 6 2 3 3" xfId="6580" xr:uid="{00000000-0005-0000-0000-0000A0250000}"/>
    <cellStyle name="Normal 6 2 3 3 2" xfId="9294" xr:uid="{00000000-0005-0000-0000-0000A1250000}"/>
    <cellStyle name="Normal 6 2 3 4" xfId="7955" xr:uid="{00000000-0005-0000-0000-0000A2250000}"/>
    <cellStyle name="Normal 6 2 4" xfId="758" xr:uid="{00000000-0005-0000-0000-0000A3250000}"/>
    <cellStyle name="Normal 6 2 5" xfId="1402" xr:uid="{00000000-0005-0000-0000-0000A4250000}"/>
    <cellStyle name="Normal 6 2 5 2" xfId="7107" xr:uid="{00000000-0005-0000-0000-0000A5250000}"/>
    <cellStyle name="Normal 6 2 6" xfId="207" xr:uid="{00000000-0005-0000-0000-0000A6250000}"/>
    <cellStyle name="Normal 6 2 7" xfId="34" xr:uid="{00000000-0005-0000-0000-0000A7250000}"/>
    <cellStyle name="Normal 6 2 7 2" xfId="10468" xr:uid="{00000000-0005-0000-0000-0000A8250000}"/>
    <cellStyle name="Normal 6 3" xfId="125" xr:uid="{00000000-0005-0000-0000-0000A9250000}"/>
    <cellStyle name="Normal 6 3 2" xfId="1331" xr:uid="{00000000-0005-0000-0000-0000AA250000}"/>
    <cellStyle name="Normal 6 3 2 2" xfId="5793" xr:uid="{00000000-0005-0000-0000-0000AB250000}"/>
    <cellStyle name="Normal 6 3 2 3" xfId="5792" xr:uid="{00000000-0005-0000-0000-0000AC250000}"/>
    <cellStyle name="Normal 6 3 2 3 2" xfId="7683" xr:uid="{00000000-0005-0000-0000-0000AD250000}"/>
    <cellStyle name="Normal 6 3 2 3 2 2" xfId="10364" xr:uid="{00000000-0005-0000-0000-0000AE250000}"/>
    <cellStyle name="Normal 6 3 2 3 3" xfId="9024" xr:uid="{00000000-0005-0000-0000-0000AF250000}"/>
    <cellStyle name="Normal 6 3 2 4" xfId="7037" xr:uid="{00000000-0005-0000-0000-0000B0250000}"/>
    <cellStyle name="Normal 6 3 2 4 2" xfId="9744" xr:uid="{00000000-0005-0000-0000-0000B1250000}"/>
    <cellStyle name="Normal 6 3 2 5" xfId="8405" xr:uid="{00000000-0005-0000-0000-0000B2250000}"/>
    <cellStyle name="Normal 6 3 3" xfId="760" xr:uid="{00000000-0005-0000-0000-0000B3250000}"/>
    <cellStyle name="Normal 6 3 3 2" xfId="5794" xr:uid="{00000000-0005-0000-0000-0000B4250000}"/>
    <cellStyle name="Normal 6 3 3 2 2" xfId="7684" xr:uid="{00000000-0005-0000-0000-0000B5250000}"/>
    <cellStyle name="Normal 6 3 3 2 2 2" xfId="10365" xr:uid="{00000000-0005-0000-0000-0000B6250000}"/>
    <cellStyle name="Normal 6 3 3 2 3" xfId="9025" xr:uid="{00000000-0005-0000-0000-0000B7250000}"/>
    <cellStyle name="Normal 6 3 4" xfId="1350" xr:uid="{00000000-0005-0000-0000-0000B8250000}"/>
    <cellStyle name="Normal 6 3 4 2" xfId="5795" xr:uid="{00000000-0005-0000-0000-0000B9250000}"/>
    <cellStyle name="Normal 6 3 4 3" xfId="7055" xr:uid="{00000000-0005-0000-0000-0000BA250000}"/>
    <cellStyle name="Normal 6 3 4 3 2" xfId="9762" xr:uid="{00000000-0005-0000-0000-0000BB250000}"/>
    <cellStyle name="Normal 6 3 4 4" xfId="8423" xr:uid="{00000000-0005-0000-0000-0000BC250000}"/>
    <cellStyle name="Normal 6 3 5" xfId="6332" xr:uid="{00000000-0005-0000-0000-0000BD250000}"/>
    <cellStyle name="Normal 6 3 5 2" xfId="9051" xr:uid="{00000000-0005-0000-0000-0000BE250000}"/>
    <cellStyle name="Normal 6 3 6" xfId="7712" xr:uid="{00000000-0005-0000-0000-0000BF250000}"/>
    <cellStyle name="Normal 6 4" xfId="253" xr:uid="{00000000-0005-0000-0000-0000C0250000}"/>
    <cellStyle name="Normal 6 4 2" xfId="5797" xr:uid="{00000000-0005-0000-0000-0000C1250000}"/>
    <cellStyle name="Normal 6 4 3" xfId="5796" xr:uid="{00000000-0005-0000-0000-0000C2250000}"/>
    <cellStyle name="Normal 6 4 3 2" xfId="7685" xr:uid="{00000000-0005-0000-0000-0000C3250000}"/>
    <cellStyle name="Normal 6 4 3 2 2" xfId="10366" xr:uid="{00000000-0005-0000-0000-0000C4250000}"/>
    <cellStyle name="Normal 6 4 3 3" xfId="9026" xr:uid="{00000000-0005-0000-0000-0000C5250000}"/>
    <cellStyle name="Normal 6 5" xfId="757" xr:uid="{00000000-0005-0000-0000-0000C6250000}"/>
    <cellStyle name="Normal 6 5 2" xfId="5798" xr:uid="{00000000-0005-0000-0000-0000C7250000}"/>
    <cellStyle name="Normal 6 6" xfId="1401" xr:uid="{00000000-0005-0000-0000-0000C8250000}"/>
    <cellStyle name="Normal 6 6 2" xfId="5799" xr:uid="{00000000-0005-0000-0000-0000C9250000}"/>
    <cellStyle name="Normal 6 6 2 2" xfId="7686" xr:uid="{00000000-0005-0000-0000-0000CA250000}"/>
    <cellStyle name="Normal 6 6 2 2 2" xfId="10367" xr:uid="{00000000-0005-0000-0000-0000CB250000}"/>
    <cellStyle name="Normal 6 6 2 3" xfId="9027" xr:uid="{00000000-0005-0000-0000-0000CC250000}"/>
    <cellStyle name="Normal 6 6 3" xfId="7106" xr:uid="{00000000-0005-0000-0000-0000CD250000}"/>
    <cellStyle name="Normal 6 6 3 2" xfId="9810" xr:uid="{00000000-0005-0000-0000-0000CE250000}"/>
    <cellStyle name="Normal 6 6 4" xfId="8471" xr:uid="{00000000-0005-0000-0000-0000CF250000}"/>
    <cellStyle name="Normal 6 7" xfId="1418" xr:uid="{00000000-0005-0000-0000-0000D0250000}"/>
    <cellStyle name="Normal 6 7 2" xfId="5800" xr:uid="{00000000-0005-0000-0000-0000D1250000}"/>
    <cellStyle name="Normal 6 8" xfId="6380" xr:uid="{00000000-0005-0000-0000-0000D2250000}"/>
    <cellStyle name="Normal 6 8 2" xfId="9099" xr:uid="{00000000-0005-0000-0000-0000D3250000}"/>
    <cellStyle name="Normal 6 9" xfId="7760" xr:uid="{00000000-0005-0000-0000-0000D4250000}"/>
    <cellStyle name="Normal 60" xfId="5801" xr:uid="{00000000-0005-0000-0000-0000D5250000}"/>
    <cellStyle name="Normal 60 2" xfId="7687" xr:uid="{00000000-0005-0000-0000-0000D6250000}"/>
    <cellStyle name="Normal 60 2 2" xfId="10368" xr:uid="{00000000-0005-0000-0000-0000D7250000}"/>
    <cellStyle name="Normal 60 3" xfId="9028" xr:uid="{00000000-0005-0000-0000-0000D8250000}"/>
    <cellStyle name="Normal 60 6" xfId="10459" xr:uid="{00000000-0005-0000-0000-0000D9250000}"/>
    <cellStyle name="Normal 61" xfId="5802" xr:uid="{00000000-0005-0000-0000-0000DA250000}"/>
    <cellStyle name="Normal 61 2" xfId="7688" xr:uid="{00000000-0005-0000-0000-0000DB250000}"/>
    <cellStyle name="Normal 61 2 2" xfId="10369" xr:uid="{00000000-0005-0000-0000-0000DC250000}"/>
    <cellStyle name="Normal 61 3" xfId="9029" xr:uid="{00000000-0005-0000-0000-0000DD250000}"/>
    <cellStyle name="Normal 62" xfId="5803" xr:uid="{00000000-0005-0000-0000-0000DE250000}"/>
    <cellStyle name="Normal 62 2" xfId="7689" xr:uid="{00000000-0005-0000-0000-0000DF250000}"/>
    <cellStyle name="Normal 62 2 2" xfId="10370" xr:uid="{00000000-0005-0000-0000-0000E0250000}"/>
    <cellStyle name="Normal 62 3" xfId="9030" xr:uid="{00000000-0005-0000-0000-0000E1250000}"/>
    <cellStyle name="Normal 63" xfId="208" xr:uid="{00000000-0005-0000-0000-0000E2250000}"/>
    <cellStyle name="Normal 63 2" xfId="1263" xr:uid="{00000000-0005-0000-0000-0000E3250000}"/>
    <cellStyle name="Normal 63 2 2" xfId="6978" xr:uid="{00000000-0005-0000-0000-0000E4250000}"/>
    <cellStyle name="Normal 63 2 2 2" xfId="9685" xr:uid="{00000000-0005-0000-0000-0000E5250000}"/>
    <cellStyle name="Normal 63 2 3" xfId="8346" xr:uid="{00000000-0005-0000-0000-0000E6250000}"/>
    <cellStyle name="Normal 63 3" xfId="1403" xr:uid="{00000000-0005-0000-0000-0000E7250000}"/>
    <cellStyle name="Normal 63 3 2" xfId="7108" xr:uid="{00000000-0005-0000-0000-0000E8250000}"/>
    <cellStyle name="Normal 63 3 2 2" xfId="9811" xr:uid="{00000000-0005-0000-0000-0000E9250000}"/>
    <cellStyle name="Normal 63 3 3" xfId="8472" xr:uid="{00000000-0005-0000-0000-0000EA250000}"/>
    <cellStyle name="Normal 63 4" xfId="5804" xr:uid="{00000000-0005-0000-0000-0000EB250000}"/>
    <cellStyle name="Normal 63 4 2" xfId="7690" xr:uid="{00000000-0005-0000-0000-0000EC250000}"/>
    <cellStyle name="Normal 63 4 2 2" xfId="10371" xr:uid="{00000000-0005-0000-0000-0000ED250000}"/>
    <cellStyle name="Normal 63 4 3" xfId="9031" xr:uid="{00000000-0005-0000-0000-0000EE250000}"/>
    <cellStyle name="Normal 63 5" xfId="6381" xr:uid="{00000000-0005-0000-0000-0000EF250000}"/>
    <cellStyle name="Normal 63 5 2" xfId="9100" xr:uid="{00000000-0005-0000-0000-0000F0250000}"/>
    <cellStyle name="Normal 63 6" xfId="7761" xr:uid="{00000000-0005-0000-0000-0000F1250000}"/>
    <cellStyle name="Normal 64" xfId="5805" xr:uid="{00000000-0005-0000-0000-0000F2250000}"/>
    <cellStyle name="Normal 65" xfId="5806" xr:uid="{00000000-0005-0000-0000-0000F3250000}"/>
    <cellStyle name="Normal 66" xfId="5807" xr:uid="{00000000-0005-0000-0000-0000F4250000}"/>
    <cellStyle name="Normal 67" xfId="5808" xr:uid="{00000000-0005-0000-0000-0000F5250000}"/>
    <cellStyle name="Normal 68" xfId="5809" xr:uid="{00000000-0005-0000-0000-0000F6250000}"/>
    <cellStyle name="Normal 69" xfId="5810" xr:uid="{00000000-0005-0000-0000-0000F7250000}"/>
    <cellStyle name="Normal 7" xfId="78" xr:uid="{00000000-0005-0000-0000-0000F8250000}"/>
    <cellStyle name="Normal 7 11" xfId="10448" xr:uid="{00000000-0005-0000-0000-0000F9250000}"/>
    <cellStyle name="Normal 7 11 2" xfId="48" xr:uid="{00000000-0005-0000-0000-0000FA250000}"/>
    <cellStyle name="Normal 7 2" xfId="210" xr:uid="{00000000-0005-0000-0000-0000FB250000}"/>
    <cellStyle name="Normal 7 2 2" xfId="1261" xr:uid="{00000000-0005-0000-0000-0000FC250000}"/>
    <cellStyle name="Normal 7 2 2 2" xfId="5811" xr:uid="{00000000-0005-0000-0000-0000FD250000}"/>
    <cellStyle name="Normal 7 2 3" xfId="762" xr:uid="{00000000-0005-0000-0000-0000FE250000}"/>
    <cellStyle name="Normal 7 3" xfId="60" xr:uid="{00000000-0005-0000-0000-0000FF250000}"/>
    <cellStyle name="Normal 7 3 2" xfId="74" xr:uid="{00000000-0005-0000-0000-000000260000}"/>
    <cellStyle name="Normal 7 3 2 2" xfId="5812" xr:uid="{00000000-0005-0000-0000-000001260000}"/>
    <cellStyle name="Normal 7 3 3" xfId="161" xr:uid="{00000000-0005-0000-0000-000002260000}"/>
    <cellStyle name="Normal 7 4" xfId="1262" xr:uid="{00000000-0005-0000-0000-000003260000}"/>
    <cellStyle name="Normal 7 4 2" xfId="5813" xr:uid="{00000000-0005-0000-0000-000004260000}"/>
    <cellStyle name="Normal 7 5" xfId="761" xr:uid="{00000000-0005-0000-0000-000005260000}"/>
    <cellStyle name="Normal 7 6" xfId="209" xr:uid="{00000000-0005-0000-0000-000006260000}"/>
    <cellStyle name="Normal 70" xfId="5814" xr:uid="{00000000-0005-0000-0000-000007260000}"/>
    <cellStyle name="Normal 71" xfId="5815" xr:uid="{00000000-0005-0000-0000-000008260000}"/>
    <cellStyle name="Normal 72" xfId="5816" xr:uid="{00000000-0005-0000-0000-000009260000}"/>
    <cellStyle name="Normal 73" xfId="5817" xr:uid="{00000000-0005-0000-0000-00000A260000}"/>
    <cellStyle name="Normal 74" xfId="5818" xr:uid="{00000000-0005-0000-0000-00000B260000}"/>
    <cellStyle name="Normal 75" xfId="5819" xr:uid="{00000000-0005-0000-0000-00000C260000}"/>
    <cellStyle name="Normal 76" xfId="5820" xr:uid="{00000000-0005-0000-0000-00000D260000}"/>
    <cellStyle name="Normal 77" xfId="5821" xr:uid="{00000000-0005-0000-0000-00000E260000}"/>
    <cellStyle name="Normal 78" xfId="1423" xr:uid="{00000000-0005-0000-0000-00000F260000}"/>
    <cellStyle name="Normal 79" xfId="1483" xr:uid="{00000000-0005-0000-0000-000010260000}"/>
    <cellStyle name="Normal 8" xfId="114" xr:uid="{00000000-0005-0000-0000-000011260000}"/>
    <cellStyle name="Normal 8 2" xfId="173" xr:uid="{00000000-0005-0000-0000-000012260000}"/>
    <cellStyle name="Normal 8 2 2" xfId="1281" xr:uid="{00000000-0005-0000-0000-000013260000}"/>
    <cellStyle name="Normal 8 2 2 2" xfId="5823" xr:uid="{00000000-0005-0000-0000-000014260000}"/>
    <cellStyle name="Normal 8 2 2 3" xfId="5822" xr:uid="{00000000-0005-0000-0000-000015260000}"/>
    <cellStyle name="Normal 8 2 2 3 2" xfId="7691" xr:uid="{00000000-0005-0000-0000-000016260000}"/>
    <cellStyle name="Normal 8 2 2 3 2 2" xfId="10372" xr:uid="{00000000-0005-0000-0000-000017260000}"/>
    <cellStyle name="Normal 8 2 2 3 3" xfId="9032" xr:uid="{00000000-0005-0000-0000-000018260000}"/>
    <cellStyle name="Normal 8 2 2 4" xfId="6991" xr:uid="{00000000-0005-0000-0000-000019260000}"/>
    <cellStyle name="Normal 8 2 2 4 2" xfId="9698" xr:uid="{00000000-0005-0000-0000-00001A260000}"/>
    <cellStyle name="Normal 8 2 2 5" xfId="8359" xr:uid="{00000000-0005-0000-0000-00001B260000}"/>
    <cellStyle name="Normal 8 2 2 7 2 3" xfId="10611" xr:uid="{00000000-0005-0000-0000-00001C260000}"/>
    <cellStyle name="Normal 8 2 2 9" xfId="10494" xr:uid="{00000000-0005-0000-0000-00001D260000}"/>
    <cellStyle name="Normal 8 2 2 9 2" xfId="10536" xr:uid="{00000000-0005-0000-0000-00001E260000}"/>
    <cellStyle name="Normal 8 2 2 9 2 2" xfId="10568" xr:uid="{00000000-0005-0000-0000-00001F260000}"/>
    <cellStyle name="Normal 8 2 2 9 3" xfId="10613" xr:uid="{00000000-0005-0000-0000-000020260000}"/>
    <cellStyle name="Normal 8 2 3" xfId="764" xr:uid="{00000000-0005-0000-0000-000021260000}"/>
    <cellStyle name="Normal 8 2 3 2" xfId="5824" xr:uid="{00000000-0005-0000-0000-000022260000}"/>
    <cellStyle name="Normal 8 2 4" xfId="1385" xr:uid="{00000000-0005-0000-0000-000023260000}"/>
    <cellStyle name="Normal 8 2 4 2" xfId="7090" xr:uid="{00000000-0005-0000-0000-000024260000}"/>
    <cellStyle name="Normal 8 2 4 2 2" xfId="9795" xr:uid="{00000000-0005-0000-0000-000025260000}"/>
    <cellStyle name="Normal 8 2 4 3" xfId="8456" xr:uid="{00000000-0005-0000-0000-000026260000}"/>
    <cellStyle name="Normal 8 2 5" xfId="6365" xr:uid="{00000000-0005-0000-0000-000027260000}"/>
    <cellStyle name="Normal 8 2 5 2" xfId="9084" xr:uid="{00000000-0005-0000-0000-000028260000}"/>
    <cellStyle name="Normal 8 2 6" xfId="7745" xr:uid="{00000000-0005-0000-0000-000029260000}"/>
    <cellStyle name="Normal 8 3" xfId="1260" xr:uid="{00000000-0005-0000-0000-00002A260000}"/>
    <cellStyle name="Normal 8 3 2" xfId="5826" xr:uid="{00000000-0005-0000-0000-00002B260000}"/>
    <cellStyle name="Normal 8 3 3" xfId="5827" xr:uid="{00000000-0005-0000-0000-00002C260000}"/>
    <cellStyle name="Normal 8 3 4" xfId="5825" xr:uid="{00000000-0005-0000-0000-00002D260000}"/>
    <cellStyle name="Normal 8 3 4 2" xfId="7692" xr:uid="{00000000-0005-0000-0000-00002E260000}"/>
    <cellStyle name="Normal 8 3 4 2 2" xfId="10373" xr:uid="{00000000-0005-0000-0000-00002F260000}"/>
    <cellStyle name="Normal 8 3 4 3" xfId="9033" xr:uid="{00000000-0005-0000-0000-000030260000}"/>
    <cellStyle name="Normal 8 3 5" xfId="6977" xr:uid="{00000000-0005-0000-0000-000031260000}"/>
    <cellStyle name="Normal 8 3 5 2" xfId="9684" xr:uid="{00000000-0005-0000-0000-000032260000}"/>
    <cellStyle name="Normal 8 3 6" xfId="8345" xr:uid="{00000000-0005-0000-0000-000033260000}"/>
    <cellStyle name="Normal 8 4" xfId="763" xr:uid="{00000000-0005-0000-0000-000034260000}"/>
    <cellStyle name="Normal 8 5" xfId="1404" xr:uid="{00000000-0005-0000-0000-000035260000}"/>
    <cellStyle name="Normal 8 5 2" xfId="5828" xr:uid="{00000000-0005-0000-0000-000036260000}"/>
    <cellStyle name="Normal 8 5 3" xfId="7109" xr:uid="{00000000-0005-0000-0000-000037260000}"/>
    <cellStyle name="Normal 8 5 3 2" xfId="9812" xr:uid="{00000000-0005-0000-0000-000038260000}"/>
    <cellStyle name="Normal 8 5 4" xfId="8473" xr:uid="{00000000-0005-0000-0000-000039260000}"/>
    <cellStyle name="Normal 8 6" xfId="6382" xr:uid="{00000000-0005-0000-0000-00003A260000}"/>
    <cellStyle name="Normal 8 6 2" xfId="9101" xr:uid="{00000000-0005-0000-0000-00003B260000}"/>
    <cellStyle name="Normal 8 7" xfId="7762" xr:uid="{00000000-0005-0000-0000-00003C260000}"/>
    <cellStyle name="Normal 8 8" xfId="211" xr:uid="{00000000-0005-0000-0000-00003D260000}"/>
    <cellStyle name="Normal 8_LOW VOLTAGE SYSTEM BUDGETARY ESTIMATE 12 06 13" xfId="765" xr:uid="{00000000-0005-0000-0000-00003E260000}"/>
    <cellStyle name="Normal 80" xfId="1428" xr:uid="{00000000-0005-0000-0000-00003F260000}"/>
    <cellStyle name="Normal 81" xfId="6330" xr:uid="{00000000-0005-0000-0000-000040260000}"/>
    <cellStyle name="Normal 82" xfId="6237" xr:uid="{00000000-0005-0000-0000-000041260000}"/>
    <cellStyle name="Normal 83" xfId="5829" xr:uid="{00000000-0005-0000-0000-000042260000}"/>
    <cellStyle name="Normal 84" xfId="6327" xr:uid="{00000000-0005-0000-0000-000043260000}"/>
    <cellStyle name="Normal 85" xfId="64" xr:uid="{00000000-0005-0000-0000-000044260000}"/>
    <cellStyle name="Normal 85 2" xfId="5830" xr:uid="{00000000-0005-0000-0000-000045260000}"/>
    <cellStyle name="Normal 86" xfId="7709" xr:uid="{00000000-0005-0000-0000-000046260000}"/>
    <cellStyle name="Normal 86 2" xfId="10422" xr:uid="{00000000-0005-0000-0000-000047260000}"/>
    <cellStyle name="Normal 87" xfId="10390" xr:uid="{00000000-0005-0000-0000-000048260000}"/>
    <cellStyle name="Normal 88" xfId="10392" xr:uid="{00000000-0005-0000-0000-000049260000}"/>
    <cellStyle name="Normal 89" xfId="10395" xr:uid="{00000000-0005-0000-0000-00004A260000}"/>
    <cellStyle name="Normal 9" xfId="212" xr:uid="{00000000-0005-0000-0000-00004B260000}"/>
    <cellStyle name="Normal 9 10" xfId="10409" xr:uid="{00000000-0005-0000-0000-00004C260000}"/>
    <cellStyle name="Normal 9 2" xfId="213" xr:uid="{00000000-0005-0000-0000-00004D260000}"/>
    <cellStyle name="Normal 9 2 2" xfId="214" xr:uid="{00000000-0005-0000-0000-00004E260000}"/>
    <cellStyle name="Normal 9 2 2 2" xfId="1259" xr:uid="{00000000-0005-0000-0000-00004F260000}"/>
    <cellStyle name="Normal 9 2 2 2 2" xfId="6976" xr:uid="{00000000-0005-0000-0000-000050260000}"/>
    <cellStyle name="Normal 9 2 2 2 2 2" xfId="9683" xr:uid="{00000000-0005-0000-0000-000051260000}"/>
    <cellStyle name="Normal 9 2 2 2 3" xfId="8344" xr:uid="{00000000-0005-0000-0000-000052260000}"/>
    <cellStyle name="Normal 9 2 2 3" xfId="1407" xr:uid="{00000000-0005-0000-0000-000053260000}"/>
    <cellStyle name="Normal 9 2 2 3 2" xfId="7112" xr:uid="{00000000-0005-0000-0000-000054260000}"/>
    <cellStyle name="Normal 9 2 2 3 2 2" xfId="9815" xr:uid="{00000000-0005-0000-0000-000055260000}"/>
    <cellStyle name="Normal 9 2 2 3 3" xfId="8476" xr:uid="{00000000-0005-0000-0000-000056260000}"/>
    <cellStyle name="Normal 9 2 2 4" xfId="5831" xr:uid="{00000000-0005-0000-0000-000057260000}"/>
    <cellStyle name="Normal 9 2 2 5" xfId="6385" xr:uid="{00000000-0005-0000-0000-000058260000}"/>
    <cellStyle name="Normal 9 2 2 5 2" xfId="9104" xr:uid="{00000000-0005-0000-0000-000059260000}"/>
    <cellStyle name="Normal 9 2 2 6" xfId="7765" xr:uid="{00000000-0005-0000-0000-00005A260000}"/>
    <cellStyle name="Normal 9 2 3" xfId="767" xr:uid="{00000000-0005-0000-0000-00005B260000}"/>
    <cellStyle name="Normal 9 2 3 2" xfId="6581" xr:uid="{00000000-0005-0000-0000-00005C260000}"/>
    <cellStyle name="Normal 9 2 3 2 2" xfId="9295" xr:uid="{00000000-0005-0000-0000-00005D260000}"/>
    <cellStyle name="Normal 9 2 3 3" xfId="7956" xr:uid="{00000000-0005-0000-0000-00005E260000}"/>
    <cellStyle name="Normal 9 2 4" xfId="1406" xr:uid="{00000000-0005-0000-0000-00005F260000}"/>
    <cellStyle name="Normal 9 2 4 2" xfId="7111" xr:uid="{00000000-0005-0000-0000-000060260000}"/>
    <cellStyle name="Normal 9 2 4 2 2" xfId="9814" xr:uid="{00000000-0005-0000-0000-000061260000}"/>
    <cellStyle name="Normal 9 2 4 3" xfId="8475" xr:uid="{00000000-0005-0000-0000-000062260000}"/>
    <cellStyle name="Normal 9 2 5" xfId="1513" xr:uid="{00000000-0005-0000-0000-000063260000}"/>
    <cellStyle name="Normal 9 2 5 2" xfId="7203" xr:uid="{00000000-0005-0000-0000-000064260000}"/>
    <cellStyle name="Normal 9 2 5 2 2" xfId="9906" xr:uid="{00000000-0005-0000-0000-000065260000}"/>
    <cellStyle name="Normal 9 2 5 3" xfId="8566" xr:uid="{00000000-0005-0000-0000-000066260000}"/>
    <cellStyle name="Normal 9 2 6" xfId="6384" xr:uid="{00000000-0005-0000-0000-000067260000}"/>
    <cellStyle name="Normal 9 2 6 2" xfId="9103" xr:uid="{00000000-0005-0000-0000-000068260000}"/>
    <cellStyle name="Normal 9 2 7" xfId="7764" xr:uid="{00000000-0005-0000-0000-000069260000}"/>
    <cellStyle name="Normal 9 3" xfId="215" xr:uid="{00000000-0005-0000-0000-00006A260000}"/>
    <cellStyle name="Normal 9 3 2" xfId="769" xr:uid="{00000000-0005-0000-0000-00006B260000}"/>
    <cellStyle name="Normal 9 3 2 2" xfId="1515" xr:uid="{00000000-0005-0000-0000-00006C260000}"/>
    <cellStyle name="Normal 9 3 2 2 2" xfId="7205" xr:uid="{00000000-0005-0000-0000-00006D260000}"/>
    <cellStyle name="Normal 9 3 2 2 2 2" xfId="9908" xr:uid="{00000000-0005-0000-0000-00006E260000}"/>
    <cellStyle name="Normal 9 3 2 2 3" xfId="8568" xr:uid="{00000000-0005-0000-0000-00006F260000}"/>
    <cellStyle name="Normal 9 3 2 3" xfId="6583" xr:uid="{00000000-0005-0000-0000-000070260000}"/>
    <cellStyle name="Normal 9 3 2 3 2" xfId="9297" xr:uid="{00000000-0005-0000-0000-000071260000}"/>
    <cellStyle name="Normal 9 3 2 4" xfId="7958" xr:uid="{00000000-0005-0000-0000-000072260000}"/>
    <cellStyle name="Normal 9 3 3" xfId="768" xr:uid="{00000000-0005-0000-0000-000073260000}"/>
    <cellStyle name="Normal 9 3 3 2" xfId="6582" xr:uid="{00000000-0005-0000-0000-000074260000}"/>
    <cellStyle name="Normal 9 3 3 2 2" xfId="9296" xr:uid="{00000000-0005-0000-0000-000075260000}"/>
    <cellStyle name="Normal 9 3 3 3" xfId="7957" xr:uid="{00000000-0005-0000-0000-000076260000}"/>
    <cellStyle name="Normal 9 3 4" xfId="1408" xr:uid="{00000000-0005-0000-0000-000077260000}"/>
    <cellStyle name="Normal 9 3 4 2" xfId="7113" xr:uid="{00000000-0005-0000-0000-000078260000}"/>
    <cellStyle name="Normal 9 3 4 2 2" xfId="9816" xr:uid="{00000000-0005-0000-0000-000079260000}"/>
    <cellStyle name="Normal 9 3 4 3" xfId="8477" xr:uid="{00000000-0005-0000-0000-00007A260000}"/>
    <cellStyle name="Normal 9 3 5" xfId="1514" xr:uid="{00000000-0005-0000-0000-00007B260000}"/>
    <cellStyle name="Normal 9 3 5 2" xfId="7204" xr:uid="{00000000-0005-0000-0000-00007C260000}"/>
    <cellStyle name="Normal 9 3 5 2 2" xfId="9907" xr:uid="{00000000-0005-0000-0000-00007D260000}"/>
    <cellStyle name="Normal 9 3 5 3" xfId="8567" xr:uid="{00000000-0005-0000-0000-00007E260000}"/>
    <cellStyle name="Normal 9 3 6" xfId="6386" xr:uid="{00000000-0005-0000-0000-00007F260000}"/>
    <cellStyle name="Normal 9 3 6 2" xfId="9105" xr:uid="{00000000-0005-0000-0000-000080260000}"/>
    <cellStyle name="Normal 9 3 7" xfId="7766" xr:uid="{00000000-0005-0000-0000-000081260000}"/>
    <cellStyle name="Normal 9 4" xfId="766" xr:uid="{00000000-0005-0000-0000-000082260000}"/>
    <cellStyle name="Normal 9 4 2" xfId="5833" xr:uid="{00000000-0005-0000-0000-000083260000}"/>
    <cellStyle name="Normal 9 4 3" xfId="5832" xr:uid="{00000000-0005-0000-0000-000084260000}"/>
    <cellStyle name="Normal 9 4 3 2" xfId="7693" xr:uid="{00000000-0005-0000-0000-000085260000}"/>
    <cellStyle name="Normal 9 4 3 2 2" xfId="10374" xr:uid="{00000000-0005-0000-0000-000086260000}"/>
    <cellStyle name="Normal 9 4 3 3" xfId="9034" xr:uid="{00000000-0005-0000-0000-000087260000}"/>
    <cellStyle name="Normal 9 5" xfId="1405" xr:uid="{00000000-0005-0000-0000-000088260000}"/>
    <cellStyle name="Normal 9 5 2" xfId="5834" xr:uid="{00000000-0005-0000-0000-000089260000}"/>
    <cellStyle name="Normal 9 5 3" xfId="7110" xr:uid="{00000000-0005-0000-0000-00008A260000}"/>
    <cellStyle name="Normal 9 5 3 2" xfId="9813" xr:uid="{00000000-0005-0000-0000-00008B260000}"/>
    <cellStyle name="Normal 9 5 4" xfId="8474" xr:uid="{00000000-0005-0000-0000-00008C260000}"/>
    <cellStyle name="Normal 9 6" xfId="5835" xr:uid="{00000000-0005-0000-0000-00008D260000}"/>
    <cellStyle name="Normal 9 6 2" xfId="7694" xr:uid="{00000000-0005-0000-0000-00008E260000}"/>
    <cellStyle name="Normal 9 6 2 2" xfId="10375" xr:uid="{00000000-0005-0000-0000-00008F260000}"/>
    <cellStyle name="Normal 9 6 3" xfId="9035" xr:uid="{00000000-0005-0000-0000-000090260000}"/>
    <cellStyle name="Normal 9 7" xfId="5836" xr:uid="{00000000-0005-0000-0000-000091260000}"/>
    <cellStyle name="Normal 9 7 2" xfId="10446" xr:uid="{00000000-0005-0000-0000-000092260000}"/>
    <cellStyle name="Normal 9 8" xfId="6383" xr:uid="{00000000-0005-0000-0000-000093260000}"/>
    <cellStyle name="Normal 9 8 2" xfId="9102" xr:uid="{00000000-0005-0000-0000-000094260000}"/>
    <cellStyle name="Normal 9 9" xfId="7763" xr:uid="{00000000-0005-0000-0000-000095260000}"/>
    <cellStyle name="Normal 90" xfId="10394" xr:uid="{00000000-0005-0000-0000-000096260000}"/>
    <cellStyle name="Normal 91" xfId="10396" xr:uid="{00000000-0005-0000-0000-000097260000}"/>
    <cellStyle name="Normal 91 2" xfId="10513" xr:uid="{00000000-0005-0000-0000-000098260000}"/>
    <cellStyle name="Normal 91 2 2" xfId="10516" xr:uid="{00000000-0005-0000-0000-000099260000}"/>
    <cellStyle name="Normal 91 2 2 2" xfId="10547" xr:uid="{00000000-0005-0000-0000-00009A260000}"/>
    <cellStyle name="Normal 91 2 2 2 2" xfId="10576" xr:uid="{00000000-0005-0000-0000-00009B260000}"/>
    <cellStyle name="Normal 91 2 2 3" xfId="10594" xr:uid="{00000000-0005-0000-0000-00009C260000}"/>
    <cellStyle name="Normal 91 2 2 3 2" xfId="10623" xr:uid="{37B83CB4-9C39-46B4-A017-050D728465A8}"/>
    <cellStyle name="Normal 91 2 3" xfId="10544" xr:uid="{00000000-0005-0000-0000-00009D260000}"/>
    <cellStyle name="Normal 91 2 3 2" xfId="10572" xr:uid="{00000000-0005-0000-0000-00009E260000}"/>
    <cellStyle name="Normal 91 2 4" xfId="10591" xr:uid="{00000000-0005-0000-0000-00009F260000}"/>
    <cellStyle name="Normal 91 2 4 2" xfId="10620" xr:uid="{8D8FD596-6868-413E-85DE-E2B8BE82221F}"/>
    <cellStyle name="Normal 92" xfId="10397" xr:uid="{00000000-0005-0000-0000-0000A0260000}"/>
    <cellStyle name="Normal 92 2" xfId="216" xr:uid="{00000000-0005-0000-0000-0000A1260000}"/>
    <cellStyle name="Normal 92 2 2" xfId="217" xr:uid="{00000000-0005-0000-0000-0000A2260000}"/>
    <cellStyle name="Normal 92 2 2 2" xfId="234" xr:uid="{00000000-0005-0000-0000-0000A3260000}"/>
    <cellStyle name="Normal 92 2 2 2 2" xfId="6395" xr:uid="{00000000-0005-0000-0000-0000A4260000}"/>
    <cellStyle name="Normal 92 2 2 2 2 2" xfId="9114" xr:uid="{00000000-0005-0000-0000-0000A5260000}"/>
    <cellStyle name="Normal 92 2 2 2 3" xfId="7775" xr:uid="{00000000-0005-0000-0000-0000A6260000}"/>
    <cellStyle name="Normal 92 2 2 3" xfId="1257" xr:uid="{00000000-0005-0000-0000-0000A7260000}"/>
    <cellStyle name="Normal 92 2 2 3 2" xfId="6974" xr:uid="{00000000-0005-0000-0000-0000A8260000}"/>
    <cellStyle name="Normal 92 2 2 3 2 2" xfId="9681" xr:uid="{00000000-0005-0000-0000-0000A9260000}"/>
    <cellStyle name="Normal 92 2 2 3 3" xfId="8342" xr:uid="{00000000-0005-0000-0000-0000AA260000}"/>
    <cellStyle name="Normal 92 2 2 4" xfId="1410" xr:uid="{00000000-0005-0000-0000-0000AB260000}"/>
    <cellStyle name="Normal 92 2 2 4 2" xfId="7115" xr:uid="{00000000-0005-0000-0000-0000AC260000}"/>
    <cellStyle name="Normal 92 2 2 4 2 2" xfId="9818" xr:uid="{00000000-0005-0000-0000-0000AD260000}"/>
    <cellStyle name="Normal 92 2 2 4 3" xfId="8479" xr:uid="{00000000-0005-0000-0000-0000AE260000}"/>
    <cellStyle name="Normal 92 2 2 5" xfId="6228" xr:uid="{00000000-0005-0000-0000-0000AF260000}"/>
    <cellStyle name="Normal 92 2 2 5 2" xfId="7706" xr:uid="{00000000-0005-0000-0000-0000B0260000}"/>
    <cellStyle name="Normal 92 2 2 5 2 2" xfId="10387" xr:uid="{00000000-0005-0000-0000-0000B1260000}"/>
    <cellStyle name="Normal 92 2 2 5 3" xfId="9047" xr:uid="{00000000-0005-0000-0000-0000B2260000}"/>
    <cellStyle name="Normal 92 2 2 6" xfId="6388" xr:uid="{00000000-0005-0000-0000-0000B3260000}"/>
    <cellStyle name="Normal 92 2 2 6 2" xfId="9107" xr:uid="{00000000-0005-0000-0000-0000B4260000}"/>
    <cellStyle name="Normal 92 2 2 7" xfId="7768" xr:uid="{00000000-0005-0000-0000-0000B5260000}"/>
    <cellStyle name="Normal 92 2 3" xfId="218" xr:uid="{00000000-0005-0000-0000-0000B6260000}"/>
    <cellStyle name="Normal 92 2 3 2" xfId="236" xr:uid="{00000000-0005-0000-0000-0000B7260000}"/>
    <cellStyle name="Normal 92 2 3 2 2" xfId="6397" xr:uid="{00000000-0005-0000-0000-0000B8260000}"/>
    <cellStyle name="Normal 92 2 3 2 2 2" xfId="9116" xr:uid="{00000000-0005-0000-0000-0000B9260000}"/>
    <cellStyle name="Normal 92 2 3 2 3" xfId="7777" xr:uid="{00000000-0005-0000-0000-0000BA260000}"/>
    <cellStyle name="Normal 92 2 3 3" xfId="1256" xr:uid="{00000000-0005-0000-0000-0000BB260000}"/>
    <cellStyle name="Normal 92 2 3 3 2" xfId="6973" xr:uid="{00000000-0005-0000-0000-0000BC260000}"/>
    <cellStyle name="Normal 92 2 3 3 2 2" xfId="9680" xr:uid="{00000000-0005-0000-0000-0000BD260000}"/>
    <cellStyle name="Normal 92 2 3 3 3" xfId="8341" xr:uid="{00000000-0005-0000-0000-0000BE260000}"/>
    <cellStyle name="Normal 92 2 3 4" xfId="1411" xr:uid="{00000000-0005-0000-0000-0000BF260000}"/>
    <cellStyle name="Normal 92 2 3 4 2" xfId="7116" xr:uid="{00000000-0005-0000-0000-0000C0260000}"/>
    <cellStyle name="Normal 92 2 3 4 2 2" xfId="9819" xr:uid="{00000000-0005-0000-0000-0000C1260000}"/>
    <cellStyle name="Normal 92 2 3 4 3" xfId="8480" xr:uid="{00000000-0005-0000-0000-0000C2260000}"/>
    <cellStyle name="Normal 92 2 3 5" xfId="6229" xr:uid="{00000000-0005-0000-0000-0000C3260000}"/>
    <cellStyle name="Normal 92 2 3 5 2" xfId="7707" xr:uid="{00000000-0005-0000-0000-0000C4260000}"/>
    <cellStyle name="Normal 92 2 3 5 2 2" xfId="10388" xr:uid="{00000000-0005-0000-0000-0000C5260000}"/>
    <cellStyle name="Normal 92 2 3 5 3" xfId="9048" xr:uid="{00000000-0005-0000-0000-0000C6260000}"/>
    <cellStyle name="Normal 92 2 3 6" xfId="6389" xr:uid="{00000000-0005-0000-0000-0000C7260000}"/>
    <cellStyle name="Normal 92 2 3 6 2" xfId="9108" xr:uid="{00000000-0005-0000-0000-0000C8260000}"/>
    <cellStyle name="Normal 92 2 3 7" xfId="7769" xr:uid="{00000000-0005-0000-0000-0000C9260000}"/>
    <cellStyle name="Normal 92 2 4" xfId="1258" xr:uid="{00000000-0005-0000-0000-0000CA260000}"/>
    <cellStyle name="Normal 92 2 4 2" xfId="6975" xr:uid="{00000000-0005-0000-0000-0000CB260000}"/>
    <cellStyle name="Normal 92 2 4 2 2" xfId="9682" xr:uid="{00000000-0005-0000-0000-0000CC260000}"/>
    <cellStyle name="Normal 92 2 4 3" xfId="8343" xr:uid="{00000000-0005-0000-0000-0000CD260000}"/>
    <cellStyle name="Normal 92 2 5" xfId="1409" xr:uid="{00000000-0005-0000-0000-0000CE260000}"/>
    <cellStyle name="Normal 92 2 5 2" xfId="7114" xr:uid="{00000000-0005-0000-0000-0000CF260000}"/>
    <cellStyle name="Normal 92 2 5 2 2" xfId="9817" xr:uid="{00000000-0005-0000-0000-0000D0260000}"/>
    <cellStyle name="Normal 92 2 5 3" xfId="8478" xr:uid="{00000000-0005-0000-0000-0000D1260000}"/>
    <cellStyle name="Normal 92 2 6" xfId="6227" xr:uid="{00000000-0005-0000-0000-0000D2260000}"/>
    <cellStyle name="Normal 92 2 6 2" xfId="7705" xr:uid="{00000000-0005-0000-0000-0000D3260000}"/>
    <cellStyle name="Normal 92 2 6 2 2" xfId="10386" xr:uid="{00000000-0005-0000-0000-0000D4260000}"/>
    <cellStyle name="Normal 92 2 6 3" xfId="9046" xr:uid="{00000000-0005-0000-0000-0000D5260000}"/>
    <cellStyle name="Normal 92 2 7" xfId="6387" xr:uid="{00000000-0005-0000-0000-0000D6260000}"/>
    <cellStyle name="Normal 92 2 7 2" xfId="9106" xr:uid="{00000000-0005-0000-0000-0000D7260000}"/>
    <cellStyle name="Normal 92 2 8" xfId="7767" xr:uid="{00000000-0005-0000-0000-0000D8260000}"/>
    <cellStyle name="Normal 92 3" xfId="10504" xr:uid="{00000000-0005-0000-0000-0000D9260000}"/>
    <cellStyle name="Normal 92 4" xfId="10538" xr:uid="{00000000-0005-0000-0000-0000DA260000}"/>
    <cellStyle name="Normal 93" xfId="10398" xr:uid="{00000000-0005-0000-0000-0000DB260000}"/>
    <cellStyle name="Normal 94" xfId="10399" xr:uid="{00000000-0005-0000-0000-0000DC260000}"/>
    <cellStyle name="Normal 95" xfId="10400" xr:uid="{00000000-0005-0000-0000-0000DD260000}"/>
    <cellStyle name="Normal 95 2" xfId="10515" xr:uid="{00000000-0005-0000-0000-0000DE260000}"/>
    <cellStyle name="Normal 95 3" xfId="10546" xr:uid="{00000000-0005-0000-0000-0000DF260000}"/>
    <cellStyle name="Normal 95 3 2" xfId="10575" xr:uid="{00000000-0005-0000-0000-0000E0260000}"/>
    <cellStyle name="Normal 95 4" xfId="10593" xr:uid="{00000000-0005-0000-0000-0000E1260000}"/>
    <cellStyle name="Normal 95 4 2" xfId="10622" xr:uid="{A329F965-EDB5-4BCD-9BB2-9230161E6FEF}"/>
    <cellStyle name="Normal 96" xfId="10401" xr:uid="{00000000-0005-0000-0000-0000E2260000}"/>
    <cellStyle name="Normal 96 2" xfId="10492" xr:uid="{00000000-0005-0000-0000-0000E3260000}"/>
    <cellStyle name="Normal 97" xfId="10404" xr:uid="{00000000-0005-0000-0000-0000E4260000}"/>
    <cellStyle name="Normal 98" xfId="10407" xr:uid="{00000000-0005-0000-0000-0000E5260000}"/>
    <cellStyle name="Normal 99" xfId="10405" xr:uid="{00000000-0005-0000-0000-0000E6260000}"/>
    <cellStyle name="Normal_EB-4" xfId="10610" xr:uid="{00000000-0005-0000-0000-0000EA260000}"/>
    <cellStyle name="Note 10" xfId="5837" xr:uid="{00000000-0005-0000-0000-0000F1260000}"/>
    <cellStyle name="Note 10 2" xfId="5838" xr:uid="{00000000-0005-0000-0000-0000F2260000}"/>
    <cellStyle name="Note 10 2 2" xfId="5839" xr:uid="{00000000-0005-0000-0000-0000F3260000}"/>
    <cellStyle name="Note 10 2 2 2" xfId="5840" xr:uid="{00000000-0005-0000-0000-0000F4260000}"/>
    <cellStyle name="Note 10 2 3" xfId="5841" xr:uid="{00000000-0005-0000-0000-0000F5260000}"/>
    <cellStyle name="Note 10 3" xfId="5842" xr:uid="{00000000-0005-0000-0000-0000F6260000}"/>
    <cellStyle name="Note 10 3 2" xfId="5843" xr:uid="{00000000-0005-0000-0000-0000F7260000}"/>
    <cellStyle name="Note 10 4" xfId="5844" xr:uid="{00000000-0005-0000-0000-0000F8260000}"/>
    <cellStyle name="Note 11" xfId="5845" xr:uid="{00000000-0005-0000-0000-0000F9260000}"/>
    <cellStyle name="Note 11 2" xfId="5846" xr:uid="{00000000-0005-0000-0000-0000FA260000}"/>
    <cellStyle name="Note 11 2 2" xfId="5847" xr:uid="{00000000-0005-0000-0000-0000FB260000}"/>
    <cellStyle name="Note 11 3" xfId="5848" xr:uid="{00000000-0005-0000-0000-0000FC260000}"/>
    <cellStyle name="Note 12" xfId="5849" xr:uid="{00000000-0005-0000-0000-0000FD260000}"/>
    <cellStyle name="Note 13" xfId="5850" xr:uid="{00000000-0005-0000-0000-0000FE260000}"/>
    <cellStyle name="Note 2" xfId="770" xr:uid="{00000000-0005-0000-0000-0000FF260000}"/>
    <cellStyle name="Note 2 10" xfId="5851" xr:uid="{00000000-0005-0000-0000-000000270000}"/>
    <cellStyle name="Note 2 11" xfId="5852" xr:uid="{00000000-0005-0000-0000-000001270000}"/>
    <cellStyle name="Note 2 12" xfId="5853" xr:uid="{00000000-0005-0000-0000-000002270000}"/>
    <cellStyle name="Note 2 13" xfId="5854" xr:uid="{00000000-0005-0000-0000-000003270000}"/>
    <cellStyle name="Note 2 14" xfId="5855" xr:uid="{00000000-0005-0000-0000-000004270000}"/>
    <cellStyle name="Note 2 15" xfId="5856" xr:uid="{00000000-0005-0000-0000-000005270000}"/>
    <cellStyle name="Note 2 16" xfId="5857" xr:uid="{00000000-0005-0000-0000-000006270000}"/>
    <cellStyle name="Note 2 17" xfId="5858" xr:uid="{00000000-0005-0000-0000-000007270000}"/>
    <cellStyle name="Note 2 18" xfId="5859" xr:uid="{00000000-0005-0000-0000-000008270000}"/>
    <cellStyle name="Note 2 19" xfId="5860" xr:uid="{00000000-0005-0000-0000-000009270000}"/>
    <cellStyle name="Note 2 2" xfId="771" xr:uid="{00000000-0005-0000-0000-00000A270000}"/>
    <cellStyle name="Note 2 2 2" xfId="772" xr:uid="{00000000-0005-0000-0000-00000B270000}"/>
    <cellStyle name="Note 2 2 2 2" xfId="5862" xr:uid="{00000000-0005-0000-0000-00000C270000}"/>
    <cellStyle name="Note 2 2 2 3" xfId="5861" xr:uid="{00000000-0005-0000-0000-00000D270000}"/>
    <cellStyle name="Note 2 2 2 4" xfId="6585" xr:uid="{00000000-0005-0000-0000-00000E270000}"/>
    <cellStyle name="Note 2 2 3" xfId="773" xr:uid="{00000000-0005-0000-0000-00000F270000}"/>
    <cellStyle name="Note 2 2 3 2" xfId="5863" xr:uid="{00000000-0005-0000-0000-000010270000}"/>
    <cellStyle name="Note 2 2 4" xfId="5864" xr:uid="{00000000-0005-0000-0000-000011270000}"/>
    <cellStyle name="Note 2 2 5" xfId="6584" xr:uid="{00000000-0005-0000-0000-000012270000}"/>
    <cellStyle name="Note 2 20" xfId="5865" xr:uid="{00000000-0005-0000-0000-000013270000}"/>
    <cellStyle name="Note 2 21" xfId="5866" xr:uid="{00000000-0005-0000-0000-000014270000}"/>
    <cellStyle name="Note 2 22" xfId="5867" xr:uid="{00000000-0005-0000-0000-000015270000}"/>
    <cellStyle name="Note 2 23" xfId="5868" xr:uid="{00000000-0005-0000-0000-000016270000}"/>
    <cellStyle name="Note 2 24" xfId="5869" xr:uid="{00000000-0005-0000-0000-000017270000}"/>
    <cellStyle name="Note 2 25" xfId="5870" xr:uid="{00000000-0005-0000-0000-000018270000}"/>
    <cellStyle name="Note 2 26" xfId="5871" xr:uid="{00000000-0005-0000-0000-000019270000}"/>
    <cellStyle name="Note 2 27" xfId="5872" xr:uid="{00000000-0005-0000-0000-00001A270000}"/>
    <cellStyle name="Note 2 28" xfId="5873" xr:uid="{00000000-0005-0000-0000-00001B270000}"/>
    <cellStyle name="Note 2 29" xfId="5874" xr:uid="{00000000-0005-0000-0000-00001C270000}"/>
    <cellStyle name="Note 2 3" xfId="774" xr:uid="{00000000-0005-0000-0000-00001D270000}"/>
    <cellStyle name="Note 2 3 2" xfId="5876" xr:uid="{00000000-0005-0000-0000-00001E270000}"/>
    <cellStyle name="Note 2 3 3" xfId="5877" xr:uid="{00000000-0005-0000-0000-00001F270000}"/>
    <cellStyle name="Note 2 3 4" xfId="5875" xr:uid="{00000000-0005-0000-0000-000020270000}"/>
    <cellStyle name="Note 2 30" xfId="5878" xr:uid="{00000000-0005-0000-0000-000021270000}"/>
    <cellStyle name="Note 2 31" xfId="5879" xr:uid="{00000000-0005-0000-0000-000022270000}"/>
    <cellStyle name="Note 2 32" xfId="5880" xr:uid="{00000000-0005-0000-0000-000023270000}"/>
    <cellStyle name="Note 2 33" xfId="5881" xr:uid="{00000000-0005-0000-0000-000024270000}"/>
    <cellStyle name="Note 2 34" xfId="5882" xr:uid="{00000000-0005-0000-0000-000025270000}"/>
    <cellStyle name="Note 2 35" xfId="5883" xr:uid="{00000000-0005-0000-0000-000026270000}"/>
    <cellStyle name="Note 2 36" xfId="5884" xr:uid="{00000000-0005-0000-0000-000027270000}"/>
    <cellStyle name="Note 2 37" xfId="5885" xr:uid="{00000000-0005-0000-0000-000028270000}"/>
    <cellStyle name="Note 2 38" xfId="5886" xr:uid="{00000000-0005-0000-0000-000029270000}"/>
    <cellStyle name="Note 2 39" xfId="5887" xr:uid="{00000000-0005-0000-0000-00002A270000}"/>
    <cellStyle name="Note 2 4" xfId="775" xr:uid="{00000000-0005-0000-0000-00002B270000}"/>
    <cellStyle name="Note 2 4 2" xfId="5889" xr:uid="{00000000-0005-0000-0000-00002C270000}"/>
    <cellStyle name="Note 2 4 3" xfId="5888" xr:uid="{00000000-0005-0000-0000-00002D270000}"/>
    <cellStyle name="Note 2 40" xfId="5890" xr:uid="{00000000-0005-0000-0000-00002E270000}"/>
    <cellStyle name="Note 2 41" xfId="5891" xr:uid="{00000000-0005-0000-0000-00002F270000}"/>
    <cellStyle name="Note 2 42" xfId="5892" xr:uid="{00000000-0005-0000-0000-000030270000}"/>
    <cellStyle name="Note 2 43" xfId="5893" xr:uid="{00000000-0005-0000-0000-000031270000}"/>
    <cellStyle name="Note 2 44" xfId="5894" xr:uid="{00000000-0005-0000-0000-000032270000}"/>
    <cellStyle name="Note 2 45" xfId="5895" xr:uid="{00000000-0005-0000-0000-000033270000}"/>
    <cellStyle name="Note 2 46" xfId="5896" xr:uid="{00000000-0005-0000-0000-000034270000}"/>
    <cellStyle name="Note 2 47" xfId="5897" xr:uid="{00000000-0005-0000-0000-000035270000}"/>
    <cellStyle name="Note 2 48" xfId="5898" xr:uid="{00000000-0005-0000-0000-000036270000}"/>
    <cellStyle name="Note 2 49" xfId="5899" xr:uid="{00000000-0005-0000-0000-000037270000}"/>
    <cellStyle name="Note 2 5" xfId="5900" xr:uid="{00000000-0005-0000-0000-000038270000}"/>
    <cellStyle name="Note 2 50" xfId="5901" xr:uid="{00000000-0005-0000-0000-000039270000}"/>
    <cellStyle name="Note 2 51" xfId="5902" xr:uid="{00000000-0005-0000-0000-00003A270000}"/>
    <cellStyle name="Note 2 52" xfId="1516" xr:uid="{00000000-0005-0000-0000-00003B270000}"/>
    <cellStyle name="Note 2 6" xfId="5903" xr:uid="{00000000-0005-0000-0000-00003C270000}"/>
    <cellStyle name="Note 2 7" xfId="5904" xr:uid="{00000000-0005-0000-0000-00003D270000}"/>
    <cellStyle name="Note 2 8" xfId="5905" xr:uid="{00000000-0005-0000-0000-00003E270000}"/>
    <cellStyle name="Note 2 9" xfId="5906" xr:uid="{00000000-0005-0000-0000-00003F270000}"/>
    <cellStyle name="Note 3" xfId="5907" xr:uid="{00000000-0005-0000-0000-000040270000}"/>
    <cellStyle name="Note 3 2" xfId="5908" xr:uid="{00000000-0005-0000-0000-000041270000}"/>
    <cellStyle name="Note 3 2 2" xfId="5909" xr:uid="{00000000-0005-0000-0000-000042270000}"/>
    <cellStyle name="Note 3 2 2 2" xfId="5910" xr:uid="{00000000-0005-0000-0000-000043270000}"/>
    <cellStyle name="Note 3 2 3" xfId="5911" xr:uid="{00000000-0005-0000-0000-000044270000}"/>
    <cellStyle name="Note 3 3" xfId="5912" xr:uid="{00000000-0005-0000-0000-000045270000}"/>
    <cellStyle name="Note 3 3 2" xfId="5913" xr:uid="{00000000-0005-0000-0000-000046270000}"/>
    <cellStyle name="Note 3 4" xfId="5914" xr:uid="{00000000-0005-0000-0000-000047270000}"/>
    <cellStyle name="Note 3 5" xfId="5915" xr:uid="{00000000-0005-0000-0000-000048270000}"/>
    <cellStyle name="Note 4" xfId="5916" xr:uid="{00000000-0005-0000-0000-000049270000}"/>
    <cellStyle name="Note 4 2" xfId="5917" xr:uid="{00000000-0005-0000-0000-00004A270000}"/>
    <cellStyle name="Note 4 2 2" xfId="5918" xr:uid="{00000000-0005-0000-0000-00004B270000}"/>
    <cellStyle name="Note 4 2 2 2" xfId="5919" xr:uid="{00000000-0005-0000-0000-00004C270000}"/>
    <cellStyle name="Note 4 2 3" xfId="5920" xr:uid="{00000000-0005-0000-0000-00004D270000}"/>
    <cellStyle name="Note 4 3" xfId="5921" xr:uid="{00000000-0005-0000-0000-00004E270000}"/>
    <cellStyle name="Note 4 3 2" xfId="5922" xr:uid="{00000000-0005-0000-0000-00004F270000}"/>
    <cellStyle name="Note 4 4" xfId="5923" xr:uid="{00000000-0005-0000-0000-000050270000}"/>
    <cellStyle name="Note 4 5" xfId="5924" xr:uid="{00000000-0005-0000-0000-000051270000}"/>
    <cellStyle name="Note 5" xfId="5925" xr:uid="{00000000-0005-0000-0000-000052270000}"/>
    <cellStyle name="Note 5 2" xfId="5926" xr:uid="{00000000-0005-0000-0000-000053270000}"/>
    <cellStyle name="Note 5 2 2" xfId="5927" xr:uid="{00000000-0005-0000-0000-000054270000}"/>
    <cellStyle name="Note 5 2 2 2" xfId="5928" xr:uid="{00000000-0005-0000-0000-000055270000}"/>
    <cellStyle name="Note 5 2 3" xfId="5929" xr:uid="{00000000-0005-0000-0000-000056270000}"/>
    <cellStyle name="Note 5 3" xfId="5930" xr:uid="{00000000-0005-0000-0000-000057270000}"/>
    <cellStyle name="Note 5 3 2" xfId="5931" xr:uid="{00000000-0005-0000-0000-000058270000}"/>
    <cellStyle name="Note 5 4" xfId="5932" xr:uid="{00000000-0005-0000-0000-000059270000}"/>
    <cellStyle name="Note 5 5" xfId="5933" xr:uid="{00000000-0005-0000-0000-00005A270000}"/>
    <cellStyle name="Note 6" xfId="5934" xr:uid="{00000000-0005-0000-0000-00005B270000}"/>
    <cellStyle name="Note 6 2" xfId="5935" xr:uid="{00000000-0005-0000-0000-00005C270000}"/>
    <cellStyle name="Note 6 2 2" xfId="5936" xr:uid="{00000000-0005-0000-0000-00005D270000}"/>
    <cellStyle name="Note 6 2 2 2" xfId="5937" xr:uid="{00000000-0005-0000-0000-00005E270000}"/>
    <cellStyle name="Note 6 2 3" xfId="5938" xr:uid="{00000000-0005-0000-0000-00005F270000}"/>
    <cellStyle name="Note 6 3" xfId="5939" xr:uid="{00000000-0005-0000-0000-000060270000}"/>
    <cellStyle name="Note 6 3 2" xfId="5940" xr:uid="{00000000-0005-0000-0000-000061270000}"/>
    <cellStyle name="Note 6 4" xfId="5941" xr:uid="{00000000-0005-0000-0000-000062270000}"/>
    <cellStyle name="Note 7" xfId="5942" xr:uid="{00000000-0005-0000-0000-000063270000}"/>
    <cellStyle name="Note 7 2" xfId="5943" xr:uid="{00000000-0005-0000-0000-000064270000}"/>
    <cellStyle name="Note 7 2 2" xfId="5944" xr:uid="{00000000-0005-0000-0000-000065270000}"/>
    <cellStyle name="Note 7 2 2 2" xfId="5945" xr:uid="{00000000-0005-0000-0000-000066270000}"/>
    <cellStyle name="Note 7 2 3" xfId="5946" xr:uid="{00000000-0005-0000-0000-000067270000}"/>
    <cellStyle name="Note 7 3" xfId="5947" xr:uid="{00000000-0005-0000-0000-000068270000}"/>
    <cellStyle name="Note 7 3 2" xfId="5948" xr:uid="{00000000-0005-0000-0000-000069270000}"/>
    <cellStyle name="Note 7 4" xfId="5949" xr:uid="{00000000-0005-0000-0000-00006A270000}"/>
    <cellStyle name="Note 8" xfId="5950" xr:uid="{00000000-0005-0000-0000-00006B270000}"/>
    <cellStyle name="Note 8 2" xfId="5951" xr:uid="{00000000-0005-0000-0000-00006C270000}"/>
    <cellStyle name="Note 8 2 2" xfId="5952" xr:uid="{00000000-0005-0000-0000-00006D270000}"/>
    <cellStyle name="Note 8 2 2 2" xfId="5953" xr:uid="{00000000-0005-0000-0000-00006E270000}"/>
    <cellStyle name="Note 8 2 3" xfId="5954" xr:uid="{00000000-0005-0000-0000-00006F270000}"/>
    <cellStyle name="Note 8 3" xfId="5955" xr:uid="{00000000-0005-0000-0000-000070270000}"/>
    <cellStyle name="Note 8 3 2" xfId="5956" xr:uid="{00000000-0005-0000-0000-000071270000}"/>
    <cellStyle name="Note 8 4" xfId="5957" xr:uid="{00000000-0005-0000-0000-000072270000}"/>
    <cellStyle name="Note 9" xfId="5958" xr:uid="{00000000-0005-0000-0000-000073270000}"/>
    <cellStyle name="Note 9 2" xfId="5959" xr:uid="{00000000-0005-0000-0000-000074270000}"/>
    <cellStyle name="Note 9 2 2" xfId="5960" xr:uid="{00000000-0005-0000-0000-000075270000}"/>
    <cellStyle name="Note 9 2 2 2" xfId="5961" xr:uid="{00000000-0005-0000-0000-000076270000}"/>
    <cellStyle name="Note 9 2 3" xfId="5962" xr:uid="{00000000-0005-0000-0000-000077270000}"/>
    <cellStyle name="Note 9 3" xfId="5963" xr:uid="{00000000-0005-0000-0000-000078270000}"/>
    <cellStyle name="Note 9 3 2" xfId="5964" xr:uid="{00000000-0005-0000-0000-000079270000}"/>
    <cellStyle name="Note 9 4" xfId="5965" xr:uid="{00000000-0005-0000-0000-00007A270000}"/>
    <cellStyle name="Nr" xfId="5966" xr:uid="{00000000-0005-0000-0000-00007B270000}"/>
    <cellStyle name="Nr 2" xfId="5967" xr:uid="{00000000-0005-0000-0000-00007C270000}"/>
    <cellStyle name="Œ…‹æØ‚è [0.00]_PRODUCT DETAIL Q1" xfId="776" xr:uid="{00000000-0005-0000-0000-00007D270000}"/>
    <cellStyle name="Œ…‹æØ‚è_PRODUCT DETAIL Q1" xfId="777" xr:uid="{00000000-0005-0000-0000-00007E270000}"/>
    <cellStyle name="Output 10" xfId="5968" xr:uid="{00000000-0005-0000-0000-00007F270000}"/>
    <cellStyle name="Output 10 2" xfId="5969" xr:uid="{00000000-0005-0000-0000-000080270000}"/>
    <cellStyle name="Output 10 2 2" xfId="5970" xr:uid="{00000000-0005-0000-0000-000081270000}"/>
    <cellStyle name="Output 10 3" xfId="5971" xr:uid="{00000000-0005-0000-0000-000082270000}"/>
    <cellStyle name="Output 11" xfId="5972" xr:uid="{00000000-0005-0000-0000-000083270000}"/>
    <cellStyle name="Output 11 2" xfId="5973" xr:uid="{00000000-0005-0000-0000-000084270000}"/>
    <cellStyle name="Output 12" xfId="5974" xr:uid="{00000000-0005-0000-0000-000085270000}"/>
    <cellStyle name="Output 2" xfId="778" xr:uid="{00000000-0005-0000-0000-000086270000}"/>
    <cellStyle name="Output 2 10" xfId="5975" xr:uid="{00000000-0005-0000-0000-000087270000}"/>
    <cellStyle name="Output 2 11" xfId="5976" xr:uid="{00000000-0005-0000-0000-000088270000}"/>
    <cellStyle name="Output 2 12" xfId="5977" xr:uid="{00000000-0005-0000-0000-000089270000}"/>
    <cellStyle name="Output 2 13" xfId="5978" xr:uid="{00000000-0005-0000-0000-00008A270000}"/>
    <cellStyle name="Output 2 14" xfId="5979" xr:uid="{00000000-0005-0000-0000-00008B270000}"/>
    <cellStyle name="Output 2 15" xfId="5980" xr:uid="{00000000-0005-0000-0000-00008C270000}"/>
    <cellStyle name="Output 2 16" xfId="5981" xr:uid="{00000000-0005-0000-0000-00008D270000}"/>
    <cellStyle name="Output 2 17" xfId="5982" xr:uid="{00000000-0005-0000-0000-00008E270000}"/>
    <cellStyle name="Output 2 18" xfId="5983" xr:uid="{00000000-0005-0000-0000-00008F270000}"/>
    <cellStyle name="Output 2 19" xfId="5984" xr:uid="{00000000-0005-0000-0000-000090270000}"/>
    <cellStyle name="Output 2 2" xfId="779" xr:uid="{00000000-0005-0000-0000-000091270000}"/>
    <cellStyle name="Output 2 2 2" xfId="780" xr:uid="{00000000-0005-0000-0000-000092270000}"/>
    <cellStyle name="Output 2 2 2 2" xfId="5986" xr:uid="{00000000-0005-0000-0000-000093270000}"/>
    <cellStyle name="Output 2 2 2 3" xfId="6586" xr:uid="{00000000-0005-0000-0000-000094270000}"/>
    <cellStyle name="Output 2 2 2 4" xfId="10427" xr:uid="{00000000-0005-0000-0000-000095270000}"/>
    <cellStyle name="Output 2 2 3" xfId="5987" xr:uid="{00000000-0005-0000-0000-000096270000}"/>
    <cellStyle name="Output 2 2 4" xfId="5985" xr:uid="{00000000-0005-0000-0000-000097270000}"/>
    <cellStyle name="Output 2 2 5" xfId="10426" xr:uid="{00000000-0005-0000-0000-000098270000}"/>
    <cellStyle name="Output 2 20" xfId="5988" xr:uid="{00000000-0005-0000-0000-000099270000}"/>
    <cellStyle name="Output 2 21" xfId="5989" xr:uid="{00000000-0005-0000-0000-00009A270000}"/>
    <cellStyle name="Output 2 22" xfId="5990" xr:uid="{00000000-0005-0000-0000-00009B270000}"/>
    <cellStyle name="Output 2 23" xfId="5991" xr:uid="{00000000-0005-0000-0000-00009C270000}"/>
    <cellStyle name="Output 2 24" xfId="5992" xr:uid="{00000000-0005-0000-0000-00009D270000}"/>
    <cellStyle name="Output 2 25" xfId="5993" xr:uid="{00000000-0005-0000-0000-00009E270000}"/>
    <cellStyle name="Output 2 26" xfId="5994" xr:uid="{00000000-0005-0000-0000-00009F270000}"/>
    <cellStyle name="Output 2 27" xfId="5995" xr:uid="{00000000-0005-0000-0000-0000A0270000}"/>
    <cellStyle name="Output 2 28" xfId="5996" xr:uid="{00000000-0005-0000-0000-0000A1270000}"/>
    <cellStyle name="Output 2 29" xfId="5997" xr:uid="{00000000-0005-0000-0000-0000A2270000}"/>
    <cellStyle name="Output 2 3" xfId="781" xr:uid="{00000000-0005-0000-0000-0000A3270000}"/>
    <cellStyle name="Output 2 3 2" xfId="5999" xr:uid="{00000000-0005-0000-0000-0000A4270000}"/>
    <cellStyle name="Output 2 3 3" xfId="5998" xr:uid="{00000000-0005-0000-0000-0000A5270000}"/>
    <cellStyle name="Output 2 3 4" xfId="10428" xr:uid="{00000000-0005-0000-0000-0000A6270000}"/>
    <cellStyle name="Output 2 30" xfId="6000" xr:uid="{00000000-0005-0000-0000-0000A7270000}"/>
    <cellStyle name="Output 2 31" xfId="6001" xr:uid="{00000000-0005-0000-0000-0000A8270000}"/>
    <cellStyle name="Output 2 32" xfId="6002" xr:uid="{00000000-0005-0000-0000-0000A9270000}"/>
    <cellStyle name="Output 2 33" xfId="6003" xr:uid="{00000000-0005-0000-0000-0000AA270000}"/>
    <cellStyle name="Output 2 34" xfId="6004" xr:uid="{00000000-0005-0000-0000-0000AB270000}"/>
    <cellStyle name="Output 2 35" xfId="6005" xr:uid="{00000000-0005-0000-0000-0000AC270000}"/>
    <cellStyle name="Output 2 36" xfId="6006" xr:uid="{00000000-0005-0000-0000-0000AD270000}"/>
    <cellStyle name="Output 2 37" xfId="6007" xr:uid="{00000000-0005-0000-0000-0000AE270000}"/>
    <cellStyle name="Output 2 38" xfId="6008" xr:uid="{00000000-0005-0000-0000-0000AF270000}"/>
    <cellStyle name="Output 2 39" xfId="6009" xr:uid="{00000000-0005-0000-0000-0000B0270000}"/>
    <cellStyle name="Output 2 4" xfId="782" xr:uid="{00000000-0005-0000-0000-0000B1270000}"/>
    <cellStyle name="Output 2 4 2" xfId="6010" xr:uid="{00000000-0005-0000-0000-0000B2270000}"/>
    <cellStyle name="Output 2 4 3" xfId="6587" xr:uid="{00000000-0005-0000-0000-0000B3270000}"/>
    <cellStyle name="Output 2 4 4" xfId="10429" xr:uid="{00000000-0005-0000-0000-0000B4270000}"/>
    <cellStyle name="Output 2 40" xfId="6011" xr:uid="{00000000-0005-0000-0000-0000B5270000}"/>
    <cellStyle name="Output 2 41" xfId="6012" xr:uid="{00000000-0005-0000-0000-0000B6270000}"/>
    <cellStyle name="Output 2 42" xfId="6013" xr:uid="{00000000-0005-0000-0000-0000B7270000}"/>
    <cellStyle name="Output 2 43" xfId="6014" xr:uid="{00000000-0005-0000-0000-0000B8270000}"/>
    <cellStyle name="Output 2 44" xfId="6015" xr:uid="{00000000-0005-0000-0000-0000B9270000}"/>
    <cellStyle name="Output 2 45" xfId="6016" xr:uid="{00000000-0005-0000-0000-0000BA270000}"/>
    <cellStyle name="Output 2 46" xfId="6017" xr:uid="{00000000-0005-0000-0000-0000BB270000}"/>
    <cellStyle name="Output 2 47" xfId="6018" xr:uid="{00000000-0005-0000-0000-0000BC270000}"/>
    <cellStyle name="Output 2 48" xfId="6019" xr:uid="{00000000-0005-0000-0000-0000BD270000}"/>
    <cellStyle name="Output 2 49" xfId="6020" xr:uid="{00000000-0005-0000-0000-0000BE270000}"/>
    <cellStyle name="Output 2 5" xfId="6021" xr:uid="{00000000-0005-0000-0000-0000BF270000}"/>
    <cellStyle name="Output 2 50" xfId="1517" xr:uid="{00000000-0005-0000-0000-0000C0270000}"/>
    <cellStyle name="Output 2 51" xfId="10425" xr:uid="{00000000-0005-0000-0000-0000C1270000}"/>
    <cellStyle name="Output 2 6" xfId="6022" xr:uid="{00000000-0005-0000-0000-0000C2270000}"/>
    <cellStyle name="Output 2 7" xfId="6023" xr:uid="{00000000-0005-0000-0000-0000C3270000}"/>
    <cellStyle name="Output 2 8" xfId="6024" xr:uid="{00000000-0005-0000-0000-0000C4270000}"/>
    <cellStyle name="Output 2 9" xfId="6025" xr:uid="{00000000-0005-0000-0000-0000C5270000}"/>
    <cellStyle name="Output 3" xfId="6026" xr:uid="{00000000-0005-0000-0000-0000C6270000}"/>
    <cellStyle name="Output 3 2" xfId="6027" xr:uid="{00000000-0005-0000-0000-0000C7270000}"/>
    <cellStyle name="Output 3 2 2" xfId="6028" xr:uid="{00000000-0005-0000-0000-0000C8270000}"/>
    <cellStyle name="Output 3 3" xfId="6029" xr:uid="{00000000-0005-0000-0000-0000C9270000}"/>
    <cellStyle name="Output 4" xfId="6030" xr:uid="{00000000-0005-0000-0000-0000CA270000}"/>
    <cellStyle name="Output 4 2" xfId="6031" xr:uid="{00000000-0005-0000-0000-0000CB270000}"/>
    <cellStyle name="Output 4 2 2" xfId="6032" xr:uid="{00000000-0005-0000-0000-0000CC270000}"/>
    <cellStyle name="Output 4 3" xfId="6033" xr:uid="{00000000-0005-0000-0000-0000CD270000}"/>
    <cellStyle name="Output 5" xfId="6034" xr:uid="{00000000-0005-0000-0000-0000CE270000}"/>
    <cellStyle name="Output 5 2" xfId="6035" xr:uid="{00000000-0005-0000-0000-0000CF270000}"/>
    <cellStyle name="Output 5 2 2" xfId="6036" xr:uid="{00000000-0005-0000-0000-0000D0270000}"/>
    <cellStyle name="Output 5 3" xfId="6037" xr:uid="{00000000-0005-0000-0000-0000D1270000}"/>
    <cellStyle name="Output 6" xfId="6038" xr:uid="{00000000-0005-0000-0000-0000D2270000}"/>
    <cellStyle name="Output 6 2" xfId="6039" xr:uid="{00000000-0005-0000-0000-0000D3270000}"/>
    <cellStyle name="Output 6 2 2" xfId="6040" xr:uid="{00000000-0005-0000-0000-0000D4270000}"/>
    <cellStyle name="Output 6 3" xfId="6041" xr:uid="{00000000-0005-0000-0000-0000D5270000}"/>
    <cellStyle name="Output 7" xfId="6042" xr:uid="{00000000-0005-0000-0000-0000D6270000}"/>
    <cellStyle name="Output 7 2" xfId="6043" xr:uid="{00000000-0005-0000-0000-0000D7270000}"/>
    <cellStyle name="Output 7 2 2" xfId="6044" xr:uid="{00000000-0005-0000-0000-0000D8270000}"/>
    <cellStyle name="Output 7 3" xfId="6045" xr:uid="{00000000-0005-0000-0000-0000D9270000}"/>
    <cellStyle name="Output 8" xfId="6046" xr:uid="{00000000-0005-0000-0000-0000DA270000}"/>
    <cellStyle name="Output 8 2" xfId="6047" xr:uid="{00000000-0005-0000-0000-0000DB270000}"/>
    <cellStyle name="Output 8 2 2" xfId="6048" xr:uid="{00000000-0005-0000-0000-0000DC270000}"/>
    <cellStyle name="Output 8 3" xfId="6049" xr:uid="{00000000-0005-0000-0000-0000DD270000}"/>
    <cellStyle name="Output 9" xfId="6050" xr:uid="{00000000-0005-0000-0000-0000DE270000}"/>
    <cellStyle name="Output 9 2" xfId="6051" xr:uid="{00000000-0005-0000-0000-0000DF270000}"/>
    <cellStyle name="Output 9 2 2" xfId="6052" xr:uid="{00000000-0005-0000-0000-0000E0270000}"/>
    <cellStyle name="Output 9 3" xfId="6053" xr:uid="{00000000-0005-0000-0000-0000E1270000}"/>
    <cellStyle name="paint" xfId="783" xr:uid="{00000000-0005-0000-0000-0000E2270000}"/>
    <cellStyle name="Per cent 2" xfId="10529" xr:uid="{00000000-0005-0000-0000-0000E3270000}"/>
    <cellStyle name="Per cent 2 2" xfId="10557" xr:uid="{00000000-0005-0000-0000-0000E4270000}"/>
    <cellStyle name="Per cent 3" xfId="10532" xr:uid="{00000000-0005-0000-0000-0000E5270000}"/>
    <cellStyle name="Percent [0]" xfId="784" xr:uid="{00000000-0005-0000-0000-0000E6270000}"/>
    <cellStyle name="Percent [00]" xfId="785" xr:uid="{00000000-0005-0000-0000-0000E7270000}"/>
    <cellStyle name="Percent [2]" xfId="786" xr:uid="{00000000-0005-0000-0000-0000E8270000}"/>
    <cellStyle name="Percent [2] 2" xfId="6054" xr:uid="{00000000-0005-0000-0000-0000E9270000}"/>
    <cellStyle name="Percent [2] 3" xfId="6055" xr:uid="{00000000-0005-0000-0000-0000EA270000}"/>
    <cellStyle name="Percent 10" xfId="6056" xr:uid="{00000000-0005-0000-0000-0000EB270000}"/>
    <cellStyle name="Percent 10 2" xfId="10531" xr:uid="{00000000-0005-0000-0000-0000EC270000}"/>
    <cellStyle name="Percent 10 2 2" xfId="10559" xr:uid="{00000000-0005-0000-0000-0000ED270000}"/>
    <cellStyle name="Percent 107" xfId="6057" xr:uid="{00000000-0005-0000-0000-0000EE270000}"/>
    <cellStyle name="Percent 107 2" xfId="6058" xr:uid="{00000000-0005-0000-0000-0000EF270000}"/>
    <cellStyle name="Percent 107 2 2" xfId="7696" xr:uid="{00000000-0005-0000-0000-0000F0270000}"/>
    <cellStyle name="Percent 107 2 2 2" xfId="10377" xr:uid="{00000000-0005-0000-0000-0000F1270000}"/>
    <cellStyle name="Percent 107 2 3" xfId="9037" xr:uid="{00000000-0005-0000-0000-0000F2270000}"/>
    <cellStyle name="Percent 107 3" xfId="7695" xr:uid="{00000000-0005-0000-0000-0000F3270000}"/>
    <cellStyle name="Percent 107 3 2" xfId="10376" xr:uid="{00000000-0005-0000-0000-0000F4270000}"/>
    <cellStyle name="Percent 107 4" xfId="9036" xr:uid="{00000000-0005-0000-0000-0000F5270000}"/>
    <cellStyle name="Percent 11" xfId="6059" xr:uid="{00000000-0005-0000-0000-0000F6270000}"/>
    <cellStyle name="Percent 11 2" xfId="6060" xr:uid="{00000000-0005-0000-0000-0000F7270000}"/>
    <cellStyle name="Percent 11 3" xfId="6061" xr:uid="{00000000-0005-0000-0000-0000F8270000}"/>
    <cellStyle name="Percent 12" xfId="6062" xr:uid="{00000000-0005-0000-0000-0000F9270000}"/>
    <cellStyle name="Percent 12 2" xfId="6063" xr:uid="{00000000-0005-0000-0000-0000FA270000}"/>
    <cellStyle name="Percent 13" xfId="6064" xr:uid="{00000000-0005-0000-0000-0000FB270000}"/>
    <cellStyle name="Percent 13 2" xfId="6065" xr:uid="{00000000-0005-0000-0000-0000FC270000}"/>
    <cellStyle name="Percent 14" xfId="6066" xr:uid="{00000000-0005-0000-0000-0000FD270000}"/>
    <cellStyle name="Percent 14 2" xfId="6067" xr:uid="{00000000-0005-0000-0000-0000FE270000}"/>
    <cellStyle name="Percent 15" xfId="6068" xr:uid="{00000000-0005-0000-0000-0000FF270000}"/>
    <cellStyle name="Percent 15 2" xfId="6069" xr:uid="{00000000-0005-0000-0000-000000280000}"/>
    <cellStyle name="Percent 16" xfId="6070" xr:uid="{00000000-0005-0000-0000-000001280000}"/>
    <cellStyle name="Percent 17" xfId="6071" xr:uid="{00000000-0005-0000-0000-000002280000}"/>
    <cellStyle name="Percent 17 2" xfId="6072" xr:uid="{00000000-0005-0000-0000-000003280000}"/>
    <cellStyle name="Percent 18" xfId="1426" xr:uid="{00000000-0005-0000-0000-000004280000}"/>
    <cellStyle name="Percent 19" xfId="1521" xr:uid="{00000000-0005-0000-0000-000005280000}"/>
    <cellStyle name="Percent 2" xfId="8" xr:uid="{00000000-0005-0000-0000-000006280000}"/>
    <cellStyle name="Percent 2 10" xfId="10527" xr:uid="{00000000-0005-0000-0000-000007280000}"/>
    <cellStyle name="Percent 2 2" xfId="220" xr:uid="{00000000-0005-0000-0000-000008280000}"/>
    <cellStyle name="Percent 2 3" xfId="221" xr:uid="{00000000-0005-0000-0000-000009280000}"/>
    <cellStyle name="Percent 2 4" xfId="787" xr:uid="{00000000-0005-0000-0000-00000A280000}"/>
    <cellStyle name="Percent 2 5" xfId="254" xr:uid="{00000000-0005-0000-0000-00000B280000}"/>
    <cellStyle name="Percent 2 5 2" xfId="6073" xr:uid="{00000000-0005-0000-0000-00000C280000}"/>
    <cellStyle name="Percent 2 6" xfId="219" xr:uid="{00000000-0005-0000-0000-00000D280000}"/>
    <cellStyle name="Percent 20" xfId="6234" xr:uid="{00000000-0005-0000-0000-00000E280000}"/>
    <cellStyle name="Percent 21" xfId="6236" xr:uid="{00000000-0005-0000-0000-00000F280000}"/>
    <cellStyle name="Percent 22" xfId="6238" xr:uid="{00000000-0005-0000-0000-000010280000}"/>
    <cellStyle name="Percent 23" xfId="6326" xr:uid="{00000000-0005-0000-0000-000011280000}"/>
    <cellStyle name="Percent 24" xfId="10460" xr:uid="{00000000-0005-0000-0000-000012280000}"/>
    <cellStyle name="Percent 3" xfId="13" xr:uid="{00000000-0005-0000-0000-000013280000}"/>
    <cellStyle name="Percent 3 2" xfId="6074" xr:uid="{00000000-0005-0000-0000-000014280000}"/>
    <cellStyle name="Percent 3 3" xfId="6075" xr:uid="{00000000-0005-0000-0000-000015280000}"/>
    <cellStyle name="Percent 3 4" xfId="788" xr:uid="{00000000-0005-0000-0000-000016280000}"/>
    <cellStyle name="Percent 4" xfId="33" xr:uid="{00000000-0005-0000-0000-000017280000}"/>
    <cellStyle name="Percent 4 12 2" xfId="10584" xr:uid="{00000000-0005-0000-0000-000018280000}"/>
    <cellStyle name="Percent 4 2" xfId="790" xr:uid="{00000000-0005-0000-0000-000019280000}"/>
    <cellStyle name="Percent 4 2 2" xfId="6076" xr:uid="{00000000-0005-0000-0000-00001A280000}"/>
    <cellStyle name="Percent 4 2 2 2" xfId="6077" xr:uid="{00000000-0005-0000-0000-00001B280000}"/>
    <cellStyle name="Percent 4 2 3" xfId="6078" xr:uid="{00000000-0005-0000-0000-00001C280000}"/>
    <cellStyle name="Percent 4 3" xfId="6079" xr:uid="{00000000-0005-0000-0000-00001D280000}"/>
    <cellStyle name="Percent 4 4" xfId="6080" xr:uid="{00000000-0005-0000-0000-00001E280000}"/>
    <cellStyle name="Percent 4 4 2" xfId="6081" xr:uid="{00000000-0005-0000-0000-00001F280000}"/>
    <cellStyle name="Percent 4 5" xfId="6082" xr:uid="{00000000-0005-0000-0000-000020280000}"/>
    <cellStyle name="Percent 4 5 2" xfId="6083" xr:uid="{00000000-0005-0000-0000-000021280000}"/>
    <cellStyle name="Percent 4 6" xfId="789" xr:uid="{00000000-0005-0000-0000-000022280000}"/>
    <cellStyle name="Percent 5" xfId="791" xr:uid="{00000000-0005-0000-0000-000023280000}"/>
    <cellStyle name="Percent 5 2" xfId="792" xr:uid="{00000000-0005-0000-0000-000024280000}"/>
    <cellStyle name="Percent 5 2 2" xfId="1454" xr:uid="{00000000-0005-0000-0000-000025280000}"/>
    <cellStyle name="Percent 5 2 2 2" xfId="7149" xr:uid="{00000000-0005-0000-0000-000026280000}"/>
    <cellStyle name="Percent 5 2 2 2 2" xfId="9852" xr:uid="{00000000-0005-0000-0000-000027280000}"/>
    <cellStyle name="Percent 5 2 2 3" xfId="8512" xr:uid="{00000000-0005-0000-0000-000028280000}"/>
    <cellStyle name="Percent 5 2 3" xfId="6589" xr:uid="{00000000-0005-0000-0000-000029280000}"/>
    <cellStyle name="Percent 5 2 3 2" xfId="9299" xr:uid="{00000000-0005-0000-0000-00002A280000}"/>
    <cellStyle name="Percent 5 2 4" xfId="7960" xr:uid="{00000000-0005-0000-0000-00002B280000}"/>
    <cellStyle name="Percent 5 3" xfId="1453" xr:uid="{00000000-0005-0000-0000-00002C280000}"/>
    <cellStyle name="Percent 5 3 2" xfId="7148" xr:uid="{00000000-0005-0000-0000-00002D280000}"/>
    <cellStyle name="Percent 5 3 2 2" xfId="9851" xr:uid="{00000000-0005-0000-0000-00002E280000}"/>
    <cellStyle name="Percent 5 3 3" xfId="8511" xr:uid="{00000000-0005-0000-0000-00002F280000}"/>
    <cellStyle name="Percent 5 4" xfId="6588" xr:uid="{00000000-0005-0000-0000-000030280000}"/>
    <cellStyle name="Percent 5 4 2" xfId="9298" xr:uid="{00000000-0005-0000-0000-000031280000}"/>
    <cellStyle name="Percent 5 5" xfId="7959" xr:uid="{00000000-0005-0000-0000-000032280000}"/>
    <cellStyle name="Percent 6" xfId="793" xr:uid="{00000000-0005-0000-0000-000033280000}"/>
    <cellStyle name="Percent 6 2" xfId="6084" xr:uid="{00000000-0005-0000-0000-000034280000}"/>
    <cellStyle name="Percent 6 3" xfId="6085" xr:uid="{00000000-0005-0000-0000-000035280000}"/>
    <cellStyle name="Percent 7" xfId="794" xr:uid="{00000000-0005-0000-0000-000036280000}"/>
    <cellStyle name="Percent 7 2" xfId="6087" xr:uid="{00000000-0005-0000-0000-000037280000}"/>
    <cellStyle name="Percent 7 3" xfId="6086" xr:uid="{00000000-0005-0000-0000-000038280000}"/>
    <cellStyle name="Percent 8" xfId="6088" xr:uid="{00000000-0005-0000-0000-000039280000}"/>
    <cellStyle name="Percent 8 2" xfId="6089" xr:uid="{00000000-0005-0000-0000-00003A280000}"/>
    <cellStyle name="Percent 9" xfId="6090" xr:uid="{00000000-0005-0000-0000-00003B280000}"/>
    <cellStyle name="Popis" xfId="795" xr:uid="{00000000-0005-0000-0000-00003C280000}"/>
    <cellStyle name="Pound" xfId="796" xr:uid="{00000000-0005-0000-0000-00003D280000}"/>
    <cellStyle name="PrePop Currency (0)" xfId="797" xr:uid="{00000000-0005-0000-0000-00003E280000}"/>
    <cellStyle name="PrePop Currency (2)" xfId="798" xr:uid="{00000000-0005-0000-0000-00003F280000}"/>
    <cellStyle name="PrePop Units (0)" xfId="799" xr:uid="{00000000-0005-0000-0000-000040280000}"/>
    <cellStyle name="PrePop Units (1)" xfId="800" xr:uid="{00000000-0005-0000-0000-000041280000}"/>
    <cellStyle name="PrePop Units (2)" xfId="801" xr:uid="{00000000-0005-0000-0000-000042280000}"/>
    <cellStyle name="Price List Descr" xfId="802" xr:uid="{00000000-0005-0000-0000-000043280000}"/>
    <cellStyle name="Price List Descr Bold/Ital" xfId="803" xr:uid="{00000000-0005-0000-0000-000044280000}"/>
    <cellStyle name="Price List Descr Italic" xfId="804" xr:uid="{00000000-0005-0000-0000-000045280000}"/>
    <cellStyle name="Price List Disco Header" xfId="805" xr:uid="{00000000-0005-0000-0000-000046280000}"/>
    <cellStyle name="Price List Disco Header 2" xfId="1518" xr:uid="{00000000-0005-0000-0000-000047280000}"/>
    <cellStyle name="Price List Disco Header 2 2" xfId="10437" xr:uid="{00000000-0005-0000-0000-000048280000}"/>
    <cellStyle name="Price List Disco Header 3" xfId="6232" xr:uid="{00000000-0005-0000-0000-000049280000}"/>
    <cellStyle name="Price List Heading 1" xfId="806" xr:uid="{00000000-0005-0000-0000-00004A280000}"/>
    <cellStyle name="Price List Heading-Main" xfId="807" xr:uid="{00000000-0005-0000-0000-00004B280000}"/>
    <cellStyle name="Price List Heading-P/L" xfId="808" xr:uid="{00000000-0005-0000-0000-00004C280000}"/>
    <cellStyle name="Price List Heading-P/L 2" xfId="1431" xr:uid="{00000000-0005-0000-0000-00004D280000}"/>
    <cellStyle name="Price List Heading-P/L 2 2" xfId="10435" xr:uid="{00000000-0005-0000-0000-00004E280000}"/>
    <cellStyle name="Price List Heading-P/L 3" xfId="1519" xr:uid="{00000000-0005-0000-0000-00004F280000}"/>
    <cellStyle name="Price List P/N" xfId="809" xr:uid="{00000000-0005-0000-0000-000050280000}"/>
    <cellStyle name="Price List Price" xfId="810" xr:uid="{00000000-0005-0000-0000-000051280000}"/>
    <cellStyle name="Price List Repl Product" xfId="811" xr:uid="{00000000-0005-0000-0000-000052280000}"/>
    <cellStyle name="Rate" xfId="6091" xr:uid="{00000000-0005-0000-0000-000053280000}"/>
    <cellStyle name="Rate 2" xfId="6092" xr:uid="{00000000-0005-0000-0000-000054280000}"/>
    <cellStyle name="RateBold" xfId="6093" xr:uid="{00000000-0005-0000-0000-000055280000}"/>
    <cellStyle name="RateBold 2" xfId="6094" xr:uid="{00000000-0005-0000-0000-000056280000}"/>
    <cellStyle name="RevList" xfId="812" xr:uid="{00000000-0005-0000-0000-000057280000}"/>
    <cellStyle name="Section Title" xfId="6095" xr:uid="{00000000-0005-0000-0000-000058280000}"/>
    <cellStyle name="Section Title 2" xfId="6096" xr:uid="{00000000-0005-0000-0000-000059280000}"/>
    <cellStyle name="Sledovaný hypertextový odkaz" xfId="813" xr:uid="{00000000-0005-0000-0000-00005A280000}"/>
    <cellStyle name="SPOl" xfId="814" xr:uid="{00000000-0005-0000-0000-00005B280000}"/>
    <cellStyle name="Standard_aktuell" xfId="815" xr:uid="{00000000-0005-0000-0000-00005C280000}"/>
    <cellStyle name="Style 1" xfId="111" xr:uid="{00000000-0005-0000-0000-00005D280000}"/>
    <cellStyle name="Style 1 10" xfId="6097" xr:uid="{00000000-0005-0000-0000-00005E280000}"/>
    <cellStyle name="Style 1 10 2" xfId="10596" xr:uid="{00000000-0005-0000-0000-00005F280000}"/>
    <cellStyle name="Style 1 11" xfId="6098" xr:uid="{00000000-0005-0000-0000-000060280000}"/>
    <cellStyle name="Style 1 12" xfId="6099" xr:uid="{00000000-0005-0000-0000-000061280000}"/>
    <cellStyle name="Style 1 13" xfId="6100" xr:uid="{00000000-0005-0000-0000-000062280000}"/>
    <cellStyle name="Style 1 14" xfId="6101" xr:uid="{00000000-0005-0000-0000-000063280000}"/>
    <cellStyle name="Style 1 15" xfId="6102" xr:uid="{00000000-0005-0000-0000-000064280000}"/>
    <cellStyle name="Style 1 16" xfId="6103" xr:uid="{00000000-0005-0000-0000-000065280000}"/>
    <cellStyle name="Style 1 17" xfId="6104" xr:uid="{00000000-0005-0000-0000-000066280000}"/>
    <cellStyle name="Style 1 18" xfId="6105" xr:uid="{00000000-0005-0000-0000-000067280000}"/>
    <cellStyle name="Style 1 19" xfId="6106" xr:uid="{00000000-0005-0000-0000-000068280000}"/>
    <cellStyle name="Style 1 2" xfId="222" xr:uid="{00000000-0005-0000-0000-000069280000}"/>
    <cellStyle name="Style 1 2 2" xfId="223" xr:uid="{00000000-0005-0000-0000-00006A280000}"/>
    <cellStyle name="Style 1 2 2 2" xfId="816" xr:uid="{00000000-0005-0000-0000-00006B280000}"/>
    <cellStyle name="Style 1 2 2 2 2" xfId="6107" xr:uid="{00000000-0005-0000-0000-00006C280000}"/>
    <cellStyle name="Style 1 2 2 3" xfId="256" xr:uid="{00000000-0005-0000-0000-00006D280000}"/>
    <cellStyle name="Style 1 2 2 3 2" xfId="6108" xr:uid="{00000000-0005-0000-0000-00006E280000}"/>
    <cellStyle name="Style 1 2 2 4" xfId="6109" xr:uid="{00000000-0005-0000-0000-00006F280000}"/>
    <cellStyle name="Style 1 2 2 5" xfId="6110" xr:uid="{00000000-0005-0000-0000-000070280000}"/>
    <cellStyle name="Style 1 2 2 6" xfId="6111" xr:uid="{00000000-0005-0000-0000-000071280000}"/>
    <cellStyle name="Style 1 2 3" xfId="224" xr:uid="{00000000-0005-0000-0000-000072280000}"/>
    <cellStyle name="Style 1 2 3 2" xfId="818" xr:uid="{00000000-0005-0000-0000-000073280000}"/>
    <cellStyle name="Style 1 2 3 2 2" xfId="997" xr:uid="{00000000-0005-0000-0000-000074280000}"/>
    <cellStyle name="Style 1 2 3 2 3" xfId="975" xr:uid="{00000000-0005-0000-0000-000075280000}"/>
    <cellStyle name="Style 1 2 3 2 3 2" xfId="1294" xr:uid="{00000000-0005-0000-0000-000076280000}"/>
    <cellStyle name="Style 1 2 3 2 3 2 2" xfId="7004" xr:uid="{00000000-0005-0000-0000-000077280000}"/>
    <cellStyle name="Style 1 2 3 2 3 2 2 2" xfId="9711" xr:uid="{00000000-0005-0000-0000-000078280000}"/>
    <cellStyle name="Style 1 2 3 2 3 2 3" xfId="8372" xr:uid="{00000000-0005-0000-0000-000079280000}"/>
    <cellStyle name="Style 1 2 3 2 3 3" xfId="6707" xr:uid="{00000000-0005-0000-0000-00007A280000}"/>
    <cellStyle name="Style 1 2 3 2 3 3 2" xfId="9414" xr:uid="{00000000-0005-0000-0000-00007B280000}"/>
    <cellStyle name="Style 1 2 3 2 3 4" xfId="8075" xr:uid="{00000000-0005-0000-0000-00007C280000}"/>
    <cellStyle name="Style 1 2 3 2 4" xfId="1048" xr:uid="{00000000-0005-0000-0000-00007D280000}"/>
    <cellStyle name="Style 1 2 3 2 4 2" xfId="6779" xr:uid="{00000000-0005-0000-0000-00007E280000}"/>
    <cellStyle name="Style 1 2 3 2 4 2 2" xfId="9486" xr:uid="{00000000-0005-0000-0000-00007F280000}"/>
    <cellStyle name="Style 1 2 3 2 4 3" xfId="8147" xr:uid="{00000000-0005-0000-0000-000080280000}"/>
    <cellStyle name="Style 1 2 3 3" xfId="817" xr:uid="{00000000-0005-0000-0000-000081280000}"/>
    <cellStyle name="Style 1 2 3 3 2" xfId="1318" xr:uid="{00000000-0005-0000-0000-000082280000}"/>
    <cellStyle name="Style 1 2 3 3 2 2" xfId="7024" xr:uid="{00000000-0005-0000-0000-000083280000}"/>
    <cellStyle name="Style 1 2 3 3 2 2 2" xfId="9731" xr:uid="{00000000-0005-0000-0000-000084280000}"/>
    <cellStyle name="Style 1 2 3 3 2 3" xfId="8392" xr:uid="{00000000-0005-0000-0000-000085280000}"/>
    <cellStyle name="Style 1 2 3 3 3" xfId="6590" xr:uid="{00000000-0005-0000-0000-000086280000}"/>
    <cellStyle name="Style 1 2 3 3 3 2" xfId="9300" xr:uid="{00000000-0005-0000-0000-000087280000}"/>
    <cellStyle name="Style 1 2 3 3 4" xfId="7961" xr:uid="{00000000-0005-0000-0000-000088280000}"/>
    <cellStyle name="Style 1 2 3 4" xfId="992" xr:uid="{00000000-0005-0000-0000-000089280000}"/>
    <cellStyle name="Style 1 2 3 4 2" xfId="1254" xr:uid="{00000000-0005-0000-0000-00008A280000}"/>
    <cellStyle name="Style 1 2 3 4 2 2" xfId="6971" xr:uid="{00000000-0005-0000-0000-00008B280000}"/>
    <cellStyle name="Style 1 2 3 4 2 2 2" xfId="9678" xr:uid="{00000000-0005-0000-0000-00008C280000}"/>
    <cellStyle name="Style 1 2 3 4 2 3" xfId="8339" xr:uid="{00000000-0005-0000-0000-00008D280000}"/>
    <cellStyle name="Style 1 2 3 4 3" xfId="6724" xr:uid="{00000000-0005-0000-0000-00008E280000}"/>
    <cellStyle name="Style 1 2 3 4 3 2" xfId="9431" xr:uid="{00000000-0005-0000-0000-00008F280000}"/>
    <cellStyle name="Style 1 2 3 4 4" xfId="8092" xr:uid="{00000000-0005-0000-0000-000090280000}"/>
    <cellStyle name="Style 1 2 3 5" xfId="1020" xr:uid="{00000000-0005-0000-0000-000091280000}"/>
    <cellStyle name="Style 1 2 3 5 2" xfId="6751" xr:uid="{00000000-0005-0000-0000-000092280000}"/>
    <cellStyle name="Style 1 2 3 5 2 2" xfId="9458" xr:uid="{00000000-0005-0000-0000-000093280000}"/>
    <cellStyle name="Style 1 2 3 5 3" xfId="8119" xr:uid="{00000000-0005-0000-0000-000094280000}"/>
    <cellStyle name="Style 1 2 3 6" xfId="274" xr:uid="{00000000-0005-0000-0000-000095280000}"/>
    <cellStyle name="Style 1 2 3 6 2" xfId="6425" xr:uid="{00000000-0005-0000-0000-000096280000}"/>
    <cellStyle name="Style 1 2 3 6 2 2" xfId="9144" xr:uid="{00000000-0005-0000-0000-000097280000}"/>
    <cellStyle name="Style 1 2 3 6 3" xfId="7805" xr:uid="{00000000-0005-0000-0000-000098280000}"/>
    <cellStyle name="Style 1 2 3 7" xfId="1413" xr:uid="{00000000-0005-0000-0000-000099280000}"/>
    <cellStyle name="Style 1 2 3 7 2" xfId="7118" xr:uid="{00000000-0005-0000-0000-00009A280000}"/>
    <cellStyle name="Style 1 2 3 7 2 2" xfId="9821" xr:uid="{00000000-0005-0000-0000-00009B280000}"/>
    <cellStyle name="Style 1 2 3 7 3" xfId="8482" xr:uid="{00000000-0005-0000-0000-00009C280000}"/>
    <cellStyle name="Style 1 2 3 8" xfId="6391" xr:uid="{00000000-0005-0000-0000-00009D280000}"/>
    <cellStyle name="Style 1 2 3 8 2" xfId="9110" xr:uid="{00000000-0005-0000-0000-00009E280000}"/>
    <cellStyle name="Style 1 2 3 9" xfId="7771" xr:uid="{00000000-0005-0000-0000-00009F280000}"/>
    <cellStyle name="Style 1 2 4" xfId="819" xr:uid="{00000000-0005-0000-0000-0000A0280000}"/>
    <cellStyle name="Style 1 2 4 2" xfId="6112" xr:uid="{00000000-0005-0000-0000-0000A1280000}"/>
    <cellStyle name="Style 1 2 5" xfId="1255" xr:uid="{00000000-0005-0000-0000-0000A2280000}"/>
    <cellStyle name="Style 1 2 5 2" xfId="6113" xr:uid="{00000000-0005-0000-0000-0000A3280000}"/>
    <cellStyle name="Style 1 2 5 3" xfId="6972" xr:uid="{00000000-0005-0000-0000-0000A4280000}"/>
    <cellStyle name="Style 1 2 5 3 2" xfId="9679" xr:uid="{00000000-0005-0000-0000-0000A5280000}"/>
    <cellStyle name="Style 1 2 5 4" xfId="8340" xr:uid="{00000000-0005-0000-0000-0000A6280000}"/>
    <cellStyle name="Style 1 2 6" xfId="255" xr:uid="{00000000-0005-0000-0000-0000A7280000}"/>
    <cellStyle name="Style 1 2 6 2" xfId="6114" xr:uid="{00000000-0005-0000-0000-0000A8280000}"/>
    <cellStyle name="Style 1 2 6 3" xfId="6410" xr:uid="{00000000-0005-0000-0000-0000A9280000}"/>
    <cellStyle name="Style 1 2 6 3 2" xfId="9129" xr:uid="{00000000-0005-0000-0000-0000AA280000}"/>
    <cellStyle name="Style 1 2 6 4" xfId="7790" xr:uid="{00000000-0005-0000-0000-0000AB280000}"/>
    <cellStyle name="Style 1 2 7" xfId="1412" xr:uid="{00000000-0005-0000-0000-0000AC280000}"/>
    <cellStyle name="Style 1 2 7 2" xfId="7117" xr:uid="{00000000-0005-0000-0000-0000AD280000}"/>
    <cellStyle name="Style 1 2 7 2 2" xfId="9820" xr:uid="{00000000-0005-0000-0000-0000AE280000}"/>
    <cellStyle name="Style 1 2 7 3" xfId="8481" xr:uid="{00000000-0005-0000-0000-0000AF280000}"/>
    <cellStyle name="Style 1 2 8" xfId="6390" xr:uid="{00000000-0005-0000-0000-0000B0280000}"/>
    <cellStyle name="Style 1 2 8 2" xfId="9109" xr:uid="{00000000-0005-0000-0000-0000B1280000}"/>
    <cellStyle name="Style 1 2 9" xfId="7770" xr:uid="{00000000-0005-0000-0000-0000B2280000}"/>
    <cellStyle name="Style 1 20" xfId="6115" xr:uid="{00000000-0005-0000-0000-0000B3280000}"/>
    <cellStyle name="Style 1 21" xfId="6116" xr:uid="{00000000-0005-0000-0000-0000B4280000}"/>
    <cellStyle name="Style 1 22" xfId="6117" xr:uid="{00000000-0005-0000-0000-0000B5280000}"/>
    <cellStyle name="Style 1 23" xfId="6118" xr:uid="{00000000-0005-0000-0000-0000B6280000}"/>
    <cellStyle name="Style 1 24" xfId="6119" xr:uid="{00000000-0005-0000-0000-0000B7280000}"/>
    <cellStyle name="Style 1 25" xfId="53" xr:uid="{00000000-0005-0000-0000-0000B8280000}"/>
    <cellStyle name="Style 1 25 2" xfId="10567" xr:uid="{00000000-0005-0000-0000-0000B9280000}"/>
    <cellStyle name="Style 1 3" xfId="225" xr:uid="{00000000-0005-0000-0000-0000BA280000}"/>
    <cellStyle name="Style 1 3 2" xfId="6120" xr:uid="{00000000-0005-0000-0000-0000BB280000}"/>
    <cellStyle name="Style 1 3 3" xfId="6121" xr:uid="{00000000-0005-0000-0000-0000BC280000}"/>
    <cellStyle name="Style 1 4" xfId="61" xr:uid="{00000000-0005-0000-0000-0000BD280000}"/>
    <cellStyle name="Style 1 4 2" xfId="821" xr:uid="{00000000-0005-0000-0000-0000BE280000}"/>
    <cellStyle name="Style 1 4 2 2" xfId="6122" xr:uid="{00000000-0005-0000-0000-0000BF280000}"/>
    <cellStyle name="Style 1 4 3" xfId="229" xr:uid="{00000000-0005-0000-0000-0000C0280000}"/>
    <cellStyle name="Style 1 5" xfId="822" xr:uid="{00000000-0005-0000-0000-0000C1280000}"/>
    <cellStyle name="Style 1 5 2" xfId="823" xr:uid="{00000000-0005-0000-0000-0000C2280000}"/>
    <cellStyle name="Style 1 5 2 2" xfId="993" xr:uid="{00000000-0005-0000-0000-0000C3280000}"/>
    <cellStyle name="Style 1 5 2 2 2" xfId="1319" xr:uid="{00000000-0005-0000-0000-0000C4280000}"/>
    <cellStyle name="Style 1 5 2 2 2 2" xfId="7025" xr:uid="{00000000-0005-0000-0000-0000C5280000}"/>
    <cellStyle name="Style 1 5 2 2 2 2 2" xfId="9732" xr:uid="{00000000-0005-0000-0000-0000C6280000}"/>
    <cellStyle name="Style 1 5 2 2 2 3" xfId="8393" xr:uid="{00000000-0005-0000-0000-0000C7280000}"/>
    <cellStyle name="Style 1 5 2 2 3" xfId="6725" xr:uid="{00000000-0005-0000-0000-0000C8280000}"/>
    <cellStyle name="Style 1 5 2 2 3 2" xfId="9432" xr:uid="{00000000-0005-0000-0000-0000C9280000}"/>
    <cellStyle name="Style 1 5 2 2 4" xfId="8093" xr:uid="{00000000-0005-0000-0000-0000CA280000}"/>
    <cellStyle name="Style 1 5 2 3" xfId="1134" xr:uid="{00000000-0005-0000-0000-0000CB280000}"/>
    <cellStyle name="Style 1 5 2 3 2" xfId="6853" xr:uid="{00000000-0005-0000-0000-0000CC280000}"/>
    <cellStyle name="Style 1 5 2 3 2 2" xfId="9560" xr:uid="{00000000-0005-0000-0000-0000CD280000}"/>
    <cellStyle name="Style 1 5 2 3 3" xfId="8221" xr:uid="{00000000-0005-0000-0000-0000CE280000}"/>
    <cellStyle name="Style 1 5 2 4" xfId="6123" xr:uid="{00000000-0005-0000-0000-0000CF280000}"/>
    <cellStyle name="Style 1 5 2 5" xfId="6592" xr:uid="{00000000-0005-0000-0000-0000D0280000}"/>
    <cellStyle name="Style 1 5 2 5 2" xfId="9302" xr:uid="{00000000-0005-0000-0000-0000D1280000}"/>
    <cellStyle name="Style 1 5 2 6" xfId="7963" xr:uid="{00000000-0005-0000-0000-0000D2280000}"/>
    <cellStyle name="Style 1 6" xfId="6124" xr:uid="{00000000-0005-0000-0000-0000D3280000}"/>
    <cellStyle name="Style 1 7" xfId="6125" xr:uid="{00000000-0005-0000-0000-0000D4280000}"/>
    <cellStyle name="Style 1 8" xfId="6126" xr:uid="{00000000-0005-0000-0000-0000D5280000}"/>
    <cellStyle name="Style 1 9" xfId="6127" xr:uid="{00000000-0005-0000-0000-0000D6280000}"/>
    <cellStyle name="Style 1_Bloom Energy - BOQ" xfId="6128" xr:uid="{00000000-0005-0000-0000-0000D7280000}"/>
    <cellStyle name="Style 2" xfId="257" xr:uid="{00000000-0005-0000-0000-0000D8280000}"/>
    <cellStyle name="Style 3" xfId="258" xr:uid="{00000000-0005-0000-0000-0000D9280000}"/>
    <cellStyle name="Style 5" xfId="259" xr:uid="{00000000-0005-0000-0000-0000DA280000}"/>
    <cellStyle name="Subtitle" xfId="6129" xr:uid="{00000000-0005-0000-0000-0000DB280000}"/>
    <cellStyle name="Subtotal" xfId="824" xr:uid="{00000000-0005-0000-0000-0000DC280000}"/>
    <cellStyle name="sum" xfId="6130" xr:uid="{00000000-0005-0000-0000-0000DD280000}"/>
    <cellStyle name="sum 2" xfId="6131" xr:uid="{00000000-0005-0000-0000-0000DE280000}"/>
    <cellStyle name="sum8" xfId="6132" xr:uid="{00000000-0005-0000-0000-0000DF280000}"/>
    <cellStyle name="Summary_back" xfId="6133" xr:uid="{00000000-0005-0000-0000-0000E0280000}"/>
    <cellStyle name="TableStyleLight1" xfId="6134" xr:uid="{00000000-0005-0000-0000-0000E1280000}"/>
    <cellStyle name="TableStyleLight1 7" xfId="6135" xr:uid="{00000000-0005-0000-0000-0000E2280000}"/>
    <cellStyle name="Text Indent A" xfId="825" xr:uid="{00000000-0005-0000-0000-0000E3280000}"/>
    <cellStyle name="Text Indent B" xfId="826" xr:uid="{00000000-0005-0000-0000-0000E4280000}"/>
    <cellStyle name="Text Indent C" xfId="827" xr:uid="{00000000-0005-0000-0000-0000E5280000}"/>
    <cellStyle name="Times New Roman" xfId="828" xr:uid="{00000000-0005-0000-0000-0000E6280000}"/>
    <cellStyle name="title [1]" xfId="829" xr:uid="{00000000-0005-0000-0000-0000E7280000}"/>
    <cellStyle name="title [2]" xfId="830" xr:uid="{00000000-0005-0000-0000-0000E8280000}"/>
    <cellStyle name="Title 10" xfId="6136" xr:uid="{00000000-0005-0000-0000-0000E9280000}"/>
    <cellStyle name="Title 10 2" xfId="6137" xr:uid="{00000000-0005-0000-0000-0000EA280000}"/>
    <cellStyle name="Title 10 2 2" xfId="6138" xr:uid="{00000000-0005-0000-0000-0000EB280000}"/>
    <cellStyle name="Title 10 3" xfId="6139" xr:uid="{00000000-0005-0000-0000-0000EC280000}"/>
    <cellStyle name="Title 11" xfId="6140" xr:uid="{00000000-0005-0000-0000-0000ED280000}"/>
    <cellStyle name="Title 11 2" xfId="6141" xr:uid="{00000000-0005-0000-0000-0000EE280000}"/>
    <cellStyle name="Title 12" xfId="6142" xr:uid="{00000000-0005-0000-0000-0000EF280000}"/>
    <cellStyle name="Title 2" xfId="831" xr:uid="{00000000-0005-0000-0000-0000F0280000}"/>
    <cellStyle name="Title 2 2" xfId="6143" xr:uid="{00000000-0005-0000-0000-0000F1280000}"/>
    <cellStyle name="Title 2 2 2" xfId="6144" xr:uid="{00000000-0005-0000-0000-0000F2280000}"/>
    <cellStyle name="Title 2 3" xfId="6145" xr:uid="{00000000-0005-0000-0000-0000F3280000}"/>
    <cellStyle name="Title 3" xfId="6146" xr:uid="{00000000-0005-0000-0000-0000F4280000}"/>
    <cellStyle name="Title 3 2" xfId="6147" xr:uid="{00000000-0005-0000-0000-0000F5280000}"/>
    <cellStyle name="Title 3 2 2" xfId="6148" xr:uid="{00000000-0005-0000-0000-0000F6280000}"/>
    <cellStyle name="Title 3 3" xfId="6149" xr:uid="{00000000-0005-0000-0000-0000F7280000}"/>
    <cellStyle name="Title 4" xfId="6150" xr:uid="{00000000-0005-0000-0000-0000F8280000}"/>
    <cellStyle name="Title 4 2" xfId="6151" xr:uid="{00000000-0005-0000-0000-0000F9280000}"/>
    <cellStyle name="Title 4 2 2" xfId="6152" xr:uid="{00000000-0005-0000-0000-0000FA280000}"/>
    <cellStyle name="Title 4 3" xfId="6153" xr:uid="{00000000-0005-0000-0000-0000FB280000}"/>
    <cellStyle name="Title 5" xfId="6154" xr:uid="{00000000-0005-0000-0000-0000FC280000}"/>
    <cellStyle name="Title 5 2" xfId="6155" xr:uid="{00000000-0005-0000-0000-0000FD280000}"/>
    <cellStyle name="Title 5 2 2" xfId="6156" xr:uid="{00000000-0005-0000-0000-0000FE280000}"/>
    <cellStyle name="Title 5 3" xfId="6157" xr:uid="{00000000-0005-0000-0000-0000FF280000}"/>
    <cellStyle name="Title 6" xfId="6158" xr:uid="{00000000-0005-0000-0000-000000290000}"/>
    <cellStyle name="Title 6 2" xfId="6159" xr:uid="{00000000-0005-0000-0000-000001290000}"/>
    <cellStyle name="Title 6 2 2" xfId="6160" xr:uid="{00000000-0005-0000-0000-000002290000}"/>
    <cellStyle name="Title 6 3" xfId="6161" xr:uid="{00000000-0005-0000-0000-000003290000}"/>
    <cellStyle name="Title 7" xfId="6162" xr:uid="{00000000-0005-0000-0000-000004290000}"/>
    <cellStyle name="Title 7 2" xfId="6163" xr:uid="{00000000-0005-0000-0000-000005290000}"/>
    <cellStyle name="Title 7 2 2" xfId="6164" xr:uid="{00000000-0005-0000-0000-000006290000}"/>
    <cellStyle name="Title 7 3" xfId="6165" xr:uid="{00000000-0005-0000-0000-000007290000}"/>
    <cellStyle name="Title 8" xfId="6166" xr:uid="{00000000-0005-0000-0000-000008290000}"/>
    <cellStyle name="Title 8 2" xfId="6167" xr:uid="{00000000-0005-0000-0000-000009290000}"/>
    <cellStyle name="Title 8 2 2" xfId="6168" xr:uid="{00000000-0005-0000-0000-00000A290000}"/>
    <cellStyle name="Title 8 3" xfId="6169" xr:uid="{00000000-0005-0000-0000-00000B290000}"/>
    <cellStyle name="Title 9" xfId="6170" xr:uid="{00000000-0005-0000-0000-00000C290000}"/>
    <cellStyle name="Title 9 2" xfId="6171" xr:uid="{00000000-0005-0000-0000-00000D290000}"/>
    <cellStyle name="Title 9 2 2" xfId="6172" xr:uid="{00000000-0005-0000-0000-00000E290000}"/>
    <cellStyle name="Title 9 3" xfId="6173" xr:uid="{00000000-0005-0000-0000-00000F290000}"/>
    <cellStyle name="Title Row" xfId="6174" xr:uid="{00000000-0005-0000-0000-000010290000}"/>
    <cellStyle name="Title Row 2" xfId="6175" xr:uid="{00000000-0005-0000-0000-000011290000}"/>
    <cellStyle name="Total 10" xfId="6176" xr:uid="{00000000-0005-0000-0000-000012290000}"/>
    <cellStyle name="Total 10 2" xfId="6177" xr:uid="{00000000-0005-0000-0000-000013290000}"/>
    <cellStyle name="Total 11" xfId="6178" xr:uid="{00000000-0005-0000-0000-000014290000}"/>
    <cellStyle name="Total 2" xfId="832" xr:uid="{00000000-0005-0000-0000-000015290000}"/>
    <cellStyle name="Total 2 2" xfId="833" xr:uid="{00000000-0005-0000-0000-000016290000}"/>
    <cellStyle name="Total 2 2 2" xfId="834" xr:uid="{00000000-0005-0000-0000-000017290000}"/>
    <cellStyle name="Total 2 2 2 2" xfId="6593" xr:uid="{00000000-0005-0000-0000-000018290000}"/>
    <cellStyle name="Total 2 2 2 3" xfId="10432" xr:uid="{00000000-0005-0000-0000-000019290000}"/>
    <cellStyle name="Total 2 2 3" xfId="6179" xr:uid="{00000000-0005-0000-0000-00001A290000}"/>
    <cellStyle name="Total 2 2 4" xfId="10431" xr:uid="{00000000-0005-0000-0000-00001B290000}"/>
    <cellStyle name="Total 2 3" xfId="835" xr:uid="{00000000-0005-0000-0000-00001C290000}"/>
    <cellStyle name="Total 2 3 2" xfId="6594" xr:uid="{00000000-0005-0000-0000-00001D290000}"/>
    <cellStyle name="Total 2 3 3" xfId="10433" xr:uid="{00000000-0005-0000-0000-00001E290000}"/>
    <cellStyle name="Total 2 4" xfId="836" xr:uid="{00000000-0005-0000-0000-00001F290000}"/>
    <cellStyle name="Total 2 4 2" xfId="6595" xr:uid="{00000000-0005-0000-0000-000020290000}"/>
    <cellStyle name="Total 2 4 3" xfId="10434" xr:uid="{00000000-0005-0000-0000-000021290000}"/>
    <cellStyle name="Total 2 5" xfId="1520" xr:uid="{00000000-0005-0000-0000-000022290000}"/>
    <cellStyle name="Total 2 6" xfId="10430" xr:uid="{00000000-0005-0000-0000-000023290000}"/>
    <cellStyle name="Total 3" xfId="6180" xr:uid="{00000000-0005-0000-0000-000024290000}"/>
    <cellStyle name="Total 3 2" xfId="6181" xr:uid="{00000000-0005-0000-0000-000025290000}"/>
    <cellStyle name="Total 4" xfId="6182" xr:uid="{00000000-0005-0000-0000-000026290000}"/>
    <cellStyle name="Total 4 2" xfId="6183" xr:uid="{00000000-0005-0000-0000-000027290000}"/>
    <cellStyle name="Total 5" xfId="6184" xr:uid="{00000000-0005-0000-0000-000028290000}"/>
    <cellStyle name="Total 5 2" xfId="6185" xr:uid="{00000000-0005-0000-0000-000029290000}"/>
    <cellStyle name="Total 6" xfId="6186" xr:uid="{00000000-0005-0000-0000-00002A290000}"/>
    <cellStyle name="Total 6 2" xfId="6187" xr:uid="{00000000-0005-0000-0000-00002B290000}"/>
    <cellStyle name="Total 7" xfId="6188" xr:uid="{00000000-0005-0000-0000-00002C290000}"/>
    <cellStyle name="Total 7 2" xfId="6189" xr:uid="{00000000-0005-0000-0000-00002D290000}"/>
    <cellStyle name="Total 8" xfId="6190" xr:uid="{00000000-0005-0000-0000-00002E290000}"/>
    <cellStyle name="Total 8 2" xfId="6191" xr:uid="{00000000-0005-0000-0000-00002F290000}"/>
    <cellStyle name="Total 9" xfId="6192" xr:uid="{00000000-0005-0000-0000-000030290000}"/>
    <cellStyle name="Total 9 2" xfId="6193" xr:uid="{00000000-0005-0000-0000-000031290000}"/>
    <cellStyle name="totalbold" xfId="6194" xr:uid="{00000000-0005-0000-0000-000032290000}"/>
    <cellStyle name="Tusental (0)_pldt" xfId="837" xr:uid="{00000000-0005-0000-0000-000033290000}"/>
    <cellStyle name="Tusental_pldt" xfId="838" xr:uid="{00000000-0005-0000-0000-000034290000}"/>
    <cellStyle name="uni" xfId="6195" xr:uid="{00000000-0005-0000-0000-000035290000}"/>
    <cellStyle name="Unit" xfId="6196" xr:uid="{00000000-0005-0000-0000-000036290000}"/>
    <cellStyle name="Unit 2" xfId="6197" xr:uid="{00000000-0005-0000-0000-000037290000}"/>
    <cellStyle name="Valuta (0)_pldt" xfId="839" xr:uid="{00000000-0005-0000-0000-000038290000}"/>
    <cellStyle name="Valuta_pldt" xfId="840" xr:uid="{00000000-0005-0000-0000-000039290000}"/>
    <cellStyle name="version" xfId="841" xr:uid="{00000000-0005-0000-0000-00003A290000}"/>
    <cellStyle name="Warning Text 10" xfId="6198" xr:uid="{00000000-0005-0000-0000-00003B290000}"/>
    <cellStyle name="Warning Text 10 2" xfId="6199" xr:uid="{00000000-0005-0000-0000-00003C290000}"/>
    <cellStyle name="Warning Text 11" xfId="6200" xr:uid="{00000000-0005-0000-0000-00003D290000}"/>
    <cellStyle name="Warning Text 2" xfId="842" xr:uid="{00000000-0005-0000-0000-00003E290000}"/>
    <cellStyle name="Warning Text 2 2" xfId="6201" xr:uid="{00000000-0005-0000-0000-00003F290000}"/>
    <cellStyle name="Warning Text 3" xfId="6202" xr:uid="{00000000-0005-0000-0000-000040290000}"/>
    <cellStyle name="Warning Text 3 2" xfId="6203" xr:uid="{00000000-0005-0000-0000-000041290000}"/>
    <cellStyle name="Warning Text 4" xfId="6204" xr:uid="{00000000-0005-0000-0000-000042290000}"/>
    <cellStyle name="Warning Text 4 2" xfId="6205" xr:uid="{00000000-0005-0000-0000-000043290000}"/>
    <cellStyle name="Warning Text 5" xfId="6206" xr:uid="{00000000-0005-0000-0000-000044290000}"/>
    <cellStyle name="Warning Text 5 2" xfId="6207" xr:uid="{00000000-0005-0000-0000-000045290000}"/>
    <cellStyle name="Warning Text 6" xfId="6208" xr:uid="{00000000-0005-0000-0000-000046290000}"/>
    <cellStyle name="Warning Text 6 2" xfId="6209" xr:uid="{00000000-0005-0000-0000-000047290000}"/>
    <cellStyle name="Warning Text 7" xfId="6210" xr:uid="{00000000-0005-0000-0000-000048290000}"/>
    <cellStyle name="Warning Text 7 2" xfId="6211" xr:uid="{00000000-0005-0000-0000-000049290000}"/>
    <cellStyle name="Warning Text 8" xfId="6212" xr:uid="{00000000-0005-0000-0000-00004A290000}"/>
    <cellStyle name="Warning Text 8 2" xfId="6213" xr:uid="{00000000-0005-0000-0000-00004B290000}"/>
    <cellStyle name="Warning Text 9" xfId="6214" xr:uid="{00000000-0005-0000-0000-00004C290000}"/>
    <cellStyle name="Warning Text 9 2" xfId="6215" xr:uid="{00000000-0005-0000-0000-00004D290000}"/>
    <cellStyle name="뒤에 오는 하이퍼링크_건인회임금복지조사자료(풍림,2001.01.31)" xfId="843" xr:uid="{00000000-0005-0000-0000-00004E290000}"/>
    <cellStyle name="믅됞џPRODUCT DETAIL Q1TA" xfId="844" xr:uid="{00000000-0005-0000-0000-00004F290000}"/>
    <cellStyle name="백분율 [0]" xfId="845" xr:uid="{00000000-0005-0000-0000-000050290000}"/>
    <cellStyle name="백분율 [2]" xfId="846" xr:uid="{00000000-0005-0000-0000-000051290000}"/>
    <cellStyle name="백분율 2" xfId="847" xr:uid="{00000000-0005-0000-0000-000052290000}"/>
    <cellStyle name="뷭?_BOOKSHIP" xfId="848" xr:uid="{00000000-0005-0000-0000-000053290000}"/>
    <cellStyle name="쉼표 [0] 2" xfId="849" xr:uid="{00000000-0005-0000-0000-000054290000}"/>
    <cellStyle name="쉼표 [0] 2 2" xfId="850" xr:uid="{00000000-0005-0000-0000-000055290000}"/>
    <cellStyle name="쉼표 [0] 3" xfId="851" xr:uid="{00000000-0005-0000-0000-000056290000}"/>
    <cellStyle name="쉼표 2" xfId="852" xr:uid="{00000000-0005-0000-0000-000057290000}"/>
    <cellStyle name="쉼표 2 2" xfId="853" xr:uid="{00000000-0005-0000-0000-000058290000}"/>
    <cellStyle name="쉼표 2 2 2" xfId="996" xr:uid="{00000000-0005-0000-0000-000059290000}"/>
    <cellStyle name="쉼표 2 2 2 2" xfId="1322" xr:uid="{00000000-0005-0000-0000-00005A290000}"/>
    <cellStyle name="쉼표 2 2 2 2 2" xfId="7028" xr:uid="{00000000-0005-0000-0000-00005B290000}"/>
    <cellStyle name="쉼표 2 2 2 2 2 2" xfId="9735" xr:uid="{00000000-0005-0000-0000-00005C290000}"/>
    <cellStyle name="쉼표 2 2 2 2 3" xfId="8396" xr:uid="{00000000-0005-0000-0000-00005D290000}"/>
    <cellStyle name="쉼표 2 2 2 3" xfId="6728" xr:uid="{00000000-0005-0000-0000-00005E290000}"/>
    <cellStyle name="쉼표 2 2 2 3 2" xfId="9435" xr:uid="{00000000-0005-0000-0000-00005F290000}"/>
    <cellStyle name="쉼표 2 2 2 4" xfId="8096" xr:uid="{00000000-0005-0000-0000-000060290000}"/>
    <cellStyle name="쉼표 2 2 3" xfId="1136" xr:uid="{00000000-0005-0000-0000-000061290000}"/>
    <cellStyle name="쉼표 2 2 3 2" xfId="6855" xr:uid="{00000000-0005-0000-0000-000062290000}"/>
    <cellStyle name="쉼표 2 2 3 2 2" xfId="9562" xr:uid="{00000000-0005-0000-0000-000063290000}"/>
    <cellStyle name="쉼표 2 2 3 3" xfId="8223" xr:uid="{00000000-0005-0000-0000-000064290000}"/>
    <cellStyle name="쉼표 2 2 4" xfId="6597" xr:uid="{00000000-0005-0000-0000-000065290000}"/>
    <cellStyle name="쉼표 2 2 4 2" xfId="9304" xr:uid="{00000000-0005-0000-0000-000066290000}"/>
    <cellStyle name="쉼표 2 2 5" xfId="7965" xr:uid="{00000000-0005-0000-0000-000067290000}"/>
    <cellStyle name="쉼표 2 3" xfId="995" xr:uid="{00000000-0005-0000-0000-000068290000}"/>
    <cellStyle name="쉼표 2 3 2" xfId="1321" xr:uid="{00000000-0005-0000-0000-000069290000}"/>
    <cellStyle name="쉼표 2 3 2 2" xfId="7027" xr:uid="{00000000-0005-0000-0000-00006A290000}"/>
    <cellStyle name="쉼표 2 3 2 2 2" xfId="9734" xr:uid="{00000000-0005-0000-0000-00006B290000}"/>
    <cellStyle name="쉼표 2 3 2 3" xfId="8395" xr:uid="{00000000-0005-0000-0000-00006C290000}"/>
    <cellStyle name="쉼표 2 3 3" xfId="6727" xr:uid="{00000000-0005-0000-0000-00006D290000}"/>
    <cellStyle name="쉼표 2 3 3 2" xfId="9434" xr:uid="{00000000-0005-0000-0000-00006E290000}"/>
    <cellStyle name="쉼표 2 3 4" xfId="8095" xr:uid="{00000000-0005-0000-0000-00006F290000}"/>
    <cellStyle name="쉼표 2 4" xfId="1135" xr:uid="{00000000-0005-0000-0000-000070290000}"/>
    <cellStyle name="쉼표 2 4 2" xfId="6854" xr:uid="{00000000-0005-0000-0000-000071290000}"/>
    <cellStyle name="쉼표 2 4 2 2" xfId="9561" xr:uid="{00000000-0005-0000-0000-000072290000}"/>
    <cellStyle name="쉼표 2 4 3" xfId="8222" xr:uid="{00000000-0005-0000-0000-000073290000}"/>
    <cellStyle name="쉼표 2 5" xfId="6596" xr:uid="{00000000-0005-0000-0000-000074290000}"/>
    <cellStyle name="쉼표 2 5 2" xfId="9303" xr:uid="{00000000-0005-0000-0000-000075290000}"/>
    <cellStyle name="쉼표 2 6" xfId="7964" xr:uid="{00000000-0005-0000-0000-000076290000}"/>
    <cellStyle name="스타일 1" xfId="854" xr:uid="{00000000-0005-0000-0000-000077290000}"/>
    <cellStyle name="콤마 [0]_ 비목별 월별기술 " xfId="855" xr:uid="{00000000-0005-0000-0000-000078290000}"/>
    <cellStyle name="콤마 [2]" xfId="856" xr:uid="{00000000-0005-0000-0000-000079290000}"/>
    <cellStyle name="콤마_ 비목별 월별기술 " xfId="857" xr:uid="{00000000-0005-0000-0000-00007A290000}"/>
    <cellStyle name="통화 [0]_9634매출 " xfId="858" xr:uid="{00000000-0005-0000-0000-00007B290000}"/>
    <cellStyle name="통화_9634매출 " xfId="859" xr:uid="{00000000-0005-0000-0000-00007C290000}"/>
    <cellStyle name="표준 2" xfId="860" xr:uid="{00000000-0005-0000-0000-00007D290000}"/>
    <cellStyle name="표준 3" xfId="861" xr:uid="{00000000-0005-0000-0000-00007E290000}"/>
    <cellStyle name="표준_0N-HANDLING " xfId="862" xr:uid="{00000000-0005-0000-0000-00007F290000}"/>
    <cellStyle name="一般_MAIN FAB (87.06.01)" xfId="863" xr:uid="{00000000-0005-0000-0000-000080290000}"/>
    <cellStyle name="常规_Projects using 2007 pricing_GZ_karl" xfId="864" xr:uid="{00000000-0005-0000-0000-000081290000}"/>
  </cellStyles>
  <dxfs count="0"/>
  <tableStyles count="0" defaultTableStyle="TableStyleMedium2" defaultPivotStyle="PivotStyleLight16"/>
  <colors>
    <mruColors>
      <color rgb="FFFFE5E5"/>
      <color rgb="FFEFFFFA"/>
      <color rgb="FFFFE7E7"/>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6" Type="http://schemas.openxmlformats.org/officeDocument/2006/relationships/printerSettings" Target="../printerSettings/printerSettings12.bin"/><Relationship Id="rId5" Type="http://schemas.openxmlformats.org/officeDocument/2006/relationships/printerSettings" Target="../printerSettings/printerSettings11.bin"/><Relationship Id="rId4"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19"/>
  <sheetViews>
    <sheetView showGridLines="0" view="pageBreakPreview" zoomScale="70" zoomScaleNormal="100" zoomScaleSheetLayoutView="70" workbookViewId="0">
      <selection activeCell="B7" sqref="B7"/>
    </sheetView>
  </sheetViews>
  <sheetFormatPr defaultColWidth="8.85546875" defaultRowHeight="12.75" customHeight="1"/>
  <cols>
    <col min="1" max="1" width="9.85546875" style="94" bestFit="1" customWidth="1"/>
    <col min="2" max="2" width="52" style="94" bestFit="1" customWidth="1"/>
    <col min="3" max="3" width="13.85546875" style="94" bestFit="1" customWidth="1"/>
    <col min="4" max="4" width="12.5703125" style="94" bestFit="1" customWidth="1"/>
    <col min="5" max="5" width="13.85546875" style="94" bestFit="1" customWidth="1"/>
    <col min="6" max="6" width="0.85546875" style="94" customWidth="1"/>
    <col min="7" max="218" width="8.85546875" style="94" customWidth="1"/>
    <col min="219" max="16384" width="8.85546875" style="94"/>
  </cols>
  <sheetData>
    <row r="1" spans="1:6" ht="15.75">
      <c r="A1" s="112" t="s">
        <v>32</v>
      </c>
      <c r="B1" s="113" t="s">
        <v>366</v>
      </c>
      <c r="C1" s="114"/>
      <c r="D1" s="115"/>
      <c r="E1" s="115"/>
      <c r="F1" s="116"/>
    </row>
    <row r="2" spans="1:6" ht="15.75">
      <c r="A2" s="112" t="s">
        <v>33</v>
      </c>
      <c r="B2" s="114" t="s">
        <v>14</v>
      </c>
      <c r="C2" s="115"/>
      <c r="D2" s="115"/>
      <c r="E2" s="115"/>
      <c r="F2" s="116"/>
    </row>
    <row r="3" spans="1:6" ht="19.5" customHeight="1">
      <c r="A3" s="117" t="s">
        <v>34</v>
      </c>
      <c r="B3" s="118" t="s">
        <v>5</v>
      </c>
      <c r="C3" s="233" t="s">
        <v>31</v>
      </c>
      <c r="D3" s="234"/>
      <c r="E3" s="235"/>
      <c r="F3" s="116"/>
    </row>
    <row r="4" spans="1:6" ht="14.85" customHeight="1">
      <c r="A4" s="117"/>
      <c r="B4" s="118"/>
      <c r="C4" s="118" t="s">
        <v>18</v>
      </c>
      <c r="D4" s="118" t="s">
        <v>24</v>
      </c>
      <c r="E4" s="118" t="s">
        <v>29</v>
      </c>
      <c r="F4" s="116"/>
    </row>
    <row r="5" spans="1:6" ht="17.25" customHeight="1">
      <c r="A5" s="117"/>
      <c r="B5" s="119" t="s">
        <v>35</v>
      </c>
      <c r="C5" s="115"/>
      <c r="D5" s="120"/>
      <c r="E5" s="114"/>
      <c r="F5" s="116"/>
    </row>
    <row r="6" spans="1:6" ht="17.25" customHeight="1">
      <c r="A6" s="117" t="s">
        <v>19</v>
      </c>
      <c r="B6" s="119" t="s">
        <v>36</v>
      </c>
      <c r="C6" s="115">
        <f>'HVAC LOW SIDE '!I73</f>
        <v>0</v>
      </c>
      <c r="D6" s="120">
        <f>'HVAC LOW SIDE '!J73</f>
        <v>0</v>
      </c>
      <c r="E6" s="114">
        <f t="shared" ref="E6:E12" si="0">SUM(C6:D6)</f>
        <v>0</v>
      </c>
      <c r="F6" s="116"/>
    </row>
    <row r="7" spans="1:6" ht="17.25" customHeight="1">
      <c r="A7" s="117" t="s">
        <v>15</v>
      </c>
      <c r="B7" s="119" t="s">
        <v>37</v>
      </c>
      <c r="C7" s="115">
        <f>'HVAC LOW SIDE '!I233</f>
        <v>0</v>
      </c>
      <c r="D7" s="120">
        <f>'HVAC LOW SIDE '!J233</f>
        <v>0</v>
      </c>
      <c r="E7" s="114">
        <f t="shared" si="0"/>
        <v>0</v>
      </c>
      <c r="F7" s="116"/>
    </row>
    <row r="8" spans="1:6" ht="17.25" customHeight="1">
      <c r="A8" s="117" t="s">
        <v>20</v>
      </c>
      <c r="B8" s="119" t="s">
        <v>38</v>
      </c>
      <c r="C8" s="115">
        <f>'HVAC LOW SIDE '!I244</f>
        <v>0</v>
      </c>
      <c r="D8" s="120">
        <f>'HVAC LOW SIDE '!J244</f>
        <v>0</v>
      </c>
      <c r="E8" s="114">
        <f t="shared" si="0"/>
        <v>0</v>
      </c>
      <c r="F8" s="116"/>
    </row>
    <row r="9" spans="1:6" ht="17.25" customHeight="1">
      <c r="A9" s="117" t="s">
        <v>16</v>
      </c>
      <c r="B9" s="119" t="s">
        <v>39</v>
      </c>
      <c r="C9" s="115">
        <f>'HVAC LOW SIDE '!I354</f>
        <v>0</v>
      </c>
      <c r="D9" s="120">
        <f>'HVAC LOW SIDE '!J354</f>
        <v>0</v>
      </c>
      <c r="E9" s="114">
        <f t="shared" si="0"/>
        <v>0</v>
      </c>
      <c r="F9" s="116"/>
    </row>
    <row r="10" spans="1:6" ht="17.25" customHeight="1">
      <c r="A10" s="117" t="s">
        <v>17</v>
      </c>
      <c r="B10" s="119" t="s">
        <v>40</v>
      </c>
      <c r="C10" s="115">
        <f>'HVAC LOW SIDE '!I378</f>
        <v>0</v>
      </c>
      <c r="D10" s="120">
        <f>'HVAC LOW SIDE '!J378</f>
        <v>0</v>
      </c>
      <c r="E10" s="114">
        <f t="shared" si="0"/>
        <v>0</v>
      </c>
      <c r="F10" s="116"/>
    </row>
    <row r="11" spans="1:6" ht="17.25" customHeight="1">
      <c r="A11" s="117" t="s">
        <v>21</v>
      </c>
      <c r="B11" s="119" t="s">
        <v>41</v>
      </c>
      <c r="C11" s="115">
        <f>'HVAC LOW SIDE '!I412</f>
        <v>0</v>
      </c>
      <c r="D11" s="120">
        <f>'HVAC LOW SIDE '!J412</f>
        <v>0</v>
      </c>
      <c r="E11" s="114">
        <f t="shared" si="0"/>
        <v>0</v>
      </c>
      <c r="F11" s="116"/>
    </row>
    <row r="12" spans="1:6" ht="17.25" customHeight="1">
      <c r="A12" s="117" t="s">
        <v>3</v>
      </c>
      <c r="B12" s="119" t="s">
        <v>42</v>
      </c>
      <c r="C12" s="115">
        <f>'HVAC LOW SIDE '!I432</f>
        <v>0</v>
      </c>
      <c r="D12" s="120">
        <f>'HVAC LOW SIDE '!J432</f>
        <v>0</v>
      </c>
      <c r="E12" s="114">
        <f t="shared" si="0"/>
        <v>0</v>
      </c>
      <c r="F12" s="116"/>
    </row>
    <row r="13" spans="1:6" ht="17.25" customHeight="1">
      <c r="A13" s="117"/>
      <c r="B13" s="119"/>
      <c r="C13" s="115"/>
      <c r="D13" s="120"/>
      <c r="E13" s="114"/>
      <c r="F13" s="116"/>
    </row>
    <row r="14" spans="1:6" ht="15.75">
      <c r="A14" s="117"/>
      <c r="B14" s="119" t="s">
        <v>43</v>
      </c>
      <c r="C14" s="121">
        <f>SUM(C6:C13)</f>
        <v>0</v>
      </c>
      <c r="D14" s="121">
        <f>SUM(D6:D13)</f>
        <v>0</v>
      </c>
      <c r="E14" s="121">
        <f>SUM(E6:E13)</f>
        <v>0</v>
      </c>
      <c r="F14" s="116"/>
    </row>
    <row r="15" spans="1:6" ht="14.1" customHeight="1">
      <c r="A15" s="117"/>
      <c r="B15" s="119"/>
      <c r="C15" s="122"/>
      <c r="D15" s="121"/>
      <c r="E15" s="114"/>
      <c r="F15" s="116"/>
    </row>
    <row r="16" spans="1:6" ht="15.75">
      <c r="A16" s="117"/>
      <c r="B16" s="119" t="s">
        <v>44</v>
      </c>
      <c r="C16" s="122">
        <f>C14*18%</f>
        <v>0</v>
      </c>
      <c r="D16" s="122">
        <f>D14*18%</f>
        <v>0</v>
      </c>
      <c r="E16" s="122">
        <f>E14*18%</f>
        <v>0</v>
      </c>
      <c r="F16" s="116"/>
    </row>
    <row r="17" spans="1:6" ht="14.1" customHeight="1">
      <c r="A17" s="117"/>
      <c r="B17" s="119"/>
      <c r="C17" s="122"/>
      <c r="D17" s="121"/>
      <c r="E17" s="114"/>
      <c r="F17" s="116"/>
    </row>
    <row r="18" spans="1:6" ht="23.25" customHeight="1">
      <c r="A18" s="123"/>
      <c r="B18" s="119" t="s">
        <v>45</v>
      </c>
      <c r="C18" s="123">
        <f>SUM(C14:C17)</f>
        <v>0</v>
      </c>
      <c r="D18" s="123">
        <f>SUM(D14:D17)</f>
        <v>0</v>
      </c>
      <c r="E18" s="123">
        <f>SUM(E14:E17)</f>
        <v>0</v>
      </c>
      <c r="F18" s="116"/>
    </row>
    <row r="19" spans="1:6" ht="14.1" customHeight="1">
      <c r="A19" s="117"/>
      <c r="B19" s="119"/>
      <c r="C19" s="122"/>
      <c r="D19" s="121"/>
      <c r="E19" s="114"/>
      <c r="F19" s="116"/>
    </row>
  </sheetData>
  <customSheetViews>
    <customSheetView guid="{5ADA983C-1EDC-4645-AD8A-3535C65F44D6}" scale="70" showPageBreaks="1" showGridLines="0" fitToPage="1" printArea="1" view="pageBreakPreview" topLeftCell="H1">
      <selection activeCell="AN30" sqref="AN30"/>
      <pageMargins left="0.31496062992125984" right="0.31496062992125984" top="0.74803149606299213" bottom="0.74803149606299213" header="0.31496062992125984" footer="0.31496062992125984"/>
      <printOptions horizontalCentered="1"/>
      <pageSetup paperSize="9" scale="30" fitToHeight="0" orientation="landscape" r:id="rId1"/>
    </customSheetView>
    <customSheetView guid="{4C187252-7A52-4DAC-BB2D-0644DF2E09B0}" scale="70" showPageBreaks="1" showGridLines="0" fitToPage="1" printArea="1" view="pageBreakPreview" topLeftCell="C1">
      <selection activeCell="AI26" sqref="AI26"/>
      <pageMargins left="0.31496062992125984" right="0.31496062992125984" top="0.74803149606299213" bottom="0.74803149606299213" header="0.31496062992125984" footer="0.31496062992125984"/>
      <printOptions horizontalCentered="1"/>
      <pageSetup paperSize="9" scale="32" fitToHeight="0" orientation="landscape" r:id="rId2"/>
    </customSheetView>
    <customSheetView guid="{F44FFE0D-EF1F-43C0-ACC8-2B26582A55BA}" scale="70" showPageBreaks="1" showGridLines="0" fitToPage="1" printArea="1" view="pageBreakPreview" topLeftCell="H1">
      <selection activeCell="AN30" sqref="AN30"/>
      <pageMargins left="0.31496062992125984" right="0.31496062992125984" top="0.74803149606299213" bottom="0.74803149606299213" header="0.31496062992125984" footer="0.31496062992125984"/>
      <printOptions horizontalCentered="1"/>
      <pageSetup paperSize="9" scale="29" fitToHeight="0" orientation="landscape" r:id="rId3"/>
    </customSheetView>
    <customSheetView guid="{80C18858-2264-40D8-89B1-43CC91AE6872}" scale="70" showPageBreaks="1" showGridLines="0" fitToPage="1" printArea="1" view="pageBreakPreview" topLeftCell="C1">
      <selection activeCell="AI26" sqref="AI26"/>
      <pageMargins left="0.31496062992125984" right="0.31496062992125984" top="0.74803149606299213" bottom="0.74803149606299213" header="0.31496062992125984" footer="0.31496062992125984"/>
      <printOptions horizontalCentered="1"/>
      <pageSetup paperSize="9" scale="32" fitToHeight="0" orientation="landscape" r:id="rId4"/>
    </customSheetView>
    <customSheetView guid="{F4A7CA8E-98F3-454B-9E7A-4BC18859A193}" scale="70" showPageBreaks="1" showGridLines="0" fitToPage="1" printArea="1" view="pageBreakPreview" topLeftCell="C1">
      <selection activeCell="AI26" sqref="AI26"/>
      <pageMargins left="0.31496062992125984" right="0.31496062992125984" top="0.74803149606299213" bottom="0.74803149606299213" header="0.31496062992125984" footer="0.31496062992125984"/>
      <printOptions horizontalCentered="1"/>
      <pageSetup paperSize="9" scale="32" fitToHeight="0" orientation="landscape" r:id="rId5"/>
    </customSheetView>
  </customSheetViews>
  <mergeCells count="1">
    <mergeCell ref="C3:E3"/>
  </mergeCells>
  <printOptions horizontalCentered="1"/>
  <pageMargins left="0.31496062992125984" right="0.31496062992125984" top="0.74803149606299213" bottom="0.74803149606299213" header="0.31496062992125984" footer="0.31496062992125984"/>
  <pageSetup paperSize="9" fitToHeight="0" orientation="landscape"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GK434"/>
  <sheetViews>
    <sheetView showGridLines="0" tabSelected="1" zoomScale="80" zoomScaleNormal="80" zoomScaleSheetLayoutView="70" workbookViewId="0">
      <pane xSplit="5" ySplit="3" topLeftCell="G174" activePane="bottomRight" state="frozen"/>
      <selection pane="topRight" activeCell="D1" sqref="D1"/>
      <selection pane="bottomLeft" activeCell="A4" sqref="A4"/>
      <selection pane="bottomRight" activeCell="D183" sqref="D183"/>
    </sheetView>
  </sheetViews>
  <sheetFormatPr defaultColWidth="9.140625" defaultRowHeight="12.75" customHeight="1"/>
  <cols>
    <col min="1" max="1" width="9.140625" style="23" bestFit="1" customWidth="1"/>
    <col min="2" max="2" width="78.28515625" style="23" customWidth="1"/>
    <col min="3" max="3" width="16.85546875" style="76" customWidth="1"/>
    <col min="4" max="4" width="15.5703125" style="23" bestFit="1" customWidth="1"/>
    <col min="5" max="5" width="13.7109375" style="93" customWidth="1"/>
    <col min="6" max="6" width="6.85546875" style="93" bestFit="1" customWidth="1"/>
    <col min="7" max="7" width="14.5703125" style="94" customWidth="1"/>
    <col min="8" max="8" width="19.28515625" style="94" customWidth="1"/>
    <col min="9" max="9" width="20.140625" style="94" customWidth="1"/>
    <col min="10" max="10" width="20.85546875" style="94" customWidth="1"/>
    <col min="11" max="11" width="0.85546875" style="23" customWidth="1"/>
    <col min="12" max="193" width="8.85546875" style="23" customWidth="1"/>
    <col min="194" max="16384" width="9.140625" style="6"/>
  </cols>
  <sheetData>
    <row r="1" spans="1:193" ht="31.5" customHeight="1">
      <c r="A1" s="1" t="s">
        <v>32</v>
      </c>
      <c r="B1" s="2" t="s">
        <v>365</v>
      </c>
      <c r="C1" s="188"/>
      <c r="D1" s="150"/>
      <c r="E1" s="124"/>
      <c r="F1" s="128"/>
      <c r="G1" s="129"/>
      <c r="H1" s="129"/>
      <c r="I1" s="129"/>
      <c r="J1" s="129"/>
      <c r="K1" s="3"/>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5"/>
    </row>
    <row r="2" spans="1:193" ht="50.45" customHeight="1">
      <c r="A2" s="7" t="s">
        <v>34</v>
      </c>
      <c r="B2" s="7" t="s">
        <v>5</v>
      </c>
      <c r="C2" s="151" t="s">
        <v>362</v>
      </c>
      <c r="D2" s="151" t="s">
        <v>363</v>
      </c>
      <c r="E2" s="125" t="s">
        <v>11</v>
      </c>
      <c r="F2" s="125" t="s">
        <v>28</v>
      </c>
      <c r="G2" s="231" t="s">
        <v>30</v>
      </c>
      <c r="H2" s="232"/>
      <c r="I2" s="231" t="s">
        <v>0</v>
      </c>
      <c r="J2" s="232"/>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9"/>
    </row>
    <row r="3" spans="1:193" ht="22.15" customHeight="1">
      <c r="A3" s="7"/>
      <c r="B3" s="7"/>
      <c r="C3" s="233" t="s">
        <v>6</v>
      </c>
      <c r="D3" s="234"/>
      <c r="E3" s="235"/>
      <c r="F3" s="125"/>
      <c r="G3" s="125" t="s">
        <v>22</v>
      </c>
      <c r="H3" s="125" t="s">
        <v>23</v>
      </c>
      <c r="I3" s="125" t="s">
        <v>22</v>
      </c>
      <c r="J3" s="125" t="s">
        <v>23</v>
      </c>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1"/>
    </row>
    <row r="4" spans="1:193" ht="18" customHeight="1">
      <c r="A4" s="12" t="s">
        <v>12</v>
      </c>
      <c r="B4" s="13" t="s">
        <v>46</v>
      </c>
      <c r="C4" s="189"/>
      <c r="D4" s="152"/>
      <c r="E4" s="89"/>
      <c r="F4" s="83"/>
      <c r="G4" s="83"/>
      <c r="H4" s="83"/>
      <c r="I4" s="83"/>
      <c r="J4" s="83"/>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1"/>
    </row>
    <row r="5" spans="1:193" ht="14.1" customHeight="1">
      <c r="A5" s="12"/>
      <c r="B5" s="14"/>
      <c r="C5" s="190"/>
      <c r="D5" s="153"/>
      <c r="E5" s="126"/>
      <c r="F5" s="84"/>
      <c r="G5" s="84"/>
      <c r="H5" s="84"/>
      <c r="I5" s="83"/>
      <c r="J5" s="83"/>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9"/>
      <c r="FN5" s="6"/>
      <c r="FO5" s="6"/>
      <c r="FP5" s="6"/>
      <c r="FQ5" s="6"/>
      <c r="FR5" s="6"/>
      <c r="FS5" s="6"/>
      <c r="FT5" s="6"/>
      <c r="FU5" s="6"/>
      <c r="FV5" s="6"/>
      <c r="FW5" s="6"/>
      <c r="FX5" s="6"/>
      <c r="FY5" s="6"/>
      <c r="FZ5" s="6"/>
      <c r="GA5" s="6"/>
      <c r="GB5" s="6"/>
      <c r="GC5" s="6"/>
      <c r="GD5" s="6"/>
      <c r="GE5" s="6"/>
      <c r="GF5" s="6"/>
      <c r="GG5" s="6"/>
      <c r="GH5" s="6"/>
      <c r="GI5" s="6"/>
      <c r="GJ5" s="6"/>
      <c r="GK5" s="6"/>
    </row>
    <row r="6" spans="1:193" ht="39" customHeight="1">
      <c r="A6" s="15">
        <v>1</v>
      </c>
      <c r="B6" s="30" t="s">
        <v>364</v>
      </c>
      <c r="C6" s="191"/>
      <c r="D6" s="154"/>
      <c r="E6" s="126"/>
      <c r="F6" s="85"/>
      <c r="G6" s="85"/>
      <c r="H6" s="85"/>
      <c r="I6" s="83"/>
      <c r="J6" s="83"/>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9"/>
      <c r="FN6" s="6"/>
      <c r="FO6" s="6"/>
      <c r="FP6" s="6"/>
      <c r="FQ6" s="6"/>
      <c r="FR6" s="6"/>
      <c r="FS6" s="6"/>
      <c r="FT6" s="6"/>
      <c r="FU6" s="6"/>
      <c r="FV6" s="6"/>
      <c r="FW6" s="6"/>
      <c r="FX6" s="6"/>
      <c r="FY6" s="6"/>
      <c r="FZ6" s="6"/>
      <c r="GA6" s="6"/>
      <c r="GB6" s="6"/>
      <c r="GC6" s="6"/>
      <c r="GD6" s="6"/>
      <c r="GE6" s="6"/>
      <c r="GF6" s="6"/>
      <c r="GG6" s="6"/>
      <c r="GH6" s="6"/>
      <c r="GI6" s="6"/>
      <c r="GJ6" s="6"/>
      <c r="GK6" s="6"/>
    </row>
    <row r="7" spans="1:193" ht="217.5" customHeight="1">
      <c r="A7" s="17"/>
      <c r="B7" s="18" t="s">
        <v>47</v>
      </c>
      <c r="C7" s="192"/>
      <c r="D7" s="155"/>
      <c r="E7" s="126"/>
      <c r="F7" s="85"/>
      <c r="G7" s="85"/>
      <c r="H7" s="85"/>
      <c r="I7" s="83"/>
      <c r="J7" s="83"/>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9"/>
      <c r="FN7" s="6"/>
      <c r="FO7" s="6"/>
      <c r="FP7" s="6"/>
      <c r="FQ7" s="6"/>
      <c r="FR7" s="6"/>
      <c r="FS7" s="6"/>
      <c r="FT7" s="6"/>
      <c r="FU7" s="6"/>
      <c r="FV7" s="6"/>
      <c r="FW7" s="6"/>
      <c r="FX7" s="6"/>
      <c r="FY7" s="6"/>
      <c r="FZ7" s="6"/>
      <c r="GA7" s="6"/>
      <c r="GB7" s="6"/>
      <c r="GC7" s="6"/>
      <c r="GD7" s="6"/>
      <c r="GE7" s="6"/>
      <c r="GF7" s="6"/>
      <c r="GG7" s="6"/>
      <c r="GH7" s="6"/>
      <c r="GI7" s="6"/>
      <c r="GJ7" s="6"/>
      <c r="GK7" s="6"/>
    </row>
    <row r="8" spans="1:193" ht="94.5">
      <c r="A8" s="17"/>
      <c r="B8" s="18" t="s">
        <v>48</v>
      </c>
      <c r="C8" s="192"/>
      <c r="D8" s="155"/>
      <c r="E8" s="126"/>
      <c r="F8" s="85"/>
      <c r="G8" s="85"/>
      <c r="H8" s="85"/>
      <c r="I8" s="83"/>
      <c r="J8" s="83"/>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9"/>
      <c r="FN8" s="6"/>
      <c r="FO8" s="6"/>
      <c r="FP8" s="6"/>
      <c r="FQ8" s="6"/>
      <c r="FR8" s="6"/>
      <c r="FS8" s="6"/>
      <c r="FT8" s="6"/>
      <c r="FU8" s="6"/>
      <c r="FV8" s="6"/>
      <c r="FW8" s="6"/>
      <c r="FX8" s="6"/>
      <c r="FY8" s="6"/>
      <c r="FZ8" s="6"/>
      <c r="GA8" s="6"/>
      <c r="GB8" s="6"/>
      <c r="GC8" s="6"/>
      <c r="GD8" s="6"/>
      <c r="GE8" s="6"/>
      <c r="GF8" s="6"/>
      <c r="GG8" s="6"/>
      <c r="GH8" s="6"/>
      <c r="GI8" s="6"/>
      <c r="GJ8" s="6"/>
      <c r="GK8" s="6"/>
    </row>
    <row r="9" spans="1:193" ht="31.5">
      <c r="A9" s="17"/>
      <c r="B9" s="18" t="s">
        <v>49</v>
      </c>
      <c r="C9" s="192"/>
      <c r="D9" s="155"/>
      <c r="E9" s="126"/>
      <c r="F9" s="85"/>
      <c r="G9" s="85"/>
      <c r="H9" s="85"/>
      <c r="I9" s="83"/>
      <c r="J9" s="83"/>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9"/>
      <c r="FN9" s="6"/>
      <c r="FO9" s="6"/>
      <c r="FP9" s="6"/>
      <c r="FQ9" s="6"/>
      <c r="FR9" s="6"/>
      <c r="FS9" s="6"/>
      <c r="FT9" s="6"/>
      <c r="FU9" s="6"/>
      <c r="FV9" s="6"/>
      <c r="FW9" s="6"/>
      <c r="FX9" s="6"/>
      <c r="FY9" s="6"/>
      <c r="FZ9" s="6"/>
      <c r="GA9" s="6"/>
      <c r="GB9" s="6"/>
      <c r="GC9" s="6"/>
      <c r="GD9" s="6"/>
      <c r="GE9" s="6"/>
      <c r="GF9" s="6"/>
      <c r="GG9" s="6"/>
      <c r="GH9" s="6"/>
      <c r="GI9" s="6"/>
      <c r="GJ9" s="6"/>
      <c r="GK9" s="6"/>
    </row>
    <row r="10" spans="1:193" ht="15.75">
      <c r="A10" s="17"/>
      <c r="B10" s="18" t="s">
        <v>50</v>
      </c>
      <c r="C10" s="192"/>
      <c r="D10" s="155"/>
      <c r="E10" s="126"/>
      <c r="F10" s="85"/>
      <c r="G10" s="85"/>
      <c r="H10" s="85"/>
      <c r="I10" s="83"/>
      <c r="J10" s="83"/>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9"/>
      <c r="FN10" s="6"/>
      <c r="FO10" s="6"/>
      <c r="FP10" s="6"/>
      <c r="FQ10" s="6"/>
      <c r="FR10" s="6"/>
      <c r="FS10" s="6"/>
      <c r="FT10" s="6"/>
      <c r="FU10" s="6"/>
      <c r="FV10" s="6"/>
      <c r="FW10" s="6"/>
      <c r="FX10" s="6"/>
      <c r="FY10" s="6"/>
      <c r="FZ10" s="6"/>
      <c r="GA10" s="6"/>
      <c r="GB10" s="6"/>
      <c r="GC10" s="6"/>
      <c r="GD10" s="6"/>
      <c r="GE10" s="6"/>
      <c r="GF10" s="6"/>
      <c r="GG10" s="6"/>
      <c r="GH10" s="6"/>
      <c r="GI10" s="6"/>
      <c r="GJ10" s="6"/>
      <c r="GK10" s="6"/>
    </row>
    <row r="11" spans="1:193" ht="47.25">
      <c r="A11" s="17"/>
      <c r="B11" s="18" t="s">
        <v>51</v>
      </c>
      <c r="C11" s="192"/>
      <c r="D11" s="155"/>
      <c r="E11" s="126"/>
      <c r="F11" s="85"/>
      <c r="G11" s="85"/>
      <c r="H11" s="85"/>
      <c r="I11" s="83"/>
      <c r="J11" s="83"/>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9"/>
      <c r="FN11" s="6"/>
      <c r="FO11" s="6"/>
      <c r="FP11" s="6"/>
      <c r="FQ11" s="6"/>
      <c r="FR11" s="6"/>
      <c r="FS11" s="6"/>
      <c r="FT11" s="6"/>
      <c r="FU11" s="6"/>
      <c r="FV11" s="6"/>
      <c r="FW11" s="6"/>
      <c r="FX11" s="6"/>
      <c r="FY11" s="6"/>
      <c r="FZ11" s="6"/>
      <c r="GA11" s="6"/>
      <c r="GB11" s="6"/>
      <c r="GC11" s="6"/>
      <c r="GD11" s="6"/>
      <c r="GE11" s="6"/>
      <c r="GF11" s="6"/>
      <c r="GG11" s="6"/>
      <c r="GH11" s="6"/>
      <c r="GI11" s="6"/>
      <c r="GJ11" s="6"/>
      <c r="GK11" s="6"/>
    </row>
    <row r="12" spans="1:193" ht="39.75" customHeight="1">
      <c r="A12" s="17"/>
      <c r="B12" s="18" t="s">
        <v>52</v>
      </c>
      <c r="C12" s="192"/>
      <c r="D12" s="155"/>
      <c r="E12" s="126"/>
      <c r="F12" s="85"/>
      <c r="G12" s="85"/>
      <c r="H12" s="86"/>
      <c r="I12" s="83"/>
      <c r="J12" s="83"/>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9"/>
      <c r="FN12" s="6"/>
      <c r="FO12" s="6"/>
      <c r="FP12" s="6"/>
      <c r="FQ12" s="6"/>
      <c r="FR12" s="6"/>
      <c r="FS12" s="6"/>
      <c r="FT12" s="6"/>
      <c r="FU12" s="6"/>
      <c r="FV12" s="6"/>
      <c r="FW12" s="6"/>
      <c r="FX12" s="6"/>
      <c r="FY12" s="6"/>
      <c r="FZ12" s="6"/>
      <c r="GA12" s="6"/>
      <c r="GB12" s="6"/>
      <c r="GC12" s="6"/>
      <c r="GD12" s="6"/>
      <c r="GE12" s="6"/>
      <c r="GF12" s="6"/>
      <c r="GG12" s="6"/>
      <c r="GH12" s="6"/>
      <c r="GI12" s="6"/>
      <c r="GJ12" s="6"/>
      <c r="GK12" s="6"/>
    </row>
    <row r="13" spans="1:193" ht="63">
      <c r="A13" s="17"/>
      <c r="B13" s="18" t="s">
        <v>53</v>
      </c>
      <c r="C13" s="192"/>
      <c r="D13" s="155"/>
      <c r="E13" s="126"/>
      <c r="F13" s="85"/>
      <c r="G13" s="85"/>
      <c r="H13" s="85"/>
      <c r="I13" s="83"/>
      <c r="J13" s="83"/>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9"/>
      <c r="FN13" s="6"/>
      <c r="FO13" s="6"/>
      <c r="FP13" s="6"/>
      <c r="FQ13" s="6"/>
      <c r="FR13" s="6"/>
      <c r="FS13" s="6"/>
      <c r="FT13" s="6"/>
      <c r="FU13" s="6"/>
      <c r="FV13" s="6"/>
      <c r="FW13" s="6"/>
      <c r="FX13" s="6"/>
      <c r="FY13" s="6"/>
      <c r="FZ13" s="6"/>
      <c r="GA13" s="6"/>
      <c r="GB13" s="6"/>
      <c r="GC13" s="6"/>
      <c r="GD13" s="6"/>
      <c r="GE13" s="6"/>
      <c r="GF13" s="6"/>
      <c r="GG13" s="6"/>
      <c r="GH13" s="6"/>
      <c r="GI13" s="6"/>
      <c r="GJ13" s="6"/>
      <c r="GK13" s="6"/>
    </row>
    <row r="14" spans="1:193" ht="15.75">
      <c r="A14" s="17"/>
      <c r="B14" s="18" t="s">
        <v>54</v>
      </c>
      <c r="C14" s="192"/>
      <c r="D14" s="155"/>
      <c r="E14" s="126"/>
      <c r="F14" s="85"/>
      <c r="G14" s="85"/>
      <c r="H14" s="85"/>
      <c r="I14" s="83"/>
      <c r="J14" s="83"/>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9"/>
      <c r="FN14" s="6"/>
      <c r="FO14" s="6"/>
      <c r="FP14" s="6"/>
      <c r="FQ14" s="6"/>
      <c r="FR14" s="6"/>
      <c r="FS14" s="6"/>
      <c r="FT14" s="6"/>
      <c r="FU14" s="6"/>
      <c r="FV14" s="6"/>
      <c r="FW14" s="6"/>
      <c r="FX14" s="6"/>
      <c r="FY14" s="6"/>
      <c r="FZ14" s="6"/>
      <c r="GA14" s="6"/>
      <c r="GB14" s="6"/>
      <c r="GC14" s="6"/>
      <c r="GD14" s="6"/>
      <c r="GE14" s="6"/>
      <c r="GF14" s="6"/>
      <c r="GG14" s="6"/>
      <c r="GH14" s="6"/>
      <c r="GI14" s="6"/>
      <c r="GJ14" s="6"/>
      <c r="GK14" s="6"/>
    </row>
    <row r="15" spans="1:193" ht="31.5">
      <c r="A15" s="17"/>
      <c r="B15" s="18" t="s">
        <v>55</v>
      </c>
      <c r="C15" s="192"/>
      <c r="D15" s="155"/>
      <c r="E15" s="126"/>
      <c r="F15" s="85"/>
      <c r="G15" s="85"/>
      <c r="H15" s="85"/>
      <c r="I15" s="83"/>
      <c r="J15" s="83"/>
      <c r="K15" s="8"/>
    </row>
    <row r="16" spans="1:193" ht="15.75">
      <c r="A16" s="17"/>
      <c r="B16" s="18" t="s">
        <v>56</v>
      </c>
      <c r="C16" s="192"/>
      <c r="D16" s="155"/>
      <c r="E16" s="126"/>
      <c r="F16" s="85"/>
      <c r="G16" s="85"/>
      <c r="H16" s="85"/>
      <c r="I16" s="83"/>
      <c r="J16" s="83"/>
      <c r="K16" s="8"/>
    </row>
    <row r="17" spans="1:11" ht="15.75">
      <c r="A17" s="17"/>
      <c r="B17" s="18" t="s">
        <v>57</v>
      </c>
      <c r="C17" s="192"/>
      <c r="D17" s="155"/>
      <c r="E17" s="126">
        <f t="shared" ref="E17" si="0">C17+D17</f>
        <v>0</v>
      </c>
      <c r="F17" s="85"/>
      <c r="G17" s="85"/>
      <c r="H17" s="85"/>
      <c r="I17" s="83">
        <f>+N($E17)*N(G17)</f>
        <v>0</v>
      </c>
      <c r="J17" s="83">
        <f>+N($E17)*N(H17)</f>
        <v>0</v>
      </c>
      <c r="K17" s="8"/>
    </row>
    <row r="18" spans="1:11" ht="15.75">
      <c r="A18" s="17">
        <v>1.1000000000000001</v>
      </c>
      <c r="B18" s="18" t="s">
        <v>311</v>
      </c>
      <c r="C18" s="192"/>
      <c r="D18" s="155"/>
      <c r="E18" s="126">
        <f>C18+D18</f>
        <v>0</v>
      </c>
      <c r="F18" s="87" t="s">
        <v>9</v>
      </c>
      <c r="G18" s="87"/>
      <c r="H18" s="88"/>
      <c r="I18" s="83">
        <f t="shared" ref="I18:J72" si="1">+N($E18)*N(G18)</f>
        <v>0</v>
      </c>
      <c r="J18" s="83">
        <f t="shared" si="1"/>
        <v>0</v>
      </c>
      <c r="K18" s="8"/>
    </row>
    <row r="19" spans="1:11" ht="15.75">
      <c r="A19" s="17">
        <v>1.2</v>
      </c>
      <c r="B19" s="18" t="s">
        <v>58</v>
      </c>
      <c r="C19" s="192"/>
      <c r="D19" s="155"/>
      <c r="E19" s="126">
        <f t="shared" ref="E19:E72" si="2">C19+D19</f>
        <v>0</v>
      </c>
      <c r="F19" s="87" t="s">
        <v>9</v>
      </c>
      <c r="G19" s="87"/>
      <c r="H19" s="88"/>
      <c r="I19" s="83">
        <f t="shared" si="1"/>
        <v>0</v>
      </c>
      <c r="J19" s="83">
        <f t="shared" si="1"/>
        <v>0</v>
      </c>
      <c r="K19" s="8"/>
    </row>
    <row r="20" spans="1:11" ht="15.75">
      <c r="A20" s="17"/>
      <c r="B20" s="18"/>
      <c r="C20" s="192"/>
      <c r="D20" s="155"/>
      <c r="E20" s="126">
        <f t="shared" si="2"/>
        <v>0</v>
      </c>
      <c r="F20" s="87"/>
      <c r="G20" s="87"/>
      <c r="H20" s="88"/>
      <c r="I20" s="83">
        <f t="shared" si="1"/>
        <v>0</v>
      </c>
      <c r="J20" s="83">
        <f t="shared" si="1"/>
        <v>0</v>
      </c>
      <c r="K20" s="8"/>
    </row>
    <row r="21" spans="1:11" ht="15.75">
      <c r="A21" s="17">
        <v>1.3</v>
      </c>
      <c r="B21" s="16" t="s">
        <v>59</v>
      </c>
      <c r="C21" s="191"/>
      <c r="D21" s="156"/>
      <c r="E21" s="126">
        <f t="shared" si="2"/>
        <v>0</v>
      </c>
      <c r="F21" s="87"/>
      <c r="G21" s="89"/>
      <c r="H21" s="90"/>
      <c r="I21" s="83">
        <f t="shared" si="1"/>
        <v>0</v>
      </c>
      <c r="J21" s="83">
        <f t="shared" si="1"/>
        <v>0</v>
      </c>
      <c r="K21" s="8"/>
    </row>
    <row r="22" spans="1:11" ht="15.75">
      <c r="A22" s="17"/>
      <c r="B22" s="18" t="s">
        <v>60</v>
      </c>
      <c r="C22" s="192"/>
      <c r="D22" s="155"/>
      <c r="E22" s="126">
        <f t="shared" si="2"/>
        <v>0</v>
      </c>
      <c r="F22" s="87" t="s">
        <v>9</v>
      </c>
      <c r="G22" s="87"/>
      <c r="H22" s="88"/>
      <c r="I22" s="83">
        <f t="shared" si="1"/>
        <v>0</v>
      </c>
      <c r="J22" s="83">
        <f t="shared" si="1"/>
        <v>0</v>
      </c>
      <c r="K22" s="8"/>
    </row>
    <row r="23" spans="1:11" ht="15.75">
      <c r="A23" s="17"/>
      <c r="B23" s="18"/>
      <c r="C23" s="192"/>
      <c r="D23" s="155"/>
      <c r="E23" s="126">
        <f t="shared" si="2"/>
        <v>0</v>
      </c>
      <c r="F23" s="87"/>
      <c r="G23" s="87"/>
      <c r="H23" s="88"/>
      <c r="I23" s="83">
        <f t="shared" si="1"/>
        <v>0</v>
      </c>
      <c r="J23" s="83">
        <f t="shared" si="1"/>
        <v>0</v>
      </c>
      <c r="K23" s="8"/>
    </row>
    <row r="24" spans="1:11" ht="15.75">
      <c r="A24" s="17"/>
      <c r="B24" s="18"/>
      <c r="C24" s="192"/>
      <c r="D24" s="155"/>
      <c r="E24" s="126">
        <f t="shared" si="2"/>
        <v>0</v>
      </c>
      <c r="F24" s="87"/>
      <c r="G24" s="89"/>
      <c r="H24" s="90"/>
      <c r="I24" s="83">
        <f t="shared" si="1"/>
        <v>0</v>
      </c>
      <c r="J24" s="83">
        <f t="shared" si="1"/>
        <v>0</v>
      </c>
      <c r="K24" s="8"/>
    </row>
    <row r="25" spans="1:11" ht="15.75">
      <c r="A25" s="17">
        <v>1.4</v>
      </c>
      <c r="B25" s="16" t="s">
        <v>61</v>
      </c>
      <c r="C25" s="191"/>
      <c r="D25" s="156"/>
      <c r="E25" s="126">
        <f t="shared" si="2"/>
        <v>0</v>
      </c>
      <c r="F25" s="87"/>
      <c r="G25" s="89"/>
      <c r="H25" s="90"/>
      <c r="I25" s="83">
        <f t="shared" si="1"/>
        <v>0</v>
      </c>
      <c r="J25" s="83">
        <f t="shared" si="1"/>
        <v>0</v>
      </c>
      <c r="K25" s="8"/>
    </row>
    <row r="26" spans="1:11" ht="15.75">
      <c r="A26" s="17"/>
      <c r="B26" s="18" t="s">
        <v>62</v>
      </c>
      <c r="C26" s="192"/>
      <c r="D26" s="155"/>
      <c r="E26" s="126">
        <f t="shared" si="2"/>
        <v>0</v>
      </c>
      <c r="F26" s="87" t="s">
        <v>9</v>
      </c>
      <c r="G26" s="87"/>
      <c r="H26" s="88"/>
      <c r="I26" s="83">
        <f t="shared" si="1"/>
        <v>0</v>
      </c>
      <c r="J26" s="83">
        <f t="shared" si="1"/>
        <v>0</v>
      </c>
      <c r="K26" s="8"/>
    </row>
    <row r="27" spans="1:11" ht="15.75">
      <c r="A27" s="19"/>
      <c r="B27" s="18"/>
      <c r="C27" s="192"/>
      <c r="D27" s="155"/>
      <c r="E27" s="126">
        <f t="shared" si="2"/>
        <v>0</v>
      </c>
      <c r="F27" s="87"/>
      <c r="G27" s="88"/>
      <c r="H27" s="88"/>
      <c r="I27" s="83">
        <f t="shared" si="1"/>
        <v>0</v>
      </c>
      <c r="J27" s="83">
        <f t="shared" si="1"/>
        <v>0</v>
      </c>
      <c r="K27" s="8"/>
    </row>
    <row r="28" spans="1:11" ht="15.75">
      <c r="A28" s="19">
        <v>1.3</v>
      </c>
      <c r="B28" s="16" t="s">
        <v>63</v>
      </c>
      <c r="C28" s="191"/>
      <c r="D28" s="156"/>
      <c r="E28" s="126">
        <f t="shared" si="2"/>
        <v>0</v>
      </c>
      <c r="F28" s="87"/>
      <c r="G28" s="88"/>
      <c r="H28" s="88"/>
      <c r="I28" s="83">
        <f t="shared" si="1"/>
        <v>0</v>
      </c>
      <c r="J28" s="83">
        <f t="shared" si="1"/>
        <v>0</v>
      </c>
      <c r="K28" s="8"/>
    </row>
    <row r="29" spans="1:11" ht="241.5">
      <c r="A29" s="19"/>
      <c r="B29" s="18" t="s">
        <v>64</v>
      </c>
      <c r="C29" s="192"/>
      <c r="D29" s="155"/>
      <c r="E29" s="126">
        <f t="shared" si="2"/>
        <v>0</v>
      </c>
      <c r="F29" s="87"/>
      <c r="G29" s="88"/>
      <c r="H29" s="88"/>
      <c r="I29" s="83">
        <f t="shared" si="1"/>
        <v>0</v>
      </c>
      <c r="J29" s="83">
        <f t="shared" si="1"/>
        <v>0</v>
      </c>
      <c r="K29" s="8"/>
    </row>
    <row r="30" spans="1:11" ht="15.75">
      <c r="A30" s="19"/>
      <c r="B30" s="18" t="s">
        <v>65</v>
      </c>
      <c r="C30" s="192"/>
      <c r="D30" s="155"/>
      <c r="E30" s="126">
        <f t="shared" si="2"/>
        <v>0</v>
      </c>
      <c r="F30" s="87" t="s">
        <v>9</v>
      </c>
      <c r="G30" s="88"/>
      <c r="H30" s="88"/>
      <c r="I30" s="83">
        <f t="shared" si="1"/>
        <v>0</v>
      </c>
      <c r="J30" s="83">
        <f t="shared" si="1"/>
        <v>0</v>
      </c>
      <c r="K30" s="8"/>
    </row>
    <row r="31" spans="1:11" ht="15.75">
      <c r="A31" s="19"/>
      <c r="B31" s="18" t="s">
        <v>66</v>
      </c>
      <c r="C31" s="192"/>
      <c r="D31" s="155"/>
      <c r="E31" s="126">
        <f t="shared" si="2"/>
        <v>0</v>
      </c>
      <c r="F31" s="87" t="s">
        <v>9</v>
      </c>
      <c r="G31" s="88"/>
      <c r="H31" s="88"/>
      <c r="I31" s="83">
        <f t="shared" si="1"/>
        <v>0</v>
      </c>
      <c r="J31" s="83">
        <f t="shared" si="1"/>
        <v>0</v>
      </c>
      <c r="K31" s="8"/>
    </row>
    <row r="32" spans="1:11" ht="15.75">
      <c r="A32" s="19"/>
      <c r="B32" s="18" t="s">
        <v>67</v>
      </c>
      <c r="C32" s="192"/>
      <c r="D32" s="155"/>
      <c r="E32" s="126">
        <f t="shared" si="2"/>
        <v>0</v>
      </c>
      <c r="F32" s="87" t="s">
        <v>9</v>
      </c>
      <c r="G32" s="88"/>
      <c r="H32" s="88"/>
      <c r="I32" s="83">
        <f t="shared" si="1"/>
        <v>0</v>
      </c>
      <c r="J32" s="83">
        <f t="shared" si="1"/>
        <v>0</v>
      </c>
      <c r="K32" s="8"/>
    </row>
    <row r="33" spans="1:11" ht="15.75">
      <c r="A33" s="19"/>
      <c r="B33" s="18" t="s">
        <v>68</v>
      </c>
      <c r="C33" s="192"/>
      <c r="D33" s="155"/>
      <c r="E33" s="126">
        <f t="shared" si="2"/>
        <v>0</v>
      </c>
      <c r="F33" s="87" t="s">
        <v>9</v>
      </c>
      <c r="G33" s="88"/>
      <c r="H33" s="88"/>
      <c r="I33" s="83">
        <f t="shared" si="1"/>
        <v>0</v>
      </c>
      <c r="J33" s="83">
        <f t="shared" si="1"/>
        <v>0</v>
      </c>
      <c r="K33" s="8"/>
    </row>
    <row r="34" spans="1:11" ht="15.75">
      <c r="A34" s="19"/>
      <c r="B34" s="18"/>
      <c r="C34" s="192"/>
      <c r="D34" s="155"/>
      <c r="E34" s="126">
        <f t="shared" si="2"/>
        <v>0</v>
      </c>
      <c r="F34" s="87"/>
      <c r="G34" s="88"/>
      <c r="H34" s="88"/>
      <c r="I34" s="83">
        <f t="shared" si="1"/>
        <v>0</v>
      </c>
      <c r="J34" s="83">
        <f t="shared" si="1"/>
        <v>0</v>
      </c>
      <c r="K34" s="8"/>
    </row>
    <row r="35" spans="1:11" ht="15.75">
      <c r="A35" s="19">
        <v>1.4</v>
      </c>
      <c r="B35" s="16" t="s">
        <v>69</v>
      </c>
      <c r="C35" s="191"/>
      <c r="D35" s="156"/>
      <c r="E35" s="126">
        <f t="shared" si="2"/>
        <v>0</v>
      </c>
      <c r="F35" s="85"/>
      <c r="G35" s="91"/>
      <c r="H35" s="92"/>
      <c r="I35" s="83">
        <f t="shared" si="1"/>
        <v>0</v>
      </c>
      <c r="J35" s="83">
        <f t="shared" si="1"/>
        <v>0</v>
      </c>
      <c r="K35" s="8"/>
    </row>
    <row r="36" spans="1:11" ht="252">
      <c r="A36" s="19"/>
      <c r="B36" s="18" t="s">
        <v>70</v>
      </c>
      <c r="C36" s="192"/>
      <c r="D36" s="155"/>
      <c r="E36" s="126">
        <f t="shared" si="2"/>
        <v>0</v>
      </c>
      <c r="F36" s="87"/>
      <c r="G36" s="92"/>
      <c r="H36" s="92"/>
      <c r="I36" s="83">
        <f t="shared" si="1"/>
        <v>0</v>
      </c>
      <c r="J36" s="83">
        <f t="shared" si="1"/>
        <v>0</v>
      </c>
      <c r="K36" s="8"/>
    </row>
    <row r="37" spans="1:11" ht="15.75">
      <c r="A37" s="19"/>
      <c r="B37" s="22" t="s">
        <v>71</v>
      </c>
      <c r="C37" s="193"/>
      <c r="D37" s="157"/>
      <c r="E37" s="126">
        <f t="shared" si="2"/>
        <v>0</v>
      </c>
      <c r="F37" s="87" t="s">
        <v>9</v>
      </c>
      <c r="G37" s="88"/>
      <c r="H37" s="88"/>
      <c r="I37" s="83">
        <f t="shared" si="1"/>
        <v>0</v>
      </c>
      <c r="J37" s="83">
        <f t="shared" si="1"/>
        <v>0</v>
      </c>
      <c r="K37" s="8"/>
    </row>
    <row r="38" spans="1:11" ht="15.75">
      <c r="A38" s="19"/>
      <c r="B38" s="22"/>
      <c r="C38" s="193"/>
      <c r="D38" s="157"/>
      <c r="E38" s="126">
        <f t="shared" si="2"/>
        <v>0</v>
      </c>
      <c r="F38" s="87"/>
      <c r="G38" s="92"/>
      <c r="H38" s="92"/>
      <c r="I38" s="83">
        <f t="shared" si="1"/>
        <v>0</v>
      </c>
      <c r="J38" s="83">
        <f t="shared" si="1"/>
        <v>0</v>
      </c>
      <c r="K38" s="8"/>
    </row>
    <row r="39" spans="1:11" ht="173.25">
      <c r="A39" s="12">
        <v>2</v>
      </c>
      <c r="B39" s="18" t="s">
        <v>72</v>
      </c>
      <c r="C39" s="192"/>
      <c r="D39" s="155"/>
      <c r="E39" s="126">
        <f t="shared" si="2"/>
        <v>0</v>
      </c>
      <c r="F39" s="87"/>
      <c r="G39" s="92"/>
      <c r="H39" s="92"/>
      <c r="I39" s="83">
        <f t="shared" si="1"/>
        <v>0</v>
      </c>
      <c r="J39" s="83">
        <f t="shared" si="1"/>
        <v>0</v>
      </c>
      <c r="K39" s="10"/>
    </row>
    <row r="40" spans="1:11" ht="15.75">
      <c r="A40" s="19">
        <v>2.1</v>
      </c>
      <c r="B40" s="18" t="s">
        <v>73</v>
      </c>
      <c r="C40" s="192"/>
      <c r="D40" s="155"/>
      <c r="E40" s="126">
        <f t="shared" si="2"/>
        <v>0</v>
      </c>
      <c r="F40" s="87" t="s">
        <v>8</v>
      </c>
      <c r="G40" s="88"/>
      <c r="H40" s="88"/>
      <c r="I40" s="83">
        <f t="shared" si="1"/>
        <v>0</v>
      </c>
      <c r="J40" s="83">
        <f t="shared" si="1"/>
        <v>0</v>
      </c>
      <c r="K40" s="8"/>
    </row>
    <row r="41" spans="1:11" ht="15.75">
      <c r="A41" s="19">
        <v>2.2000000000000002</v>
      </c>
      <c r="B41" s="18" t="s">
        <v>27</v>
      </c>
      <c r="C41" s="192"/>
      <c r="D41" s="155"/>
      <c r="E41" s="126">
        <f t="shared" si="2"/>
        <v>0</v>
      </c>
      <c r="F41" s="87" t="s">
        <v>8</v>
      </c>
      <c r="G41" s="88"/>
      <c r="H41" s="88"/>
      <c r="I41" s="83">
        <f t="shared" si="1"/>
        <v>0</v>
      </c>
      <c r="J41" s="83">
        <f t="shared" si="1"/>
        <v>0</v>
      </c>
      <c r="K41" s="8"/>
    </row>
    <row r="42" spans="1:11" ht="15.75">
      <c r="A42" s="19">
        <v>2.2999999999999998</v>
      </c>
      <c r="B42" s="18" t="s">
        <v>74</v>
      </c>
      <c r="C42" s="192"/>
      <c r="D42" s="155"/>
      <c r="E42" s="126">
        <f t="shared" si="2"/>
        <v>0</v>
      </c>
      <c r="F42" s="87" t="s">
        <v>8</v>
      </c>
      <c r="G42" s="88"/>
      <c r="H42" s="88"/>
      <c r="I42" s="83">
        <f t="shared" si="1"/>
        <v>0</v>
      </c>
      <c r="J42" s="83">
        <f t="shared" si="1"/>
        <v>0</v>
      </c>
      <c r="K42" s="8"/>
    </row>
    <row r="43" spans="1:11" ht="15.75">
      <c r="A43" s="19">
        <v>2.4</v>
      </c>
      <c r="B43" s="18" t="s">
        <v>26</v>
      </c>
      <c r="C43" s="192"/>
      <c r="D43" s="155"/>
      <c r="E43" s="126">
        <f t="shared" si="2"/>
        <v>0</v>
      </c>
      <c r="F43" s="87" t="s">
        <v>8</v>
      </c>
      <c r="G43" s="88"/>
      <c r="H43" s="88"/>
      <c r="I43" s="83">
        <f t="shared" si="1"/>
        <v>0</v>
      </c>
      <c r="J43" s="83">
        <f t="shared" si="1"/>
        <v>0</v>
      </c>
      <c r="K43" s="8"/>
    </row>
    <row r="44" spans="1:11" ht="12.75" customHeight="1">
      <c r="A44" s="19"/>
      <c r="B44" s="18"/>
      <c r="C44" s="192"/>
      <c r="D44" s="155"/>
      <c r="E44" s="126">
        <f t="shared" si="2"/>
        <v>0</v>
      </c>
      <c r="F44" s="87"/>
      <c r="G44" s="93"/>
      <c r="H44" s="92"/>
      <c r="I44" s="83">
        <f t="shared" si="1"/>
        <v>0</v>
      </c>
      <c r="J44" s="83">
        <f t="shared" si="1"/>
        <v>0</v>
      </c>
    </row>
    <row r="45" spans="1:11" ht="31.5">
      <c r="A45" s="15" t="s">
        <v>75</v>
      </c>
      <c r="B45" s="18" t="s">
        <v>76</v>
      </c>
      <c r="C45" s="192"/>
      <c r="D45" s="155"/>
      <c r="E45" s="126">
        <f t="shared" si="2"/>
        <v>0</v>
      </c>
      <c r="F45" s="87"/>
      <c r="G45" s="92"/>
      <c r="H45" s="92"/>
      <c r="I45" s="83">
        <f t="shared" si="1"/>
        <v>0</v>
      </c>
      <c r="J45" s="83">
        <f t="shared" si="1"/>
        <v>0</v>
      </c>
    </row>
    <row r="46" spans="1:11" ht="15.75">
      <c r="A46" s="19">
        <v>3.1</v>
      </c>
      <c r="B46" s="18" t="s">
        <v>73</v>
      </c>
      <c r="C46" s="192"/>
      <c r="D46" s="155"/>
      <c r="E46" s="126">
        <f t="shared" si="2"/>
        <v>0</v>
      </c>
      <c r="F46" s="87" t="s">
        <v>9</v>
      </c>
      <c r="G46" s="88"/>
      <c r="H46" s="88"/>
      <c r="I46" s="83">
        <f t="shared" si="1"/>
        <v>0</v>
      </c>
      <c r="J46" s="83">
        <f t="shared" si="1"/>
        <v>0</v>
      </c>
    </row>
    <row r="47" spans="1:11" ht="15.75">
      <c r="A47" s="19">
        <v>3.2</v>
      </c>
      <c r="B47" s="18" t="s">
        <v>27</v>
      </c>
      <c r="C47" s="192"/>
      <c r="D47" s="155"/>
      <c r="E47" s="126">
        <f t="shared" si="2"/>
        <v>0</v>
      </c>
      <c r="F47" s="87" t="s">
        <v>9</v>
      </c>
      <c r="G47" s="88"/>
      <c r="H47" s="88"/>
      <c r="I47" s="83">
        <f t="shared" si="1"/>
        <v>0</v>
      </c>
      <c r="J47" s="83">
        <f t="shared" si="1"/>
        <v>0</v>
      </c>
    </row>
    <row r="48" spans="1:11" s="23" customFormat="1" ht="15.75">
      <c r="A48" s="19">
        <v>3.3</v>
      </c>
      <c r="B48" s="18" t="s">
        <v>77</v>
      </c>
      <c r="C48" s="192"/>
      <c r="D48" s="155"/>
      <c r="E48" s="126">
        <f t="shared" si="2"/>
        <v>0</v>
      </c>
      <c r="F48" s="87" t="s">
        <v>9</v>
      </c>
      <c r="G48" s="88"/>
      <c r="H48" s="88"/>
      <c r="I48" s="83">
        <f t="shared" si="1"/>
        <v>0</v>
      </c>
      <c r="J48" s="83">
        <f t="shared" si="1"/>
        <v>0</v>
      </c>
    </row>
    <row r="49" spans="1:10" s="23" customFormat="1" ht="15.75">
      <c r="A49" s="19">
        <v>3.4</v>
      </c>
      <c r="B49" s="18" t="s">
        <v>74</v>
      </c>
      <c r="C49" s="192"/>
      <c r="D49" s="155"/>
      <c r="E49" s="126">
        <f t="shared" si="2"/>
        <v>0</v>
      </c>
      <c r="F49" s="87" t="s">
        <v>9</v>
      </c>
      <c r="G49" s="88"/>
      <c r="H49" s="88"/>
      <c r="I49" s="83">
        <f t="shared" si="1"/>
        <v>0</v>
      </c>
      <c r="J49" s="83">
        <f t="shared" si="1"/>
        <v>0</v>
      </c>
    </row>
    <row r="50" spans="1:10" s="23" customFormat="1" ht="15.75">
      <c r="A50" s="19">
        <v>3.5</v>
      </c>
      <c r="B50" s="18" t="s">
        <v>26</v>
      </c>
      <c r="C50" s="192"/>
      <c r="D50" s="155"/>
      <c r="E50" s="126">
        <f t="shared" si="2"/>
        <v>0</v>
      </c>
      <c r="F50" s="87" t="s">
        <v>9</v>
      </c>
      <c r="G50" s="88"/>
      <c r="H50" s="88"/>
      <c r="I50" s="83">
        <f t="shared" si="1"/>
        <v>0</v>
      </c>
      <c r="J50" s="83">
        <f t="shared" si="1"/>
        <v>0</v>
      </c>
    </row>
    <row r="51" spans="1:10" s="23" customFormat="1" ht="12.75" customHeight="1">
      <c r="A51" s="19"/>
      <c r="B51" s="18"/>
      <c r="C51" s="192"/>
      <c r="D51" s="155"/>
      <c r="E51" s="126">
        <f t="shared" si="2"/>
        <v>0</v>
      </c>
      <c r="F51" s="87"/>
      <c r="G51" s="92"/>
      <c r="H51" s="92"/>
      <c r="I51" s="83">
        <f t="shared" si="1"/>
        <v>0</v>
      </c>
      <c r="J51" s="83">
        <f t="shared" si="1"/>
        <v>0</v>
      </c>
    </row>
    <row r="52" spans="1:10" s="23" customFormat="1" ht="31.5">
      <c r="A52" s="15" t="s">
        <v>78</v>
      </c>
      <c r="B52" s="18" t="s">
        <v>79</v>
      </c>
      <c r="C52" s="192"/>
      <c r="D52" s="155"/>
      <c r="E52" s="126">
        <f t="shared" si="2"/>
        <v>0</v>
      </c>
      <c r="F52" s="87"/>
      <c r="G52" s="92"/>
      <c r="H52" s="92"/>
      <c r="I52" s="83">
        <f t="shared" si="1"/>
        <v>0</v>
      </c>
      <c r="J52" s="83">
        <f t="shared" si="1"/>
        <v>0</v>
      </c>
    </row>
    <row r="53" spans="1:10" s="23" customFormat="1" ht="15.75">
      <c r="A53" s="19">
        <v>4.0999999999999996</v>
      </c>
      <c r="B53" s="18" t="s">
        <v>73</v>
      </c>
      <c r="C53" s="192"/>
      <c r="D53" s="155"/>
      <c r="E53" s="126">
        <f t="shared" si="2"/>
        <v>0</v>
      </c>
      <c r="F53" s="87" t="s">
        <v>9</v>
      </c>
      <c r="G53" s="88"/>
      <c r="H53" s="88"/>
      <c r="I53" s="83">
        <f t="shared" si="1"/>
        <v>0</v>
      </c>
      <c r="J53" s="83">
        <f t="shared" si="1"/>
        <v>0</v>
      </c>
    </row>
    <row r="54" spans="1:10" s="23" customFormat="1" ht="15.75">
      <c r="A54" s="19">
        <v>4.2</v>
      </c>
      <c r="B54" s="18" t="s">
        <v>27</v>
      </c>
      <c r="C54" s="192"/>
      <c r="D54" s="155"/>
      <c r="E54" s="126">
        <f t="shared" si="2"/>
        <v>0</v>
      </c>
      <c r="F54" s="87" t="s">
        <v>9</v>
      </c>
      <c r="G54" s="88"/>
      <c r="H54" s="88"/>
      <c r="I54" s="83">
        <f t="shared" si="1"/>
        <v>0</v>
      </c>
      <c r="J54" s="83">
        <f t="shared" si="1"/>
        <v>0</v>
      </c>
    </row>
    <row r="55" spans="1:10" s="23" customFormat="1" ht="15.75">
      <c r="A55" s="19">
        <v>4.3</v>
      </c>
      <c r="B55" s="24" t="s">
        <v>77</v>
      </c>
      <c r="C55" s="194"/>
      <c r="D55" s="158"/>
      <c r="E55" s="126">
        <f t="shared" si="2"/>
        <v>0</v>
      </c>
      <c r="F55" s="87" t="s">
        <v>9</v>
      </c>
      <c r="G55" s="88"/>
      <c r="H55" s="88"/>
      <c r="I55" s="83">
        <f t="shared" si="1"/>
        <v>0</v>
      </c>
      <c r="J55" s="83">
        <f t="shared" si="1"/>
        <v>0</v>
      </c>
    </row>
    <row r="56" spans="1:10" s="23" customFormat="1" ht="15.75">
      <c r="A56" s="19">
        <v>4.4000000000000004</v>
      </c>
      <c r="B56" s="24" t="s">
        <v>74</v>
      </c>
      <c r="C56" s="194"/>
      <c r="D56" s="158"/>
      <c r="E56" s="126">
        <f t="shared" si="2"/>
        <v>0</v>
      </c>
      <c r="F56" s="87" t="s">
        <v>9</v>
      </c>
      <c r="G56" s="88"/>
      <c r="H56" s="88"/>
      <c r="I56" s="83">
        <f t="shared" si="1"/>
        <v>0</v>
      </c>
      <c r="J56" s="83">
        <f t="shared" si="1"/>
        <v>0</v>
      </c>
    </row>
    <row r="57" spans="1:10" s="23" customFormat="1" ht="15.75">
      <c r="A57" s="19">
        <v>4.5</v>
      </c>
      <c r="B57" s="24" t="s">
        <v>26</v>
      </c>
      <c r="C57" s="194"/>
      <c r="D57" s="158"/>
      <c r="E57" s="126">
        <f t="shared" si="2"/>
        <v>0</v>
      </c>
      <c r="F57" s="87" t="s">
        <v>9</v>
      </c>
      <c r="G57" s="88"/>
      <c r="H57" s="88"/>
      <c r="I57" s="83">
        <f t="shared" si="1"/>
        <v>0</v>
      </c>
      <c r="J57" s="83">
        <f t="shared" si="1"/>
        <v>0</v>
      </c>
    </row>
    <row r="58" spans="1:10" s="23" customFormat="1" ht="12.75" customHeight="1">
      <c r="A58" s="19"/>
      <c r="B58" s="18"/>
      <c r="C58" s="192"/>
      <c r="D58" s="155"/>
      <c r="E58" s="126">
        <f t="shared" si="2"/>
        <v>0</v>
      </c>
      <c r="F58" s="87"/>
      <c r="G58" s="92"/>
      <c r="H58" s="92"/>
      <c r="I58" s="83">
        <f t="shared" si="1"/>
        <v>0</v>
      </c>
      <c r="J58" s="83">
        <f t="shared" si="1"/>
        <v>0</v>
      </c>
    </row>
    <row r="59" spans="1:10" s="23" customFormat="1" ht="31.5">
      <c r="A59" s="15" t="s">
        <v>80</v>
      </c>
      <c r="B59" s="18" t="s">
        <v>81</v>
      </c>
      <c r="C59" s="192"/>
      <c r="D59" s="155"/>
      <c r="E59" s="126">
        <f t="shared" si="2"/>
        <v>0</v>
      </c>
      <c r="F59" s="87"/>
      <c r="G59" s="92"/>
      <c r="H59" s="92"/>
      <c r="I59" s="83">
        <f t="shared" si="1"/>
        <v>0</v>
      </c>
      <c r="J59" s="83">
        <f t="shared" si="1"/>
        <v>0</v>
      </c>
    </row>
    <row r="60" spans="1:10" s="23" customFormat="1" ht="15.75">
      <c r="A60" s="19">
        <v>5.0999999999999996</v>
      </c>
      <c r="B60" s="18" t="s">
        <v>27</v>
      </c>
      <c r="C60" s="192"/>
      <c r="D60" s="155"/>
      <c r="E60" s="126">
        <f t="shared" si="2"/>
        <v>0</v>
      </c>
      <c r="F60" s="87" t="s">
        <v>9</v>
      </c>
      <c r="G60" s="88"/>
      <c r="H60" s="88"/>
      <c r="I60" s="83">
        <f t="shared" si="1"/>
        <v>0</v>
      </c>
      <c r="J60" s="83">
        <f t="shared" si="1"/>
        <v>0</v>
      </c>
    </row>
    <row r="61" spans="1:10" s="23" customFormat="1" ht="15.75">
      <c r="A61" s="19">
        <v>5.2</v>
      </c>
      <c r="B61" s="18" t="s">
        <v>77</v>
      </c>
      <c r="C61" s="192"/>
      <c r="D61" s="155"/>
      <c r="E61" s="126">
        <f t="shared" si="2"/>
        <v>0</v>
      </c>
      <c r="F61" s="87" t="s">
        <v>9</v>
      </c>
      <c r="G61" s="88"/>
      <c r="H61" s="88"/>
      <c r="I61" s="83">
        <f t="shared" si="1"/>
        <v>0</v>
      </c>
      <c r="J61" s="83">
        <f t="shared" si="1"/>
        <v>0</v>
      </c>
    </row>
    <row r="62" spans="1:10" s="23" customFormat="1" ht="15.75">
      <c r="A62" s="19">
        <v>5.3</v>
      </c>
      <c r="B62" s="18" t="s">
        <v>74</v>
      </c>
      <c r="C62" s="192"/>
      <c r="D62" s="155"/>
      <c r="E62" s="126">
        <f t="shared" si="2"/>
        <v>0</v>
      </c>
      <c r="F62" s="87" t="s">
        <v>9</v>
      </c>
      <c r="G62" s="88"/>
      <c r="H62" s="88"/>
      <c r="I62" s="83">
        <f t="shared" si="1"/>
        <v>0</v>
      </c>
      <c r="J62" s="83">
        <f t="shared" si="1"/>
        <v>0</v>
      </c>
    </row>
    <row r="63" spans="1:10" s="23" customFormat="1" ht="15.75">
      <c r="A63" s="19">
        <v>5.4</v>
      </c>
      <c r="B63" s="18" t="s">
        <v>26</v>
      </c>
      <c r="C63" s="192"/>
      <c r="D63" s="155"/>
      <c r="E63" s="126">
        <f t="shared" si="2"/>
        <v>0</v>
      </c>
      <c r="F63" s="87" t="s">
        <v>9</v>
      </c>
      <c r="G63" s="88"/>
      <c r="H63" s="88"/>
      <c r="I63" s="83">
        <f t="shared" si="1"/>
        <v>0</v>
      </c>
      <c r="J63" s="83">
        <f t="shared" si="1"/>
        <v>0</v>
      </c>
    </row>
    <row r="64" spans="1:10" ht="15.75">
      <c r="A64" s="19"/>
      <c r="B64" s="18"/>
      <c r="C64" s="192"/>
      <c r="D64" s="155"/>
      <c r="E64" s="126">
        <f t="shared" si="2"/>
        <v>0</v>
      </c>
      <c r="F64" s="87"/>
      <c r="G64" s="88"/>
      <c r="H64" s="88"/>
      <c r="I64" s="83">
        <f t="shared" si="1"/>
        <v>0</v>
      </c>
      <c r="J64" s="83">
        <f t="shared" si="1"/>
        <v>0</v>
      </c>
    </row>
    <row r="65" spans="1:11" ht="12.75" customHeight="1">
      <c r="A65" s="19"/>
      <c r="B65" s="18"/>
      <c r="C65" s="192"/>
      <c r="D65" s="155"/>
      <c r="E65" s="126">
        <f t="shared" si="2"/>
        <v>0</v>
      </c>
      <c r="F65" s="87"/>
      <c r="G65" s="92"/>
      <c r="H65" s="92"/>
      <c r="I65" s="83">
        <f t="shared" si="1"/>
        <v>0</v>
      </c>
      <c r="J65" s="83">
        <f t="shared" si="1"/>
        <v>0</v>
      </c>
    </row>
    <row r="66" spans="1:11" ht="31.5">
      <c r="A66" s="15" t="s">
        <v>82</v>
      </c>
      <c r="B66" s="18" t="s">
        <v>83</v>
      </c>
      <c r="C66" s="192"/>
      <c r="D66" s="155"/>
      <c r="E66" s="126">
        <f t="shared" si="2"/>
        <v>0</v>
      </c>
      <c r="F66" s="87"/>
      <c r="G66" s="92"/>
      <c r="H66" s="92"/>
      <c r="I66" s="83">
        <f t="shared" si="1"/>
        <v>0</v>
      </c>
      <c r="J66" s="83">
        <f t="shared" si="1"/>
        <v>0</v>
      </c>
    </row>
    <row r="67" spans="1:11" ht="15.75">
      <c r="A67" s="19">
        <v>6.1</v>
      </c>
      <c r="B67" s="18" t="s">
        <v>73</v>
      </c>
      <c r="C67" s="192"/>
      <c r="D67" s="155"/>
      <c r="E67" s="126">
        <f t="shared" si="2"/>
        <v>0</v>
      </c>
      <c r="F67" s="87" t="s">
        <v>9</v>
      </c>
      <c r="G67" s="88"/>
      <c r="H67" s="88"/>
      <c r="I67" s="83">
        <f t="shared" si="1"/>
        <v>0</v>
      </c>
      <c r="J67" s="83">
        <f t="shared" si="1"/>
        <v>0</v>
      </c>
    </row>
    <row r="68" spans="1:11" ht="15.75">
      <c r="A68" s="19">
        <v>6.2</v>
      </c>
      <c r="B68" s="18" t="s">
        <v>27</v>
      </c>
      <c r="C68" s="192"/>
      <c r="D68" s="155"/>
      <c r="E68" s="126">
        <f t="shared" si="2"/>
        <v>0</v>
      </c>
      <c r="F68" s="87" t="s">
        <v>9</v>
      </c>
      <c r="G68" s="88"/>
      <c r="H68" s="88"/>
      <c r="I68" s="83">
        <f t="shared" si="1"/>
        <v>0</v>
      </c>
      <c r="J68" s="83">
        <f t="shared" si="1"/>
        <v>0</v>
      </c>
    </row>
    <row r="69" spans="1:11" ht="15.75">
      <c r="A69" s="19">
        <v>6.3</v>
      </c>
      <c r="B69" s="18" t="s">
        <v>74</v>
      </c>
      <c r="C69" s="192"/>
      <c r="D69" s="155"/>
      <c r="E69" s="126">
        <f t="shared" si="2"/>
        <v>0</v>
      </c>
      <c r="F69" s="87" t="s">
        <v>9</v>
      </c>
      <c r="G69" s="88"/>
      <c r="H69" s="88"/>
      <c r="I69" s="83">
        <f t="shared" si="1"/>
        <v>0</v>
      </c>
      <c r="J69" s="83">
        <f t="shared" si="1"/>
        <v>0</v>
      </c>
    </row>
    <row r="70" spans="1:11" ht="15.75">
      <c r="A70" s="19">
        <v>6.4</v>
      </c>
      <c r="B70" s="18" t="s">
        <v>26</v>
      </c>
      <c r="C70" s="192"/>
      <c r="D70" s="155"/>
      <c r="E70" s="126">
        <f t="shared" si="2"/>
        <v>0</v>
      </c>
      <c r="F70" s="87" t="s">
        <v>9</v>
      </c>
      <c r="G70" s="88"/>
      <c r="H70" s="88"/>
      <c r="I70" s="83">
        <f t="shared" si="1"/>
        <v>0</v>
      </c>
      <c r="J70" s="83">
        <f t="shared" si="1"/>
        <v>0</v>
      </c>
    </row>
    <row r="71" spans="1:11" ht="15.75">
      <c r="A71" s="19"/>
      <c r="B71" s="18"/>
      <c r="C71" s="192"/>
      <c r="D71" s="155"/>
      <c r="E71" s="126">
        <f t="shared" si="2"/>
        <v>0</v>
      </c>
      <c r="F71" s="87"/>
      <c r="G71" s="88"/>
      <c r="H71" s="88"/>
      <c r="I71" s="83">
        <f t="shared" si="1"/>
        <v>0</v>
      </c>
      <c r="J71" s="83">
        <f t="shared" si="1"/>
        <v>0</v>
      </c>
    </row>
    <row r="72" spans="1:11" ht="12.75" customHeight="1">
      <c r="A72" s="19"/>
      <c r="B72" s="18"/>
      <c r="C72" s="192"/>
      <c r="D72" s="155"/>
      <c r="E72" s="126">
        <f t="shared" si="2"/>
        <v>0</v>
      </c>
      <c r="F72" s="85"/>
      <c r="G72" s="91"/>
      <c r="H72" s="91"/>
      <c r="I72" s="83">
        <f t="shared" si="1"/>
        <v>0</v>
      </c>
      <c r="J72" s="83">
        <f t="shared" si="1"/>
        <v>0</v>
      </c>
    </row>
    <row r="73" spans="1:11" s="28" customFormat="1" ht="15.75">
      <c r="A73" s="25"/>
      <c r="B73" s="26" t="s">
        <v>84</v>
      </c>
      <c r="C73" s="195"/>
      <c r="D73" s="159"/>
      <c r="E73" s="102"/>
      <c r="F73" s="102"/>
      <c r="G73" s="95"/>
      <c r="H73" s="95"/>
      <c r="I73" s="96">
        <f>SUM(I5:I72)</f>
        <v>0</v>
      </c>
      <c r="J73" s="96">
        <f>SUM(J5:J72)</f>
        <v>0</v>
      </c>
      <c r="K73" s="27"/>
    </row>
    <row r="74" spans="1:11" ht="26.25" customHeight="1">
      <c r="A74" s="29"/>
      <c r="B74" s="29"/>
      <c r="C74" s="196"/>
      <c r="D74" s="160"/>
      <c r="E74" s="126"/>
      <c r="F74" s="85"/>
      <c r="G74" s="91"/>
      <c r="H74" s="91"/>
      <c r="I74" s="91"/>
      <c r="J74" s="91"/>
    </row>
    <row r="75" spans="1:11" ht="12.75" customHeight="1">
      <c r="A75" s="12" t="s">
        <v>13</v>
      </c>
      <c r="B75" s="13" t="s">
        <v>37</v>
      </c>
      <c r="C75" s="197"/>
      <c r="D75" s="161"/>
      <c r="E75" s="126">
        <f t="shared" ref="E75:E138" si="3">C75+D75</f>
        <v>0</v>
      </c>
      <c r="F75" s="89"/>
      <c r="G75" s="89"/>
      <c r="H75" s="89"/>
      <c r="I75" s="89"/>
      <c r="J75" s="89"/>
    </row>
    <row r="76" spans="1:11" ht="12.75" customHeight="1">
      <c r="A76" s="12"/>
      <c r="B76" s="13"/>
      <c r="C76" s="197"/>
      <c r="D76" s="161"/>
      <c r="E76" s="126">
        <f t="shared" si="3"/>
        <v>0</v>
      </c>
      <c r="F76" s="89"/>
      <c r="G76" s="89"/>
      <c r="H76" s="89"/>
      <c r="I76" s="89"/>
      <c r="J76" s="89"/>
    </row>
    <row r="77" spans="1:11" ht="15.75">
      <c r="A77" s="15" t="s">
        <v>1</v>
      </c>
      <c r="B77" s="30" t="s">
        <v>85</v>
      </c>
      <c r="C77" s="191"/>
      <c r="D77" s="154"/>
      <c r="E77" s="126">
        <f t="shared" si="3"/>
        <v>0</v>
      </c>
      <c r="F77" s="87"/>
      <c r="G77" s="97"/>
      <c r="H77" s="98"/>
      <c r="I77" s="87"/>
      <c r="J77" s="87"/>
    </row>
    <row r="78" spans="1:11" ht="97.15" customHeight="1">
      <c r="A78" s="31"/>
      <c r="B78" s="32" t="s">
        <v>86</v>
      </c>
      <c r="C78" s="198"/>
      <c r="D78" s="162"/>
      <c r="E78" s="126">
        <f t="shared" si="3"/>
        <v>0</v>
      </c>
      <c r="F78" s="87"/>
      <c r="G78" s="97"/>
      <c r="H78" s="98"/>
      <c r="I78" s="87"/>
      <c r="J78" s="87"/>
    </row>
    <row r="79" spans="1:11" ht="62.25" customHeight="1">
      <c r="A79" s="31"/>
      <c r="B79" s="32" t="s">
        <v>87</v>
      </c>
      <c r="C79" s="198"/>
      <c r="D79" s="162"/>
      <c r="E79" s="126">
        <f t="shared" si="3"/>
        <v>0</v>
      </c>
      <c r="F79" s="89"/>
      <c r="G79" s="97"/>
      <c r="H79" s="98"/>
      <c r="I79" s="87"/>
      <c r="J79" s="87"/>
    </row>
    <row r="80" spans="1:11" ht="37.5" customHeight="1">
      <c r="A80" s="136"/>
      <c r="B80" s="137" t="s">
        <v>345</v>
      </c>
      <c r="C80" s="198"/>
      <c r="D80" s="162"/>
      <c r="E80" s="126">
        <f t="shared" si="3"/>
        <v>0</v>
      </c>
      <c r="F80" s="117"/>
      <c r="G80" s="140"/>
      <c r="H80" s="114"/>
      <c r="I80" s="138"/>
      <c r="J80" s="138"/>
    </row>
    <row r="81" spans="1:10" s="23" customFormat="1" ht="31.5">
      <c r="A81" s="31"/>
      <c r="B81" s="32" t="s">
        <v>88</v>
      </c>
      <c r="C81" s="198"/>
      <c r="D81" s="162"/>
      <c r="E81" s="126">
        <f t="shared" si="3"/>
        <v>0</v>
      </c>
      <c r="F81" s="89"/>
      <c r="G81" s="97"/>
      <c r="H81" s="98"/>
      <c r="I81" s="87"/>
      <c r="J81" s="87"/>
    </row>
    <row r="82" spans="1:10" s="23" customFormat="1" ht="150.75" customHeight="1">
      <c r="A82" s="31"/>
      <c r="B82" s="32" t="s">
        <v>89</v>
      </c>
      <c r="C82" s="198"/>
      <c r="D82" s="162"/>
      <c r="E82" s="126">
        <f t="shared" si="3"/>
        <v>0</v>
      </c>
      <c r="F82" s="87"/>
      <c r="G82" s="97"/>
      <c r="H82" s="98"/>
      <c r="I82" s="83">
        <f t="shared" ref="I82:J98" si="4">+N($E82)*N(G82)</f>
        <v>0</v>
      </c>
      <c r="J82" s="83">
        <f t="shared" si="4"/>
        <v>0</v>
      </c>
    </row>
    <row r="83" spans="1:10" s="23" customFormat="1" ht="20.45" customHeight="1">
      <c r="A83" s="31">
        <v>1.1000000000000001</v>
      </c>
      <c r="B83" s="32" t="s">
        <v>90</v>
      </c>
      <c r="C83" s="198">
        <v>65</v>
      </c>
      <c r="D83" s="198">
        <v>40</v>
      </c>
      <c r="E83" s="126">
        <f t="shared" si="3"/>
        <v>105</v>
      </c>
      <c r="F83" s="87" t="s">
        <v>7</v>
      </c>
      <c r="G83" s="88"/>
      <c r="H83" s="88"/>
      <c r="I83" s="83">
        <f t="shared" si="4"/>
        <v>0</v>
      </c>
      <c r="J83" s="83">
        <f t="shared" si="4"/>
        <v>0</v>
      </c>
    </row>
    <row r="84" spans="1:10" s="23" customFormat="1" ht="20.45" customHeight="1">
      <c r="A84" s="31">
        <v>1.2</v>
      </c>
      <c r="B84" s="32" t="s">
        <v>91</v>
      </c>
      <c r="C84" s="198">
        <v>65</v>
      </c>
      <c r="D84" s="198">
        <v>40</v>
      </c>
      <c r="E84" s="126">
        <f t="shared" si="3"/>
        <v>105</v>
      </c>
      <c r="F84" s="87" t="s">
        <v>7</v>
      </c>
      <c r="G84" s="88"/>
      <c r="H84" s="88"/>
      <c r="I84" s="83">
        <f t="shared" si="4"/>
        <v>0</v>
      </c>
      <c r="J84" s="83">
        <f t="shared" si="4"/>
        <v>0</v>
      </c>
    </row>
    <row r="85" spans="1:10" s="23" customFormat="1" ht="25.5" customHeight="1">
      <c r="A85" s="31">
        <v>1.3</v>
      </c>
      <c r="B85" s="32" t="s">
        <v>92</v>
      </c>
      <c r="C85" s="198">
        <v>90</v>
      </c>
      <c r="D85" s="198">
        <v>25</v>
      </c>
      <c r="E85" s="126">
        <f t="shared" si="3"/>
        <v>115</v>
      </c>
      <c r="F85" s="87" t="s">
        <v>7</v>
      </c>
      <c r="G85" s="88"/>
      <c r="H85" s="88"/>
      <c r="I85" s="83">
        <f t="shared" si="4"/>
        <v>0</v>
      </c>
      <c r="J85" s="83">
        <f t="shared" si="4"/>
        <v>0</v>
      </c>
    </row>
    <row r="86" spans="1:10" s="23" customFormat="1" ht="12.6" customHeight="1">
      <c r="A86" s="136"/>
      <c r="B86" s="137"/>
      <c r="C86" s="198"/>
      <c r="D86" s="162"/>
      <c r="E86" s="126">
        <f t="shared" si="3"/>
        <v>0</v>
      </c>
      <c r="F86" s="138"/>
      <c r="G86" s="135"/>
      <c r="H86" s="135"/>
      <c r="I86" s="134"/>
      <c r="J86" s="134"/>
    </row>
    <row r="87" spans="1:10" s="23" customFormat="1" ht="12.75" customHeight="1">
      <c r="A87" s="31"/>
      <c r="B87" s="34"/>
      <c r="C87" s="192"/>
      <c r="D87" s="163"/>
      <c r="E87" s="126">
        <f t="shared" si="3"/>
        <v>0</v>
      </c>
      <c r="F87" s="87"/>
      <c r="G87" s="92"/>
      <c r="H87" s="92"/>
      <c r="I87" s="83">
        <f t="shared" si="4"/>
        <v>0</v>
      </c>
      <c r="J87" s="83">
        <f t="shared" si="4"/>
        <v>0</v>
      </c>
    </row>
    <row r="88" spans="1:10" s="23" customFormat="1" ht="81.75" customHeight="1">
      <c r="A88" s="15" t="s">
        <v>93</v>
      </c>
      <c r="B88" s="32" t="s">
        <v>94</v>
      </c>
      <c r="C88" s="225">
        <v>350</v>
      </c>
      <c r="D88" s="225">
        <v>25</v>
      </c>
      <c r="E88" s="126">
        <f t="shared" si="3"/>
        <v>375</v>
      </c>
      <c r="F88" s="87" t="s">
        <v>7</v>
      </c>
      <c r="G88" s="88"/>
      <c r="H88" s="88"/>
      <c r="I88" s="83">
        <f t="shared" si="4"/>
        <v>0</v>
      </c>
      <c r="J88" s="83">
        <f t="shared" si="4"/>
        <v>0</v>
      </c>
    </row>
    <row r="89" spans="1:10" s="23" customFormat="1" ht="12.75" customHeight="1">
      <c r="A89" s="12"/>
      <c r="B89" s="13"/>
      <c r="C89" s="197"/>
      <c r="D89" s="197"/>
      <c r="E89" s="126">
        <f t="shared" si="3"/>
        <v>0</v>
      </c>
      <c r="F89" s="89"/>
      <c r="G89" s="89"/>
      <c r="H89" s="89"/>
      <c r="I89" s="83">
        <f t="shared" si="4"/>
        <v>0</v>
      </c>
      <c r="J89" s="83">
        <f t="shared" si="4"/>
        <v>0</v>
      </c>
    </row>
    <row r="90" spans="1:10" s="23" customFormat="1" ht="15.75">
      <c r="A90" s="15" t="s">
        <v>75</v>
      </c>
      <c r="B90" s="35" t="s">
        <v>95</v>
      </c>
      <c r="C90" s="191"/>
      <c r="D90" s="191"/>
      <c r="E90" s="126">
        <f t="shared" si="3"/>
        <v>0</v>
      </c>
      <c r="F90" s="87"/>
      <c r="G90" s="92"/>
      <c r="H90" s="87"/>
      <c r="I90" s="83">
        <f t="shared" si="4"/>
        <v>0</v>
      </c>
      <c r="J90" s="83">
        <f t="shared" si="4"/>
        <v>0</v>
      </c>
    </row>
    <row r="91" spans="1:10" s="23" customFormat="1" ht="107.25" customHeight="1">
      <c r="A91" s="36"/>
      <c r="B91" s="32" t="s">
        <v>96</v>
      </c>
      <c r="C91" s="198"/>
      <c r="D91" s="198"/>
      <c r="E91" s="126">
        <f t="shared" si="3"/>
        <v>0</v>
      </c>
      <c r="F91" s="87"/>
      <c r="G91" s="92"/>
      <c r="H91" s="87"/>
      <c r="I91" s="83">
        <f t="shared" si="4"/>
        <v>0</v>
      </c>
      <c r="J91" s="83">
        <f t="shared" si="4"/>
        <v>0</v>
      </c>
    </row>
    <row r="92" spans="1:10" s="23" customFormat="1" ht="47.25">
      <c r="A92" s="36"/>
      <c r="B92" s="32" t="s">
        <v>97</v>
      </c>
      <c r="C92" s="198"/>
      <c r="D92" s="198"/>
      <c r="E92" s="126">
        <f t="shared" si="3"/>
        <v>0</v>
      </c>
      <c r="F92" s="87"/>
      <c r="G92" s="92"/>
      <c r="H92" s="87"/>
      <c r="I92" s="83">
        <f t="shared" si="4"/>
        <v>0</v>
      </c>
      <c r="J92" s="83">
        <f t="shared" si="4"/>
        <v>0</v>
      </c>
    </row>
    <row r="93" spans="1:10" s="23" customFormat="1" ht="15.75">
      <c r="A93" s="36">
        <v>3.1</v>
      </c>
      <c r="B93" s="32" t="s">
        <v>98</v>
      </c>
      <c r="C93" s="198">
        <v>150</v>
      </c>
      <c r="D93" s="198">
        <v>25</v>
      </c>
      <c r="E93" s="126">
        <f t="shared" si="3"/>
        <v>175</v>
      </c>
      <c r="F93" s="87" t="s">
        <v>99</v>
      </c>
      <c r="G93" s="88"/>
      <c r="H93" s="88"/>
      <c r="I93" s="83">
        <f t="shared" si="4"/>
        <v>0</v>
      </c>
      <c r="J93" s="83">
        <f t="shared" si="4"/>
        <v>0</v>
      </c>
    </row>
    <row r="94" spans="1:10" s="23" customFormat="1" ht="15.75">
      <c r="A94" s="36">
        <v>3.2</v>
      </c>
      <c r="B94" s="32" t="s">
        <v>100</v>
      </c>
      <c r="C94" s="198">
        <v>150</v>
      </c>
      <c r="D94" s="198"/>
      <c r="E94" s="126">
        <f t="shared" si="3"/>
        <v>150</v>
      </c>
      <c r="F94" s="87" t="s">
        <v>99</v>
      </c>
      <c r="G94" s="88"/>
      <c r="H94" s="88"/>
      <c r="I94" s="83">
        <f t="shared" si="4"/>
        <v>0</v>
      </c>
      <c r="J94" s="83">
        <f t="shared" si="4"/>
        <v>0</v>
      </c>
    </row>
    <row r="95" spans="1:10" s="23" customFormat="1" ht="15.75">
      <c r="A95" s="36">
        <v>3.3</v>
      </c>
      <c r="B95" s="32" t="s">
        <v>101</v>
      </c>
      <c r="C95" s="198">
        <v>50</v>
      </c>
      <c r="D95" s="198"/>
      <c r="E95" s="126">
        <f t="shared" si="3"/>
        <v>50</v>
      </c>
      <c r="F95" s="87" t="s">
        <v>99</v>
      </c>
      <c r="G95" s="88"/>
      <c r="H95" s="88"/>
      <c r="I95" s="83">
        <f t="shared" si="4"/>
        <v>0</v>
      </c>
      <c r="J95" s="83">
        <f t="shared" si="4"/>
        <v>0</v>
      </c>
    </row>
    <row r="96" spans="1:10" s="23" customFormat="1" ht="12.75" customHeight="1">
      <c r="A96" s="12"/>
      <c r="B96" s="32"/>
      <c r="C96" s="198"/>
      <c r="D96" s="162"/>
      <c r="E96" s="126">
        <f t="shared" si="3"/>
        <v>0</v>
      </c>
      <c r="F96" s="89"/>
      <c r="G96" s="89"/>
      <c r="H96" s="89"/>
      <c r="I96" s="83">
        <f t="shared" si="4"/>
        <v>0</v>
      </c>
      <c r="J96" s="83">
        <f t="shared" si="4"/>
        <v>0</v>
      </c>
    </row>
    <row r="97" spans="1:10" s="23" customFormat="1" ht="126">
      <c r="A97" s="15">
        <v>4</v>
      </c>
      <c r="B97" s="37" t="s">
        <v>102</v>
      </c>
      <c r="C97" s="198">
        <v>50</v>
      </c>
      <c r="D97" s="164"/>
      <c r="E97" s="126">
        <f t="shared" si="3"/>
        <v>50</v>
      </c>
      <c r="F97" s="87" t="s">
        <v>7</v>
      </c>
      <c r="G97" s="88"/>
      <c r="H97" s="88"/>
      <c r="I97" s="83">
        <f t="shared" si="4"/>
        <v>0</v>
      </c>
      <c r="J97" s="83">
        <f t="shared" si="4"/>
        <v>0</v>
      </c>
    </row>
    <row r="98" spans="1:10" s="23" customFormat="1" ht="12.75" customHeight="1">
      <c r="A98" s="31"/>
      <c r="B98" s="22"/>
      <c r="C98" s="193"/>
      <c r="D98" s="157"/>
      <c r="E98" s="126">
        <f t="shared" si="3"/>
        <v>0</v>
      </c>
      <c r="F98" s="87"/>
      <c r="G98" s="97"/>
      <c r="H98" s="98"/>
      <c r="I98" s="83">
        <f t="shared" si="4"/>
        <v>0</v>
      </c>
      <c r="J98" s="83">
        <f t="shared" si="4"/>
        <v>0</v>
      </c>
    </row>
    <row r="99" spans="1:10" s="23" customFormat="1" ht="15.75">
      <c r="A99" s="15" t="s">
        <v>80</v>
      </c>
      <c r="B99" s="16" t="s">
        <v>103</v>
      </c>
      <c r="C99" s="192">
        <v>23</v>
      </c>
      <c r="D99" s="192">
        <v>8</v>
      </c>
      <c r="E99" s="126"/>
      <c r="F99" s="87" t="s">
        <v>7</v>
      </c>
      <c r="G99" s="88"/>
      <c r="H99" s="88"/>
      <c r="I99" s="83">
        <f t="shared" ref="I99:J131" si="5">+N($E99)*N(G99)</f>
        <v>0</v>
      </c>
      <c r="J99" s="83">
        <f t="shared" si="5"/>
        <v>0</v>
      </c>
    </row>
    <row r="100" spans="1:10" s="23" customFormat="1" ht="47.25">
      <c r="A100" s="31"/>
      <c r="B100" s="34" t="s">
        <v>104</v>
      </c>
      <c r="C100" s="192"/>
      <c r="D100" s="163"/>
      <c r="E100" s="126">
        <f t="shared" si="3"/>
        <v>0</v>
      </c>
      <c r="F100" s="87"/>
      <c r="G100" s="97"/>
      <c r="H100" s="98"/>
      <c r="I100" s="83">
        <f t="shared" si="5"/>
        <v>0</v>
      </c>
      <c r="J100" s="83">
        <f t="shared" si="5"/>
        <v>0</v>
      </c>
    </row>
    <row r="101" spans="1:10" s="23" customFormat="1" ht="47.25">
      <c r="A101" s="31"/>
      <c r="B101" s="34" t="s">
        <v>105</v>
      </c>
      <c r="C101" s="192"/>
      <c r="D101" s="163"/>
      <c r="E101" s="126">
        <f t="shared" si="3"/>
        <v>0</v>
      </c>
      <c r="F101" s="87"/>
      <c r="G101" s="97"/>
      <c r="H101" s="98"/>
      <c r="I101" s="83">
        <f t="shared" si="5"/>
        <v>0</v>
      </c>
      <c r="J101" s="83">
        <f t="shared" si="5"/>
        <v>0</v>
      </c>
    </row>
    <row r="102" spans="1:10" s="23" customFormat="1" ht="47.25">
      <c r="A102" s="31"/>
      <c r="B102" s="34" t="s">
        <v>106</v>
      </c>
      <c r="C102" s="192"/>
      <c r="D102" s="163"/>
      <c r="E102" s="126">
        <f t="shared" si="3"/>
        <v>0</v>
      </c>
      <c r="F102" s="87"/>
      <c r="G102" s="97"/>
      <c r="H102" s="98"/>
      <c r="I102" s="83">
        <f t="shared" si="5"/>
        <v>0</v>
      </c>
      <c r="J102" s="83">
        <f t="shared" si="5"/>
        <v>0</v>
      </c>
    </row>
    <row r="103" spans="1:10" s="23" customFormat="1" ht="78.75">
      <c r="A103" s="31"/>
      <c r="B103" s="34" t="s">
        <v>107</v>
      </c>
      <c r="C103" s="192"/>
      <c r="D103" s="163"/>
      <c r="E103" s="126">
        <f t="shared" si="3"/>
        <v>0</v>
      </c>
      <c r="F103" s="87"/>
      <c r="G103" s="97"/>
      <c r="H103" s="98"/>
      <c r="I103" s="83">
        <f t="shared" si="5"/>
        <v>0</v>
      </c>
      <c r="J103" s="83">
        <f t="shared" si="5"/>
        <v>0</v>
      </c>
    </row>
    <row r="104" spans="1:10" s="23" customFormat="1" ht="12.75" customHeight="1">
      <c r="A104" s="31"/>
      <c r="B104" s="34"/>
      <c r="C104" s="192"/>
      <c r="D104" s="163"/>
      <c r="E104" s="126">
        <f t="shared" si="3"/>
        <v>0</v>
      </c>
      <c r="F104" s="87"/>
      <c r="G104" s="97"/>
      <c r="H104" s="98"/>
      <c r="I104" s="83">
        <f t="shared" si="5"/>
        <v>0</v>
      </c>
      <c r="J104" s="83">
        <f t="shared" si="5"/>
        <v>0</v>
      </c>
    </row>
    <row r="105" spans="1:10" s="23" customFormat="1" ht="143.25" customHeight="1">
      <c r="A105" s="12">
        <v>6</v>
      </c>
      <c r="B105" s="34" t="s">
        <v>108</v>
      </c>
      <c r="C105" s="192">
        <v>4</v>
      </c>
      <c r="D105" s="192">
        <v>1</v>
      </c>
      <c r="E105" s="126">
        <f t="shared" si="3"/>
        <v>5</v>
      </c>
      <c r="F105" s="87" t="s">
        <v>7</v>
      </c>
      <c r="G105" s="88"/>
      <c r="H105" s="88"/>
      <c r="I105" s="83">
        <f t="shared" si="5"/>
        <v>0</v>
      </c>
      <c r="J105" s="83">
        <f t="shared" si="5"/>
        <v>0</v>
      </c>
    </row>
    <row r="106" spans="1:10" s="23" customFormat="1" ht="12.75" customHeight="1">
      <c r="A106" s="31"/>
      <c r="B106" s="22"/>
      <c r="C106" s="193"/>
      <c r="D106" s="157"/>
      <c r="E106" s="126">
        <f t="shared" si="3"/>
        <v>0</v>
      </c>
      <c r="F106" s="87"/>
      <c r="G106" s="97"/>
      <c r="H106" s="98"/>
      <c r="I106" s="83">
        <f t="shared" si="5"/>
        <v>0</v>
      </c>
      <c r="J106" s="83">
        <f t="shared" si="5"/>
        <v>0</v>
      </c>
    </row>
    <row r="107" spans="1:10" s="23" customFormat="1" ht="19.5" customHeight="1">
      <c r="A107" s="12">
        <v>7</v>
      </c>
      <c r="B107" s="38" t="s">
        <v>109</v>
      </c>
      <c r="C107" s="199"/>
      <c r="D107" s="165"/>
      <c r="E107" s="126">
        <f t="shared" si="3"/>
        <v>0</v>
      </c>
      <c r="F107" s="87"/>
      <c r="G107" s="92"/>
      <c r="H107" s="97"/>
      <c r="I107" s="83">
        <f t="shared" si="5"/>
        <v>0</v>
      </c>
      <c r="J107" s="83">
        <f t="shared" si="5"/>
        <v>0</v>
      </c>
    </row>
    <row r="108" spans="1:10" s="23" customFormat="1" ht="94.5">
      <c r="A108" s="139" t="s">
        <v>351</v>
      </c>
      <c r="B108" s="185" t="s">
        <v>346</v>
      </c>
      <c r="C108" s="221">
        <v>8</v>
      </c>
      <c r="D108" s="221">
        <v>2</v>
      </c>
      <c r="E108" s="126">
        <f t="shared" si="3"/>
        <v>10</v>
      </c>
      <c r="F108" s="224" t="s">
        <v>356</v>
      </c>
      <c r="G108" s="133"/>
      <c r="H108" s="140"/>
      <c r="I108" s="134"/>
      <c r="J108" s="134"/>
    </row>
    <row r="109" spans="1:10" s="23" customFormat="1" ht="15.75">
      <c r="A109" s="139"/>
      <c r="B109" s="185"/>
      <c r="C109" s="200"/>
      <c r="D109" s="147"/>
      <c r="E109" s="126">
        <f t="shared" si="3"/>
        <v>0</v>
      </c>
      <c r="F109" s="148"/>
      <c r="G109" s="133"/>
      <c r="H109" s="140"/>
      <c r="I109" s="134"/>
      <c r="J109" s="134"/>
    </row>
    <row r="110" spans="1:10" s="23" customFormat="1" ht="134.25" customHeight="1">
      <c r="A110" s="139" t="s">
        <v>352</v>
      </c>
      <c r="B110" s="185" t="s">
        <v>347</v>
      </c>
      <c r="C110" s="200"/>
      <c r="D110" s="147"/>
      <c r="E110" s="126">
        <f t="shared" si="3"/>
        <v>0</v>
      </c>
      <c r="F110" s="148"/>
      <c r="G110" s="133"/>
      <c r="H110" s="140"/>
      <c r="I110" s="134"/>
      <c r="J110" s="134"/>
    </row>
    <row r="111" spans="1:10" s="23" customFormat="1" ht="16.5" customHeight="1">
      <c r="A111" s="139"/>
      <c r="B111" s="185" t="s">
        <v>348</v>
      </c>
      <c r="C111" s="200"/>
      <c r="D111" s="221">
        <v>2</v>
      </c>
      <c r="E111" s="126">
        <f t="shared" si="3"/>
        <v>2</v>
      </c>
      <c r="F111" s="149" t="s">
        <v>356</v>
      </c>
      <c r="G111" s="133"/>
      <c r="H111" s="140"/>
      <c r="I111" s="134"/>
      <c r="J111" s="134"/>
    </row>
    <row r="112" spans="1:10" s="23" customFormat="1" ht="19.5" customHeight="1">
      <c r="A112" s="139"/>
      <c r="B112" s="185" t="s">
        <v>349</v>
      </c>
      <c r="C112" s="200"/>
      <c r="D112" s="147"/>
      <c r="E112" s="126">
        <f t="shared" si="3"/>
        <v>0</v>
      </c>
      <c r="F112" s="149" t="s">
        <v>356</v>
      </c>
      <c r="G112" s="133"/>
      <c r="H112" s="140"/>
      <c r="I112" s="134"/>
      <c r="J112" s="134"/>
    </row>
    <row r="113" spans="1:10" s="23" customFormat="1" ht="18.75" customHeight="1">
      <c r="A113" s="139"/>
      <c r="B113" s="185" t="s">
        <v>350</v>
      </c>
      <c r="C113" s="200"/>
      <c r="D113" s="147"/>
      <c r="E113" s="126">
        <f t="shared" si="3"/>
        <v>0</v>
      </c>
      <c r="F113" s="149" t="s">
        <v>356</v>
      </c>
      <c r="G113" s="133"/>
      <c r="H113" s="140"/>
      <c r="I113" s="134"/>
      <c r="J113" s="134"/>
    </row>
    <row r="114" spans="1:10" s="23" customFormat="1" ht="12.75" customHeight="1">
      <c r="A114" s="12"/>
      <c r="B114" s="22"/>
      <c r="C114" s="193"/>
      <c r="D114" s="157"/>
      <c r="E114" s="126">
        <f t="shared" si="3"/>
        <v>0</v>
      </c>
      <c r="F114" s="87"/>
      <c r="G114" s="97"/>
      <c r="H114" s="98"/>
      <c r="I114" s="83">
        <f t="shared" si="5"/>
        <v>0</v>
      </c>
      <c r="J114" s="83">
        <f t="shared" si="5"/>
        <v>0</v>
      </c>
    </row>
    <row r="115" spans="1:10" s="23" customFormat="1" ht="94.5">
      <c r="A115" s="12">
        <v>8</v>
      </c>
      <c r="B115" s="34" t="s">
        <v>110</v>
      </c>
      <c r="C115" s="192">
        <v>2.5</v>
      </c>
      <c r="D115" s="192">
        <v>1</v>
      </c>
      <c r="E115" s="126">
        <f t="shared" si="3"/>
        <v>3.5</v>
      </c>
      <c r="F115" s="87" t="s">
        <v>7</v>
      </c>
      <c r="G115" s="88"/>
      <c r="H115" s="88"/>
      <c r="I115" s="83">
        <f t="shared" si="5"/>
        <v>0</v>
      </c>
      <c r="J115" s="83">
        <f t="shared" si="5"/>
        <v>0</v>
      </c>
    </row>
    <row r="116" spans="1:10" s="23" customFormat="1" ht="12.75" customHeight="1">
      <c r="A116" s="139"/>
      <c r="B116" s="132"/>
      <c r="C116" s="193"/>
      <c r="D116" s="157"/>
      <c r="E116" s="126">
        <f t="shared" si="3"/>
        <v>0</v>
      </c>
      <c r="F116" s="138"/>
      <c r="G116" s="140"/>
      <c r="H116" s="114"/>
      <c r="I116" s="134"/>
      <c r="J116" s="134"/>
    </row>
    <row r="117" spans="1:10" s="23" customFormat="1" ht="47.25">
      <c r="A117" s="12">
        <v>9</v>
      </c>
      <c r="B117" s="39" t="s">
        <v>111</v>
      </c>
      <c r="C117" s="201">
        <v>55</v>
      </c>
      <c r="D117" s="166"/>
      <c r="E117" s="126">
        <f t="shared" si="3"/>
        <v>55</v>
      </c>
      <c r="F117" s="87" t="s">
        <v>7</v>
      </c>
      <c r="G117" s="88"/>
      <c r="H117" s="88"/>
      <c r="I117" s="83">
        <f t="shared" si="5"/>
        <v>0</v>
      </c>
      <c r="J117" s="83">
        <f t="shared" si="5"/>
        <v>0</v>
      </c>
    </row>
    <row r="118" spans="1:10" s="23" customFormat="1" ht="12.75" customHeight="1">
      <c r="A118" s="12"/>
      <c r="B118" s="39"/>
      <c r="C118" s="201"/>
      <c r="D118" s="166"/>
      <c r="E118" s="126">
        <f t="shared" si="3"/>
        <v>0</v>
      </c>
      <c r="F118" s="87"/>
      <c r="G118" s="97"/>
      <c r="H118" s="98"/>
      <c r="I118" s="83">
        <f t="shared" si="5"/>
        <v>0</v>
      </c>
      <c r="J118" s="83">
        <f t="shared" si="5"/>
        <v>0</v>
      </c>
    </row>
    <row r="119" spans="1:10" s="23" customFormat="1" ht="12.75" customHeight="1">
      <c r="A119" s="12">
        <v>10</v>
      </c>
      <c r="B119" s="40" t="s">
        <v>112</v>
      </c>
      <c r="C119" s="202"/>
      <c r="D119" s="167"/>
      <c r="E119" s="126">
        <f t="shared" si="3"/>
        <v>0</v>
      </c>
      <c r="F119" s="87"/>
      <c r="G119" s="97"/>
      <c r="H119" s="98"/>
      <c r="I119" s="83">
        <f t="shared" si="5"/>
        <v>0</v>
      </c>
      <c r="J119" s="83">
        <f t="shared" si="5"/>
        <v>0</v>
      </c>
    </row>
    <row r="120" spans="1:10" s="23" customFormat="1" ht="19.5" customHeight="1">
      <c r="A120" s="31"/>
      <c r="B120" s="40" t="s">
        <v>113</v>
      </c>
      <c r="C120" s="202"/>
      <c r="D120" s="167"/>
      <c r="E120" s="126">
        <f t="shared" si="3"/>
        <v>0</v>
      </c>
      <c r="F120" s="87"/>
      <c r="G120" s="97"/>
      <c r="H120" s="98"/>
      <c r="I120" s="83">
        <f t="shared" si="5"/>
        <v>0</v>
      </c>
      <c r="J120" s="83">
        <f t="shared" si="5"/>
        <v>0</v>
      </c>
    </row>
    <row r="121" spans="1:10" s="23" customFormat="1" ht="116.25" customHeight="1">
      <c r="A121" s="41">
        <v>10.1</v>
      </c>
      <c r="B121" s="39" t="s">
        <v>114</v>
      </c>
      <c r="C121" s="201">
        <v>13</v>
      </c>
      <c r="D121" s="201">
        <v>1</v>
      </c>
      <c r="E121" s="126">
        <f t="shared" si="3"/>
        <v>14</v>
      </c>
      <c r="F121" s="87" t="s">
        <v>7</v>
      </c>
      <c r="G121" s="88"/>
      <c r="H121" s="88"/>
      <c r="I121" s="83">
        <f t="shared" si="5"/>
        <v>0</v>
      </c>
      <c r="J121" s="83">
        <f t="shared" si="5"/>
        <v>0</v>
      </c>
    </row>
    <row r="122" spans="1:10" s="23" customFormat="1" ht="111.75" customHeight="1">
      <c r="A122" s="41">
        <v>10.199999999999999</v>
      </c>
      <c r="B122" s="37" t="s">
        <v>115</v>
      </c>
      <c r="C122" s="198">
        <v>14</v>
      </c>
      <c r="D122" s="198">
        <v>5</v>
      </c>
      <c r="E122" s="126">
        <f t="shared" si="3"/>
        <v>19</v>
      </c>
      <c r="F122" s="87" t="s">
        <v>7</v>
      </c>
      <c r="G122" s="88"/>
      <c r="H122" s="88"/>
      <c r="I122" s="83">
        <f t="shared" si="5"/>
        <v>0</v>
      </c>
      <c r="J122" s="83">
        <f t="shared" si="5"/>
        <v>0</v>
      </c>
    </row>
    <row r="123" spans="1:10" s="23" customFormat="1" ht="26.25" customHeight="1">
      <c r="A123" s="41">
        <v>10.3</v>
      </c>
      <c r="B123" s="37" t="s">
        <v>116</v>
      </c>
      <c r="C123" s="198">
        <v>5</v>
      </c>
      <c r="D123" s="198">
        <v>2</v>
      </c>
      <c r="E123" s="126">
        <f t="shared" si="3"/>
        <v>7</v>
      </c>
      <c r="F123" s="87" t="s">
        <v>7</v>
      </c>
      <c r="G123" s="88"/>
      <c r="H123" s="88"/>
      <c r="I123" s="83">
        <f t="shared" si="5"/>
        <v>0</v>
      </c>
      <c r="J123" s="83">
        <f t="shared" si="5"/>
        <v>0</v>
      </c>
    </row>
    <row r="124" spans="1:10" s="23" customFormat="1" ht="12.75" customHeight="1">
      <c r="A124" s="31"/>
      <c r="B124" s="39"/>
      <c r="C124" s="201"/>
      <c r="D124" s="166"/>
      <c r="E124" s="126">
        <f t="shared" si="3"/>
        <v>0</v>
      </c>
      <c r="F124" s="87"/>
      <c r="G124" s="97"/>
      <c r="H124" s="98"/>
      <c r="I124" s="83">
        <f t="shared" si="5"/>
        <v>0</v>
      </c>
      <c r="J124" s="83">
        <f t="shared" si="5"/>
        <v>0</v>
      </c>
    </row>
    <row r="125" spans="1:10" s="23" customFormat="1" ht="15.75">
      <c r="A125" s="12">
        <v>11</v>
      </c>
      <c r="B125" s="40" t="s">
        <v>117</v>
      </c>
      <c r="C125" s="202"/>
      <c r="D125" s="167"/>
      <c r="E125" s="126">
        <f t="shared" si="3"/>
        <v>0</v>
      </c>
      <c r="F125" s="87"/>
      <c r="G125" s="97"/>
      <c r="H125" s="98"/>
      <c r="I125" s="83">
        <f t="shared" si="5"/>
        <v>0</v>
      </c>
      <c r="J125" s="83">
        <f t="shared" si="5"/>
        <v>0</v>
      </c>
    </row>
    <row r="126" spans="1:10" s="23" customFormat="1" ht="47.25">
      <c r="A126" s="41">
        <v>11.1</v>
      </c>
      <c r="B126" s="37" t="s">
        <v>118</v>
      </c>
      <c r="C126" s="198"/>
      <c r="D126" s="164"/>
      <c r="E126" s="126">
        <f t="shared" si="3"/>
        <v>0</v>
      </c>
      <c r="F126" s="87" t="s">
        <v>9</v>
      </c>
      <c r="G126" s="88"/>
      <c r="H126" s="88"/>
      <c r="I126" s="83">
        <f t="shared" si="5"/>
        <v>0</v>
      </c>
      <c r="J126" s="83">
        <f t="shared" si="5"/>
        <v>0</v>
      </c>
    </row>
    <row r="127" spans="1:10" s="23" customFormat="1" ht="47.25">
      <c r="A127" s="41">
        <v>11.1</v>
      </c>
      <c r="B127" s="37" t="s">
        <v>119</v>
      </c>
      <c r="C127" s="198">
        <v>40</v>
      </c>
      <c r="D127" s="198">
        <v>20</v>
      </c>
      <c r="E127" s="126">
        <f t="shared" si="3"/>
        <v>60</v>
      </c>
      <c r="F127" s="87" t="s">
        <v>9</v>
      </c>
      <c r="G127" s="88"/>
      <c r="H127" s="88"/>
      <c r="I127" s="83">
        <f t="shared" si="5"/>
        <v>0</v>
      </c>
      <c r="J127" s="83">
        <f t="shared" si="5"/>
        <v>0</v>
      </c>
    </row>
    <row r="128" spans="1:10" s="23" customFormat="1" ht="12.75" customHeight="1">
      <c r="A128" s="31"/>
      <c r="B128" s="37"/>
      <c r="C128" s="198"/>
      <c r="D128" s="164"/>
      <c r="E128" s="126">
        <f t="shared" si="3"/>
        <v>0</v>
      </c>
      <c r="F128" s="87"/>
      <c r="G128" s="98"/>
      <c r="H128" s="98"/>
      <c r="I128" s="83">
        <f t="shared" si="5"/>
        <v>0</v>
      </c>
      <c r="J128" s="83">
        <f t="shared" si="5"/>
        <v>0</v>
      </c>
    </row>
    <row r="129" spans="1:11" s="23" customFormat="1" ht="31.5">
      <c r="A129" s="12">
        <v>12</v>
      </c>
      <c r="B129" s="39" t="s">
        <v>120</v>
      </c>
      <c r="C129" s="201"/>
      <c r="D129" s="166"/>
      <c r="E129" s="126">
        <f t="shared" si="3"/>
        <v>0</v>
      </c>
      <c r="F129" s="87"/>
      <c r="G129" s="97"/>
      <c r="H129" s="98"/>
      <c r="I129" s="83">
        <f t="shared" si="5"/>
        <v>0</v>
      </c>
      <c r="J129" s="83">
        <f t="shared" si="5"/>
        <v>0</v>
      </c>
    </row>
    <row r="130" spans="1:11" s="23" customFormat="1" ht="12.75" customHeight="1">
      <c r="A130" s="41">
        <v>12.1</v>
      </c>
      <c r="B130" s="39" t="s">
        <v>121</v>
      </c>
      <c r="C130" s="201"/>
      <c r="D130" s="166"/>
      <c r="E130" s="126">
        <f t="shared" si="3"/>
        <v>0</v>
      </c>
      <c r="F130" s="88" t="s">
        <v>9</v>
      </c>
      <c r="G130" s="88"/>
      <c r="H130" s="88"/>
      <c r="I130" s="83">
        <f t="shared" si="5"/>
        <v>0</v>
      </c>
      <c r="J130" s="83">
        <f t="shared" si="5"/>
        <v>0</v>
      </c>
    </row>
    <row r="131" spans="1:11" s="23" customFormat="1" ht="12.75" customHeight="1">
      <c r="A131" s="41">
        <v>12.2</v>
      </c>
      <c r="B131" s="39" t="s">
        <v>122</v>
      </c>
      <c r="C131" s="201"/>
      <c r="D131" s="166"/>
      <c r="E131" s="126">
        <f t="shared" si="3"/>
        <v>0</v>
      </c>
      <c r="F131" s="88" t="s">
        <v>9</v>
      </c>
      <c r="G131" s="88"/>
      <c r="H131" s="88"/>
      <c r="I131" s="83">
        <f t="shared" si="5"/>
        <v>0</v>
      </c>
      <c r="J131" s="83">
        <f t="shared" si="5"/>
        <v>0</v>
      </c>
    </row>
    <row r="132" spans="1:11" s="23" customFormat="1" ht="12.6" customHeight="1">
      <c r="A132" s="41">
        <v>12.3</v>
      </c>
      <c r="B132" s="39" t="s">
        <v>123</v>
      </c>
      <c r="C132" s="201"/>
      <c r="D132" s="166"/>
      <c r="E132" s="126">
        <f t="shared" si="3"/>
        <v>0</v>
      </c>
      <c r="F132" s="88" t="s">
        <v>9</v>
      </c>
      <c r="G132" s="88"/>
      <c r="H132" s="88"/>
      <c r="I132" s="83">
        <f t="shared" ref="I132:J188" si="6">+N($E132)*N(G132)</f>
        <v>0</v>
      </c>
      <c r="J132" s="83">
        <f t="shared" si="6"/>
        <v>0</v>
      </c>
    </row>
    <row r="133" spans="1:11" s="23" customFormat="1" ht="12.6" customHeight="1">
      <c r="A133" s="41">
        <v>12.4</v>
      </c>
      <c r="B133" s="39" t="s">
        <v>124</v>
      </c>
      <c r="C133" s="201"/>
      <c r="D133" s="166"/>
      <c r="E133" s="126">
        <f t="shared" si="3"/>
        <v>0</v>
      </c>
      <c r="F133" s="88" t="s">
        <v>9</v>
      </c>
      <c r="G133" s="88"/>
      <c r="H133" s="88"/>
      <c r="I133" s="83">
        <f t="shared" si="6"/>
        <v>0</v>
      </c>
      <c r="J133" s="83">
        <f t="shared" si="6"/>
        <v>0</v>
      </c>
    </row>
    <row r="134" spans="1:11" s="23" customFormat="1" ht="12.6" customHeight="1">
      <c r="A134" s="41">
        <v>12.5</v>
      </c>
      <c r="B134" s="39" t="s">
        <v>125</v>
      </c>
      <c r="C134" s="201"/>
      <c r="D134" s="166"/>
      <c r="E134" s="126">
        <f t="shared" si="3"/>
        <v>0</v>
      </c>
      <c r="F134" s="88" t="s">
        <v>9</v>
      </c>
      <c r="G134" s="88"/>
      <c r="H134" s="88"/>
      <c r="I134" s="83">
        <f t="shared" si="6"/>
        <v>0</v>
      </c>
      <c r="J134" s="83">
        <f t="shared" si="6"/>
        <v>0</v>
      </c>
    </row>
    <row r="135" spans="1:11" s="43" customFormat="1" ht="47.25">
      <c r="A135" s="41">
        <v>12.6</v>
      </c>
      <c r="B135" s="39" t="s">
        <v>126</v>
      </c>
      <c r="C135" s="203"/>
      <c r="D135" s="168"/>
      <c r="E135" s="126">
        <f t="shared" si="3"/>
        <v>0</v>
      </c>
      <c r="F135" s="88"/>
      <c r="G135" s="88"/>
      <c r="H135" s="88"/>
      <c r="I135" s="83">
        <f t="shared" si="6"/>
        <v>0</v>
      </c>
      <c r="J135" s="83">
        <f t="shared" si="6"/>
        <v>0</v>
      </c>
      <c r="K135" s="42"/>
    </row>
    <row r="136" spans="1:11" s="43" customFormat="1" ht="15.75">
      <c r="A136" s="44"/>
      <c r="B136" s="39" t="s">
        <v>127</v>
      </c>
      <c r="C136" s="201"/>
      <c r="D136" s="166"/>
      <c r="E136" s="126">
        <f t="shared" si="3"/>
        <v>0</v>
      </c>
      <c r="F136" s="88" t="s">
        <v>8</v>
      </c>
      <c r="G136" s="88"/>
      <c r="H136" s="88"/>
      <c r="I136" s="83">
        <f t="shared" si="6"/>
        <v>0</v>
      </c>
      <c r="J136" s="83">
        <f t="shared" si="6"/>
        <v>0</v>
      </c>
      <c r="K136" s="42"/>
    </row>
    <row r="137" spans="1:11" s="43" customFormat="1" ht="15.75">
      <c r="A137" s="44"/>
      <c r="B137" s="39" t="s">
        <v>128</v>
      </c>
      <c r="C137" s="201"/>
      <c r="D137" s="166"/>
      <c r="E137" s="126">
        <f t="shared" si="3"/>
        <v>0</v>
      </c>
      <c r="F137" s="88" t="s">
        <v>8</v>
      </c>
      <c r="G137" s="88"/>
      <c r="H137" s="88"/>
      <c r="I137" s="83">
        <f t="shared" si="6"/>
        <v>0</v>
      </c>
      <c r="J137" s="83">
        <f t="shared" si="6"/>
        <v>0</v>
      </c>
      <c r="K137" s="42"/>
    </row>
    <row r="138" spans="1:11" s="43" customFormat="1" ht="15.75">
      <c r="A138" s="44"/>
      <c r="B138" s="39" t="s">
        <v>129</v>
      </c>
      <c r="C138" s="201"/>
      <c r="D138" s="166"/>
      <c r="E138" s="126">
        <f t="shared" si="3"/>
        <v>0</v>
      </c>
      <c r="F138" s="88" t="s">
        <v>8</v>
      </c>
      <c r="G138" s="88"/>
      <c r="H138" s="88"/>
      <c r="I138" s="83">
        <f t="shared" si="6"/>
        <v>0</v>
      </c>
      <c r="J138" s="83">
        <f t="shared" si="6"/>
        <v>0</v>
      </c>
      <c r="K138" s="42"/>
    </row>
    <row r="139" spans="1:11" s="43" customFormat="1" ht="15.75">
      <c r="A139" s="44"/>
      <c r="B139" s="39" t="s">
        <v>130</v>
      </c>
      <c r="C139" s="201"/>
      <c r="D139" s="166"/>
      <c r="E139" s="126">
        <f t="shared" ref="E139:E202" si="7">C139+D139</f>
        <v>0</v>
      </c>
      <c r="F139" s="88" t="s">
        <v>8</v>
      </c>
      <c r="G139" s="88"/>
      <c r="H139" s="88"/>
      <c r="I139" s="83">
        <f t="shared" si="6"/>
        <v>0</v>
      </c>
      <c r="J139" s="83">
        <f t="shared" si="6"/>
        <v>0</v>
      </c>
      <c r="K139" s="42"/>
    </row>
    <row r="140" spans="1:11" s="43" customFormat="1" ht="15.75">
      <c r="A140" s="44"/>
      <c r="B140" s="39" t="s">
        <v>131</v>
      </c>
      <c r="C140" s="203"/>
      <c r="D140" s="168"/>
      <c r="E140" s="126">
        <f t="shared" si="7"/>
        <v>0</v>
      </c>
      <c r="F140" s="88"/>
      <c r="G140" s="88"/>
      <c r="H140" s="88"/>
      <c r="I140" s="83">
        <f t="shared" si="6"/>
        <v>0</v>
      </c>
      <c r="J140" s="83">
        <f t="shared" si="6"/>
        <v>0</v>
      </c>
      <c r="K140" s="42"/>
    </row>
    <row r="141" spans="1:11" s="23" customFormat="1" ht="12.6" customHeight="1">
      <c r="A141" s="41"/>
      <c r="B141" s="13"/>
      <c r="C141" s="197"/>
      <c r="D141" s="161"/>
      <c r="E141" s="126">
        <f t="shared" si="7"/>
        <v>0</v>
      </c>
      <c r="F141" s="88"/>
      <c r="G141" s="88"/>
      <c r="H141" s="88"/>
      <c r="I141" s="83">
        <f t="shared" si="6"/>
        <v>0</v>
      </c>
      <c r="J141" s="83">
        <f t="shared" si="6"/>
        <v>0</v>
      </c>
    </row>
    <row r="142" spans="1:11" s="45" customFormat="1" ht="88.5" customHeight="1">
      <c r="A142" s="41">
        <v>12.2</v>
      </c>
      <c r="B142" s="39" t="s">
        <v>132</v>
      </c>
      <c r="C142" s="201"/>
      <c r="D142" s="166"/>
      <c r="E142" s="126">
        <f t="shared" si="7"/>
        <v>0</v>
      </c>
      <c r="F142" s="89"/>
      <c r="G142" s="87"/>
      <c r="H142" s="87"/>
      <c r="I142" s="83">
        <f t="shared" si="6"/>
        <v>0</v>
      </c>
      <c r="J142" s="83">
        <f t="shared" si="6"/>
        <v>0</v>
      </c>
    </row>
    <row r="143" spans="1:11" s="45" customFormat="1" ht="15.75">
      <c r="A143" s="46"/>
      <c r="B143" s="39" t="s">
        <v>133</v>
      </c>
      <c r="C143" s="201"/>
      <c r="D143" s="166"/>
      <c r="E143" s="126">
        <f t="shared" si="7"/>
        <v>0</v>
      </c>
      <c r="F143" s="89"/>
      <c r="G143" s="87"/>
      <c r="H143" s="87"/>
      <c r="I143" s="83">
        <f t="shared" si="6"/>
        <v>0</v>
      </c>
      <c r="J143" s="83">
        <f t="shared" si="6"/>
        <v>0</v>
      </c>
    </row>
    <row r="144" spans="1:11" s="45" customFormat="1" ht="15.75">
      <c r="A144" s="46"/>
      <c r="B144" s="39" t="s">
        <v>134</v>
      </c>
      <c r="C144" s="201"/>
      <c r="D144" s="166"/>
      <c r="E144" s="126">
        <f t="shared" si="7"/>
        <v>0</v>
      </c>
      <c r="F144" s="89"/>
      <c r="G144" s="87"/>
      <c r="H144" s="87"/>
      <c r="I144" s="83">
        <f t="shared" si="6"/>
        <v>0</v>
      </c>
      <c r="J144" s="83">
        <f t="shared" si="6"/>
        <v>0</v>
      </c>
    </row>
    <row r="145" spans="1:10" s="45" customFormat="1" ht="15.75">
      <c r="A145" s="46"/>
      <c r="B145" s="39" t="s">
        <v>135</v>
      </c>
      <c r="C145" s="201">
        <v>5</v>
      </c>
      <c r="D145" s="201">
        <v>5</v>
      </c>
      <c r="E145" s="126">
        <f t="shared" si="7"/>
        <v>10</v>
      </c>
      <c r="F145" s="87" t="s">
        <v>9</v>
      </c>
      <c r="G145" s="88"/>
      <c r="H145" s="88"/>
      <c r="I145" s="83">
        <f t="shared" si="6"/>
        <v>0</v>
      </c>
      <c r="J145" s="83">
        <f t="shared" si="6"/>
        <v>0</v>
      </c>
    </row>
    <row r="146" spans="1:10" s="45" customFormat="1" ht="15.75">
      <c r="A146" s="46"/>
      <c r="B146" s="39" t="s">
        <v>136</v>
      </c>
      <c r="C146" s="201"/>
      <c r="D146" s="166"/>
      <c r="E146" s="126">
        <f t="shared" si="7"/>
        <v>0</v>
      </c>
      <c r="F146" s="89"/>
      <c r="G146" s="87"/>
      <c r="H146" s="87"/>
      <c r="I146" s="83">
        <f t="shared" si="6"/>
        <v>0</v>
      </c>
      <c r="J146" s="83">
        <f t="shared" si="6"/>
        <v>0</v>
      </c>
    </row>
    <row r="147" spans="1:10" s="45" customFormat="1" ht="15.75">
      <c r="A147" s="46"/>
      <c r="B147" s="39" t="s">
        <v>137</v>
      </c>
      <c r="C147" s="201"/>
      <c r="D147" s="166"/>
      <c r="E147" s="126">
        <f t="shared" si="7"/>
        <v>0</v>
      </c>
      <c r="F147" s="89"/>
      <c r="G147" s="87"/>
      <c r="H147" s="87"/>
      <c r="I147" s="83">
        <f t="shared" si="6"/>
        <v>0</v>
      </c>
      <c r="J147" s="83">
        <f t="shared" si="6"/>
        <v>0</v>
      </c>
    </row>
    <row r="148" spans="1:10" s="45" customFormat="1" ht="15.75">
      <c r="A148" s="46"/>
      <c r="B148" s="39" t="s">
        <v>138</v>
      </c>
      <c r="C148" s="201"/>
      <c r="D148" s="166"/>
      <c r="E148" s="126">
        <f t="shared" si="7"/>
        <v>0</v>
      </c>
      <c r="F148" s="89"/>
      <c r="G148" s="87"/>
      <c r="H148" s="87"/>
      <c r="I148" s="83">
        <f t="shared" si="6"/>
        <v>0</v>
      </c>
      <c r="J148" s="83">
        <f t="shared" si="6"/>
        <v>0</v>
      </c>
    </row>
    <row r="149" spans="1:10" s="45" customFormat="1" ht="15.75">
      <c r="A149" s="47"/>
      <c r="B149" s="39"/>
      <c r="C149" s="201"/>
      <c r="D149" s="166"/>
      <c r="E149" s="126">
        <f t="shared" si="7"/>
        <v>0</v>
      </c>
      <c r="F149" s="89"/>
      <c r="G149" s="87"/>
      <c r="H149" s="87"/>
      <c r="I149" s="83">
        <f t="shared" si="6"/>
        <v>0</v>
      </c>
      <c r="J149" s="83">
        <f t="shared" si="6"/>
        <v>0</v>
      </c>
    </row>
    <row r="150" spans="1:10" s="45" customFormat="1" ht="78.75">
      <c r="A150" s="47">
        <v>12.3</v>
      </c>
      <c r="B150" s="39" t="s">
        <v>139</v>
      </c>
      <c r="C150" s="201"/>
      <c r="D150" s="166"/>
      <c r="E150" s="126">
        <f t="shared" si="7"/>
        <v>0</v>
      </c>
      <c r="F150" s="89"/>
      <c r="G150" s="87"/>
      <c r="H150" s="87"/>
      <c r="I150" s="83">
        <f t="shared" si="6"/>
        <v>0</v>
      </c>
      <c r="J150" s="83">
        <f t="shared" si="6"/>
        <v>0</v>
      </c>
    </row>
    <row r="151" spans="1:10" s="45" customFormat="1" ht="15.75">
      <c r="A151" s="46">
        <f t="shared" ref="A151:A156" si="8">A150+0.1</f>
        <v>12.4</v>
      </c>
      <c r="B151" s="39" t="s">
        <v>133</v>
      </c>
      <c r="C151" s="201"/>
      <c r="D151" s="166"/>
      <c r="E151" s="126">
        <f t="shared" si="7"/>
        <v>0</v>
      </c>
      <c r="F151" s="89"/>
      <c r="G151" s="87"/>
      <c r="H151" s="87"/>
      <c r="I151" s="83">
        <f t="shared" si="6"/>
        <v>0</v>
      </c>
      <c r="J151" s="83">
        <f t="shared" si="6"/>
        <v>0</v>
      </c>
    </row>
    <row r="152" spans="1:10" s="45" customFormat="1" ht="15.75">
      <c r="A152" s="46">
        <f t="shared" si="8"/>
        <v>12.5</v>
      </c>
      <c r="B152" s="39" t="s">
        <v>134</v>
      </c>
      <c r="C152" s="201"/>
      <c r="D152" s="166"/>
      <c r="E152" s="126">
        <f t="shared" si="7"/>
        <v>0</v>
      </c>
      <c r="F152" s="89"/>
      <c r="G152" s="87"/>
      <c r="H152" s="87"/>
      <c r="I152" s="83">
        <f t="shared" si="6"/>
        <v>0</v>
      </c>
      <c r="J152" s="83">
        <f t="shared" si="6"/>
        <v>0</v>
      </c>
    </row>
    <row r="153" spans="1:10" s="45" customFormat="1" ht="15.75">
      <c r="A153" s="46">
        <f t="shared" si="8"/>
        <v>12.6</v>
      </c>
      <c r="B153" s="39" t="s">
        <v>135</v>
      </c>
      <c r="C153" s="201">
        <v>5</v>
      </c>
      <c r="D153" s="201">
        <v>5</v>
      </c>
      <c r="E153" s="126">
        <f t="shared" si="7"/>
        <v>10</v>
      </c>
      <c r="F153" s="87" t="s">
        <v>9</v>
      </c>
      <c r="G153" s="88"/>
      <c r="H153" s="88"/>
      <c r="I153" s="83">
        <f t="shared" si="6"/>
        <v>0</v>
      </c>
      <c r="J153" s="83">
        <f t="shared" si="6"/>
        <v>0</v>
      </c>
    </row>
    <row r="154" spans="1:10" s="45" customFormat="1" ht="15.75">
      <c r="A154" s="46">
        <f t="shared" si="8"/>
        <v>12.7</v>
      </c>
      <c r="B154" s="39" t="s">
        <v>136</v>
      </c>
      <c r="C154" s="201"/>
      <c r="D154" s="166"/>
      <c r="E154" s="126">
        <f t="shared" si="7"/>
        <v>0</v>
      </c>
      <c r="F154" s="89"/>
      <c r="G154" s="87"/>
      <c r="H154" s="87"/>
      <c r="I154" s="83">
        <f t="shared" si="6"/>
        <v>0</v>
      </c>
      <c r="J154" s="83">
        <f t="shared" si="6"/>
        <v>0</v>
      </c>
    </row>
    <row r="155" spans="1:10" s="45" customFormat="1" ht="15.75">
      <c r="A155" s="46">
        <f t="shared" si="8"/>
        <v>12.799999999999999</v>
      </c>
      <c r="B155" s="39" t="s">
        <v>137</v>
      </c>
      <c r="C155" s="201"/>
      <c r="D155" s="166"/>
      <c r="E155" s="126">
        <f t="shared" si="7"/>
        <v>0</v>
      </c>
      <c r="F155" s="89"/>
      <c r="G155" s="87"/>
      <c r="H155" s="87"/>
      <c r="I155" s="83">
        <f t="shared" si="6"/>
        <v>0</v>
      </c>
      <c r="J155" s="83">
        <f t="shared" si="6"/>
        <v>0</v>
      </c>
    </row>
    <row r="156" spans="1:10" s="45" customFormat="1" ht="15.75">
      <c r="A156" s="46">
        <f t="shared" si="8"/>
        <v>12.899999999999999</v>
      </c>
      <c r="B156" s="39" t="s">
        <v>138</v>
      </c>
      <c r="C156" s="201"/>
      <c r="D156" s="166"/>
      <c r="E156" s="126">
        <f t="shared" si="7"/>
        <v>0</v>
      </c>
      <c r="F156" s="89"/>
      <c r="G156" s="87"/>
      <c r="H156" s="87"/>
      <c r="I156" s="83">
        <f t="shared" si="6"/>
        <v>0</v>
      </c>
      <c r="J156" s="83">
        <f t="shared" si="6"/>
        <v>0</v>
      </c>
    </row>
    <row r="157" spans="1:10" s="45" customFormat="1" ht="15.75">
      <c r="A157" s="47"/>
      <c r="B157" s="48"/>
      <c r="C157" s="204"/>
      <c r="D157" s="169"/>
      <c r="E157" s="126">
        <f t="shared" si="7"/>
        <v>0</v>
      </c>
      <c r="F157" s="89"/>
      <c r="G157" s="87"/>
      <c r="H157" s="87"/>
      <c r="I157" s="83">
        <f t="shared" si="6"/>
        <v>0</v>
      </c>
      <c r="J157" s="83">
        <f t="shared" si="6"/>
        <v>0</v>
      </c>
    </row>
    <row r="158" spans="1:10" s="23" customFormat="1" ht="12.75" customHeight="1">
      <c r="A158" s="41"/>
      <c r="B158" s="39"/>
      <c r="C158" s="201"/>
      <c r="D158" s="166"/>
      <c r="E158" s="126">
        <f t="shared" si="7"/>
        <v>0</v>
      </c>
      <c r="F158" s="87"/>
      <c r="G158" s="92"/>
      <c r="H158" s="92"/>
      <c r="I158" s="83">
        <f t="shared" si="6"/>
        <v>0</v>
      </c>
      <c r="J158" s="83">
        <f t="shared" si="6"/>
        <v>0</v>
      </c>
    </row>
    <row r="159" spans="1:10" s="23" customFormat="1" ht="31.5">
      <c r="A159" s="12">
        <v>13</v>
      </c>
      <c r="B159" s="39" t="s">
        <v>140</v>
      </c>
      <c r="C159" s="201">
        <v>15</v>
      </c>
      <c r="D159" s="166"/>
      <c r="E159" s="126">
        <f t="shared" si="7"/>
        <v>15</v>
      </c>
      <c r="F159" s="87" t="s">
        <v>8</v>
      </c>
      <c r="G159" s="88"/>
      <c r="H159" s="88"/>
      <c r="I159" s="83">
        <f t="shared" si="6"/>
        <v>0</v>
      </c>
      <c r="J159" s="83">
        <f t="shared" si="6"/>
        <v>0</v>
      </c>
    </row>
    <row r="160" spans="1:10" s="23" customFormat="1" ht="12.75" customHeight="1">
      <c r="A160" s="12"/>
      <c r="B160" s="18"/>
      <c r="C160" s="192"/>
      <c r="D160" s="155"/>
      <c r="E160" s="126">
        <f t="shared" si="7"/>
        <v>0</v>
      </c>
      <c r="F160" s="87"/>
      <c r="G160" s="97"/>
      <c r="H160" s="98"/>
      <c r="I160" s="83">
        <f t="shared" si="6"/>
        <v>0</v>
      </c>
      <c r="J160" s="83">
        <f t="shared" si="6"/>
        <v>0</v>
      </c>
    </row>
    <row r="161" spans="1:10" s="23" customFormat="1" ht="47.25">
      <c r="A161" s="12">
        <v>14</v>
      </c>
      <c r="B161" s="22" t="s">
        <v>141</v>
      </c>
      <c r="C161" s="193"/>
      <c r="D161" s="157"/>
      <c r="E161" s="126">
        <f t="shared" si="7"/>
        <v>0</v>
      </c>
      <c r="F161" s="87" t="s">
        <v>7</v>
      </c>
      <c r="G161" s="88"/>
      <c r="H161" s="88"/>
      <c r="I161" s="83">
        <f t="shared" si="6"/>
        <v>0</v>
      </c>
      <c r="J161" s="83">
        <f t="shared" si="6"/>
        <v>0</v>
      </c>
    </row>
    <row r="162" spans="1:10" s="23" customFormat="1" ht="12.75" customHeight="1">
      <c r="A162" s="12"/>
      <c r="B162" s="18"/>
      <c r="C162" s="192"/>
      <c r="D162" s="155"/>
      <c r="E162" s="126">
        <f t="shared" si="7"/>
        <v>0</v>
      </c>
      <c r="F162" s="87"/>
      <c r="G162" s="97"/>
      <c r="H162" s="98"/>
      <c r="I162" s="83">
        <f t="shared" si="6"/>
        <v>0</v>
      </c>
      <c r="J162" s="83">
        <f t="shared" si="6"/>
        <v>0</v>
      </c>
    </row>
    <row r="163" spans="1:10" s="23" customFormat="1" ht="31.5">
      <c r="A163" s="12">
        <v>15</v>
      </c>
      <c r="B163" s="18" t="s">
        <v>338</v>
      </c>
      <c r="C163" s="192"/>
      <c r="D163" s="192">
        <v>2</v>
      </c>
      <c r="E163" s="126">
        <f t="shared" si="7"/>
        <v>2</v>
      </c>
      <c r="F163" s="87" t="s">
        <v>330</v>
      </c>
      <c r="G163" s="88"/>
      <c r="H163" s="88"/>
      <c r="I163" s="83">
        <f t="shared" si="6"/>
        <v>0</v>
      </c>
      <c r="J163" s="83">
        <f t="shared" si="6"/>
        <v>0</v>
      </c>
    </row>
    <row r="164" spans="1:10" s="23" customFormat="1" ht="12.75" customHeight="1">
      <c r="A164" s="12"/>
      <c r="B164" s="18"/>
      <c r="C164" s="192"/>
      <c r="D164" s="155"/>
      <c r="E164" s="126">
        <f t="shared" si="7"/>
        <v>0</v>
      </c>
      <c r="F164" s="87"/>
      <c r="G164" s="97"/>
      <c r="H164" s="98"/>
      <c r="I164" s="83">
        <f t="shared" si="6"/>
        <v>0</v>
      </c>
      <c r="J164" s="83">
        <f t="shared" si="6"/>
        <v>0</v>
      </c>
    </row>
    <row r="165" spans="1:10" s="23" customFormat="1" ht="15.75">
      <c r="A165" s="12">
        <v>16</v>
      </c>
      <c r="B165" s="39" t="s">
        <v>142</v>
      </c>
      <c r="C165" s="201"/>
      <c r="D165" s="166"/>
      <c r="E165" s="126">
        <f t="shared" si="7"/>
        <v>0</v>
      </c>
      <c r="F165" s="87"/>
      <c r="G165" s="97"/>
      <c r="H165" s="98"/>
      <c r="I165" s="83">
        <f t="shared" si="6"/>
        <v>0</v>
      </c>
      <c r="J165" s="83">
        <f t="shared" si="6"/>
        <v>0</v>
      </c>
    </row>
    <row r="166" spans="1:10" s="23" customFormat="1" ht="47.25">
      <c r="A166" s="12"/>
      <c r="B166" s="39" t="s">
        <v>143</v>
      </c>
      <c r="C166" s="201"/>
      <c r="D166" s="166"/>
      <c r="E166" s="126">
        <f t="shared" si="7"/>
        <v>0</v>
      </c>
      <c r="F166" s="87"/>
      <c r="G166" s="97"/>
      <c r="H166" s="98"/>
      <c r="I166" s="83">
        <f t="shared" si="6"/>
        <v>0</v>
      </c>
      <c r="J166" s="83">
        <f t="shared" si="6"/>
        <v>0</v>
      </c>
    </row>
    <row r="167" spans="1:10" s="23" customFormat="1" ht="78.75">
      <c r="A167" s="12"/>
      <c r="B167" s="39" t="s">
        <v>144</v>
      </c>
      <c r="C167" s="201"/>
      <c r="D167" s="166"/>
      <c r="E167" s="126">
        <f t="shared" si="7"/>
        <v>0</v>
      </c>
      <c r="F167" s="87"/>
      <c r="G167" s="97"/>
      <c r="H167" s="98"/>
      <c r="I167" s="83">
        <f t="shared" si="6"/>
        <v>0</v>
      </c>
      <c r="J167" s="83">
        <f t="shared" si="6"/>
        <v>0</v>
      </c>
    </row>
    <row r="168" spans="1:10" s="23" customFormat="1" ht="15.75">
      <c r="A168" s="41">
        <v>16.100000000000001</v>
      </c>
      <c r="B168" s="39" t="s">
        <v>341</v>
      </c>
      <c r="C168" s="201">
        <v>40</v>
      </c>
      <c r="D168" s="201">
        <v>20</v>
      </c>
      <c r="E168" s="126">
        <f t="shared" si="7"/>
        <v>60</v>
      </c>
      <c r="F168" s="87" t="s">
        <v>8</v>
      </c>
      <c r="G168" s="88"/>
      <c r="H168" s="88"/>
      <c r="I168" s="83">
        <f t="shared" si="6"/>
        <v>0</v>
      </c>
      <c r="J168" s="83">
        <f t="shared" si="6"/>
        <v>0</v>
      </c>
    </row>
    <row r="169" spans="1:10" s="23" customFormat="1" ht="15.75">
      <c r="A169" s="41">
        <v>16.100000000000001</v>
      </c>
      <c r="B169" s="39" t="s">
        <v>145</v>
      </c>
      <c r="C169" s="201"/>
      <c r="D169" s="166"/>
      <c r="E169" s="126">
        <f t="shared" si="7"/>
        <v>0</v>
      </c>
      <c r="F169" s="87" t="s">
        <v>8</v>
      </c>
      <c r="G169" s="88"/>
      <c r="H169" s="88"/>
      <c r="I169" s="83">
        <f t="shared" ref="I169" si="9">+N($E169)*N(G169)</f>
        <v>0</v>
      </c>
      <c r="J169" s="83">
        <f t="shared" ref="J169" si="10">+N($E169)*N(H169)</f>
        <v>0</v>
      </c>
    </row>
    <row r="170" spans="1:10" s="23" customFormat="1" ht="15.75">
      <c r="A170" s="12"/>
      <c r="B170" s="39"/>
      <c r="C170" s="201"/>
      <c r="D170" s="166"/>
      <c r="E170" s="126">
        <f t="shared" si="7"/>
        <v>0</v>
      </c>
      <c r="F170" s="87"/>
      <c r="G170" s="97"/>
      <c r="H170" s="98"/>
      <c r="I170" s="83">
        <f t="shared" si="6"/>
        <v>0</v>
      </c>
      <c r="J170" s="83">
        <f t="shared" si="6"/>
        <v>0</v>
      </c>
    </row>
    <row r="171" spans="1:10" s="23" customFormat="1" ht="15.75">
      <c r="A171" s="12">
        <v>17</v>
      </c>
      <c r="B171" s="39" t="s">
        <v>146</v>
      </c>
      <c r="C171" s="201"/>
      <c r="D171" s="166"/>
      <c r="E171" s="126">
        <f t="shared" si="7"/>
        <v>0</v>
      </c>
      <c r="F171" s="87" t="s">
        <v>99</v>
      </c>
      <c r="G171" s="88"/>
      <c r="H171" s="88"/>
      <c r="I171" s="83">
        <f t="shared" si="6"/>
        <v>0</v>
      </c>
      <c r="J171" s="83">
        <f t="shared" si="6"/>
        <v>0</v>
      </c>
    </row>
    <row r="172" spans="1:10" s="23" customFormat="1" ht="12.75" customHeight="1">
      <c r="A172" s="12"/>
      <c r="B172" s="39"/>
      <c r="C172" s="201"/>
      <c r="D172" s="166"/>
      <c r="E172" s="126">
        <f t="shared" si="7"/>
        <v>0</v>
      </c>
      <c r="F172" s="87"/>
      <c r="G172" s="97"/>
      <c r="H172" s="98"/>
      <c r="I172" s="83">
        <f t="shared" si="6"/>
        <v>0</v>
      </c>
      <c r="J172" s="83">
        <f t="shared" si="6"/>
        <v>0</v>
      </c>
    </row>
    <row r="173" spans="1:10" s="23" customFormat="1" ht="54" customHeight="1">
      <c r="A173" s="12">
        <v>18</v>
      </c>
      <c r="B173" s="39" t="s">
        <v>147</v>
      </c>
      <c r="C173" s="201">
        <v>100</v>
      </c>
      <c r="D173" s="166"/>
      <c r="E173" s="126">
        <f t="shared" si="7"/>
        <v>100</v>
      </c>
      <c r="F173" s="87" t="s">
        <v>8</v>
      </c>
      <c r="G173" s="88"/>
      <c r="H173" s="88"/>
      <c r="I173" s="83">
        <f t="shared" si="6"/>
        <v>0</v>
      </c>
      <c r="J173" s="83">
        <f t="shared" si="6"/>
        <v>0</v>
      </c>
    </row>
    <row r="174" spans="1:10" s="23" customFormat="1" ht="15.75">
      <c r="A174" s="12"/>
      <c r="B174" s="39"/>
      <c r="C174" s="201"/>
      <c r="D174" s="166"/>
      <c r="E174" s="126">
        <f t="shared" si="7"/>
        <v>0</v>
      </c>
      <c r="F174" s="87"/>
      <c r="G174" s="88"/>
      <c r="H174" s="88"/>
      <c r="I174" s="83">
        <f t="shared" si="6"/>
        <v>0</v>
      </c>
      <c r="J174" s="83">
        <f t="shared" si="6"/>
        <v>0</v>
      </c>
    </row>
    <row r="175" spans="1:10" s="23" customFormat="1" ht="12.75" customHeight="1">
      <c r="A175" s="12"/>
      <c r="B175" s="39"/>
      <c r="C175" s="201"/>
      <c r="D175" s="166"/>
      <c r="E175" s="126">
        <f t="shared" si="7"/>
        <v>0</v>
      </c>
      <c r="F175" s="87"/>
      <c r="G175" s="97"/>
      <c r="H175" s="98"/>
      <c r="I175" s="83">
        <f t="shared" si="6"/>
        <v>0</v>
      </c>
      <c r="J175" s="83">
        <f t="shared" si="6"/>
        <v>0</v>
      </c>
    </row>
    <row r="176" spans="1:10" s="23" customFormat="1" ht="31.5">
      <c r="A176" s="12">
        <v>19</v>
      </c>
      <c r="B176" s="39" t="s">
        <v>148</v>
      </c>
      <c r="C176" s="201"/>
      <c r="D176" s="166"/>
      <c r="E176" s="126">
        <f t="shared" si="7"/>
        <v>0</v>
      </c>
      <c r="F176" s="87" t="s">
        <v>9</v>
      </c>
      <c r="G176" s="88"/>
      <c r="H176" s="88"/>
      <c r="I176" s="83">
        <f t="shared" si="6"/>
        <v>0</v>
      </c>
      <c r="J176" s="83">
        <f t="shared" si="6"/>
        <v>0</v>
      </c>
    </row>
    <row r="177" spans="1:10" s="23" customFormat="1" ht="12.75" customHeight="1">
      <c r="A177" s="12"/>
      <c r="B177" s="39"/>
      <c r="C177" s="201"/>
      <c r="D177" s="166"/>
      <c r="E177" s="126">
        <f t="shared" si="7"/>
        <v>0</v>
      </c>
      <c r="F177" s="87"/>
      <c r="G177" s="97"/>
      <c r="H177" s="98"/>
      <c r="I177" s="83">
        <f t="shared" si="6"/>
        <v>0</v>
      </c>
      <c r="J177" s="83">
        <f t="shared" si="6"/>
        <v>0</v>
      </c>
    </row>
    <row r="178" spans="1:10" s="23" customFormat="1" ht="79.7" customHeight="1">
      <c r="A178" s="12">
        <v>20</v>
      </c>
      <c r="B178" s="39" t="s">
        <v>149</v>
      </c>
      <c r="C178" s="201"/>
      <c r="D178" s="166"/>
      <c r="E178" s="126">
        <f t="shared" si="7"/>
        <v>0</v>
      </c>
      <c r="F178" s="87"/>
      <c r="G178" s="97"/>
      <c r="H178" s="98"/>
      <c r="I178" s="83">
        <f t="shared" si="6"/>
        <v>0</v>
      </c>
      <c r="J178" s="83">
        <f t="shared" si="6"/>
        <v>0</v>
      </c>
    </row>
    <row r="179" spans="1:10" s="23" customFormat="1" ht="18" customHeight="1">
      <c r="A179" s="41">
        <v>20.100000000000001</v>
      </c>
      <c r="B179" s="39" t="s">
        <v>353</v>
      </c>
      <c r="C179" s="201"/>
      <c r="D179" s="166"/>
      <c r="E179" s="126">
        <f t="shared" si="7"/>
        <v>0</v>
      </c>
      <c r="F179" s="87" t="s">
        <v>9</v>
      </c>
      <c r="G179" s="141"/>
      <c r="H179" s="88"/>
      <c r="I179" s="83">
        <f t="shared" ref="I179" si="11">+N($E179)*N(G179)</f>
        <v>0</v>
      </c>
      <c r="J179" s="83">
        <f t="shared" ref="J179" si="12">+N($E179)*N(H179)</f>
        <v>0</v>
      </c>
    </row>
    <row r="180" spans="1:10" s="23" customFormat="1" ht="15.75">
      <c r="A180" s="41">
        <v>20.2</v>
      </c>
      <c r="B180" s="39" t="s">
        <v>150</v>
      </c>
      <c r="C180" s="201">
        <v>1</v>
      </c>
      <c r="D180" s="227">
        <f>1-1</f>
        <v>0</v>
      </c>
      <c r="E180" s="126">
        <f t="shared" si="7"/>
        <v>1</v>
      </c>
      <c r="F180" s="87" t="s">
        <v>9</v>
      </c>
      <c r="G180" s="88"/>
      <c r="H180" s="88"/>
      <c r="I180" s="83">
        <f t="shared" si="6"/>
        <v>0</v>
      </c>
      <c r="J180" s="83">
        <f t="shared" si="6"/>
        <v>0</v>
      </c>
    </row>
    <row r="181" spans="1:10" s="23" customFormat="1" ht="15.75">
      <c r="A181" s="41">
        <v>20.3</v>
      </c>
      <c r="B181" s="39" t="s">
        <v>339</v>
      </c>
      <c r="C181" s="201"/>
      <c r="D181" s="166"/>
      <c r="E181" s="126">
        <f t="shared" si="7"/>
        <v>0</v>
      </c>
      <c r="F181" s="87" t="s">
        <v>9</v>
      </c>
      <c r="G181" s="88"/>
      <c r="H181" s="88"/>
      <c r="I181" s="83">
        <f t="shared" si="6"/>
        <v>0</v>
      </c>
      <c r="J181" s="83">
        <f t="shared" si="6"/>
        <v>0</v>
      </c>
    </row>
    <row r="182" spans="1:10" s="23" customFormat="1" ht="15.75">
      <c r="A182" s="41">
        <v>20.399999999999999</v>
      </c>
      <c r="B182" s="39" t="s">
        <v>357</v>
      </c>
      <c r="C182" s="201"/>
      <c r="D182" s="166"/>
      <c r="E182" s="126">
        <f t="shared" si="7"/>
        <v>0</v>
      </c>
      <c r="F182" s="87" t="s">
        <v>9</v>
      </c>
      <c r="G182" s="88"/>
      <c r="H182" s="88"/>
      <c r="I182" s="83">
        <f t="shared" si="6"/>
        <v>0</v>
      </c>
      <c r="J182" s="83">
        <f t="shared" si="6"/>
        <v>0</v>
      </c>
    </row>
    <row r="183" spans="1:10" s="23" customFormat="1" ht="12.75" customHeight="1">
      <c r="A183" s="31"/>
      <c r="B183" s="39"/>
      <c r="C183" s="201"/>
      <c r="D183" s="166"/>
      <c r="E183" s="126">
        <f t="shared" si="7"/>
        <v>0</v>
      </c>
      <c r="F183" s="87"/>
      <c r="G183" s="97"/>
      <c r="H183" s="98"/>
      <c r="I183" s="83">
        <f t="shared" si="6"/>
        <v>0</v>
      </c>
      <c r="J183" s="83">
        <f t="shared" si="6"/>
        <v>0</v>
      </c>
    </row>
    <row r="184" spans="1:10" s="23" customFormat="1" ht="78.75">
      <c r="A184" s="12">
        <v>21</v>
      </c>
      <c r="B184" s="49" t="s">
        <v>151</v>
      </c>
      <c r="C184" s="205">
        <v>1</v>
      </c>
      <c r="D184" s="170"/>
      <c r="E184" s="126">
        <f t="shared" si="7"/>
        <v>1</v>
      </c>
      <c r="F184" s="87" t="s">
        <v>25</v>
      </c>
      <c r="G184" s="88"/>
      <c r="H184" s="88"/>
      <c r="I184" s="83">
        <f t="shared" si="6"/>
        <v>0</v>
      </c>
      <c r="J184" s="83">
        <f t="shared" si="6"/>
        <v>0</v>
      </c>
    </row>
    <row r="185" spans="1:10" s="23" customFormat="1" ht="12.75" customHeight="1">
      <c r="A185" s="12"/>
      <c r="B185" s="39"/>
      <c r="C185" s="201"/>
      <c r="D185" s="166"/>
      <c r="E185" s="126">
        <f t="shared" si="7"/>
        <v>0</v>
      </c>
      <c r="F185" s="87"/>
      <c r="G185" s="97"/>
      <c r="H185" s="98"/>
      <c r="I185" s="83">
        <f t="shared" si="6"/>
        <v>0</v>
      </c>
      <c r="J185" s="83">
        <f t="shared" si="6"/>
        <v>0</v>
      </c>
    </row>
    <row r="186" spans="1:10" s="23" customFormat="1" ht="47.25">
      <c r="A186" s="12">
        <v>22</v>
      </c>
      <c r="B186" s="39" t="s">
        <v>152</v>
      </c>
      <c r="C186" s="201"/>
      <c r="D186" s="166"/>
      <c r="E186" s="126">
        <v>1</v>
      </c>
      <c r="F186" s="87" t="s">
        <v>25</v>
      </c>
      <c r="G186" s="88"/>
      <c r="H186" s="88"/>
      <c r="I186" s="83">
        <f t="shared" si="6"/>
        <v>0</v>
      </c>
      <c r="J186" s="83">
        <f t="shared" si="6"/>
        <v>0</v>
      </c>
    </row>
    <row r="187" spans="1:10" s="23" customFormat="1" ht="12.75" customHeight="1">
      <c r="A187" s="12"/>
      <c r="B187" s="39"/>
      <c r="C187" s="201"/>
      <c r="D187" s="166"/>
      <c r="E187" s="126">
        <f t="shared" si="7"/>
        <v>0</v>
      </c>
      <c r="F187" s="87"/>
      <c r="G187" s="92"/>
      <c r="H187" s="87"/>
      <c r="I187" s="83">
        <f t="shared" si="6"/>
        <v>0</v>
      </c>
      <c r="J187" s="83">
        <f t="shared" si="6"/>
        <v>0</v>
      </c>
    </row>
    <row r="188" spans="1:10" s="23" customFormat="1" ht="31.5">
      <c r="A188" s="12">
        <v>23</v>
      </c>
      <c r="B188" s="39" t="s">
        <v>153</v>
      </c>
      <c r="C188" s="201">
        <v>4</v>
      </c>
      <c r="D188" s="201">
        <v>2</v>
      </c>
      <c r="E188" s="126">
        <f t="shared" si="7"/>
        <v>6</v>
      </c>
      <c r="F188" s="87" t="s">
        <v>9</v>
      </c>
      <c r="G188" s="88"/>
      <c r="H188" s="88"/>
      <c r="I188" s="83">
        <f t="shared" si="6"/>
        <v>0</v>
      </c>
      <c r="J188" s="83">
        <f t="shared" si="6"/>
        <v>0</v>
      </c>
    </row>
    <row r="189" spans="1:10" s="23" customFormat="1" ht="12.75" customHeight="1">
      <c r="A189" s="36"/>
      <c r="B189" s="34"/>
      <c r="C189" s="192"/>
      <c r="D189" s="163"/>
      <c r="E189" s="126">
        <f t="shared" si="7"/>
        <v>0</v>
      </c>
      <c r="F189" s="87"/>
      <c r="G189" s="98"/>
      <c r="H189" s="98"/>
      <c r="I189" s="83">
        <f t="shared" ref="I189:J228" si="13">+N($E189)*N(G189)</f>
        <v>0</v>
      </c>
      <c r="J189" s="83">
        <f t="shared" si="13"/>
        <v>0</v>
      </c>
    </row>
    <row r="190" spans="1:10" s="23" customFormat="1" ht="29.25" customHeight="1">
      <c r="A190" s="12">
        <v>24</v>
      </c>
      <c r="B190" s="34" t="s">
        <v>367</v>
      </c>
      <c r="C190" s="192">
        <v>3</v>
      </c>
      <c r="D190" s="192">
        <v>0.5</v>
      </c>
      <c r="E190" s="126">
        <f t="shared" si="7"/>
        <v>3.5</v>
      </c>
      <c r="F190" s="87" t="s">
        <v>99</v>
      </c>
      <c r="G190" s="88"/>
      <c r="H190" s="88"/>
      <c r="I190" s="83">
        <f t="shared" si="13"/>
        <v>0</v>
      </c>
      <c r="J190" s="83">
        <f t="shared" si="13"/>
        <v>0</v>
      </c>
    </row>
    <row r="191" spans="1:10" s="23" customFormat="1" ht="12.75" customHeight="1">
      <c r="A191" s="12"/>
      <c r="B191" s="34"/>
      <c r="C191" s="192"/>
      <c r="D191" s="163"/>
      <c r="E191" s="126">
        <f t="shared" si="7"/>
        <v>0</v>
      </c>
      <c r="F191" s="87"/>
      <c r="G191" s="97"/>
      <c r="H191" s="98"/>
      <c r="I191" s="83">
        <f t="shared" si="13"/>
        <v>0</v>
      </c>
      <c r="J191" s="83">
        <f t="shared" si="13"/>
        <v>0</v>
      </c>
    </row>
    <row r="192" spans="1:10" s="23" customFormat="1" ht="190.5" customHeight="1">
      <c r="A192" s="12">
        <v>25</v>
      </c>
      <c r="B192" s="50" t="s">
        <v>154</v>
      </c>
      <c r="C192" s="206"/>
      <c r="D192" s="226">
        <f>4-4</f>
        <v>0</v>
      </c>
      <c r="E192" s="126">
        <f t="shared" si="7"/>
        <v>0</v>
      </c>
      <c r="F192" s="87" t="s">
        <v>9</v>
      </c>
      <c r="G192" s="88"/>
      <c r="H192" s="88"/>
      <c r="I192" s="83">
        <f t="shared" si="13"/>
        <v>0</v>
      </c>
      <c r="J192" s="83">
        <f t="shared" si="13"/>
        <v>0</v>
      </c>
    </row>
    <row r="193" spans="1:11" s="23" customFormat="1" ht="12.75" customHeight="1">
      <c r="A193" s="12"/>
      <c r="B193" s="50"/>
      <c r="C193" s="206"/>
      <c r="D193" s="171"/>
      <c r="E193" s="126">
        <f t="shared" si="7"/>
        <v>0</v>
      </c>
      <c r="F193" s="87"/>
      <c r="G193" s="97"/>
      <c r="H193" s="98"/>
      <c r="I193" s="83">
        <f t="shared" si="13"/>
        <v>0</v>
      </c>
      <c r="J193" s="83">
        <f t="shared" si="13"/>
        <v>0</v>
      </c>
    </row>
    <row r="194" spans="1:11" s="23" customFormat="1" ht="60.6" customHeight="1">
      <c r="A194" s="12">
        <v>26</v>
      </c>
      <c r="B194" s="18" t="s">
        <v>155</v>
      </c>
      <c r="C194" s="207"/>
      <c r="D194" s="172"/>
      <c r="E194" s="126">
        <f t="shared" si="7"/>
        <v>0</v>
      </c>
      <c r="F194" s="87" t="s">
        <v>7</v>
      </c>
      <c r="G194" s="88"/>
      <c r="H194" s="88"/>
      <c r="I194" s="83">
        <f t="shared" si="13"/>
        <v>0</v>
      </c>
      <c r="J194" s="83">
        <f t="shared" si="13"/>
        <v>0</v>
      </c>
    </row>
    <row r="195" spans="1:11" s="23" customFormat="1" ht="12.75" customHeight="1">
      <c r="A195" s="36"/>
      <c r="B195" s="34"/>
      <c r="C195" s="207"/>
      <c r="D195" s="173"/>
      <c r="E195" s="126">
        <f t="shared" si="7"/>
        <v>0</v>
      </c>
      <c r="F195" s="87"/>
      <c r="G195" s="97"/>
      <c r="H195" s="98"/>
      <c r="I195" s="83">
        <f t="shared" si="13"/>
        <v>0</v>
      </c>
      <c r="J195" s="83">
        <f t="shared" si="13"/>
        <v>0</v>
      </c>
    </row>
    <row r="196" spans="1:11" s="52" customFormat="1" ht="15.75">
      <c r="A196" s="12">
        <v>27</v>
      </c>
      <c r="B196" s="14" t="s">
        <v>156</v>
      </c>
      <c r="C196" s="139"/>
      <c r="D196" s="174"/>
      <c r="E196" s="126">
        <f t="shared" si="7"/>
        <v>0</v>
      </c>
      <c r="F196" s="130"/>
      <c r="G196" s="89"/>
      <c r="H196" s="87"/>
      <c r="I196" s="83">
        <f t="shared" si="13"/>
        <v>0</v>
      </c>
      <c r="J196" s="83">
        <f t="shared" si="13"/>
        <v>0</v>
      </c>
      <c r="K196" s="51"/>
    </row>
    <row r="197" spans="1:11" s="52" customFormat="1" ht="126">
      <c r="A197" s="18"/>
      <c r="B197" s="18" t="s">
        <v>157</v>
      </c>
      <c r="C197" s="207"/>
      <c r="D197" s="172"/>
      <c r="E197" s="126">
        <f t="shared" si="7"/>
        <v>0</v>
      </c>
      <c r="F197" s="87"/>
      <c r="G197" s="89"/>
      <c r="H197" s="99"/>
      <c r="I197" s="83">
        <f t="shared" si="13"/>
        <v>0</v>
      </c>
      <c r="J197" s="83">
        <f t="shared" si="13"/>
        <v>0</v>
      </c>
      <c r="K197" s="51"/>
    </row>
    <row r="198" spans="1:11" s="52" customFormat="1" ht="15.75">
      <c r="A198" s="18"/>
      <c r="B198" s="18" t="s">
        <v>158</v>
      </c>
      <c r="C198" s="207"/>
      <c r="D198" s="172"/>
      <c r="E198" s="126">
        <f t="shared" si="7"/>
        <v>0</v>
      </c>
      <c r="F198" s="130" t="s">
        <v>9</v>
      </c>
      <c r="G198" s="89"/>
      <c r="H198" s="87"/>
      <c r="I198" s="83">
        <f t="shared" si="13"/>
        <v>0</v>
      </c>
      <c r="J198" s="83">
        <f t="shared" si="13"/>
        <v>0</v>
      </c>
      <c r="K198" s="51"/>
    </row>
    <row r="199" spans="1:11" s="52" customFormat="1" ht="15.75">
      <c r="A199" s="18"/>
      <c r="B199" s="18" t="s">
        <v>159</v>
      </c>
      <c r="C199" s="207"/>
      <c r="D199" s="172"/>
      <c r="E199" s="126">
        <f t="shared" si="7"/>
        <v>0</v>
      </c>
      <c r="F199" s="130" t="s">
        <v>9</v>
      </c>
      <c r="G199" s="87"/>
      <c r="H199" s="87"/>
      <c r="I199" s="83">
        <f t="shared" si="13"/>
        <v>0</v>
      </c>
      <c r="J199" s="83">
        <f t="shared" si="13"/>
        <v>0</v>
      </c>
      <c r="K199" s="51"/>
    </row>
    <row r="200" spans="1:11" s="52" customFormat="1" ht="15.75">
      <c r="A200" s="18"/>
      <c r="B200" s="18" t="s">
        <v>160</v>
      </c>
      <c r="C200" s="207"/>
      <c r="D200" s="172"/>
      <c r="E200" s="126">
        <f t="shared" si="7"/>
        <v>0</v>
      </c>
      <c r="F200" s="130" t="s">
        <v>9</v>
      </c>
      <c r="G200" s="87"/>
      <c r="H200" s="87"/>
      <c r="I200" s="83">
        <f t="shared" si="13"/>
        <v>0</v>
      </c>
      <c r="J200" s="83">
        <f t="shared" si="13"/>
        <v>0</v>
      </c>
      <c r="K200" s="51"/>
    </row>
    <row r="201" spans="1:11" s="52" customFormat="1" ht="90.6" customHeight="1">
      <c r="A201" s="18"/>
      <c r="B201" s="18" t="s">
        <v>161</v>
      </c>
      <c r="C201" s="207"/>
      <c r="D201" s="172"/>
      <c r="E201" s="126">
        <f t="shared" si="7"/>
        <v>0</v>
      </c>
      <c r="F201" s="130" t="s">
        <v>9</v>
      </c>
      <c r="G201" s="87"/>
      <c r="H201" s="87"/>
      <c r="I201" s="83">
        <f t="shared" si="13"/>
        <v>0</v>
      </c>
      <c r="J201" s="83">
        <f t="shared" si="13"/>
        <v>0</v>
      </c>
      <c r="K201" s="51"/>
    </row>
    <row r="202" spans="1:11" s="52" customFormat="1" ht="15.75">
      <c r="A202" s="18"/>
      <c r="B202" s="18" t="s">
        <v>162</v>
      </c>
      <c r="C202" s="207"/>
      <c r="D202" s="172"/>
      <c r="E202" s="126">
        <f t="shared" si="7"/>
        <v>0</v>
      </c>
      <c r="F202" s="130" t="s">
        <v>9</v>
      </c>
      <c r="G202" s="87"/>
      <c r="H202" s="87"/>
      <c r="I202" s="83">
        <f t="shared" si="13"/>
        <v>0</v>
      </c>
      <c r="J202" s="83">
        <f t="shared" si="13"/>
        <v>0</v>
      </c>
      <c r="K202" s="51"/>
    </row>
    <row r="203" spans="1:11" s="52" customFormat="1" ht="15.75">
      <c r="A203" s="18"/>
      <c r="B203" s="18" t="s">
        <v>163</v>
      </c>
      <c r="C203" s="207"/>
      <c r="D203" s="172"/>
      <c r="E203" s="126">
        <f t="shared" ref="E203:E231" si="14">C203+D203</f>
        <v>0</v>
      </c>
      <c r="F203" s="130" t="s">
        <v>9</v>
      </c>
      <c r="G203" s="87"/>
      <c r="H203" s="87"/>
      <c r="I203" s="83">
        <f t="shared" si="13"/>
        <v>0</v>
      </c>
      <c r="J203" s="83">
        <f t="shared" si="13"/>
        <v>0</v>
      </c>
      <c r="K203" s="51"/>
    </row>
    <row r="204" spans="1:11" s="52" customFormat="1" ht="15.75">
      <c r="A204" s="18"/>
      <c r="B204" s="18" t="s">
        <v>164</v>
      </c>
      <c r="C204" s="207"/>
      <c r="D204" s="172"/>
      <c r="E204" s="126">
        <f t="shared" si="14"/>
        <v>0</v>
      </c>
      <c r="F204" s="130" t="s">
        <v>9</v>
      </c>
      <c r="G204" s="87"/>
      <c r="H204" s="87"/>
      <c r="I204" s="83">
        <f t="shared" si="13"/>
        <v>0</v>
      </c>
      <c r="J204" s="83">
        <f t="shared" si="13"/>
        <v>0</v>
      </c>
      <c r="K204" s="51"/>
    </row>
    <row r="205" spans="1:11" s="52" customFormat="1" ht="15.75">
      <c r="A205" s="18"/>
      <c r="B205" s="18" t="s">
        <v>165</v>
      </c>
      <c r="C205" s="207"/>
      <c r="D205" s="172"/>
      <c r="E205" s="126">
        <f t="shared" si="14"/>
        <v>0</v>
      </c>
      <c r="F205" s="130" t="s">
        <v>9</v>
      </c>
      <c r="G205" s="87"/>
      <c r="H205" s="87"/>
      <c r="I205" s="83">
        <f t="shared" si="13"/>
        <v>0</v>
      </c>
      <c r="J205" s="83">
        <f t="shared" si="13"/>
        <v>0</v>
      </c>
      <c r="K205" s="51"/>
    </row>
    <row r="206" spans="1:11" s="52" customFormat="1" ht="15.75">
      <c r="A206" s="18"/>
      <c r="B206" s="18" t="s">
        <v>166</v>
      </c>
      <c r="C206" s="207"/>
      <c r="D206" s="172"/>
      <c r="E206" s="126">
        <f t="shared" si="14"/>
        <v>0</v>
      </c>
      <c r="F206" s="130" t="s">
        <v>9</v>
      </c>
      <c r="G206" s="87"/>
      <c r="H206" s="87"/>
      <c r="I206" s="83">
        <f t="shared" si="13"/>
        <v>0</v>
      </c>
      <c r="J206" s="83">
        <f t="shared" si="13"/>
        <v>0</v>
      </c>
      <c r="K206" s="51"/>
    </row>
    <row r="207" spans="1:11" s="52" customFormat="1" ht="15.75">
      <c r="A207" s="18"/>
      <c r="B207" s="18" t="s">
        <v>167</v>
      </c>
      <c r="C207" s="207"/>
      <c r="D207" s="172"/>
      <c r="E207" s="126">
        <f t="shared" si="14"/>
        <v>0</v>
      </c>
      <c r="F207" s="130" t="s">
        <v>9</v>
      </c>
      <c r="G207" s="87"/>
      <c r="H207" s="87"/>
      <c r="I207" s="83">
        <f t="shared" si="13"/>
        <v>0</v>
      </c>
      <c r="J207" s="83">
        <f t="shared" si="13"/>
        <v>0</v>
      </c>
      <c r="K207" s="51"/>
    </row>
    <row r="208" spans="1:11" s="52" customFormat="1" ht="15.75">
      <c r="A208" s="18"/>
      <c r="B208" s="18" t="s">
        <v>168</v>
      </c>
      <c r="C208" s="207"/>
      <c r="D208" s="172"/>
      <c r="E208" s="126">
        <f t="shared" si="14"/>
        <v>0</v>
      </c>
      <c r="F208" s="130" t="s">
        <v>9</v>
      </c>
      <c r="G208" s="87"/>
      <c r="H208" s="87"/>
      <c r="I208" s="83">
        <f t="shared" si="13"/>
        <v>0</v>
      </c>
      <c r="J208" s="83">
        <f t="shared" si="13"/>
        <v>0</v>
      </c>
      <c r="K208" s="51"/>
    </row>
    <row r="209" spans="1:11" s="52" customFormat="1" ht="15.75">
      <c r="A209" s="18"/>
      <c r="B209" s="18" t="s">
        <v>169</v>
      </c>
      <c r="C209" s="207"/>
      <c r="D209" s="172"/>
      <c r="E209" s="126">
        <f t="shared" si="14"/>
        <v>0</v>
      </c>
      <c r="F209" s="130" t="s">
        <v>9</v>
      </c>
      <c r="G209" s="89"/>
      <c r="H209" s="87"/>
      <c r="I209" s="83">
        <f t="shared" si="13"/>
        <v>0</v>
      </c>
      <c r="J209" s="83">
        <f t="shared" si="13"/>
        <v>0</v>
      </c>
      <c r="K209" s="51"/>
    </row>
    <row r="210" spans="1:11" s="52" customFormat="1" ht="15.75">
      <c r="A210" s="18"/>
      <c r="B210" s="18" t="s">
        <v>170</v>
      </c>
      <c r="C210" s="207"/>
      <c r="D210" s="172"/>
      <c r="E210" s="126">
        <f t="shared" si="14"/>
        <v>0</v>
      </c>
      <c r="F210" s="130" t="s">
        <v>9</v>
      </c>
      <c r="G210" s="89"/>
      <c r="H210" s="87"/>
      <c r="I210" s="83">
        <f t="shared" si="13"/>
        <v>0</v>
      </c>
      <c r="J210" s="83">
        <f t="shared" si="13"/>
        <v>0</v>
      </c>
      <c r="K210" s="51"/>
    </row>
    <row r="211" spans="1:11" s="52" customFormat="1" ht="220.5">
      <c r="A211" s="46"/>
      <c r="B211" s="18" t="s">
        <v>171</v>
      </c>
      <c r="C211" s="207"/>
      <c r="D211" s="172"/>
      <c r="E211" s="126">
        <f t="shared" si="14"/>
        <v>0</v>
      </c>
      <c r="F211" s="130"/>
      <c r="G211" s="89"/>
      <c r="H211" s="87"/>
      <c r="I211" s="83">
        <f t="shared" si="13"/>
        <v>0</v>
      </c>
      <c r="J211" s="83">
        <f t="shared" si="13"/>
        <v>0</v>
      </c>
      <c r="K211" s="51"/>
    </row>
    <row r="212" spans="1:11" s="52" customFormat="1" ht="15.75">
      <c r="A212" s="46"/>
      <c r="B212" s="18" t="s">
        <v>172</v>
      </c>
      <c r="C212" s="207"/>
      <c r="D212" s="172"/>
      <c r="E212" s="126">
        <f t="shared" si="14"/>
        <v>0</v>
      </c>
      <c r="F212" s="89" t="s">
        <v>9</v>
      </c>
      <c r="G212" s="89"/>
      <c r="H212" s="89"/>
      <c r="I212" s="83">
        <f t="shared" si="13"/>
        <v>0</v>
      </c>
      <c r="J212" s="83">
        <f t="shared" si="13"/>
        <v>0</v>
      </c>
      <c r="K212" s="51"/>
    </row>
    <row r="213" spans="1:11" s="52" customFormat="1" ht="15.75">
      <c r="A213" s="46"/>
      <c r="B213" s="18" t="s">
        <v>173</v>
      </c>
      <c r="C213" s="207"/>
      <c r="D213" s="172"/>
      <c r="E213" s="126">
        <f t="shared" si="14"/>
        <v>0</v>
      </c>
      <c r="F213" s="89" t="s">
        <v>9</v>
      </c>
      <c r="G213" s="89"/>
      <c r="H213" s="89"/>
      <c r="I213" s="83">
        <f t="shared" si="13"/>
        <v>0</v>
      </c>
      <c r="J213" s="83">
        <f t="shared" si="13"/>
        <v>0</v>
      </c>
      <c r="K213" s="51"/>
    </row>
    <row r="214" spans="1:11" s="52" customFormat="1" ht="15.75">
      <c r="A214" s="46"/>
      <c r="B214" s="18" t="s">
        <v>174</v>
      </c>
      <c r="C214" s="207"/>
      <c r="D214" s="172"/>
      <c r="E214" s="126">
        <f t="shared" si="14"/>
        <v>0</v>
      </c>
      <c r="F214" s="89" t="s">
        <v>9</v>
      </c>
      <c r="G214" s="89"/>
      <c r="H214" s="89"/>
      <c r="I214" s="83">
        <f t="shared" si="13"/>
        <v>0</v>
      </c>
      <c r="J214" s="83">
        <f t="shared" si="13"/>
        <v>0</v>
      </c>
      <c r="K214" s="51"/>
    </row>
    <row r="215" spans="1:11" s="23" customFormat="1" ht="12.75" customHeight="1">
      <c r="A215" s="36"/>
      <c r="B215" s="18"/>
      <c r="C215" s="207"/>
      <c r="D215" s="172"/>
      <c r="E215" s="126">
        <f t="shared" si="14"/>
        <v>0</v>
      </c>
      <c r="F215" s="89"/>
      <c r="G215" s="89"/>
      <c r="H215" s="89"/>
      <c r="I215" s="83">
        <f t="shared" si="13"/>
        <v>0</v>
      </c>
      <c r="J215" s="83">
        <f t="shared" si="13"/>
        <v>0</v>
      </c>
    </row>
    <row r="216" spans="1:11" s="52" customFormat="1" ht="141.75">
      <c r="A216" s="20">
        <v>38</v>
      </c>
      <c r="B216" s="18" t="s">
        <v>175</v>
      </c>
      <c r="C216" s="207"/>
      <c r="D216" s="172"/>
      <c r="E216" s="126">
        <f t="shared" si="14"/>
        <v>0</v>
      </c>
      <c r="F216" s="89"/>
      <c r="G216" s="89"/>
      <c r="H216" s="89"/>
      <c r="I216" s="83">
        <f t="shared" si="13"/>
        <v>0</v>
      </c>
      <c r="J216" s="83">
        <f t="shared" si="13"/>
        <v>0</v>
      </c>
      <c r="K216" s="51"/>
    </row>
    <row r="217" spans="1:11" s="52" customFormat="1" ht="15.75">
      <c r="A217" s="20">
        <f>A216+0.1</f>
        <v>38.1</v>
      </c>
      <c r="B217" s="18" t="s">
        <v>176</v>
      </c>
      <c r="C217" s="207"/>
      <c r="D217" s="172"/>
      <c r="E217" s="126">
        <f t="shared" si="14"/>
        <v>0</v>
      </c>
      <c r="F217" s="89" t="s">
        <v>9</v>
      </c>
      <c r="G217" s="89"/>
      <c r="H217" s="89"/>
      <c r="I217" s="83">
        <f t="shared" si="13"/>
        <v>0</v>
      </c>
      <c r="J217" s="83">
        <f t="shared" si="13"/>
        <v>0</v>
      </c>
      <c r="K217" s="51"/>
    </row>
    <row r="218" spans="1:11" s="52" customFormat="1" ht="15.75">
      <c r="A218" s="20">
        <f>A217+0.1</f>
        <v>38.200000000000003</v>
      </c>
      <c r="B218" s="18" t="s">
        <v>177</v>
      </c>
      <c r="C218" s="207"/>
      <c r="D218" s="172"/>
      <c r="E218" s="126">
        <f t="shared" si="14"/>
        <v>0</v>
      </c>
      <c r="F218" s="89" t="s">
        <v>9</v>
      </c>
      <c r="G218" s="89"/>
      <c r="H218" s="89"/>
      <c r="I218" s="83">
        <f t="shared" si="13"/>
        <v>0</v>
      </c>
      <c r="J218" s="83">
        <f t="shared" si="13"/>
        <v>0</v>
      </c>
      <c r="K218" s="51"/>
    </row>
    <row r="219" spans="1:11" s="52" customFormat="1" ht="15.75">
      <c r="A219" s="20">
        <f t="shared" ref="A219:A231" si="15">A218+0.1</f>
        <v>38.300000000000004</v>
      </c>
      <c r="B219" s="18" t="s">
        <v>178</v>
      </c>
      <c r="C219" s="207"/>
      <c r="D219" s="172"/>
      <c r="E219" s="126">
        <f t="shared" si="14"/>
        <v>0</v>
      </c>
      <c r="F219" s="89" t="s">
        <v>9</v>
      </c>
      <c r="G219" s="89"/>
      <c r="H219" s="89"/>
      <c r="I219" s="83">
        <f t="shared" si="13"/>
        <v>0</v>
      </c>
      <c r="J219" s="83">
        <f t="shared" si="13"/>
        <v>0</v>
      </c>
      <c r="K219" s="51"/>
    </row>
    <row r="220" spans="1:11" s="52" customFormat="1" ht="15.75">
      <c r="A220" s="20">
        <f t="shared" si="15"/>
        <v>38.400000000000006</v>
      </c>
      <c r="B220" s="18" t="s">
        <v>179</v>
      </c>
      <c r="C220" s="207"/>
      <c r="D220" s="172"/>
      <c r="E220" s="126">
        <f t="shared" si="14"/>
        <v>0</v>
      </c>
      <c r="F220" s="89" t="s">
        <v>9</v>
      </c>
      <c r="G220" s="89"/>
      <c r="H220" s="89"/>
      <c r="I220" s="83">
        <f t="shared" si="13"/>
        <v>0</v>
      </c>
      <c r="J220" s="83">
        <f t="shared" si="13"/>
        <v>0</v>
      </c>
      <c r="K220" s="51"/>
    </row>
    <row r="221" spans="1:11" s="52" customFormat="1" ht="15.75">
      <c r="A221" s="20">
        <f t="shared" si="15"/>
        <v>38.500000000000007</v>
      </c>
      <c r="B221" s="18" t="s">
        <v>180</v>
      </c>
      <c r="C221" s="207"/>
      <c r="D221" s="172"/>
      <c r="E221" s="126">
        <f t="shared" si="14"/>
        <v>0</v>
      </c>
      <c r="F221" s="89" t="s">
        <v>9</v>
      </c>
      <c r="G221" s="89"/>
      <c r="H221" s="89"/>
      <c r="I221" s="83">
        <f t="shared" si="13"/>
        <v>0</v>
      </c>
      <c r="J221" s="83">
        <f t="shared" si="13"/>
        <v>0</v>
      </c>
      <c r="K221" s="51"/>
    </row>
    <row r="222" spans="1:11" s="52" customFormat="1" ht="15.75">
      <c r="A222" s="20">
        <f t="shared" si="15"/>
        <v>38.600000000000009</v>
      </c>
      <c r="B222" s="18" t="s">
        <v>164</v>
      </c>
      <c r="C222" s="207"/>
      <c r="D222" s="172"/>
      <c r="E222" s="126">
        <f t="shared" si="14"/>
        <v>0</v>
      </c>
      <c r="F222" s="89" t="s">
        <v>9</v>
      </c>
      <c r="G222" s="89"/>
      <c r="H222" s="89"/>
      <c r="I222" s="83">
        <f t="shared" si="13"/>
        <v>0</v>
      </c>
      <c r="J222" s="83">
        <f t="shared" si="13"/>
        <v>0</v>
      </c>
      <c r="K222" s="51"/>
    </row>
    <row r="223" spans="1:11" s="52" customFormat="1" ht="15.75">
      <c r="A223" s="20">
        <f t="shared" si="15"/>
        <v>38.70000000000001</v>
      </c>
      <c r="B223" s="18" t="s">
        <v>181</v>
      </c>
      <c r="C223" s="207"/>
      <c r="D223" s="172"/>
      <c r="E223" s="126">
        <f t="shared" si="14"/>
        <v>0</v>
      </c>
      <c r="F223" s="89" t="s">
        <v>9</v>
      </c>
      <c r="G223" s="89"/>
      <c r="H223" s="89"/>
      <c r="I223" s="83">
        <f t="shared" si="13"/>
        <v>0</v>
      </c>
      <c r="J223" s="83">
        <f t="shared" si="13"/>
        <v>0</v>
      </c>
      <c r="K223" s="51"/>
    </row>
    <row r="224" spans="1:11" s="52" customFormat="1" ht="15.75">
      <c r="A224" s="20">
        <f t="shared" si="15"/>
        <v>38.800000000000011</v>
      </c>
      <c r="B224" s="18" t="s">
        <v>167</v>
      </c>
      <c r="C224" s="207"/>
      <c r="D224" s="172"/>
      <c r="E224" s="126">
        <f t="shared" si="14"/>
        <v>0</v>
      </c>
      <c r="F224" s="89" t="s">
        <v>9</v>
      </c>
      <c r="G224" s="89"/>
      <c r="H224" s="89"/>
      <c r="I224" s="83">
        <f t="shared" si="13"/>
        <v>0</v>
      </c>
      <c r="J224" s="83">
        <f t="shared" si="13"/>
        <v>0</v>
      </c>
      <c r="K224" s="51"/>
    </row>
    <row r="225" spans="1:11" s="52" customFormat="1" ht="15.75">
      <c r="A225" s="20">
        <f t="shared" si="15"/>
        <v>38.900000000000013</v>
      </c>
      <c r="B225" s="18" t="s">
        <v>182</v>
      </c>
      <c r="C225" s="207"/>
      <c r="D225" s="172"/>
      <c r="E225" s="126">
        <f t="shared" si="14"/>
        <v>0</v>
      </c>
      <c r="F225" s="89" t="s">
        <v>9</v>
      </c>
      <c r="G225" s="89"/>
      <c r="H225" s="89"/>
      <c r="I225" s="83">
        <f t="shared" si="13"/>
        <v>0</v>
      </c>
      <c r="J225" s="83">
        <f t="shared" si="13"/>
        <v>0</v>
      </c>
      <c r="K225" s="51"/>
    </row>
    <row r="226" spans="1:11" s="52" customFormat="1" ht="15.75">
      <c r="A226" s="20">
        <f t="shared" si="15"/>
        <v>39.000000000000014</v>
      </c>
      <c r="B226" s="18" t="s">
        <v>183</v>
      </c>
      <c r="C226" s="207"/>
      <c r="D226" s="172"/>
      <c r="E226" s="126">
        <f t="shared" si="14"/>
        <v>0</v>
      </c>
      <c r="F226" s="89" t="s">
        <v>9</v>
      </c>
      <c r="G226" s="89"/>
      <c r="H226" s="89"/>
      <c r="I226" s="83">
        <f t="shared" si="13"/>
        <v>0</v>
      </c>
      <c r="J226" s="83">
        <f t="shared" si="13"/>
        <v>0</v>
      </c>
      <c r="K226" s="51"/>
    </row>
    <row r="227" spans="1:11" s="52" customFormat="1" ht="15.75">
      <c r="A227" s="20">
        <f t="shared" si="15"/>
        <v>39.100000000000016</v>
      </c>
      <c r="B227" s="18" t="s">
        <v>184</v>
      </c>
      <c r="C227" s="207"/>
      <c r="D227" s="172"/>
      <c r="E227" s="126">
        <f t="shared" si="14"/>
        <v>0</v>
      </c>
      <c r="F227" s="89" t="s">
        <v>9</v>
      </c>
      <c r="G227" s="89"/>
      <c r="H227" s="89"/>
      <c r="I227" s="83">
        <f t="shared" si="13"/>
        <v>0</v>
      </c>
      <c r="J227" s="83">
        <f t="shared" si="13"/>
        <v>0</v>
      </c>
      <c r="K227" s="51"/>
    </row>
    <row r="228" spans="1:11" s="52" customFormat="1" ht="15.75">
      <c r="A228" s="20">
        <f t="shared" si="15"/>
        <v>39.200000000000017</v>
      </c>
      <c r="B228" s="18" t="s">
        <v>185</v>
      </c>
      <c r="C228" s="207"/>
      <c r="D228" s="172"/>
      <c r="E228" s="126">
        <f t="shared" si="14"/>
        <v>0</v>
      </c>
      <c r="F228" s="89" t="s">
        <v>9</v>
      </c>
      <c r="G228" s="89"/>
      <c r="H228" s="89"/>
      <c r="I228" s="83">
        <f t="shared" si="13"/>
        <v>0</v>
      </c>
      <c r="J228" s="83">
        <f t="shared" si="13"/>
        <v>0</v>
      </c>
      <c r="K228" s="51"/>
    </row>
    <row r="229" spans="1:11" s="51" customFormat="1" ht="15.75">
      <c r="A229" s="20"/>
      <c r="B229" s="18"/>
      <c r="C229" s="207"/>
      <c r="D229" s="172"/>
      <c r="E229" s="126">
        <f t="shared" si="14"/>
        <v>0</v>
      </c>
      <c r="F229" s="89"/>
      <c r="G229" s="89"/>
      <c r="H229" s="89"/>
      <c r="I229" s="83"/>
      <c r="J229" s="83"/>
    </row>
    <row r="230" spans="1:11" s="51" customFormat="1" ht="15.75">
      <c r="A230" s="20">
        <v>40</v>
      </c>
      <c r="B230" s="14" t="s">
        <v>344</v>
      </c>
      <c r="C230" s="139"/>
      <c r="D230" s="174"/>
      <c r="E230" s="126">
        <f t="shared" si="14"/>
        <v>0</v>
      </c>
      <c r="F230" s="89"/>
      <c r="G230" s="89"/>
      <c r="H230" s="89"/>
      <c r="I230" s="83">
        <f t="shared" ref="I230:I232" si="16">+N($E230)*N(G230)</f>
        <v>0</v>
      </c>
      <c r="J230" s="83">
        <f t="shared" ref="J230:J232" si="17">+N($E230)*N(H230)</f>
        <v>0</v>
      </c>
    </row>
    <row r="231" spans="1:11" s="51" customFormat="1" ht="31.5">
      <c r="A231" s="20">
        <f t="shared" si="15"/>
        <v>40.1</v>
      </c>
      <c r="B231" s="18" t="s">
        <v>355</v>
      </c>
      <c r="C231" s="207"/>
      <c r="D231" s="172"/>
      <c r="E231" s="126">
        <f t="shared" si="14"/>
        <v>0</v>
      </c>
      <c r="F231" s="89" t="s">
        <v>10</v>
      </c>
      <c r="G231" s="89"/>
      <c r="H231" s="89"/>
      <c r="I231" s="83">
        <f t="shared" si="16"/>
        <v>0</v>
      </c>
      <c r="J231" s="83">
        <f t="shared" si="17"/>
        <v>0</v>
      </c>
    </row>
    <row r="232" spans="1:11" s="23" customFormat="1" ht="12.75" customHeight="1">
      <c r="A232" s="20"/>
      <c r="B232" s="18"/>
      <c r="C232" s="207"/>
      <c r="D232" s="172"/>
      <c r="E232" s="89"/>
      <c r="F232" s="89"/>
      <c r="G232" s="89"/>
      <c r="H232" s="89"/>
      <c r="I232" s="83">
        <f t="shared" si="16"/>
        <v>0</v>
      </c>
      <c r="J232" s="83">
        <f t="shared" si="17"/>
        <v>0</v>
      </c>
    </row>
    <row r="233" spans="1:11" s="23" customFormat="1" ht="15.75">
      <c r="A233" s="53"/>
      <c r="B233" s="54" t="s">
        <v>186</v>
      </c>
      <c r="C233" s="208"/>
      <c r="D233" s="175"/>
      <c r="E233" s="127"/>
      <c r="F233" s="127"/>
      <c r="G233" s="95"/>
      <c r="H233" s="95"/>
      <c r="I233" s="96">
        <f>SUM(I81:I232)</f>
        <v>0</v>
      </c>
      <c r="J233" s="96">
        <f>SUM(J81:J232)</f>
        <v>0</v>
      </c>
    </row>
    <row r="234" spans="1:11" s="23" customFormat="1" ht="12.75" customHeight="1">
      <c r="A234" s="55"/>
      <c r="B234" s="56"/>
      <c r="C234" s="209"/>
      <c r="D234" s="176"/>
      <c r="E234" s="126"/>
      <c r="F234" s="89"/>
      <c r="G234" s="89"/>
      <c r="H234" s="89"/>
      <c r="I234" s="89"/>
      <c r="J234" s="89"/>
    </row>
    <row r="235" spans="1:11" s="23" customFormat="1" ht="12.75" customHeight="1">
      <c r="A235" s="12" t="s">
        <v>19</v>
      </c>
      <c r="B235" s="13" t="s">
        <v>38</v>
      </c>
      <c r="C235" s="197"/>
      <c r="D235" s="161"/>
      <c r="E235" s="126">
        <f t="shared" ref="E235:E242" si="18">C235+D235</f>
        <v>0</v>
      </c>
      <c r="F235" s="89"/>
      <c r="G235" s="89"/>
      <c r="H235" s="89"/>
      <c r="I235" s="89"/>
      <c r="J235" s="89"/>
    </row>
    <row r="236" spans="1:11" s="23" customFormat="1" ht="12.75" customHeight="1">
      <c r="A236" s="57"/>
      <c r="B236" s="16"/>
      <c r="C236" s="191"/>
      <c r="D236" s="156"/>
      <c r="E236" s="126">
        <f t="shared" si="18"/>
        <v>0</v>
      </c>
      <c r="F236" s="89"/>
      <c r="G236" s="100"/>
      <c r="H236" s="87"/>
      <c r="I236" s="87"/>
      <c r="J236" s="87"/>
    </row>
    <row r="237" spans="1:11" s="23" customFormat="1" ht="141.75">
      <c r="A237" s="12">
        <v>1</v>
      </c>
      <c r="B237" s="22" t="s">
        <v>187</v>
      </c>
      <c r="C237" s="210">
        <v>170</v>
      </c>
      <c r="D237" s="210">
        <v>85</v>
      </c>
      <c r="E237" s="126">
        <f t="shared" si="18"/>
        <v>255</v>
      </c>
      <c r="F237" s="87" t="s">
        <v>7</v>
      </c>
      <c r="G237" s="88"/>
      <c r="H237" s="88"/>
      <c r="I237" s="83">
        <f t="shared" ref="I237:J243" si="19">+N($E237)*N(G237)</f>
        <v>0</v>
      </c>
      <c r="J237" s="83">
        <f t="shared" si="19"/>
        <v>0</v>
      </c>
    </row>
    <row r="238" spans="1:11" s="23" customFormat="1" ht="15.75">
      <c r="A238" s="12">
        <v>1.1000000000000001</v>
      </c>
      <c r="B238" s="22" t="s">
        <v>342</v>
      </c>
      <c r="C238" s="210"/>
      <c r="D238" s="210">
        <v>20</v>
      </c>
      <c r="E238" s="126">
        <f t="shared" si="18"/>
        <v>20</v>
      </c>
      <c r="F238" s="87" t="s">
        <v>7</v>
      </c>
      <c r="G238" s="88"/>
      <c r="H238" s="88"/>
      <c r="I238" s="83">
        <f t="shared" ref="I238" si="20">+N($E238)*N(G238)</f>
        <v>0</v>
      </c>
      <c r="J238" s="83">
        <f t="shared" ref="J238" si="21">+N($E238)*N(H238)</f>
        <v>0</v>
      </c>
    </row>
    <row r="239" spans="1:11" s="23" customFormat="1" ht="12.75" customHeight="1">
      <c r="A239" s="12"/>
      <c r="B239" s="16"/>
      <c r="C239" s="211"/>
      <c r="D239" s="211"/>
      <c r="E239" s="126">
        <f t="shared" si="18"/>
        <v>0</v>
      </c>
      <c r="F239" s="89"/>
      <c r="G239" s="100"/>
      <c r="H239" s="87"/>
      <c r="I239" s="83">
        <f t="shared" si="19"/>
        <v>0</v>
      </c>
      <c r="J239" s="83">
        <f t="shared" si="19"/>
        <v>0</v>
      </c>
    </row>
    <row r="240" spans="1:11" s="23" customFormat="1" ht="166.5" customHeight="1">
      <c r="A240" s="12">
        <v>2</v>
      </c>
      <c r="B240" s="22" t="s">
        <v>188</v>
      </c>
      <c r="C240" s="210">
        <v>50</v>
      </c>
      <c r="D240" s="210">
        <v>20</v>
      </c>
      <c r="E240" s="126">
        <f t="shared" si="18"/>
        <v>70</v>
      </c>
      <c r="F240" s="87" t="s">
        <v>7</v>
      </c>
      <c r="G240" s="88"/>
      <c r="H240" s="88"/>
      <c r="I240" s="83">
        <f t="shared" si="19"/>
        <v>0</v>
      </c>
      <c r="J240" s="83">
        <f t="shared" si="19"/>
        <v>0</v>
      </c>
    </row>
    <row r="241" spans="1:10" s="23" customFormat="1" ht="12.75" customHeight="1">
      <c r="A241" s="12"/>
      <c r="B241" s="22"/>
      <c r="C241" s="193"/>
      <c r="D241" s="157"/>
      <c r="E241" s="126">
        <f t="shared" si="18"/>
        <v>0</v>
      </c>
      <c r="F241" s="87"/>
      <c r="G241" s="92"/>
      <c r="H241" s="87"/>
      <c r="I241" s="83">
        <f t="shared" si="19"/>
        <v>0</v>
      </c>
      <c r="J241" s="83">
        <f t="shared" si="19"/>
        <v>0</v>
      </c>
    </row>
    <row r="242" spans="1:10" s="23" customFormat="1" ht="94.5">
      <c r="A242" s="12">
        <v>3</v>
      </c>
      <c r="B242" s="22" t="s">
        <v>189</v>
      </c>
      <c r="C242" s="193"/>
      <c r="D242" s="193">
        <v>80</v>
      </c>
      <c r="E242" s="126">
        <f t="shared" si="18"/>
        <v>80</v>
      </c>
      <c r="F242" s="87" t="s">
        <v>7</v>
      </c>
      <c r="G242" s="88"/>
      <c r="H242" s="88"/>
      <c r="I242" s="83">
        <f t="shared" si="19"/>
        <v>0</v>
      </c>
      <c r="J242" s="83">
        <f t="shared" si="19"/>
        <v>0</v>
      </c>
    </row>
    <row r="243" spans="1:10" s="23" customFormat="1" ht="12.75" customHeight="1">
      <c r="A243" s="58"/>
      <c r="B243" s="18"/>
      <c r="C243" s="192"/>
      <c r="D243" s="155"/>
      <c r="E243" s="126"/>
      <c r="F243" s="87"/>
      <c r="G243" s="92"/>
      <c r="H243" s="92"/>
      <c r="I243" s="83">
        <f t="shared" si="19"/>
        <v>0</v>
      </c>
      <c r="J243" s="83">
        <f t="shared" si="19"/>
        <v>0</v>
      </c>
    </row>
    <row r="244" spans="1:10" s="23" customFormat="1" ht="15.75">
      <c r="A244" s="53"/>
      <c r="B244" s="25" t="s">
        <v>190</v>
      </c>
      <c r="C244" s="212"/>
      <c r="D244" s="177"/>
      <c r="E244" s="101"/>
      <c r="F244" s="101"/>
      <c r="G244" s="101"/>
      <c r="H244" s="101"/>
      <c r="I244" s="96">
        <f>SUM(I237:I243)</f>
        <v>0</v>
      </c>
      <c r="J244" s="96">
        <f>SUM(J237:J243)</f>
        <v>0</v>
      </c>
    </row>
    <row r="245" spans="1:10" s="23" customFormat="1" ht="12.75" customHeight="1">
      <c r="A245" s="29"/>
      <c r="B245" s="29"/>
      <c r="C245" s="196"/>
      <c r="D245" s="160"/>
      <c r="E245" s="126"/>
      <c r="F245" s="85"/>
      <c r="G245" s="91"/>
      <c r="H245" s="91"/>
      <c r="I245" s="83">
        <f t="shared" ref="I245:J284" si="22">+N($E245)*N(G245)</f>
        <v>0</v>
      </c>
      <c r="J245" s="83">
        <f t="shared" si="22"/>
        <v>0</v>
      </c>
    </row>
    <row r="246" spans="1:10" ht="31.5">
      <c r="A246" s="12" t="s">
        <v>15</v>
      </c>
      <c r="B246" s="13" t="s">
        <v>191</v>
      </c>
      <c r="C246" s="197"/>
      <c r="D246" s="161"/>
      <c r="E246" s="126">
        <f t="shared" ref="E246:E309" si="23">C246+D246</f>
        <v>0</v>
      </c>
      <c r="F246" s="89"/>
      <c r="G246" s="92"/>
      <c r="H246" s="92"/>
      <c r="I246" s="83">
        <f t="shared" si="22"/>
        <v>0</v>
      </c>
      <c r="J246" s="83">
        <f t="shared" si="22"/>
        <v>0</v>
      </c>
    </row>
    <row r="247" spans="1:10" ht="15.75">
      <c r="A247" s="12"/>
      <c r="B247" s="13"/>
      <c r="C247" s="197"/>
      <c r="D247" s="161"/>
      <c r="E247" s="126">
        <f t="shared" si="23"/>
        <v>0</v>
      </c>
      <c r="F247" s="89"/>
      <c r="G247" s="92"/>
      <c r="H247" s="92"/>
      <c r="I247" s="83">
        <f t="shared" si="22"/>
        <v>0</v>
      </c>
      <c r="J247" s="83">
        <f t="shared" si="22"/>
        <v>0</v>
      </c>
    </row>
    <row r="248" spans="1:10" ht="126">
      <c r="A248" s="12">
        <v>1</v>
      </c>
      <c r="B248" s="22" t="s">
        <v>192</v>
      </c>
      <c r="C248" s="193"/>
      <c r="D248" s="157"/>
      <c r="E248" s="126">
        <f t="shared" si="23"/>
        <v>0</v>
      </c>
      <c r="F248" s="85"/>
      <c r="G248" s="92"/>
      <c r="H248" s="92"/>
      <c r="I248" s="83">
        <f t="shared" si="22"/>
        <v>0</v>
      </c>
      <c r="J248" s="83">
        <f t="shared" si="22"/>
        <v>0</v>
      </c>
    </row>
    <row r="249" spans="1:10" ht="63">
      <c r="A249" s="59"/>
      <c r="B249" s="22" t="s">
        <v>193</v>
      </c>
      <c r="C249" s="193"/>
      <c r="D249" s="157"/>
      <c r="E249" s="126">
        <f t="shared" si="23"/>
        <v>0</v>
      </c>
      <c r="F249" s="85"/>
      <c r="G249" s="92"/>
      <c r="H249" s="92"/>
      <c r="I249" s="83">
        <f t="shared" si="22"/>
        <v>0</v>
      </c>
      <c r="J249" s="83">
        <f t="shared" si="22"/>
        <v>0</v>
      </c>
    </row>
    <row r="250" spans="1:10" ht="47.25">
      <c r="A250" s="59"/>
      <c r="B250" s="22" t="s">
        <v>194</v>
      </c>
      <c r="C250" s="193"/>
      <c r="D250" s="157"/>
      <c r="E250" s="126">
        <f t="shared" si="23"/>
        <v>0</v>
      </c>
      <c r="F250" s="85"/>
      <c r="G250" s="92"/>
      <c r="H250" s="92"/>
      <c r="I250" s="83">
        <f t="shared" si="22"/>
        <v>0</v>
      </c>
      <c r="J250" s="83">
        <f t="shared" si="22"/>
        <v>0</v>
      </c>
    </row>
    <row r="251" spans="1:10" ht="110.25">
      <c r="A251" s="59"/>
      <c r="B251" s="22" t="s">
        <v>195</v>
      </c>
      <c r="C251" s="193"/>
      <c r="D251" s="157"/>
      <c r="E251" s="126">
        <f t="shared" si="23"/>
        <v>0</v>
      </c>
      <c r="F251" s="85"/>
      <c r="G251" s="92"/>
      <c r="H251" s="92"/>
      <c r="I251" s="83">
        <f t="shared" si="22"/>
        <v>0</v>
      </c>
      <c r="J251" s="83">
        <f t="shared" si="22"/>
        <v>0</v>
      </c>
    </row>
    <row r="252" spans="1:10" ht="31.5">
      <c r="A252" s="59"/>
      <c r="B252" s="22" t="s">
        <v>196</v>
      </c>
      <c r="C252" s="193"/>
      <c r="D252" s="157"/>
      <c r="E252" s="126">
        <f t="shared" si="23"/>
        <v>0</v>
      </c>
      <c r="F252" s="85"/>
      <c r="G252" s="92"/>
      <c r="H252" s="92"/>
      <c r="I252" s="83">
        <f t="shared" si="22"/>
        <v>0</v>
      </c>
      <c r="J252" s="83">
        <f t="shared" si="22"/>
        <v>0</v>
      </c>
    </row>
    <row r="253" spans="1:10" ht="23.45" customHeight="1">
      <c r="A253" s="21">
        <v>1.1000000000000001</v>
      </c>
      <c r="B253" s="22" t="s">
        <v>368</v>
      </c>
      <c r="C253" s="193"/>
      <c r="D253" s="157"/>
      <c r="E253" s="126">
        <f t="shared" si="23"/>
        <v>0</v>
      </c>
      <c r="F253" s="85" t="s">
        <v>9</v>
      </c>
      <c r="G253" s="92"/>
      <c r="H253" s="92"/>
      <c r="I253" s="83">
        <f t="shared" si="22"/>
        <v>0</v>
      </c>
      <c r="J253" s="83">
        <f t="shared" si="22"/>
        <v>0</v>
      </c>
    </row>
    <row r="254" spans="1:10" ht="27" customHeight="1">
      <c r="A254" s="21">
        <v>1.2</v>
      </c>
      <c r="B254" s="22" t="s">
        <v>369</v>
      </c>
      <c r="C254" s="193">
        <v>2</v>
      </c>
      <c r="D254" s="157">
        <v>2</v>
      </c>
      <c r="E254" s="126">
        <f t="shared" si="23"/>
        <v>4</v>
      </c>
      <c r="F254" s="85" t="s">
        <v>9</v>
      </c>
      <c r="G254" s="88"/>
      <c r="H254" s="88"/>
      <c r="I254" s="83">
        <f t="shared" si="22"/>
        <v>0</v>
      </c>
      <c r="J254" s="83">
        <f t="shared" si="22"/>
        <v>0</v>
      </c>
    </row>
    <row r="255" spans="1:10" ht="15.75">
      <c r="A255" s="21">
        <v>1.3</v>
      </c>
      <c r="B255" s="22" t="s">
        <v>335</v>
      </c>
      <c r="C255" s="193"/>
      <c r="D255" s="157"/>
      <c r="E255" s="126">
        <f t="shared" si="23"/>
        <v>0</v>
      </c>
      <c r="F255" s="85" t="s">
        <v>9</v>
      </c>
      <c r="G255" s="88"/>
      <c r="H255" s="88"/>
      <c r="I255" s="83">
        <f t="shared" si="22"/>
        <v>0</v>
      </c>
      <c r="J255" s="83">
        <f t="shared" si="22"/>
        <v>0</v>
      </c>
    </row>
    <row r="256" spans="1:10" ht="15.75">
      <c r="A256" s="21">
        <v>1.3</v>
      </c>
      <c r="B256" s="22" t="s">
        <v>343</v>
      </c>
      <c r="C256" s="193"/>
      <c r="D256" s="157"/>
      <c r="E256" s="126">
        <f t="shared" si="23"/>
        <v>0</v>
      </c>
      <c r="F256" s="85" t="s">
        <v>9</v>
      </c>
      <c r="G256" s="88"/>
      <c r="H256" s="88"/>
      <c r="I256" s="83">
        <f t="shared" si="22"/>
        <v>0</v>
      </c>
      <c r="J256" s="83">
        <f t="shared" si="22"/>
        <v>0</v>
      </c>
    </row>
    <row r="257" spans="1:10" ht="15.75">
      <c r="A257" s="21">
        <v>1.3</v>
      </c>
      <c r="B257" s="22" t="s">
        <v>197</v>
      </c>
      <c r="C257" s="193"/>
      <c r="D257" s="157"/>
      <c r="E257" s="126">
        <f t="shared" si="23"/>
        <v>0</v>
      </c>
      <c r="F257" s="85" t="s">
        <v>9</v>
      </c>
      <c r="G257" s="92"/>
      <c r="H257" s="92"/>
      <c r="I257" s="83">
        <f t="shared" si="22"/>
        <v>0</v>
      </c>
      <c r="J257" s="83">
        <f t="shared" si="22"/>
        <v>0</v>
      </c>
    </row>
    <row r="258" spans="1:10" ht="15.75">
      <c r="A258" s="60"/>
      <c r="B258" s="22"/>
      <c r="C258" s="193"/>
      <c r="D258" s="157"/>
      <c r="E258" s="126">
        <f t="shared" si="23"/>
        <v>0</v>
      </c>
      <c r="F258" s="85"/>
      <c r="G258" s="92"/>
      <c r="H258" s="92"/>
      <c r="I258" s="83">
        <f t="shared" si="22"/>
        <v>0</v>
      </c>
      <c r="J258" s="83">
        <f t="shared" si="22"/>
        <v>0</v>
      </c>
    </row>
    <row r="259" spans="1:10" ht="15.75">
      <c r="A259" s="142">
        <v>2</v>
      </c>
      <c r="B259" s="143" t="s">
        <v>333</v>
      </c>
      <c r="C259" s="213"/>
      <c r="D259" s="143"/>
      <c r="E259" s="126">
        <f t="shared" si="23"/>
        <v>0</v>
      </c>
      <c r="F259" s="115"/>
      <c r="G259" s="133"/>
      <c r="H259" s="133"/>
      <c r="I259" s="134"/>
      <c r="J259" s="134"/>
    </row>
    <row r="260" spans="1:10" ht="15.75">
      <c r="A260" s="131"/>
      <c r="B260" s="143" t="s">
        <v>312</v>
      </c>
      <c r="C260" s="213"/>
      <c r="D260" s="143"/>
      <c r="E260" s="126">
        <f t="shared" si="23"/>
        <v>0</v>
      </c>
      <c r="F260" s="115"/>
      <c r="G260" s="133"/>
      <c r="H260" s="133"/>
      <c r="I260" s="134"/>
      <c r="J260" s="134"/>
    </row>
    <row r="261" spans="1:10" ht="90">
      <c r="A261" s="131"/>
      <c r="B261" s="144" t="s">
        <v>313</v>
      </c>
      <c r="C261" s="214"/>
      <c r="D261" s="144"/>
      <c r="E261" s="126">
        <f t="shared" si="23"/>
        <v>0</v>
      </c>
      <c r="F261" s="115"/>
      <c r="G261" s="133"/>
      <c r="H261" s="133"/>
      <c r="I261" s="134"/>
      <c r="J261" s="134"/>
    </row>
    <row r="262" spans="1:10" ht="30">
      <c r="A262" s="131"/>
      <c r="B262" s="144" t="s">
        <v>314</v>
      </c>
      <c r="C262" s="214"/>
      <c r="D262" s="144"/>
      <c r="E262" s="126">
        <f t="shared" si="23"/>
        <v>0</v>
      </c>
      <c r="F262" s="115"/>
      <c r="G262" s="133"/>
      <c r="H262" s="133"/>
      <c r="I262" s="134"/>
      <c r="J262" s="134"/>
    </row>
    <row r="263" spans="1:10" ht="15.75">
      <c r="A263" s="131"/>
      <c r="B263" s="143" t="s">
        <v>315</v>
      </c>
      <c r="C263" s="213"/>
      <c r="D263" s="143"/>
      <c r="E263" s="126">
        <f t="shared" si="23"/>
        <v>0</v>
      </c>
      <c r="F263" s="115"/>
      <c r="G263" s="133"/>
      <c r="H263" s="133"/>
      <c r="I263" s="134"/>
      <c r="J263" s="134"/>
    </row>
    <row r="264" spans="1:10" ht="75">
      <c r="A264" s="131"/>
      <c r="B264" s="144" t="s">
        <v>316</v>
      </c>
      <c r="C264" s="214"/>
      <c r="D264" s="144"/>
      <c r="E264" s="126">
        <f t="shared" si="23"/>
        <v>0</v>
      </c>
      <c r="F264" s="115"/>
      <c r="G264" s="133"/>
      <c r="H264" s="133"/>
      <c r="I264" s="134"/>
      <c r="J264" s="134"/>
    </row>
    <row r="265" spans="1:10" ht="15.75">
      <c r="A265" s="131"/>
      <c r="B265" s="144" t="s">
        <v>317</v>
      </c>
      <c r="C265" s="214"/>
      <c r="D265" s="144"/>
      <c r="E265" s="126">
        <f t="shared" si="23"/>
        <v>0</v>
      </c>
      <c r="F265" s="115"/>
      <c r="G265" s="133"/>
      <c r="H265" s="133"/>
      <c r="I265" s="134"/>
      <c r="J265" s="134"/>
    </row>
    <row r="266" spans="1:10" ht="15.75">
      <c r="A266" s="131"/>
      <c r="B266" s="143" t="s">
        <v>318</v>
      </c>
      <c r="C266" s="213"/>
      <c r="D266" s="143"/>
      <c r="E266" s="126">
        <f t="shared" si="23"/>
        <v>0</v>
      </c>
      <c r="F266" s="115"/>
      <c r="G266" s="133"/>
      <c r="H266" s="133"/>
      <c r="I266" s="134"/>
      <c r="J266" s="134"/>
    </row>
    <row r="267" spans="1:10" ht="60">
      <c r="A267" s="131"/>
      <c r="B267" s="144" t="s">
        <v>319</v>
      </c>
      <c r="C267" s="214"/>
      <c r="D267" s="144"/>
      <c r="E267" s="126">
        <f t="shared" si="23"/>
        <v>0</v>
      </c>
      <c r="F267" s="115"/>
      <c r="G267" s="133"/>
      <c r="H267" s="133"/>
      <c r="I267" s="134"/>
      <c r="J267" s="134"/>
    </row>
    <row r="268" spans="1:10" ht="15.75">
      <c r="A268" s="131"/>
      <c r="B268" s="143" t="s">
        <v>320</v>
      </c>
      <c r="C268" s="213"/>
      <c r="D268" s="143"/>
      <c r="E268" s="126">
        <f t="shared" si="23"/>
        <v>0</v>
      </c>
      <c r="F268" s="115"/>
      <c r="G268" s="133"/>
      <c r="H268" s="133"/>
      <c r="I268" s="134"/>
      <c r="J268" s="134"/>
    </row>
    <row r="269" spans="1:10" ht="45">
      <c r="A269" s="131"/>
      <c r="B269" s="144" t="s">
        <v>321</v>
      </c>
      <c r="C269" s="214"/>
      <c r="D269" s="144"/>
      <c r="E269" s="126">
        <f t="shared" si="23"/>
        <v>0</v>
      </c>
      <c r="F269" s="115"/>
      <c r="G269" s="133"/>
      <c r="H269" s="133"/>
      <c r="I269" s="134"/>
      <c r="J269" s="134"/>
    </row>
    <row r="270" spans="1:10" ht="15.75">
      <c r="A270" s="131"/>
      <c r="B270" s="145" t="s">
        <v>322</v>
      </c>
      <c r="C270" s="215"/>
      <c r="D270" s="145"/>
      <c r="E270" s="126">
        <f t="shared" si="23"/>
        <v>0</v>
      </c>
      <c r="F270" s="115"/>
      <c r="G270" s="133"/>
      <c r="H270" s="133"/>
      <c r="I270" s="134"/>
      <c r="J270" s="134"/>
    </row>
    <row r="271" spans="1:10" ht="180">
      <c r="A271" s="131"/>
      <c r="B271" s="146" t="s">
        <v>323</v>
      </c>
      <c r="C271" s="216"/>
      <c r="D271" s="178"/>
      <c r="E271" s="126">
        <f t="shared" si="23"/>
        <v>0</v>
      </c>
      <c r="F271" s="115"/>
      <c r="G271" s="133"/>
      <c r="H271" s="133"/>
      <c r="I271" s="134"/>
      <c r="J271" s="134"/>
    </row>
    <row r="272" spans="1:10" ht="45">
      <c r="A272" s="131"/>
      <c r="B272" s="146" t="s">
        <v>324</v>
      </c>
      <c r="C272" s="216"/>
      <c r="D272" s="178"/>
      <c r="E272" s="126">
        <f t="shared" si="23"/>
        <v>0</v>
      </c>
      <c r="F272" s="115"/>
      <c r="G272" s="133"/>
      <c r="H272" s="133"/>
      <c r="I272" s="134"/>
      <c r="J272" s="134"/>
    </row>
    <row r="273" spans="1:10" ht="30">
      <c r="A273" s="131"/>
      <c r="B273" s="144" t="s">
        <v>325</v>
      </c>
      <c r="C273" s="214"/>
      <c r="D273" s="144"/>
      <c r="E273" s="126">
        <f t="shared" si="23"/>
        <v>0</v>
      </c>
      <c r="F273" s="115"/>
      <c r="G273" s="133"/>
      <c r="H273" s="133"/>
      <c r="I273" s="134"/>
      <c r="J273" s="134"/>
    </row>
    <row r="274" spans="1:10" ht="15.75">
      <c r="A274" s="131"/>
      <c r="B274" s="144" t="s">
        <v>326</v>
      </c>
      <c r="C274" s="214"/>
      <c r="D274" s="144"/>
      <c r="E274" s="126">
        <f t="shared" si="23"/>
        <v>0</v>
      </c>
      <c r="F274" s="115"/>
      <c r="G274" s="133"/>
      <c r="H274" s="133"/>
      <c r="I274" s="134"/>
      <c r="J274" s="134"/>
    </row>
    <row r="275" spans="1:10" ht="41.25" customHeight="1">
      <c r="A275" s="131"/>
      <c r="B275" s="144" t="s">
        <v>327</v>
      </c>
      <c r="C275" s="214"/>
      <c r="D275" s="144"/>
      <c r="E275" s="126">
        <f t="shared" si="23"/>
        <v>0</v>
      </c>
      <c r="F275" s="115"/>
      <c r="G275" s="133"/>
      <c r="H275" s="133"/>
      <c r="I275" s="134"/>
      <c r="J275" s="134"/>
    </row>
    <row r="276" spans="1:10" ht="30">
      <c r="A276" s="131"/>
      <c r="B276" s="144" t="s">
        <v>328</v>
      </c>
      <c r="C276" s="214"/>
      <c r="D276" s="144"/>
      <c r="E276" s="126">
        <f t="shared" si="23"/>
        <v>0</v>
      </c>
      <c r="F276" s="115"/>
      <c r="G276" s="133"/>
      <c r="H276" s="133"/>
      <c r="I276" s="134"/>
      <c r="J276" s="134"/>
    </row>
    <row r="277" spans="1:10" ht="15.75">
      <c r="A277" s="131"/>
      <c r="B277" s="144" t="s">
        <v>329</v>
      </c>
      <c r="C277" s="214"/>
      <c r="D277" s="144"/>
      <c r="E277" s="126">
        <f t="shared" si="23"/>
        <v>0</v>
      </c>
      <c r="F277" s="115"/>
      <c r="G277" s="133"/>
      <c r="H277" s="133"/>
      <c r="I277" s="134"/>
      <c r="J277" s="134"/>
    </row>
    <row r="278" spans="1:10" ht="30">
      <c r="A278" s="131"/>
      <c r="B278" s="144" t="s">
        <v>334</v>
      </c>
      <c r="C278" s="214"/>
      <c r="D278" s="144"/>
      <c r="E278" s="126">
        <f t="shared" si="23"/>
        <v>0</v>
      </c>
      <c r="F278" s="115">
        <v>0</v>
      </c>
      <c r="G278" s="133"/>
      <c r="H278" s="133"/>
      <c r="I278" s="134"/>
      <c r="J278" s="134"/>
    </row>
    <row r="279" spans="1:10" ht="15.75">
      <c r="A279" s="131"/>
      <c r="B279" s="144"/>
      <c r="C279" s="214"/>
      <c r="D279" s="144"/>
      <c r="E279" s="126">
        <f t="shared" si="23"/>
        <v>0</v>
      </c>
      <c r="F279" s="115"/>
      <c r="G279" s="133"/>
      <c r="H279" s="133"/>
      <c r="I279" s="134"/>
      <c r="J279" s="134"/>
    </row>
    <row r="280" spans="1:10" ht="15.75">
      <c r="A280" s="131"/>
      <c r="B280" s="144" t="s">
        <v>331</v>
      </c>
      <c r="C280" s="214"/>
      <c r="D280" s="144"/>
      <c r="E280" s="126">
        <f t="shared" si="23"/>
        <v>0</v>
      </c>
      <c r="F280" s="115"/>
      <c r="G280" s="133"/>
      <c r="H280" s="133"/>
      <c r="I280" s="134"/>
      <c r="J280" s="134"/>
    </row>
    <row r="281" spans="1:10" ht="30">
      <c r="A281" s="131"/>
      <c r="B281" s="144" t="s">
        <v>332</v>
      </c>
      <c r="C281" s="214"/>
      <c r="D281" s="144"/>
      <c r="E281" s="126">
        <f t="shared" si="23"/>
        <v>0</v>
      </c>
      <c r="F281" s="115"/>
      <c r="G281" s="133"/>
      <c r="H281" s="133"/>
      <c r="I281" s="134"/>
      <c r="J281" s="134"/>
    </row>
    <row r="282" spans="1:10" ht="15.75">
      <c r="A282" s="131"/>
      <c r="B282" s="132"/>
      <c r="C282" s="193"/>
      <c r="D282" s="157"/>
      <c r="E282" s="126">
        <f t="shared" si="23"/>
        <v>0</v>
      </c>
      <c r="F282" s="115"/>
      <c r="G282" s="133"/>
      <c r="H282" s="133"/>
      <c r="I282" s="134"/>
      <c r="J282" s="134"/>
    </row>
    <row r="283" spans="1:10" ht="15.75">
      <c r="A283" s="12">
        <v>2</v>
      </c>
      <c r="B283" s="22" t="s">
        <v>198</v>
      </c>
      <c r="C283" s="193"/>
      <c r="D283" s="157"/>
      <c r="E283" s="126">
        <f t="shared" si="23"/>
        <v>0</v>
      </c>
      <c r="F283" s="85"/>
      <c r="G283" s="92"/>
      <c r="H283" s="92"/>
      <c r="I283" s="83">
        <f t="shared" si="22"/>
        <v>0</v>
      </c>
      <c r="J283" s="83">
        <f t="shared" si="22"/>
        <v>0</v>
      </c>
    </row>
    <row r="284" spans="1:10" ht="63">
      <c r="A284" s="21"/>
      <c r="B284" s="22" t="s">
        <v>199</v>
      </c>
      <c r="C284" s="193"/>
      <c r="D284" s="157"/>
      <c r="E284" s="126">
        <f t="shared" si="23"/>
        <v>0</v>
      </c>
      <c r="F284" s="85"/>
      <c r="G284" s="92"/>
      <c r="H284" s="92"/>
      <c r="I284" s="83">
        <f t="shared" si="22"/>
        <v>0</v>
      </c>
      <c r="J284" s="83">
        <f t="shared" si="22"/>
        <v>0</v>
      </c>
    </row>
    <row r="285" spans="1:10" ht="9.75" customHeight="1">
      <c r="A285" s="142"/>
      <c r="B285" s="132"/>
      <c r="C285" s="193"/>
      <c r="D285" s="157"/>
      <c r="E285" s="126">
        <f t="shared" si="23"/>
        <v>0</v>
      </c>
      <c r="F285" s="115"/>
      <c r="G285" s="133"/>
      <c r="H285" s="133"/>
      <c r="I285" s="134"/>
      <c r="J285" s="134"/>
    </row>
    <row r="286" spans="1:10" ht="15.75">
      <c r="A286" s="21">
        <v>2.1</v>
      </c>
      <c r="B286" s="22" t="s">
        <v>200</v>
      </c>
      <c r="C286" s="193"/>
      <c r="D286" s="157"/>
      <c r="E286" s="126">
        <f t="shared" si="23"/>
        <v>0</v>
      </c>
      <c r="F286" s="85"/>
      <c r="G286" s="92"/>
      <c r="H286" s="92"/>
      <c r="I286" s="83">
        <f t="shared" ref="I286:J350" si="24">+N($E286)*N(G286)</f>
        <v>0</v>
      </c>
      <c r="J286" s="83">
        <f t="shared" si="24"/>
        <v>0</v>
      </c>
    </row>
    <row r="287" spans="1:10" s="23" customFormat="1" ht="15.75">
      <c r="A287" s="21"/>
      <c r="B287" s="18" t="s">
        <v>201</v>
      </c>
      <c r="C287" s="192"/>
      <c r="D287" s="155"/>
      <c r="E287" s="126">
        <f t="shared" si="23"/>
        <v>0</v>
      </c>
      <c r="F287" s="87" t="s">
        <v>9</v>
      </c>
      <c r="G287" s="88"/>
      <c r="H287" s="88"/>
      <c r="I287" s="83">
        <f t="shared" si="24"/>
        <v>0</v>
      </c>
      <c r="J287" s="83">
        <f t="shared" si="24"/>
        <v>0</v>
      </c>
    </row>
    <row r="288" spans="1:10" s="23" customFormat="1" ht="15.75">
      <c r="A288" s="21"/>
      <c r="B288" s="18" t="s">
        <v>202</v>
      </c>
      <c r="C288" s="192">
        <v>2</v>
      </c>
      <c r="D288" s="155"/>
      <c r="E288" s="126">
        <f t="shared" si="23"/>
        <v>2</v>
      </c>
      <c r="F288" s="87" t="s">
        <v>9</v>
      </c>
      <c r="G288" s="92"/>
      <c r="H288" s="92"/>
      <c r="I288" s="83">
        <f t="shared" si="24"/>
        <v>0</v>
      </c>
      <c r="J288" s="83">
        <f t="shared" si="24"/>
        <v>0</v>
      </c>
    </row>
    <row r="289" spans="1:10" s="23" customFormat="1" ht="15.75">
      <c r="A289" s="21"/>
      <c r="B289" s="18" t="s">
        <v>203</v>
      </c>
      <c r="C289" s="192"/>
      <c r="D289" s="155">
        <v>2</v>
      </c>
      <c r="E289" s="126">
        <f t="shared" si="23"/>
        <v>2</v>
      </c>
      <c r="F289" s="87" t="s">
        <v>9</v>
      </c>
      <c r="G289" s="92"/>
      <c r="H289" s="92"/>
      <c r="I289" s="83">
        <f t="shared" si="24"/>
        <v>0</v>
      </c>
      <c r="J289" s="83">
        <f t="shared" si="24"/>
        <v>0</v>
      </c>
    </row>
    <row r="290" spans="1:10" s="23" customFormat="1" ht="15.75">
      <c r="A290" s="21"/>
      <c r="B290" s="18" t="s">
        <v>354</v>
      </c>
      <c r="C290" s="230">
        <f>2-2</f>
        <v>0</v>
      </c>
      <c r="D290" s="155">
        <v>2</v>
      </c>
      <c r="E290" s="126">
        <f t="shared" si="23"/>
        <v>2</v>
      </c>
      <c r="F290" s="87" t="s">
        <v>9</v>
      </c>
      <c r="G290" s="88"/>
      <c r="H290" s="88"/>
      <c r="I290" s="83">
        <f t="shared" si="24"/>
        <v>0</v>
      </c>
      <c r="J290" s="83">
        <f t="shared" si="24"/>
        <v>0</v>
      </c>
    </row>
    <row r="291" spans="1:10" s="23" customFormat="1" ht="12.75" customHeight="1">
      <c r="A291" s="21"/>
      <c r="B291" s="22"/>
      <c r="C291" s="193"/>
      <c r="D291" s="157"/>
      <c r="E291" s="126">
        <f t="shared" si="23"/>
        <v>0</v>
      </c>
      <c r="F291" s="87"/>
      <c r="G291" s="91"/>
      <c r="H291" s="92"/>
      <c r="I291" s="83">
        <f t="shared" si="24"/>
        <v>0</v>
      </c>
      <c r="J291" s="83">
        <f t="shared" si="24"/>
        <v>0</v>
      </c>
    </row>
    <row r="292" spans="1:10" s="23" customFormat="1" ht="15.75">
      <c r="A292" s="21">
        <v>2.2000000000000002</v>
      </c>
      <c r="B292" s="22" t="s">
        <v>204</v>
      </c>
      <c r="C292" s="193"/>
      <c r="D292" s="157"/>
      <c r="E292" s="126">
        <f t="shared" si="23"/>
        <v>0</v>
      </c>
      <c r="F292" s="85"/>
      <c r="G292" s="91"/>
      <c r="H292" s="92"/>
      <c r="I292" s="83">
        <f t="shared" si="24"/>
        <v>0</v>
      </c>
      <c r="J292" s="83">
        <f t="shared" si="24"/>
        <v>0</v>
      </c>
    </row>
    <row r="293" spans="1:10" s="23" customFormat="1" ht="15.75">
      <c r="A293" s="21"/>
      <c r="B293" s="22" t="s">
        <v>205</v>
      </c>
      <c r="C293" s="193"/>
      <c r="D293" s="157"/>
      <c r="E293" s="126">
        <f t="shared" si="23"/>
        <v>0</v>
      </c>
      <c r="F293" s="87" t="s">
        <v>9</v>
      </c>
      <c r="G293" s="92"/>
      <c r="H293" s="92"/>
      <c r="I293" s="83">
        <f t="shared" si="24"/>
        <v>0</v>
      </c>
      <c r="J293" s="83">
        <f t="shared" si="24"/>
        <v>0</v>
      </c>
    </row>
    <row r="294" spans="1:10" s="23" customFormat="1" ht="15" customHeight="1">
      <c r="A294" s="21"/>
      <c r="B294" s="22" t="s">
        <v>206</v>
      </c>
      <c r="C294" s="193"/>
      <c r="D294" s="157"/>
      <c r="E294" s="126">
        <f t="shared" si="23"/>
        <v>0</v>
      </c>
      <c r="F294" s="87" t="s">
        <v>9</v>
      </c>
      <c r="G294" s="88"/>
      <c r="H294" s="88"/>
      <c r="I294" s="83">
        <f t="shared" si="24"/>
        <v>0</v>
      </c>
      <c r="J294" s="83">
        <f t="shared" si="24"/>
        <v>0</v>
      </c>
    </row>
    <row r="295" spans="1:10" s="23" customFormat="1" ht="15" customHeight="1">
      <c r="A295" s="21"/>
      <c r="B295" s="22" t="s">
        <v>207</v>
      </c>
      <c r="C295" s="193"/>
      <c r="D295" s="157"/>
      <c r="E295" s="126">
        <f t="shared" si="23"/>
        <v>0</v>
      </c>
      <c r="F295" s="87" t="s">
        <v>9</v>
      </c>
      <c r="G295" s="88"/>
      <c r="H295" s="88"/>
      <c r="I295" s="83">
        <f t="shared" si="24"/>
        <v>0</v>
      </c>
      <c r="J295" s="83">
        <f t="shared" si="24"/>
        <v>0</v>
      </c>
    </row>
    <row r="296" spans="1:10" s="23" customFormat="1" ht="15" customHeight="1">
      <c r="A296" s="21"/>
      <c r="B296" s="22" t="s">
        <v>208</v>
      </c>
      <c r="C296" s="193"/>
      <c r="D296" s="157"/>
      <c r="E296" s="126">
        <f t="shared" si="23"/>
        <v>0</v>
      </c>
      <c r="F296" s="87" t="s">
        <v>9</v>
      </c>
      <c r="G296" s="88"/>
      <c r="H296" s="88"/>
      <c r="I296" s="83">
        <f t="shared" si="24"/>
        <v>0</v>
      </c>
      <c r="J296" s="83">
        <f t="shared" si="24"/>
        <v>0</v>
      </c>
    </row>
    <row r="297" spans="1:10" s="23" customFormat="1" ht="15" customHeight="1">
      <c r="A297" s="21"/>
      <c r="B297" s="22" t="s">
        <v>209</v>
      </c>
      <c r="C297" s="193"/>
      <c r="D297" s="157"/>
      <c r="E297" s="126">
        <f t="shared" si="23"/>
        <v>0</v>
      </c>
      <c r="F297" s="87" t="s">
        <v>9</v>
      </c>
      <c r="G297" s="88"/>
      <c r="H297" s="88"/>
      <c r="I297" s="83">
        <f t="shared" si="24"/>
        <v>0</v>
      </c>
      <c r="J297" s="83">
        <f t="shared" si="24"/>
        <v>0</v>
      </c>
    </row>
    <row r="298" spans="1:10" s="23" customFormat="1" ht="15" customHeight="1">
      <c r="A298" s="21"/>
      <c r="B298" s="22" t="s">
        <v>210</v>
      </c>
      <c r="C298" s="193"/>
      <c r="D298" s="157"/>
      <c r="E298" s="126">
        <f t="shared" si="23"/>
        <v>0</v>
      </c>
      <c r="F298" s="87" t="s">
        <v>9</v>
      </c>
      <c r="G298" s="92"/>
      <c r="H298" s="92"/>
      <c r="I298" s="83">
        <f t="shared" si="24"/>
        <v>0</v>
      </c>
      <c r="J298" s="83">
        <f t="shared" si="24"/>
        <v>0</v>
      </c>
    </row>
    <row r="299" spans="1:10" s="23" customFormat="1" ht="12.75" customHeight="1">
      <c r="A299" s="21"/>
      <c r="B299" s="22"/>
      <c r="C299" s="193"/>
      <c r="D299" s="157"/>
      <c r="E299" s="126">
        <f t="shared" si="23"/>
        <v>0</v>
      </c>
      <c r="F299" s="87"/>
      <c r="G299" s="92"/>
      <c r="H299" s="92"/>
      <c r="I299" s="83">
        <f t="shared" si="24"/>
        <v>0</v>
      </c>
      <c r="J299" s="83">
        <f t="shared" si="24"/>
        <v>0</v>
      </c>
    </row>
    <row r="300" spans="1:10" s="23" customFormat="1" ht="18.95" customHeight="1">
      <c r="A300" s="21">
        <v>2.2999999999999998</v>
      </c>
      <c r="B300" s="22" t="s">
        <v>211</v>
      </c>
      <c r="C300" s="193"/>
      <c r="D300" s="157"/>
      <c r="E300" s="126">
        <f t="shared" si="23"/>
        <v>0</v>
      </c>
      <c r="F300" s="87"/>
      <c r="G300" s="92"/>
      <c r="H300" s="92"/>
      <c r="I300" s="83">
        <f t="shared" si="24"/>
        <v>0</v>
      </c>
      <c r="J300" s="83">
        <f t="shared" si="24"/>
        <v>0</v>
      </c>
    </row>
    <row r="301" spans="1:10" s="23" customFormat="1" ht="15" customHeight="1">
      <c r="A301" s="21"/>
      <c r="B301" s="22" t="s">
        <v>212</v>
      </c>
      <c r="C301" s="193"/>
      <c r="D301" s="157"/>
      <c r="E301" s="126">
        <f t="shared" si="23"/>
        <v>0</v>
      </c>
      <c r="F301" s="87" t="s">
        <v>9</v>
      </c>
      <c r="G301" s="88"/>
      <c r="H301" s="88"/>
      <c r="I301" s="83">
        <f t="shared" si="24"/>
        <v>0</v>
      </c>
      <c r="J301" s="83">
        <f t="shared" si="24"/>
        <v>0</v>
      </c>
    </row>
    <row r="302" spans="1:10" s="23" customFormat="1" ht="15" customHeight="1">
      <c r="A302" s="21"/>
      <c r="B302" s="22" t="s">
        <v>213</v>
      </c>
      <c r="C302" s="193"/>
      <c r="D302" s="157"/>
      <c r="E302" s="126">
        <f t="shared" si="23"/>
        <v>0</v>
      </c>
      <c r="F302" s="87" t="s">
        <v>9</v>
      </c>
      <c r="G302" s="88"/>
      <c r="H302" s="88"/>
      <c r="I302" s="83">
        <f t="shared" si="24"/>
        <v>0</v>
      </c>
      <c r="J302" s="83">
        <f t="shared" si="24"/>
        <v>0</v>
      </c>
    </row>
    <row r="303" spans="1:10" s="23" customFormat="1" ht="15" customHeight="1">
      <c r="A303" s="21"/>
      <c r="B303" s="22" t="s">
        <v>214</v>
      </c>
      <c r="C303" s="193"/>
      <c r="D303" s="157"/>
      <c r="E303" s="126">
        <f t="shared" si="23"/>
        <v>0</v>
      </c>
      <c r="F303" s="87" t="s">
        <v>9</v>
      </c>
      <c r="G303" s="88"/>
      <c r="H303" s="88"/>
      <c r="I303" s="83">
        <f t="shared" si="24"/>
        <v>0</v>
      </c>
      <c r="J303" s="83">
        <f t="shared" si="24"/>
        <v>0</v>
      </c>
    </row>
    <row r="304" spans="1:10" s="23" customFormat="1" ht="15" customHeight="1">
      <c r="A304" s="21"/>
      <c r="B304" s="22" t="s">
        <v>215</v>
      </c>
      <c r="C304" s="193"/>
      <c r="D304" s="157"/>
      <c r="E304" s="126">
        <f t="shared" si="23"/>
        <v>0</v>
      </c>
      <c r="F304" s="87" t="s">
        <v>9</v>
      </c>
      <c r="G304" s="88"/>
      <c r="H304" s="88"/>
      <c r="I304" s="83">
        <f t="shared" si="24"/>
        <v>0</v>
      </c>
      <c r="J304" s="83">
        <f t="shared" si="24"/>
        <v>0</v>
      </c>
    </row>
    <row r="305" spans="1:10" s="23" customFormat="1" ht="15" customHeight="1">
      <c r="A305" s="21"/>
      <c r="B305" s="22" t="s">
        <v>358</v>
      </c>
      <c r="C305" s="193"/>
      <c r="D305" s="157"/>
      <c r="E305" s="126">
        <f t="shared" si="23"/>
        <v>0</v>
      </c>
      <c r="F305" s="87" t="s">
        <v>9</v>
      </c>
      <c r="G305" s="88"/>
      <c r="H305" s="88"/>
      <c r="I305" s="83">
        <f t="shared" si="24"/>
        <v>0</v>
      </c>
      <c r="J305" s="83">
        <f t="shared" si="24"/>
        <v>0</v>
      </c>
    </row>
    <row r="306" spans="1:10" s="23" customFormat="1" ht="15" customHeight="1">
      <c r="A306" s="21"/>
      <c r="B306" s="22" t="s">
        <v>216</v>
      </c>
      <c r="C306" s="193"/>
      <c r="D306" s="157"/>
      <c r="E306" s="126">
        <f t="shared" si="23"/>
        <v>0</v>
      </c>
      <c r="F306" s="87" t="s">
        <v>9</v>
      </c>
      <c r="G306" s="88"/>
      <c r="H306" s="88"/>
      <c r="I306" s="83">
        <f t="shared" si="24"/>
        <v>0</v>
      </c>
      <c r="J306" s="83">
        <f t="shared" si="24"/>
        <v>0</v>
      </c>
    </row>
    <row r="307" spans="1:10" s="23" customFormat="1" ht="15" customHeight="1">
      <c r="A307" s="21"/>
      <c r="B307" s="22" t="s">
        <v>217</v>
      </c>
      <c r="C307" s="193"/>
      <c r="D307" s="157"/>
      <c r="E307" s="126">
        <f t="shared" si="23"/>
        <v>0</v>
      </c>
      <c r="F307" s="87" t="s">
        <v>9</v>
      </c>
      <c r="G307" s="88"/>
      <c r="H307" s="88"/>
      <c r="I307" s="83">
        <f t="shared" si="24"/>
        <v>0</v>
      </c>
      <c r="J307" s="83">
        <f t="shared" si="24"/>
        <v>0</v>
      </c>
    </row>
    <row r="308" spans="1:10" s="23" customFormat="1" ht="15" customHeight="1">
      <c r="A308" s="21"/>
      <c r="B308" s="22" t="s">
        <v>218</v>
      </c>
      <c r="C308" s="193"/>
      <c r="D308" s="157"/>
      <c r="E308" s="126">
        <f t="shared" si="23"/>
        <v>0</v>
      </c>
      <c r="F308" s="87" t="s">
        <v>9</v>
      </c>
      <c r="G308" s="88"/>
      <c r="H308" s="88"/>
      <c r="I308" s="83">
        <f t="shared" si="24"/>
        <v>0</v>
      </c>
      <c r="J308" s="83">
        <f t="shared" si="24"/>
        <v>0</v>
      </c>
    </row>
    <row r="309" spans="1:10" s="23" customFormat="1" ht="15" customHeight="1">
      <c r="A309" s="21"/>
      <c r="B309" s="22" t="s">
        <v>219</v>
      </c>
      <c r="C309" s="193"/>
      <c r="D309" s="157"/>
      <c r="E309" s="126">
        <f t="shared" si="23"/>
        <v>0</v>
      </c>
      <c r="F309" s="87" t="s">
        <v>9</v>
      </c>
      <c r="G309" s="88"/>
      <c r="H309" s="88"/>
      <c r="I309" s="83">
        <f t="shared" si="24"/>
        <v>0</v>
      </c>
      <c r="J309" s="83">
        <f t="shared" si="24"/>
        <v>0</v>
      </c>
    </row>
    <row r="310" spans="1:10" s="23" customFormat="1" ht="15" customHeight="1">
      <c r="A310" s="21"/>
      <c r="B310" s="22" t="s">
        <v>220</v>
      </c>
      <c r="C310" s="193"/>
      <c r="D310" s="157"/>
      <c r="E310" s="126">
        <f t="shared" ref="E310:E352" si="25">C310+D310</f>
        <v>0</v>
      </c>
      <c r="F310" s="87" t="s">
        <v>9</v>
      </c>
      <c r="G310" s="88"/>
      <c r="H310" s="88"/>
      <c r="I310" s="83">
        <f t="shared" si="24"/>
        <v>0</v>
      </c>
      <c r="J310" s="83">
        <f t="shared" si="24"/>
        <v>0</v>
      </c>
    </row>
    <row r="311" spans="1:10" s="23" customFormat="1" ht="15" customHeight="1">
      <c r="A311" s="21"/>
      <c r="B311" s="22" t="s">
        <v>221</v>
      </c>
      <c r="C311" s="193"/>
      <c r="D311" s="157"/>
      <c r="E311" s="126">
        <f t="shared" si="25"/>
        <v>0</v>
      </c>
      <c r="F311" s="87" t="s">
        <v>9</v>
      </c>
      <c r="G311" s="88"/>
      <c r="H311" s="88"/>
      <c r="I311" s="83">
        <f t="shared" si="24"/>
        <v>0</v>
      </c>
      <c r="J311" s="83">
        <f t="shared" si="24"/>
        <v>0</v>
      </c>
    </row>
    <row r="312" spans="1:10" s="23" customFormat="1" ht="15" customHeight="1">
      <c r="A312" s="21"/>
      <c r="B312" s="22" t="s">
        <v>222</v>
      </c>
      <c r="C312" s="193"/>
      <c r="D312" s="157"/>
      <c r="E312" s="126">
        <f t="shared" si="25"/>
        <v>0</v>
      </c>
      <c r="F312" s="87" t="s">
        <v>9</v>
      </c>
      <c r="G312" s="88"/>
      <c r="H312" s="88"/>
      <c r="I312" s="83">
        <f t="shared" si="24"/>
        <v>0</v>
      </c>
      <c r="J312" s="83">
        <f t="shared" si="24"/>
        <v>0</v>
      </c>
    </row>
    <row r="313" spans="1:10" s="23" customFormat="1" ht="12.75" customHeight="1">
      <c r="A313" s="21"/>
      <c r="B313" s="22"/>
      <c r="C313" s="193"/>
      <c r="D313" s="157"/>
      <c r="E313" s="126">
        <f t="shared" si="25"/>
        <v>0</v>
      </c>
      <c r="F313" s="87"/>
      <c r="G313" s="92"/>
      <c r="H313" s="92"/>
      <c r="I313" s="83">
        <f t="shared" si="24"/>
        <v>0</v>
      </c>
      <c r="J313" s="83">
        <f t="shared" si="24"/>
        <v>0</v>
      </c>
    </row>
    <row r="314" spans="1:10" s="23" customFormat="1" ht="21.95" customHeight="1">
      <c r="A314" s="12">
        <v>3</v>
      </c>
      <c r="B314" s="22" t="s">
        <v>370</v>
      </c>
      <c r="C314" s="193"/>
      <c r="D314" s="157">
        <v>1</v>
      </c>
      <c r="E314" s="126">
        <f>D314+C314</f>
        <v>1</v>
      </c>
      <c r="F314" s="87" t="s">
        <v>9</v>
      </c>
      <c r="G314" s="88"/>
      <c r="H314" s="88"/>
      <c r="I314" s="83">
        <f t="shared" si="24"/>
        <v>0</v>
      </c>
      <c r="J314" s="83">
        <f t="shared" si="24"/>
        <v>0</v>
      </c>
    </row>
    <row r="315" spans="1:10" s="23" customFormat="1" ht="31.5">
      <c r="A315" s="60">
        <v>3.1</v>
      </c>
      <c r="B315" s="22" t="s">
        <v>223</v>
      </c>
      <c r="C315" s="193"/>
      <c r="D315" s="157"/>
      <c r="E315" s="126">
        <f t="shared" si="25"/>
        <v>0</v>
      </c>
      <c r="F315" s="87"/>
      <c r="G315" s="92"/>
      <c r="H315" s="92"/>
      <c r="I315" s="83">
        <f t="shared" si="24"/>
        <v>0</v>
      </c>
      <c r="J315" s="83">
        <f t="shared" si="24"/>
        <v>0</v>
      </c>
    </row>
    <row r="316" spans="1:10" s="23" customFormat="1" ht="15.75">
      <c r="A316" s="60">
        <v>3.2</v>
      </c>
      <c r="B316" s="22" t="s">
        <v>224</v>
      </c>
      <c r="C316" s="193"/>
      <c r="D316" s="157"/>
      <c r="E316" s="126">
        <f t="shared" si="25"/>
        <v>0</v>
      </c>
      <c r="F316" s="87"/>
      <c r="G316" s="92"/>
      <c r="H316" s="92"/>
      <c r="I316" s="83">
        <f t="shared" si="24"/>
        <v>0</v>
      </c>
      <c r="J316" s="83">
        <f t="shared" si="24"/>
        <v>0</v>
      </c>
    </row>
    <row r="317" spans="1:10" s="23" customFormat="1" ht="15.75">
      <c r="A317" s="60">
        <v>3.3</v>
      </c>
      <c r="B317" s="22" t="s">
        <v>225</v>
      </c>
      <c r="C317" s="193"/>
      <c r="D317" s="157"/>
      <c r="E317" s="126">
        <f t="shared" si="25"/>
        <v>0</v>
      </c>
      <c r="F317" s="87"/>
      <c r="G317" s="92"/>
      <c r="H317" s="92"/>
      <c r="I317" s="83">
        <f t="shared" si="24"/>
        <v>0</v>
      </c>
      <c r="J317" s="83">
        <f t="shared" si="24"/>
        <v>0</v>
      </c>
    </row>
    <row r="318" spans="1:10" s="23" customFormat="1" ht="15.75">
      <c r="A318" s="60">
        <v>3.4</v>
      </c>
      <c r="B318" s="22" t="s">
        <v>226</v>
      </c>
      <c r="C318" s="193"/>
      <c r="D318" s="157"/>
      <c r="E318" s="126"/>
      <c r="F318" s="87" t="s">
        <v>330</v>
      </c>
      <c r="G318" s="92"/>
      <c r="H318" s="92"/>
      <c r="I318" s="83">
        <f t="shared" si="24"/>
        <v>0</v>
      </c>
      <c r="J318" s="83">
        <f t="shared" si="24"/>
        <v>0</v>
      </c>
    </row>
    <row r="319" spans="1:10" s="23" customFormat="1" ht="94.5">
      <c r="A319" s="60">
        <v>3.5</v>
      </c>
      <c r="B319" s="22" t="s">
        <v>227</v>
      </c>
      <c r="C319" s="193"/>
      <c r="D319" s="157">
        <v>1</v>
      </c>
      <c r="E319" s="126">
        <f t="shared" si="25"/>
        <v>1</v>
      </c>
      <c r="F319" s="87" t="s">
        <v>330</v>
      </c>
      <c r="G319" s="92"/>
      <c r="H319" s="92"/>
      <c r="I319" s="83">
        <f t="shared" si="24"/>
        <v>0</v>
      </c>
      <c r="J319" s="83">
        <f t="shared" si="24"/>
        <v>0</v>
      </c>
    </row>
    <row r="320" spans="1:10" s="23" customFormat="1" ht="12.75" customHeight="1">
      <c r="A320" s="21"/>
      <c r="B320" s="22"/>
      <c r="C320" s="193"/>
      <c r="D320" s="157"/>
      <c r="E320" s="126">
        <f t="shared" si="25"/>
        <v>0</v>
      </c>
      <c r="F320" s="87"/>
      <c r="G320" s="92"/>
      <c r="H320" s="92"/>
      <c r="I320" s="83">
        <f t="shared" si="24"/>
        <v>0</v>
      </c>
      <c r="J320" s="83">
        <f t="shared" si="24"/>
        <v>0</v>
      </c>
    </row>
    <row r="321" spans="1:10" s="23" customFormat="1" ht="15.75">
      <c r="A321" s="33">
        <v>4</v>
      </c>
      <c r="B321" s="22" t="s">
        <v>228</v>
      </c>
      <c r="C321" s="193"/>
      <c r="D321" s="157"/>
      <c r="E321" s="126">
        <f t="shared" si="25"/>
        <v>0</v>
      </c>
      <c r="F321" s="87"/>
      <c r="G321" s="92"/>
      <c r="H321" s="92"/>
      <c r="I321" s="83">
        <f t="shared" si="24"/>
        <v>0</v>
      </c>
      <c r="J321" s="83">
        <f t="shared" si="24"/>
        <v>0</v>
      </c>
    </row>
    <row r="322" spans="1:10" s="23" customFormat="1" ht="126">
      <c r="A322" s="61"/>
      <c r="B322" s="22" t="s">
        <v>229</v>
      </c>
      <c r="C322" s="193"/>
      <c r="D322" s="157"/>
      <c r="E322" s="126">
        <f t="shared" si="25"/>
        <v>0</v>
      </c>
      <c r="F322" s="85"/>
      <c r="G322" s="92"/>
      <c r="H322" s="92"/>
      <c r="I322" s="83">
        <f t="shared" si="24"/>
        <v>0</v>
      </c>
      <c r="J322" s="83">
        <f t="shared" si="24"/>
        <v>0</v>
      </c>
    </row>
    <row r="323" spans="1:10" s="23" customFormat="1" ht="15.75">
      <c r="A323" s="60">
        <v>4.0999999999999996</v>
      </c>
      <c r="B323" s="22" t="s">
        <v>230</v>
      </c>
      <c r="C323" s="193"/>
      <c r="D323" s="157"/>
      <c r="E323" s="126">
        <f t="shared" si="25"/>
        <v>0</v>
      </c>
      <c r="F323" s="85" t="s">
        <v>8</v>
      </c>
      <c r="G323" s="88"/>
      <c r="H323" s="88"/>
      <c r="I323" s="83">
        <f t="shared" si="24"/>
        <v>0</v>
      </c>
      <c r="J323" s="83">
        <f t="shared" si="24"/>
        <v>0</v>
      </c>
    </row>
    <row r="324" spans="1:10" s="23" customFormat="1" ht="15.75">
      <c r="A324" s="60">
        <v>4.2</v>
      </c>
      <c r="B324" s="22" t="s">
        <v>231</v>
      </c>
      <c r="C324" s="193"/>
      <c r="D324" s="157"/>
      <c r="E324" s="126">
        <f t="shared" si="25"/>
        <v>0</v>
      </c>
      <c r="F324" s="85" t="s">
        <v>8</v>
      </c>
      <c r="G324" s="88"/>
      <c r="H324" s="88"/>
      <c r="I324" s="83">
        <f t="shared" si="24"/>
        <v>0</v>
      </c>
      <c r="J324" s="83">
        <f t="shared" si="24"/>
        <v>0</v>
      </c>
    </row>
    <row r="325" spans="1:10" s="23" customFormat="1" ht="15.75">
      <c r="A325" s="60">
        <v>4.3</v>
      </c>
      <c r="B325" s="22" t="s">
        <v>232</v>
      </c>
      <c r="C325" s="193"/>
      <c r="D325" s="157"/>
      <c r="E325" s="126">
        <f t="shared" si="25"/>
        <v>0</v>
      </c>
      <c r="F325" s="85" t="s">
        <v>8</v>
      </c>
      <c r="G325" s="88"/>
      <c r="H325" s="88"/>
      <c r="I325" s="83">
        <f t="shared" si="24"/>
        <v>0</v>
      </c>
      <c r="J325" s="83">
        <f t="shared" si="24"/>
        <v>0</v>
      </c>
    </row>
    <row r="326" spans="1:10" s="23" customFormat="1" ht="15.75">
      <c r="A326" s="60">
        <v>4.4000000000000004</v>
      </c>
      <c r="B326" s="22" t="s">
        <v>233</v>
      </c>
      <c r="C326" s="193"/>
      <c r="D326" s="157"/>
      <c r="E326" s="126">
        <f t="shared" si="25"/>
        <v>0</v>
      </c>
      <c r="F326" s="85" t="s">
        <v>8</v>
      </c>
      <c r="G326" s="88"/>
      <c r="H326" s="88"/>
      <c r="I326" s="83">
        <f t="shared" si="24"/>
        <v>0</v>
      </c>
      <c r="J326" s="83">
        <f t="shared" si="24"/>
        <v>0</v>
      </c>
    </row>
    <row r="327" spans="1:10" s="23" customFormat="1" ht="15.75">
      <c r="A327" s="60">
        <v>4.5</v>
      </c>
      <c r="B327" s="22" t="s">
        <v>234</v>
      </c>
      <c r="C327" s="193">
        <v>80</v>
      </c>
      <c r="D327" s="157">
        <v>40</v>
      </c>
      <c r="E327" s="126">
        <v>100</v>
      </c>
      <c r="F327" s="85" t="s">
        <v>8</v>
      </c>
      <c r="G327" s="88"/>
      <c r="H327" s="88"/>
      <c r="I327" s="83">
        <f t="shared" si="24"/>
        <v>0</v>
      </c>
      <c r="J327" s="83">
        <f t="shared" si="24"/>
        <v>0</v>
      </c>
    </row>
    <row r="328" spans="1:10" s="23" customFormat="1" ht="15.75">
      <c r="A328" s="60">
        <v>4.5999999999999996</v>
      </c>
      <c r="B328" s="22" t="s">
        <v>235</v>
      </c>
      <c r="C328" s="193">
        <v>40</v>
      </c>
      <c r="D328" s="157">
        <v>20</v>
      </c>
      <c r="E328" s="126">
        <v>100</v>
      </c>
      <c r="F328" s="85" t="s">
        <v>8</v>
      </c>
      <c r="G328" s="88"/>
      <c r="H328" s="88"/>
      <c r="I328" s="83">
        <f t="shared" si="24"/>
        <v>0</v>
      </c>
      <c r="J328" s="83">
        <f t="shared" si="24"/>
        <v>0</v>
      </c>
    </row>
    <row r="329" spans="1:10" s="23" customFormat="1" ht="15.75">
      <c r="A329" s="60">
        <v>4.7</v>
      </c>
      <c r="B329" s="22" t="s">
        <v>236</v>
      </c>
      <c r="C329" s="193">
        <v>40</v>
      </c>
      <c r="D329" s="157">
        <v>20</v>
      </c>
      <c r="E329" s="126">
        <f t="shared" si="25"/>
        <v>60</v>
      </c>
      <c r="F329" s="85" t="s">
        <v>8</v>
      </c>
      <c r="G329" s="88"/>
      <c r="H329" s="88"/>
      <c r="I329" s="83">
        <f t="shared" si="24"/>
        <v>0</v>
      </c>
      <c r="J329" s="83">
        <f t="shared" si="24"/>
        <v>0</v>
      </c>
    </row>
    <row r="330" spans="1:10" s="23" customFormat="1" ht="15.75">
      <c r="A330" s="60">
        <v>4.8</v>
      </c>
      <c r="B330" s="22" t="s">
        <v>237</v>
      </c>
      <c r="C330" s="193">
        <v>40</v>
      </c>
      <c r="D330" s="157">
        <v>40</v>
      </c>
      <c r="E330" s="126">
        <f t="shared" si="25"/>
        <v>80</v>
      </c>
      <c r="F330" s="85" t="s">
        <v>8</v>
      </c>
      <c r="G330" s="88"/>
      <c r="H330" s="88"/>
      <c r="I330" s="83">
        <f t="shared" si="24"/>
        <v>0</v>
      </c>
      <c r="J330" s="83">
        <f t="shared" si="24"/>
        <v>0</v>
      </c>
    </row>
    <row r="331" spans="1:10" s="23" customFormat="1" ht="15.75">
      <c r="A331" s="60">
        <v>4.9000000000000004</v>
      </c>
      <c r="B331" s="22" t="s">
        <v>238</v>
      </c>
      <c r="C331" s="193">
        <v>40</v>
      </c>
      <c r="D331" s="157">
        <v>40</v>
      </c>
      <c r="E331" s="126">
        <f t="shared" si="25"/>
        <v>80</v>
      </c>
      <c r="F331" s="85" t="s">
        <v>8</v>
      </c>
      <c r="G331" s="92"/>
      <c r="H331" s="92"/>
      <c r="I331" s="83">
        <f t="shared" si="24"/>
        <v>0</v>
      </c>
      <c r="J331" s="83">
        <f t="shared" si="24"/>
        <v>0</v>
      </c>
    </row>
    <row r="332" spans="1:10" s="23" customFormat="1" ht="12.75" customHeight="1">
      <c r="A332" s="21"/>
      <c r="B332" s="22"/>
      <c r="C332" s="193"/>
      <c r="D332" s="157"/>
      <c r="E332" s="126">
        <f t="shared" si="25"/>
        <v>0</v>
      </c>
      <c r="F332" s="85"/>
      <c r="G332" s="92"/>
      <c r="H332" s="92"/>
      <c r="I332" s="83">
        <f t="shared" si="24"/>
        <v>0</v>
      </c>
      <c r="J332" s="83">
        <f t="shared" si="24"/>
        <v>0</v>
      </c>
    </row>
    <row r="333" spans="1:10" s="23" customFormat="1" ht="15.75">
      <c r="A333" s="33">
        <v>5</v>
      </c>
      <c r="B333" s="62" t="s">
        <v>239</v>
      </c>
      <c r="C333" s="217"/>
      <c r="D333" s="179"/>
      <c r="E333" s="126">
        <f t="shared" si="25"/>
        <v>0</v>
      </c>
      <c r="F333" s="85"/>
      <c r="G333" s="92"/>
      <c r="H333" s="92"/>
      <c r="I333" s="83">
        <f t="shared" si="24"/>
        <v>0</v>
      </c>
      <c r="J333" s="83">
        <f t="shared" si="24"/>
        <v>0</v>
      </c>
    </row>
    <row r="334" spans="1:10" s="23" customFormat="1" ht="15.75">
      <c r="A334" s="59"/>
      <c r="B334" s="22" t="s">
        <v>240</v>
      </c>
      <c r="C334" s="193"/>
      <c r="D334" s="157"/>
      <c r="E334" s="126">
        <f t="shared" si="25"/>
        <v>0</v>
      </c>
      <c r="F334" s="85"/>
      <c r="G334" s="92"/>
      <c r="H334" s="92"/>
      <c r="I334" s="83">
        <f t="shared" si="24"/>
        <v>0</v>
      </c>
      <c r="J334" s="83">
        <f t="shared" si="24"/>
        <v>0</v>
      </c>
    </row>
    <row r="335" spans="1:10" s="23" customFormat="1" ht="63">
      <c r="A335" s="59"/>
      <c r="B335" s="22" t="s">
        <v>241</v>
      </c>
      <c r="C335" s="193"/>
      <c r="D335" s="157"/>
      <c r="E335" s="126">
        <f t="shared" si="25"/>
        <v>0</v>
      </c>
      <c r="F335" s="85"/>
      <c r="G335" s="92"/>
      <c r="H335" s="92"/>
      <c r="I335" s="83">
        <f t="shared" si="24"/>
        <v>0</v>
      </c>
      <c r="J335" s="83">
        <f t="shared" si="24"/>
        <v>0</v>
      </c>
    </row>
    <row r="336" spans="1:10" s="23" customFormat="1" ht="15.75">
      <c r="A336" s="59">
        <v>5.0999999999999996</v>
      </c>
      <c r="B336" s="22" t="s">
        <v>336</v>
      </c>
      <c r="C336" s="193"/>
      <c r="D336" s="157"/>
      <c r="E336" s="126">
        <f t="shared" si="25"/>
        <v>0</v>
      </c>
      <c r="F336" s="85" t="s">
        <v>8</v>
      </c>
      <c r="G336" s="133"/>
      <c r="H336" s="133"/>
      <c r="I336" s="134"/>
      <c r="J336" s="134"/>
    </row>
    <row r="337" spans="1:12" s="23" customFormat="1" ht="15.75">
      <c r="A337" s="59">
        <v>5.0999999999999996</v>
      </c>
      <c r="B337" s="22" t="s">
        <v>242</v>
      </c>
      <c r="C337" s="193">
        <v>30</v>
      </c>
      <c r="D337" s="157"/>
      <c r="E337" s="126">
        <f t="shared" si="25"/>
        <v>30</v>
      </c>
      <c r="F337" s="85" t="s">
        <v>8</v>
      </c>
      <c r="G337" s="88"/>
      <c r="H337" s="88"/>
      <c r="I337" s="83">
        <f t="shared" si="24"/>
        <v>0</v>
      </c>
      <c r="J337" s="83">
        <f t="shared" si="24"/>
        <v>0</v>
      </c>
    </row>
    <row r="338" spans="1:12" s="23" customFormat="1" ht="15.75">
      <c r="A338" s="59">
        <v>5.2</v>
      </c>
      <c r="B338" s="22" t="s">
        <v>243</v>
      </c>
      <c r="C338" s="193">
        <v>10</v>
      </c>
      <c r="D338" s="157">
        <v>10</v>
      </c>
      <c r="E338" s="126">
        <f t="shared" si="25"/>
        <v>20</v>
      </c>
      <c r="F338" s="85" t="s">
        <v>8</v>
      </c>
      <c r="G338" s="88"/>
      <c r="H338" s="88"/>
      <c r="I338" s="83">
        <f t="shared" si="24"/>
        <v>0</v>
      </c>
      <c r="J338" s="83">
        <f t="shared" si="24"/>
        <v>0</v>
      </c>
    </row>
    <row r="339" spans="1:12" s="23" customFormat="1" ht="15.75">
      <c r="A339" s="59">
        <v>5.3</v>
      </c>
      <c r="B339" s="22" t="s">
        <v>244</v>
      </c>
      <c r="C339" s="193">
        <v>10</v>
      </c>
      <c r="D339" s="157">
        <v>10</v>
      </c>
      <c r="E339" s="126">
        <f t="shared" si="25"/>
        <v>20</v>
      </c>
      <c r="F339" s="85" t="s">
        <v>8</v>
      </c>
      <c r="G339" s="88"/>
      <c r="H339" s="88"/>
      <c r="I339" s="83">
        <f t="shared" si="24"/>
        <v>0</v>
      </c>
      <c r="J339" s="83">
        <f t="shared" si="24"/>
        <v>0</v>
      </c>
    </row>
    <row r="340" spans="1:12" s="23" customFormat="1" ht="47.25">
      <c r="A340" s="59"/>
      <c r="B340" s="22" t="s">
        <v>245</v>
      </c>
      <c r="C340" s="193"/>
      <c r="D340" s="157"/>
      <c r="E340" s="126">
        <f t="shared" si="25"/>
        <v>0</v>
      </c>
      <c r="F340" s="85"/>
      <c r="G340" s="92"/>
      <c r="H340" s="92"/>
      <c r="I340" s="83">
        <f t="shared" si="24"/>
        <v>0</v>
      </c>
      <c r="J340" s="83">
        <f t="shared" si="24"/>
        <v>0</v>
      </c>
    </row>
    <row r="341" spans="1:12" s="23" customFormat="1" ht="15.75">
      <c r="A341" s="59"/>
      <c r="B341" s="22"/>
      <c r="C341" s="193"/>
      <c r="D341" s="157"/>
      <c r="E341" s="126">
        <f t="shared" si="25"/>
        <v>0</v>
      </c>
      <c r="F341" s="85"/>
      <c r="G341" s="92"/>
      <c r="H341" s="92"/>
      <c r="I341" s="83">
        <f t="shared" si="24"/>
        <v>0</v>
      </c>
      <c r="J341" s="83">
        <f t="shared" si="24"/>
        <v>0</v>
      </c>
    </row>
    <row r="342" spans="1:12" s="23" customFormat="1" ht="31.5">
      <c r="A342" s="33">
        <v>6</v>
      </c>
      <c r="B342" s="22" t="s">
        <v>246</v>
      </c>
      <c r="C342" s="193">
        <v>5</v>
      </c>
      <c r="D342" s="157">
        <v>3</v>
      </c>
      <c r="E342" s="126">
        <f t="shared" si="25"/>
        <v>8</v>
      </c>
      <c r="F342" s="85" t="s">
        <v>9</v>
      </c>
      <c r="G342" s="88"/>
      <c r="H342" s="88"/>
      <c r="I342" s="83">
        <f t="shared" si="24"/>
        <v>0</v>
      </c>
      <c r="J342" s="83">
        <f t="shared" si="24"/>
        <v>0</v>
      </c>
    </row>
    <row r="343" spans="1:12" s="23" customFormat="1" ht="12.75" customHeight="1">
      <c r="A343" s="33"/>
      <c r="B343" s="22"/>
      <c r="C343" s="193"/>
      <c r="D343" s="157"/>
      <c r="E343" s="126">
        <f t="shared" si="25"/>
        <v>0</v>
      </c>
      <c r="F343" s="85"/>
      <c r="G343" s="92"/>
      <c r="H343" s="92"/>
      <c r="I343" s="83">
        <f t="shared" si="24"/>
        <v>0</v>
      </c>
      <c r="J343" s="83">
        <f t="shared" si="24"/>
        <v>0</v>
      </c>
    </row>
    <row r="344" spans="1:12" s="23" customFormat="1" ht="31.5">
      <c r="A344" s="33">
        <v>8</v>
      </c>
      <c r="B344" s="22" t="s">
        <v>247</v>
      </c>
      <c r="C344" s="193">
        <v>2</v>
      </c>
      <c r="D344" s="157">
        <v>2</v>
      </c>
      <c r="E344" s="126">
        <f t="shared" si="25"/>
        <v>4</v>
      </c>
      <c r="F344" s="85" t="s">
        <v>10</v>
      </c>
      <c r="G344" s="88"/>
      <c r="H344" s="88"/>
      <c r="I344" s="83">
        <f t="shared" si="24"/>
        <v>0</v>
      </c>
      <c r="J344" s="83">
        <f t="shared" si="24"/>
        <v>0</v>
      </c>
    </row>
    <row r="345" spans="1:12" s="23" customFormat="1" ht="12.75" customHeight="1">
      <c r="A345" s="33"/>
      <c r="B345" s="22"/>
      <c r="C345" s="193"/>
      <c r="D345" s="157"/>
      <c r="E345" s="126">
        <f t="shared" si="25"/>
        <v>0</v>
      </c>
      <c r="F345" s="85"/>
      <c r="G345" s="92"/>
      <c r="H345" s="92"/>
      <c r="I345" s="83">
        <f t="shared" si="24"/>
        <v>0</v>
      </c>
      <c r="J345" s="83">
        <f t="shared" si="24"/>
        <v>0</v>
      </c>
    </row>
    <row r="346" spans="1:12" s="23" customFormat="1" ht="15.75">
      <c r="A346" s="33">
        <v>9</v>
      </c>
      <c r="B346" s="22" t="s">
        <v>248</v>
      </c>
      <c r="C346" s="193"/>
      <c r="D346" s="157"/>
      <c r="E346" s="126">
        <f t="shared" si="25"/>
        <v>0</v>
      </c>
      <c r="F346" s="85" t="s">
        <v>249</v>
      </c>
      <c r="G346" s="88"/>
      <c r="H346" s="88"/>
      <c r="I346" s="83">
        <f t="shared" si="24"/>
        <v>0</v>
      </c>
      <c r="J346" s="83">
        <f t="shared" si="24"/>
        <v>0</v>
      </c>
      <c r="L346" s="23" t="s">
        <v>337</v>
      </c>
    </row>
    <row r="347" spans="1:12" s="23" customFormat="1" ht="12.75" customHeight="1">
      <c r="A347" s="33"/>
      <c r="B347" s="22"/>
      <c r="C347" s="193"/>
      <c r="D347" s="157"/>
      <c r="E347" s="126">
        <f t="shared" si="25"/>
        <v>0</v>
      </c>
      <c r="F347" s="85"/>
      <c r="G347" s="92"/>
      <c r="H347" s="92"/>
      <c r="I347" s="83">
        <f t="shared" si="24"/>
        <v>0</v>
      </c>
      <c r="J347" s="83">
        <f t="shared" si="24"/>
        <v>0</v>
      </c>
    </row>
    <row r="348" spans="1:12" s="42" customFormat="1" ht="110.25">
      <c r="A348" s="33">
        <v>9.1</v>
      </c>
      <c r="B348" s="22" t="s">
        <v>250</v>
      </c>
      <c r="C348" s="228">
        <v>1</v>
      </c>
      <c r="D348" s="157">
        <v>2</v>
      </c>
      <c r="E348" s="126">
        <f t="shared" si="25"/>
        <v>3</v>
      </c>
      <c r="F348" s="87" t="s">
        <v>9</v>
      </c>
      <c r="G348" s="92"/>
      <c r="H348" s="92"/>
      <c r="I348" s="83">
        <f t="shared" si="24"/>
        <v>0</v>
      </c>
      <c r="J348" s="83">
        <f t="shared" si="24"/>
        <v>0</v>
      </c>
      <c r="K348" s="63" t="e">
        <f>SUM(#REF!)</f>
        <v>#REF!</v>
      </c>
    </row>
    <row r="349" spans="1:12" s="23" customFormat="1" ht="15.75">
      <c r="A349" s="33">
        <v>10</v>
      </c>
      <c r="B349" s="22" t="s">
        <v>251</v>
      </c>
      <c r="C349" s="193"/>
      <c r="D349" s="157"/>
      <c r="E349" s="126">
        <f t="shared" si="25"/>
        <v>0</v>
      </c>
      <c r="F349" s="85"/>
      <c r="G349" s="92"/>
      <c r="H349" s="92"/>
      <c r="I349" s="83">
        <f t="shared" si="24"/>
        <v>0</v>
      </c>
      <c r="J349" s="83">
        <f t="shared" si="24"/>
        <v>0</v>
      </c>
    </row>
    <row r="350" spans="1:12" s="23" customFormat="1" ht="31.5">
      <c r="A350" s="33"/>
      <c r="B350" s="22" t="s">
        <v>252</v>
      </c>
      <c r="C350" s="193"/>
      <c r="D350" s="157"/>
      <c r="E350" s="126">
        <f t="shared" si="25"/>
        <v>0</v>
      </c>
      <c r="F350" s="85"/>
      <c r="G350" s="92"/>
      <c r="H350" s="92"/>
      <c r="I350" s="83">
        <f t="shared" si="24"/>
        <v>0</v>
      </c>
      <c r="J350" s="83">
        <f t="shared" si="24"/>
        <v>0</v>
      </c>
    </row>
    <row r="351" spans="1:12" s="23" customFormat="1" ht="94.5">
      <c r="A351" s="64">
        <v>10.1</v>
      </c>
      <c r="B351" s="22" t="s">
        <v>253</v>
      </c>
      <c r="C351" s="228">
        <v>2</v>
      </c>
      <c r="D351" s="229">
        <v>4</v>
      </c>
      <c r="E351" s="126">
        <f t="shared" si="25"/>
        <v>6</v>
      </c>
      <c r="F351" s="85" t="s">
        <v>10</v>
      </c>
      <c r="G351" s="88"/>
      <c r="H351" s="88"/>
      <c r="I351" s="83">
        <f t="shared" ref="I351:J353" si="26">+N($E351)*N(G351)</f>
        <v>0</v>
      </c>
      <c r="J351" s="83">
        <f t="shared" si="26"/>
        <v>0</v>
      </c>
    </row>
    <row r="352" spans="1:12" ht="31.5">
      <c r="A352" s="65"/>
      <c r="B352" s="22" t="s">
        <v>254</v>
      </c>
      <c r="C352" s="193"/>
      <c r="D352" s="157"/>
      <c r="E352" s="126">
        <f t="shared" si="25"/>
        <v>0</v>
      </c>
      <c r="F352" s="85"/>
      <c r="G352" s="92"/>
      <c r="H352" s="92"/>
      <c r="I352" s="83">
        <f t="shared" si="26"/>
        <v>0</v>
      </c>
      <c r="J352" s="83">
        <f t="shared" si="26"/>
        <v>0</v>
      </c>
    </row>
    <row r="353" spans="1:11" ht="15.75">
      <c r="A353" s="65"/>
      <c r="B353" s="22"/>
      <c r="C353" s="193"/>
      <c r="D353" s="157"/>
      <c r="E353" s="126"/>
      <c r="F353" s="85"/>
      <c r="G353" s="92"/>
      <c r="H353" s="92"/>
      <c r="I353" s="83">
        <f t="shared" si="26"/>
        <v>0</v>
      </c>
      <c r="J353" s="83">
        <f t="shared" si="26"/>
        <v>0</v>
      </c>
    </row>
    <row r="354" spans="1:11" s="28" customFormat="1" ht="15.75">
      <c r="A354" s="25"/>
      <c r="B354" s="26" t="s">
        <v>255</v>
      </c>
      <c r="C354" s="195"/>
      <c r="D354" s="159"/>
      <c r="E354" s="102"/>
      <c r="F354" s="102"/>
      <c r="G354" s="95"/>
      <c r="H354" s="95"/>
      <c r="I354" s="102">
        <f>SUM(I251:I353)</f>
        <v>0</v>
      </c>
      <c r="J354" s="102">
        <f>SUM(J251:J353)</f>
        <v>0</v>
      </c>
      <c r="K354" s="27"/>
    </row>
    <row r="355" spans="1:11" ht="12.75" customHeight="1">
      <c r="A355" s="29"/>
      <c r="B355" s="29"/>
      <c r="C355" s="196"/>
      <c r="D355" s="160"/>
      <c r="E355" s="126"/>
      <c r="F355" s="85"/>
      <c r="G355" s="91"/>
      <c r="H355" s="91"/>
      <c r="I355" s="103"/>
      <c r="J355" s="103"/>
    </row>
    <row r="356" spans="1:11" ht="12.75" customHeight="1">
      <c r="A356" s="12" t="s">
        <v>20</v>
      </c>
      <c r="B356" s="13" t="s">
        <v>2</v>
      </c>
      <c r="C356" s="197"/>
      <c r="D356" s="161"/>
      <c r="E356" s="126">
        <f t="shared" ref="E356:E376" si="27">C356+D356</f>
        <v>0</v>
      </c>
      <c r="F356" s="89"/>
      <c r="G356" s="89"/>
      <c r="H356" s="89"/>
      <c r="I356" s="103"/>
      <c r="J356" s="103"/>
    </row>
    <row r="357" spans="1:11" ht="12.75" customHeight="1">
      <c r="A357" s="66"/>
      <c r="B357" s="39"/>
      <c r="C357" s="201"/>
      <c r="D357" s="166"/>
      <c r="E357" s="126">
        <f t="shared" si="27"/>
        <v>0</v>
      </c>
      <c r="F357" s="87"/>
      <c r="G357" s="92"/>
      <c r="H357" s="87"/>
      <c r="I357" s="103"/>
      <c r="J357" s="103"/>
    </row>
    <row r="358" spans="1:11" ht="22.5" customHeight="1">
      <c r="A358" s="33">
        <v>1</v>
      </c>
      <c r="B358" s="67" t="s">
        <v>256</v>
      </c>
      <c r="C358" s="218"/>
      <c r="D358" s="180"/>
      <c r="E358" s="126">
        <f t="shared" si="27"/>
        <v>0</v>
      </c>
      <c r="F358" s="87"/>
      <c r="G358" s="92"/>
      <c r="H358" s="92"/>
      <c r="I358" s="103"/>
      <c r="J358" s="103"/>
    </row>
    <row r="359" spans="1:11" ht="15.75">
      <c r="A359" s="66"/>
      <c r="B359" s="59" t="s">
        <v>257</v>
      </c>
      <c r="C359" s="219"/>
      <c r="D359" s="181"/>
      <c r="E359" s="126">
        <f t="shared" si="27"/>
        <v>0</v>
      </c>
      <c r="F359" s="87"/>
      <c r="G359" s="92"/>
      <c r="H359" s="92"/>
      <c r="I359" s="103"/>
      <c r="J359" s="103"/>
    </row>
    <row r="360" spans="1:11" ht="90" customHeight="1">
      <c r="A360" s="66"/>
      <c r="B360" s="68" t="s">
        <v>258</v>
      </c>
      <c r="C360" s="192"/>
      <c r="D360" s="182"/>
      <c r="E360" s="126">
        <f t="shared" si="27"/>
        <v>0</v>
      </c>
      <c r="F360" s="87"/>
      <c r="G360" s="92"/>
      <c r="H360" s="92"/>
      <c r="I360" s="83">
        <f t="shared" ref="I360:J375" si="28">+N($E360)*N(G360)</f>
        <v>0</v>
      </c>
      <c r="J360" s="83">
        <f t="shared" si="28"/>
        <v>0</v>
      </c>
    </row>
    <row r="361" spans="1:11" ht="15.75">
      <c r="A361" s="66">
        <v>1.1000000000000001</v>
      </c>
      <c r="B361" s="18" t="s">
        <v>259</v>
      </c>
      <c r="C361" s="192">
        <v>100</v>
      </c>
      <c r="D361" s="155">
        <v>100</v>
      </c>
      <c r="E361" s="126">
        <f t="shared" si="27"/>
        <v>200</v>
      </c>
      <c r="F361" s="87" t="s">
        <v>8</v>
      </c>
      <c r="G361" s="92"/>
      <c r="H361" s="92"/>
      <c r="I361" s="83">
        <f t="shared" si="28"/>
        <v>0</v>
      </c>
      <c r="J361" s="83">
        <f t="shared" si="28"/>
        <v>0</v>
      </c>
    </row>
    <row r="362" spans="1:11" ht="19.5" customHeight="1">
      <c r="A362" s="66">
        <v>1.2</v>
      </c>
      <c r="B362" s="18" t="s">
        <v>260</v>
      </c>
      <c r="C362" s="192">
        <v>50</v>
      </c>
      <c r="D362" s="155">
        <v>50</v>
      </c>
      <c r="E362" s="126">
        <f t="shared" si="27"/>
        <v>100</v>
      </c>
      <c r="F362" s="87" t="s">
        <v>8</v>
      </c>
      <c r="G362" s="88"/>
      <c r="H362" s="88"/>
      <c r="I362" s="83">
        <f t="shared" si="28"/>
        <v>0</v>
      </c>
      <c r="J362" s="83">
        <f t="shared" si="28"/>
        <v>0</v>
      </c>
    </row>
    <row r="363" spans="1:11" ht="15.75">
      <c r="A363" s="69"/>
      <c r="B363" s="22"/>
      <c r="C363" s="193"/>
      <c r="D363" s="157"/>
      <c r="E363" s="126">
        <f t="shared" si="27"/>
        <v>0</v>
      </c>
      <c r="F363" s="89"/>
      <c r="G363" s="92"/>
      <c r="H363" s="92"/>
      <c r="I363" s="83">
        <f t="shared" si="28"/>
        <v>0</v>
      </c>
      <c r="J363" s="83">
        <f t="shared" si="28"/>
        <v>0</v>
      </c>
    </row>
    <row r="364" spans="1:11" ht="12.75" customHeight="1">
      <c r="A364" s="19">
        <v>2</v>
      </c>
      <c r="B364" s="67" t="s">
        <v>261</v>
      </c>
      <c r="C364" s="218"/>
      <c r="D364" s="180"/>
      <c r="E364" s="126">
        <f t="shared" si="27"/>
        <v>0</v>
      </c>
      <c r="F364" s="89"/>
      <c r="G364" s="92"/>
      <c r="H364" s="92"/>
      <c r="I364" s="83">
        <f t="shared" si="28"/>
        <v>0</v>
      </c>
      <c r="J364" s="83">
        <f t="shared" si="28"/>
        <v>0</v>
      </c>
    </row>
    <row r="365" spans="1:11" ht="47.25">
      <c r="A365" s="66"/>
      <c r="B365" s="18" t="s">
        <v>262</v>
      </c>
      <c r="C365" s="192"/>
      <c r="D365" s="155"/>
      <c r="E365" s="126">
        <f t="shared" si="27"/>
        <v>0</v>
      </c>
      <c r="F365" s="89"/>
      <c r="G365" s="92"/>
      <c r="H365" s="92"/>
      <c r="I365" s="83">
        <f t="shared" si="28"/>
        <v>0</v>
      </c>
      <c r="J365" s="83">
        <f t="shared" si="28"/>
        <v>0</v>
      </c>
    </row>
    <row r="366" spans="1:11" ht="15.75">
      <c r="A366" s="66"/>
      <c r="B366" s="18" t="s">
        <v>359</v>
      </c>
      <c r="C366" s="192">
        <v>150</v>
      </c>
      <c r="D366" s="155">
        <v>150</v>
      </c>
      <c r="E366" s="126">
        <f t="shared" si="27"/>
        <v>300</v>
      </c>
      <c r="F366" s="87" t="s">
        <v>8</v>
      </c>
      <c r="G366" s="88"/>
      <c r="H366" s="88"/>
      <c r="I366" s="83">
        <f t="shared" si="28"/>
        <v>0</v>
      </c>
      <c r="J366" s="83">
        <f t="shared" si="28"/>
        <v>0</v>
      </c>
    </row>
    <row r="367" spans="1:11" ht="15.75">
      <c r="A367" s="66"/>
      <c r="B367" s="18" t="s">
        <v>360</v>
      </c>
      <c r="C367" s="192">
        <v>50</v>
      </c>
      <c r="D367" s="155">
        <v>50</v>
      </c>
      <c r="E367" s="126">
        <f t="shared" si="27"/>
        <v>100</v>
      </c>
      <c r="F367" s="87" t="s">
        <v>8</v>
      </c>
      <c r="G367" s="88"/>
      <c r="H367" s="88"/>
      <c r="I367" s="83">
        <f t="shared" si="28"/>
        <v>0</v>
      </c>
      <c r="J367" s="83">
        <f t="shared" si="28"/>
        <v>0</v>
      </c>
    </row>
    <row r="368" spans="1:11" ht="15.75">
      <c r="A368" s="66"/>
      <c r="B368" s="18" t="s">
        <v>361</v>
      </c>
      <c r="C368" s="192">
        <v>50</v>
      </c>
      <c r="D368" s="155">
        <v>50</v>
      </c>
      <c r="E368" s="126">
        <f t="shared" si="27"/>
        <v>100</v>
      </c>
      <c r="F368" s="87" t="s">
        <v>8</v>
      </c>
      <c r="G368" s="88"/>
      <c r="H368" s="88"/>
      <c r="I368" s="83">
        <f t="shared" si="28"/>
        <v>0</v>
      </c>
      <c r="J368" s="83">
        <f t="shared" si="28"/>
        <v>0</v>
      </c>
    </row>
    <row r="369" spans="1:11" ht="66" customHeight="1">
      <c r="A369" s="69"/>
      <c r="B369" s="18" t="s">
        <v>263</v>
      </c>
      <c r="C369" s="192">
        <v>240</v>
      </c>
      <c r="D369" s="155">
        <v>160</v>
      </c>
      <c r="E369" s="126">
        <f t="shared" si="27"/>
        <v>400</v>
      </c>
      <c r="F369" s="87" t="s">
        <v>8</v>
      </c>
      <c r="G369" s="88"/>
      <c r="H369" s="88"/>
      <c r="I369" s="83">
        <f t="shared" si="28"/>
        <v>0</v>
      </c>
      <c r="J369" s="83">
        <f t="shared" si="28"/>
        <v>0</v>
      </c>
    </row>
    <row r="370" spans="1:11" s="43" customFormat="1" ht="47.25">
      <c r="A370" s="70"/>
      <c r="B370" s="18" t="s">
        <v>264</v>
      </c>
      <c r="C370" s="192">
        <v>40</v>
      </c>
      <c r="D370" s="155">
        <v>40</v>
      </c>
      <c r="E370" s="126">
        <f t="shared" si="27"/>
        <v>80</v>
      </c>
      <c r="F370" s="87" t="s">
        <v>8</v>
      </c>
      <c r="G370" s="88"/>
      <c r="H370" s="88"/>
      <c r="I370" s="83">
        <f t="shared" si="28"/>
        <v>0</v>
      </c>
      <c r="J370" s="83">
        <f t="shared" si="28"/>
        <v>0</v>
      </c>
      <c r="K370" s="42"/>
    </row>
    <row r="371" spans="1:11" s="42" customFormat="1" ht="15.75">
      <c r="A371" s="70"/>
      <c r="B371" s="18"/>
      <c r="C371" s="192"/>
      <c r="D371" s="155"/>
      <c r="E371" s="126">
        <f t="shared" si="27"/>
        <v>0</v>
      </c>
      <c r="F371" s="87"/>
      <c r="G371" s="88"/>
      <c r="H371" s="88"/>
      <c r="I371" s="83">
        <f t="shared" si="28"/>
        <v>0</v>
      </c>
      <c r="J371" s="83">
        <f t="shared" si="28"/>
        <v>0</v>
      </c>
    </row>
    <row r="372" spans="1:11" ht="12.75" customHeight="1">
      <c r="A372" s="19">
        <v>3</v>
      </c>
      <c r="B372" s="18" t="s">
        <v>265</v>
      </c>
      <c r="C372" s="192"/>
      <c r="D372" s="155"/>
      <c r="E372" s="126">
        <f t="shared" si="27"/>
        <v>0</v>
      </c>
      <c r="F372" s="87"/>
      <c r="G372" s="92"/>
      <c r="H372" s="92"/>
      <c r="I372" s="83">
        <f t="shared" si="28"/>
        <v>0</v>
      </c>
      <c r="J372" s="83">
        <f t="shared" si="28"/>
        <v>0</v>
      </c>
    </row>
    <row r="373" spans="1:11" ht="31.5">
      <c r="A373" s="66"/>
      <c r="B373" s="18" t="s">
        <v>266</v>
      </c>
      <c r="C373" s="192">
        <v>120</v>
      </c>
      <c r="D373" s="155">
        <v>120</v>
      </c>
      <c r="E373" s="126">
        <f t="shared" si="27"/>
        <v>240</v>
      </c>
      <c r="F373" s="87" t="s">
        <v>8</v>
      </c>
      <c r="G373" s="88"/>
      <c r="H373" s="88"/>
      <c r="I373" s="83">
        <f t="shared" si="28"/>
        <v>0</v>
      </c>
      <c r="J373" s="83">
        <f t="shared" si="28"/>
        <v>0</v>
      </c>
    </row>
    <row r="374" spans="1:11" ht="12.75" customHeight="1">
      <c r="A374" s="66" t="s">
        <v>4</v>
      </c>
      <c r="B374" s="18" t="s">
        <v>267</v>
      </c>
      <c r="C374" s="192"/>
      <c r="D374" s="155"/>
      <c r="E374" s="126">
        <f t="shared" si="27"/>
        <v>0</v>
      </c>
      <c r="F374" s="87"/>
      <c r="G374" s="92"/>
      <c r="H374" s="92"/>
      <c r="I374" s="83">
        <f t="shared" si="28"/>
        <v>0</v>
      </c>
      <c r="J374" s="83">
        <f t="shared" si="28"/>
        <v>0</v>
      </c>
    </row>
    <row r="375" spans="1:11" ht="12.75" customHeight="1">
      <c r="A375" s="69"/>
      <c r="B375" s="18"/>
      <c r="C375" s="192"/>
      <c r="D375" s="155"/>
      <c r="E375" s="126">
        <f t="shared" si="27"/>
        <v>0</v>
      </c>
      <c r="F375" s="87"/>
      <c r="G375" s="92"/>
      <c r="H375" s="92"/>
      <c r="I375" s="83">
        <f t="shared" si="28"/>
        <v>0</v>
      </c>
      <c r="J375" s="83">
        <f t="shared" si="28"/>
        <v>0</v>
      </c>
    </row>
    <row r="376" spans="1:11" ht="31.5">
      <c r="A376" s="19">
        <v>4</v>
      </c>
      <c r="B376" s="18" t="s">
        <v>268</v>
      </c>
      <c r="C376" s="192"/>
      <c r="D376" s="155"/>
      <c r="E376" s="126">
        <f t="shared" si="27"/>
        <v>0</v>
      </c>
      <c r="F376" s="87" t="s">
        <v>10</v>
      </c>
      <c r="G376" s="88"/>
      <c r="H376" s="88"/>
      <c r="I376" s="83">
        <f t="shared" ref="I376:J377" si="29">+N($E376)*N(G376)</f>
        <v>0</v>
      </c>
      <c r="J376" s="83">
        <f t="shared" si="29"/>
        <v>0</v>
      </c>
    </row>
    <row r="377" spans="1:11" ht="12.75" customHeight="1">
      <c r="A377" s="19"/>
      <c r="B377" s="18"/>
      <c r="C377" s="192"/>
      <c r="D377" s="155"/>
      <c r="E377" s="126"/>
      <c r="F377" s="87"/>
      <c r="G377" s="90"/>
      <c r="H377" s="90"/>
      <c r="I377" s="83">
        <f t="shared" si="29"/>
        <v>0</v>
      </c>
      <c r="J377" s="83">
        <f t="shared" si="29"/>
        <v>0</v>
      </c>
    </row>
    <row r="378" spans="1:11" s="28" customFormat="1" ht="15.75">
      <c r="A378" s="25"/>
      <c r="B378" s="26" t="s">
        <v>269</v>
      </c>
      <c r="C378" s="195"/>
      <c r="D378" s="159"/>
      <c r="E378" s="102"/>
      <c r="F378" s="102"/>
      <c r="G378" s="95"/>
      <c r="H378" s="95"/>
      <c r="I378" s="96">
        <f>SUM(I359:I377)</f>
        <v>0</v>
      </c>
      <c r="J378" s="96">
        <f>SUM(J359:J377)</f>
        <v>0</v>
      </c>
      <c r="K378" s="27"/>
    </row>
    <row r="379" spans="1:11" ht="12.75" customHeight="1">
      <c r="A379" s="29"/>
      <c r="B379" s="29"/>
      <c r="C379" s="196"/>
      <c r="D379" s="160"/>
      <c r="E379" s="126"/>
      <c r="F379" s="85"/>
      <c r="G379" s="91"/>
      <c r="H379" s="91"/>
      <c r="I379" s="91"/>
      <c r="J379" s="91"/>
    </row>
    <row r="380" spans="1:11" ht="12.75" customHeight="1">
      <c r="A380" s="12" t="s">
        <v>16</v>
      </c>
      <c r="B380" s="13" t="s">
        <v>270</v>
      </c>
      <c r="C380" s="197"/>
      <c r="D380" s="161"/>
      <c r="E380" s="126">
        <f t="shared" ref="E380:E410" si="30">C380+D380</f>
        <v>0</v>
      </c>
      <c r="F380" s="89"/>
      <c r="G380" s="89"/>
      <c r="H380" s="89"/>
      <c r="I380" s="89"/>
      <c r="J380" s="89"/>
    </row>
    <row r="381" spans="1:11" ht="15.75">
      <c r="A381" s="71">
        <v>1</v>
      </c>
      <c r="B381" s="16" t="s">
        <v>271</v>
      </c>
      <c r="C381" s="191"/>
      <c r="D381" s="156"/>
      <c r="E381" s="126">
        <f t="shared" si="30"/>
        <v>0</v>
      </c>
      <c r="F381" s="104"/>
      <c r="G381" s="87"/>
      <c r="H381" s="87"/>
      <c r="I381" s="104"/>
      <c r="J381" s="104"/>
    </row>
    <row r="382" spans="1:11" ht="78.75">
      <c r="A382" s="71"/>
      <c r="B382" s="18" t="s">
        <v>340</v>
      </c>
      <c r="C382" s="192"/>
      <c r="D382" s="155"/>
      <c r="E382" s="126">
        <f t="shared" si="30"/>
        <v>0</v>
      </c>
      <c r="F382" s="104"/>
      <c r="G382" s="87"/>
      <c r="H382" s="87"/>
      <c r="I382" s="103"/>
      <c r="J382" s="103"/>
    </row>
    <row r="383" spans="1:11" ht="126">
      <c r="A383" s="71"/>
      <c r="B383" s="18" t="s">
        <v>272</v>
      </c>
      <c r="C383" s="192"/>
      <c r="D383" s="155"/>
      <c r="E383" s="126">
        <f t="shared" si="30"/>
        <v>0</v>
      </c>
      <c r="F383" s="104"/>
      <c r="G383" s="87"/>
      <c r="H383" s="87"/>
      <c r="I383" s="103"/>
      <c r="J383" s="103"/>
    </row>
    <row r="384" spans="1:11" ht="67.5">
      <c r="A384" s="71"/>
      <c r="B384" s="18" t="s">
        <v>273</v>
      </c>
      <c r="C384" s="192"/>
      <c r="D384" s="155"/>
      <c r="E384" s="126">
        <f t="shared" si="30"/>
        <v>0</v>
      </c>
      <c r="F384" s="104"/>
      <c r="G384" s="87"/>
      <c r="H384" s="87"/>
      <c r="I384" s="103"/>
      <c r="J384" s="103"/>
    </row>
    <row r="385" spans="1:10" s="23" customFormat="1" ht="31.5">
      <c r="A385" s="71"/>
      <c r="B385" s="18" t="s">
        <v>274</v>
      </c>
      <c r="C385" s="192"/>
      <c r="D385" s="155"/>
      <c r="E385" s="126">
        <f t="shared" si="30"/>
        <v>0</v>
      </c>
      <c r="F385" s="104"/>
      <c r="G385" s="87"/>
      <c r="H385" s="87"/>
      <c r="I385" s="103"/>
      <c r="J385" s="103"/>
    </row>
    <row r="386" spans="1:10" s="23" customFormat="1" ht="78.75">
      <c r="A386" s="71"/>
      <c r="B386" s="18" t="s">
        <v>275</v>
      </c>
      <c r="C386" s="192"/>
      <c r="D386" s="155"/>
      <c r="E386" s="126">
        <f t="shared" si="30"/>
        <v>0</v>
      </c>
      <c r="F386" s="104"/>
      <c r="G386" s="87"/>
      <c r="H386" s="87"/>
      <c r="I386" s="103"/>
      <c r="J386" s="103"/>
    </row>
    <row r="387" spans="1:10" s="23" customFormat="1" ht="15.75">
      <c r="A387" s="71"/>
      <c r="B387" s="18" t="s">
        <v>276</v>
      </c>
      <c r="C387" s="192"/>
      <c r="D387" s="155"/>
      <c r="E387" s="126">
        <f t="shared" si="30"/>
        <v>0</v>
      </c>
      <c r="F387" s="104"/>
      <c r="G387" s="87"/>
      <c r="H387" s="87"/>
      <c r="I387" s="103"/>
      <c r="J387" s="103"/>
    </row>
    <row r="388" spans="1:10" s="23" customFormat="1" ht="15.75">
      <c r="A388" s="71"/>
      <c r="B388" s="18" t="s">
        <v>277</v>
      </c>
      <c r="C388" s="192"/>
      <c r="D388" s="155"/>
      <c r="E388" s="126">
        <f t="shared" si="30"/>
        <v>0</v>
      </c>
      <c r="F388" s="104"/>
      <c r="G388" s="87"/>
      <c r="H388" s="87"/>
      <c r="I388" s="103"/>
      <c r="J388" s="103"/>
    </row>
    <row r="389" spans="1:10" s="23" customFormat="1" ht="94.5">
      <c r="A389" s="71"/>
      <c r="B389" s="18" t="s">
        <v>278</v>
      </c>
      <c r="C389" s="192"/>
      <c r="D389" s="155"/>
      <c r="E389" s="126">
        <f t="shared" si="30"/>
        <v>0</v>
      </c>
      <c r="F389" s="104"/>
      <c r="G389" s="87"/>
      <c r="H389" s="87"/>
      <c r="I389" s="103"/>
      <c r="J389" s="103"/>
    </row>
    <row r="390" spans="1:10" s="23" customFormat="1" ht="78.75">
      <c r="A390" s="71"/>
      <c r="B390" s="18" t="s">
        <v>279</v>
      </c>
      <c r="C390" s="192"/>
      <c r="D390" s="155"/>
      <c r="E390" s="126">
        <f t="shared" si="30"/>
        <v>0</v>
      </c>
      <c r="F390" s="104"/>
      <c r="G390" s="87"/>
      <c r="H390" s="87"/>
      <c r="I390" s="103"/>
      <c r="J390" s="103"/>
    </row>
    <row r="391" spans="1:10" s="23" customFormat="1" ht="12.75" customHeight="1">
      <c r="A391" s="71"/>
      <c r="B391" s="18"/>
      <c r="C391" s="192"/>
      <c r="D391" s="155"/>
      <c r="E391" s="126">
        <f t="shared" si="30"/>
        <v>0</v>
      </c>
      <c r="F391" s="104"/>
      <c r="G391" s="87"/>
      <c r="H391" s="87"/>
      <c r="I391" s="103"/>
      <c r="J391" s="103"/>
    </row>
    <row r="392" spans="1:10" s="23" customFormat="1" ht="12.75" customHeight="1">
      <c r="A392" s="71"/>
      <c r="B392" s="18" t="s">
        <v>280</v>
      </c>
      <c r="C392" s="192"/>
      <c r="D392" s="155"/>
      <c r="E392" s="126">
        <f t="shared" si="30"/>
        <v>0</v>
      </c>
      <c r="F392" s="104"/>
      <c r="G392" s="87"/>
      <c r="H392" s="87"/>
      <c r="I392" s="83">
        <f t="shared" ref="I392:J407" si="31">+N($E392)*N(G392)</f>
        <v>0</v>
      </c>
      <c r="J392" s="83">
        <f t="shared" si="31"/>
        <v>0</v>
      </c>
    </row>
    <row r="393" spans="1:10" s="23" customFormat="1" ht="12.75" customHeight="1">
      <c r="A393" s="72"/>
      <c r="B393" s="18" t="s">
        <v>281</v>
      </c>
      <c r="C393" s="192"/>
      <c r="D393" s="155"/>
      <c r="E393" s="126">
        <f t="shared" si="30"/>
        <v>0</v>
      </c>
      <c r="F393" s="87" t="s">
        <v>9</v>
      </c>
      <c r="G393" s="88"/>
      <c r="H393" s="88"/>
      <c r="I393" s="83">
        <f t="shared" si="31"/>
        <v>0</v>
      </c>
      <c r="J393" s="83">
        <f t="shared" si="31"/>
        <v>0</v>
      </c>
    </row>
    <row r="394" spans="1:10" s="23" customFormat="1" ht="12.75" customHeight="1">
      <c r="A394" s="72"/>
      <c r="B394" s="18" t="s">
        <v>282</v>
      </c>
      <c r="C394" s="192"/>
      <c r="D394" s="155"/>
      <c r="E394" s="126">
        <f t="shared" si="30"/>
        <v>0</v>
      </c>
      <c r="F394" s="87" t="s">
        <v>9</v>
      </c>
      <c r="G394" s="88"/>
      <c r="H394" s="88"/>
      <c r="I394" s="83">
        <f t="shared" si="31"/>
        <v>0</v>
      </c>
      <c r="J394" s="83">
        <f t="shared" si="31"/>
        <v>0</v>
      </c>
    </row>
    <row r="395" spans="1:10" s="23" customFormat="1" ht="12.6" customHeight="1">
      <c r="A395" s="72"/>
      <c r="B395" s="18" t="s">
        <v>283</v>
      </c>
      <c r="C395" s="192"/>
      <c r="D395" s="155"/>
      <c r="E395" s="126">
        <f t="shared" si="30"/>
        <v>0</v>
      </c>
      <c r="F395" s="87" t="s">
        <v>9</v>
      </c>
      <c r="G395" s="88"/>
      <c r="H395" s="88"/>
      <c r="I395" s="83">
        <f t="shared" si="31"/>
        <v>0</v>
      </c>
      <c r="J395" s="83">
        <f t="shared" si="31"/>
        <v>0</v>
      </c>
    </row>
    <row r="396" spans="1:10" s="23" customFormat="1" ht="12.75" customHeight="1">
      <c r="A396" s="72"/>
      <c r="B396" s="18" t="s">
        <v>284</v>
      </c>
      <c r="C396" s="192"/>
      <c r="D396" s="155"/>
      <c r="E396" s="126">
        <f t="shared" si="30"/>
        <v>0</v>
      </c>
      <c r="F396" s="87" t="s">
        <v>9</v>
      </c>
      <c r="G396" s="88"/>
      <c r="H396" s="88"/>
      <c r="I396" s="83">
        <f t="shared" si="31"/>
        <v>0</v>
      </c>
      <c r="J396" s="83">
        <f t="shared" si="31"/>
        <v>0</v>
      </c>
    </row>
    <row r="397" spans="1:10" s="23" customFormat="1" ht="12.75" customHeight="1">
      <c r="A397" s="72"/>
      <c r="B397" s="18" t="s">
        <v>285</v>
      </c>
      <c r="C397" s="192"/>
      <c r="D397" s="155"/>
      <c r="E397" s="126">
        <f t="shared" si="30"/>
        <v>0</v>
      </c>
      <c r="F397" s="87" t="s">
        <v>9</v>
      </c>
      <c r="G397" s="88"/>
      <c r="H397" s="88"/>
      <c r="I397" s="83">
        <f t="shared" si="31"/>
        <v>0</v>
      </c>
      <c r="J397" s="83">
        <f t="shared" si="31"/>
        <v>0</v>
      </c>
    </row>
    <row r="398" spans="1:10" s="23" customFormat="1" ht="12.75" customHeight="1">
      <c r="A398" s="72"/>
      <c r="B398" s="18" t="s">
        <v>286</v>
      </c>
      <c r="C398" s="192"/>
      <c r="D398" s="155"/>
      <c r="E398" s="126">
        <f t="shared" si="30"/>
        <v>0</v>
      </c>
      <c r="F398" s="87" t="s">
        <v>9</v>
      </c>
      <c r="G398" s="88"/>
      <c r="H398" s="88"/>
      <c r="I398" s="83">
        <f t="shared" si="31"/>
        <v>0</v>
      </c>
      <c r="J398" s="83">
        <f t="shared" si="31"/>
        <v>0</v>
      </c>
    </row>
    <row r="399" spans="1:10" s="23" customFormat="1" ht="12.75" customHeight="1">
      <c r="A399" s="72"/>
      <c r="B399" s="18" t="s">
        <v>287</v>
      </c>
      <c r="C399" s="192"/>
      <c r="D399" s="155"/>
      <c r="E399" s="126">
        <f t="shared" si="30"/>
        <v>0</v>
      </c>
      <c r="F399" s="87" t="s">
        <v>9</v>
      </c>
      <c r="G399" s="88"/>
      <c r="H399" s="88"/>
      <c r="I399" s="83">
        <f t="shared" si="31"/>
        <v>0</v>
      </c>
      <c r="J399" s="83">
        <f t="shared" si="31"/>
        <v>0</v>
      </c>
    </row>
    <row r="400" spans="1:10" s="23" customFormat="1" ht="12.75" customHeight="1">
      <c r="A400" s="72"/>
      <c r="B400" s="18" t="s">
        <v>288</v>
      </c>
      <c r="C400" s="192"/>
      <c r="D400" s="155"/>
      <c r="E400" s="126">
        <f t="shared" si="30"/>
        <v>0</v>
      </c>
      <c r="F400" s="87" t="s">
        <v>9</v>
      </c>
      <c r="G400" s="88"/>
      <c r="H400" s="88"/>
      <c r="I400" s="83">
        <f t="shared" si="31"/>
        <v>0</v>
      </c>
      <c r="J400" s="83">
        <f t="shared" si="31"/>
        <v>0</v>
      </c>
    </row>
    <row r="401" spans="1:10" s="23" customFormat="1" ht="12.75" customHeight="1">
      <c r="A401" s="71"/>
      <c r="B401" s="18" t="s">
        <v>289</v>
      </c>
      <c r="C401" s="192"/>
      <c r="D401" s="155"/>
      <c r="E401" s="126">
        <f t="shared" si="30"/>
        <v>0</v>
      </c>
      <c r="F401" s="87"/>
      <c r="G401" s="92"/>
      <c r="H401" s="92"/>
      <c r="I401" s="83">
        <f t="shared" si="31"/>
        <v>0</v>
      </c>
      <c r="J401" s="83">
        <f t="shared" si="31"/>
        <v>0</v>
      </c>
    </row>
    <row r="402" spans="1:10" s="23" customFormat="1" ht="12.75" customHeight="1">
      <c r="A402" s="71"/>
      <c r="B402" s="18"/>
      <c r="C402" s="192"/>
      <c r="D402" s="155"/>
      <c r="E402" s="126">
        <f t="shared" si="30"/>
        <v>0</v>
      </c>
      <c r="F402" s="87"/>
      <c r="G402" s="92"/>
      <c r="H402" s="92"/>
      <c r="I402" s="83">
        <f t="shared" si="31"/>
        <v>0</v>
      </c>
      <c r="J402" s="83">
        <f t="shared" si="31"/>
        <v>0</v>
      </c>
    </row>
    <row r="403" spans="1:10" s="23" customFormat="1" ht="78.75">
      <c r="A403" s="71">
        <v>2</v>
      </c>
      <c r="B403" s="18" t="s">
        <v>290</v>
      </c>
      <c r="C403" s="192"/>
      <c r="D403" s="155"/>
      <c r="E403" s="126">
        <f t="shared" si="30"/>
        <v>0</v>
      </c>
      <c r="F403" s="87" t="s">
        <v>9</v>
      </c>
      <c r="G403" s="88"/>
      <c r="H403" s="88"/>
      <c r="I403" s="83">
        <f t="shared" si="31"/>
        <v>0</v>
      </c>
      <c r="J403" s="83">
        <f t="shared" si="31"/>
        <v>0</v>
      </c>
    </row>
    <row r="404" spans="1:10" s="23" customFormat="1" ht="12.75" customHeight="1">
      <c r="A404" s="71"/>
      <c r="B404" s="18"/>
      <c r="C404" s="192"/>
      <c r="D404" s="155"/>
      <c r="E404" s="126">
        <f t="shared" si="30"/>
        <v>0</v>
      </c>
      <c r="F404" s="87"/>
      <c r="G404" s="92"/>
      <c r="H404" s="92"/>
      <c r="I404" s="83">
        <f t="shared" si="31"/>
        <v>0</v>
      </c>
      <c r="J404" s="83">
        <f t="shared" si="31"/>
        <v>0</v>
      </c>
    </row>
    <row r="405" spans="1:10" s="23" customFormat="1" ht="94.5">
      <c r="A405" s="71">
        <v>3</v>
      </c>
      <c r="B405" s="18" t="s">
        <v>291</v>
      </c>
      <c r="C405" s="192"/>
      <c r="D405" s="155"/>
      <c r="E405" s="126">
        <f t="shared" si="30"/>
        <v>0</v>
      </c>
      <c r="F405" s="87" t="s">
        <v>9</v>
      </c>
      <c r="G405" s="88"/>
      <c r="H405" s="88"/>
      <c r="I405" s="83">
        <f t="shared" si="31"/>
        <v>0</v>
      </c>
      <c r="J405" s="83">
        <f t="shared" si="31"/>
        <v>0</v>
      </c>
    </row>
    <row r="406" spans="1:10" s="23" customFormat="1" ht="12.75" customHeight="1">
      <c r="A406" s="71"/>
      <c r="B406" s="18"/>
      <c r="C406" s="192"/>
      <c r="D406" s="155"/>
      <c r="E406" s="126">
        <f t="shared" si="30"/>
        <v>0</v>
      </c>
      <c r="F406" s="87"/>
      <c r="G406" s="92"/>
      <c r="H406" s="92"/>
      <c r="I406" s="83">
        <f t="shared" si="31"/>
        <v>0</v>
      </c>
      <c r="J406" s="83">
        <f t="shared" si="31"/>
        <v>0</v>
      </c>
    </row>
    <row r="407" spans="1:10" s="23" customFormat="1" ht="31.5">
      <c r="A407" s="36">
        <v>4</v>
      </c>
      <c r="B407" s="18" t="s">
        <v>292</v>
      </c>
      <c r="C407" s="192"/>
      <c r="D407" s="155"/>
      <c r="E407" s="126">
        <f t="shared" si="30"/>
        <v>0</v>
      </c>
      <c r="F407" s="87" t="s">
        <v>8</v>
      </c>
      <c r="G407" s="88"/>
      <c r="H407" s="88"/>
      <c r="I407" s="83">
        <f t="shared" si="31"/>
        <v>0</v>
      </c>
      <c r="J407" s="83">
        <f t="shared" si="31"/>
        <v>0</v>
      </c>
    </row>
    <row r="408" spans="1:10" s="23" customFormat="1" ht="12.75" customHeight="1">
      <c r="A408" s="73"/>
      <c r="B408" s="18" t="s">
        <v>293</v>
      </c>
      <c r="C408" s="192"/>
      <c r="D408" s="155"/>
      <c r="E408" s="126">
        <f t="shared" si="30"/>
        <v>0</v>
      </c>
      <c r="F408" s="104"/>
      <c r="G408" s="105"/>
      <c r="H408" s="104"/>
      <c r="I408" s="83">
        <f t="shared" ref="I408:J411" si="32">+N($E408)*N(G408)</f>
        <v>0</v>
      </c>
      <c r="J408" s="83">
        <f t="shared" si="32"/>
        <v>0</v>
      </c>
    </row>
    <row r="409" spans="1:10" s="23" customFormat="1" ht="12.75" customHeight="1">
      <c r="A409" s="73"/>
      <c r="B409" s="18"/>
      <c r="C409" s="192"/>
      <c r="D409" s="155"/>
      <c r="E409" s="126">
        <f t="shared" si="30"/>
        <v>0</v>
      </c>
      <c r="F409" s="104"/>
      <c r="G409" s="105"/>
      <c r="H409" s="104"/>
      <c r="I409" s="83">
        <f t="shared" si="32"/>
        <v>0</v>
      </c>
      <c r="J409" s="83">
        <f t="shared" si="32"/>
        <v>0</v>
      </c>
    </row>
    <row r="410" spans="1:10" s="23" customFormat="1" ht="25.5" customHeight="1">
      <c r="A410" s="36">
        <v>5</v>
      </c>
      <c r="B410" s="18" t="s">
        <v>294</v>
      </c>
      <c r="C410" s="192"/>
      <c r="D410" s="155"/>
      <c r="E410" s="126">
        <f t="shared" si="30"/>
        <v>0</v>
      </c>
      <c r="F410" s="87" t="s">
        <v>9</v>
      </c>
      <c r="G410" s="88"/>
      <c r="H410" s="88"/>
      <c r="I410" s="83">
        <f t="shared" si="32"/>
        <v>0</v>
      </c>
      <c r="J410" s="83">
        <f t="shared" si="32"/>
        <v>0</v>
      </c>
    </row>
    <row r="411" spans="1:10" s="23" customFormat="1" ht="12.75" customHeight="1">
      <c r="A411" s="74"/>
      <c r="B411" s="39"/>
      <c r="C411" s="203"/>
      <c r="D411" s="168"/>
      <c r="E411" s="87"/>
      <c r="F411" s="107"/>
      <c r="G411" s="106"/>
      <c r="H411" s="107"/>
      <c r="I411" s="83">
        <f t="shared" si="32"/>
        <v>0</v>
      </c>
      <c r="J411" s="83">
        <f t="shared" si="32"/>
        <v>0</v>
      </c>
    </row>
    <row r="412" spans="1:10" s="23" customFormat="1" ht="12.75" customHeight="1">
      <c r="A412" s="25"/>
      <c r="B412" s="75" t="s">
        <v>295</v>
      </c>
      <c r="C412" s="212"/>
      <c r="D412" s="183"/>
      <c r="E412" s="96"/>
      <c r="F412" s="96"/>
      <c r="G412" s="96"/>
      <c r="H412" s="96"/>
      <c r="I412" s="96">
        <f>SUM(I386:I411)</f>
        <v>0</v>
      </c>
      <c r="J412" s="96">
        <f>SUM(J386:J411)</f>
        <v>0</v>
      </c>
    </row>
    <row r="413" spans="1:10" s="23" customFormat="1" ht="12.75" customHeight="1">
      <c r="C413" s="76"/>
      <c r="E413" s="93"/>
      <c r="F413" s="93"/>
      <c r="G413" s="94"/>
      <c r="H413" s="94"/>
      <c r="I413" s="94"/>
      <c r="J413" s="94"/>
    </row>
    <row r="414" spans="1:10" s="23" customFormat="1" ht="15.75">
      <c r="A414" s="36"/>
      <c r="B414" s="18"/>
      <c r="C414" s="207"/>
      <c r="D414" s="172"/>
      <c r="E414" s="87"/>
      <c r="F414" s="87"/>
      <c r="G414" s="92"/>
      <c r="H414" s="92"/>
      <c r="I414" s="103"/>
      <c r="J414" s="103"/>
    </row>
    <row r="415" spans="1:10" s="23" customFormat="1" ht="30" customHeight="1">
      <c r="A415" s="56">
        <v>1</v>
      </c>
      <c r="B415" s="56" t="s">
        <v>371</v>
      </c>
      <c r="C415" s="220"/>
      <c r="D415" s="184"/>
      <c r="E415" s="126">
        <f t="shared" ref="E415:E430" si="33">C415+D415</f>
        <v>0</v>
      </c>
      <c r="F415" s="108"/>
      <c r="G415" s="108"/>
      <c r="H415" s="108"/>
      <c r="I415" s="109"/>
      <c r="J415" s="109"/>
    </row>
    <row r="416" spans="1:10" s="23" customFormat="1" ht="87.95" customHeight="1">
      <c r="A416" s="18"/>
      <c r="B416" s="18" t="s">
        <v>296</v>
      </c>
      <c r="C416" s="207"/>
      <c r="D416" s="172"/>
      <c r="E416" s="126">
        <f t="shared" si="33"/>
        <v>0</v>
      </c>
      <c r="F416" s="110"/>
      <c r="G416" s="110"/>
      <c r="H416" s="110"/>
      <c r="I416" s="83">
        <f t="shared" ref="I416:J431" si="34">+N($E416)*N(G416)</f>
        <v>0</v>
      </c>
      <c r="J416" s="83">
        <f t="shared" si="34"/>
        <v>0</v>
      </c>
    </row>
    <row r="417" spans="1:11" s="76" customFormat="1" ht="20.100000000000001" customHeight="1">
      <c r="A417" s="18"/>
      <c r="B417" s="18" t="s">
        <v>297</v>
      </c>
      <c r="C417" s="207">
        <v>11</v>
      </c>
      <c r="D417" s="172"/>
      <c r="E417" s="126">
        <f t="shared" si="33"/>
        <v>11</v>
      </c>
      <c r="F417" s="87" t="s">
        <v>9</v>
      </c>
      <c r="G417" s="87"/>
      <c r="H417" s="87"/>
      <c r="I417" s="83">
        <f t="shared" si="34"/>
        <v>0</v>
      </c>
      <c r="J417" s="83">
        <f t="shared" si="34"/>
        <v>0</v>
      </c>
      <c r="K417" s="23"/>
    </row>
    <row r="418" spans="1:11" s="76" customFormat="1" ht="20.100000000000001" customHeight="1">
      <c r="A418" s="18"/>
      <c r="B418" s="18" t="s">
        <v>298</v>
      </c>
      <c r="C418" s="207">
        <v>3</v>
      </c>
      <c r="D418" s="172"/>
      <c r="E418" s="126">
        <f t="shared" si="33"/>
        <v>3</v>
      </c>
      <c r="F418" s="87" t="s">
        <v>9</v>
      </c>
      <c r="G418" s="87"/>
      <c r="H418" s="87"/>
      <c r="I418" s="83">
        <f t="shared" si="34"/>
        <v>0</v>
      </c>
      <c r="J418" s="83">
        <f t="shared" si="34"/>
        <v>0</v>
      </c>
      <c r="K418" s="23"/>
    </row>
    <row r="419" spans="1:11" s="76" customFormat="1" ht="20.100000000000001" customHeight="1">
      <c r="A419" s="18"/>
      <c r="B419" s="18" t="s">
        <v>299</v>
      </c>
      <c r="C419" s="207">
        <v>1</v>
      </c>
      <c r="D419" s="172"/>
      <c r="E419" s="126">
        <f t="shared" si="33"/>
        <v>1</v>
      </c>
      <c r="F419" s="87" t="s">
        <v>9</v>
      </c>
      <c r="G419" s="87"/>
      <c r="H419" s="87"/>
      <c r="I419" s="83">
        <f t="shared" si="34"/>
        <v>0</v>
      </c>
      <c r="J419" s="83">
        <f t="shared" si="34"/>
        <v>0</v>
      </c>
      <c r="K419" s="23"/>
    </row>
    <row r="420" spans="1:11" s="76" customFormat="1" ht="20.100000000000001" customHeight="1">
      <c r="A420" s="18"/>
      <c r="B420" s="18" t="s">
        <v>300</v>
      </c>
      <c r="C420" s="207"/>
      <c r="D420" s="172"/>
      <c r="E420" s="126">
        <f t="shared" si="33"/>
        <v>0</v>
      </c>
      <c r="F420" s="87" t="s">
        <v>9</v>
      </c>
      <c r="G420" s="87"/>
      <c r="H420" s="87"/>
      <c r="I420" s="83">
        <f t="shared" si="34"/>
        <v>0</v>
      </c>
      <c r="J420" s="83">
        <f t="shared" si="34"/>
        <v>0</v>
      </c>
      <c r="K420" s="23"/>
    </row>
    <row r="421" spans="1:11" s="76" customFormat="1" ht="20.100000000000001" customHeight="1">
      <c r="A421" s="18"/>
      <c r="B421" s="18" t="s">
        <v>301</v>
      </c>
      <c r="C421" s="207"/>
      <c r="D421" s="172"/>
      <c r="E421" s="126">
        <f t="shared" si="33"/>
        <v>0</v>
      </c>
      <c r="F421" s="87" t="s">
        <v>9</v>
      </c>
      <c r="G421" s="87"/>
      <c r="H421" s="87"/>
      <c r="I421" s="83">
        <f t="shared" si="34"/>
        <v>0</v>
      </c>
      <c r="J421" s="83">
        <f t="shared" si="34"/>
        <v>0</v>
      </c>
      <c r="K421" s="23"/>
    </row>
    <row r="422" spans="1:11" s="76" customFormat="1" ht="20.100000000000001" customHeight="1">
      <c r="A422" s="18"/>
      <c r="B422" s="18"/>
      <c r="C422" s="207"/>
      <c r="D422" s="172"/>
      <c r="E422" s="126">
        <f t="shared" si="33"/>
        <v>0</v>
      </c>
      <c r="F422" s="110"/>
      <c r="G422" s="110"/>
      <c r="H422" s="110"/>
      <c r="I422" s="83">
        <f t="shared" si="34"/>
        <v>0</v>
      </c>
      <c r="J422" s="83">
        <f t="shared" si="34"/>
        <v>0</v>
      </c>
      <c r="K422" s="23"/>
    </row>
    <row r="423" spans="1:11" s="43" customFormat="1" ht="63">
      <c r="A423" s="77">
        <v>2</v>
      </c>
      <c r="B423" s="78" t="s">
        <v>302</v>
      </c>
      <c r="C423" s="221">
        <v>1</v>
      </c>
      <c r="D423" s="185"/>
      <c r="E423" s="126">
        <f t="shared" si="33"/>
        <v>1</v>
      </c>
      <c r="F423" s="87" t="s">
        <v>9</v>
      </c>
      <c r="G423" s="88"/>
      <c r="H423" s="88"/>
      <c r="I423" s="83">
        <f t="shared" si="34"/>
        <v>0</v>
      </c>
      <c r="J423" s="83">
        <f t="shared" si="34"/>
        <v>0</v>
      </c>
      <c r="K423" s="42"/>
    </row>
    <row r="424" spans="1:11" s="43" customFormat="1" ht="47.25">
      <c r="A424" s="77"/>
      <c r="B424" s="78" t="s">
        <v>303</v>
      </c>
      <c r="C424" s="221"/>
      <c r="D424" s="185"/>
      <c r="E424" s="126">
        <f t="shared" si="33"/>
        <v>0</v>
      </c>
      <c r="F424" s="87"/>
      <c r="G424" s="87"/>
      <c r="H424" s="87"/>
      <c r="I424" s="83">
        <f t="shared" si="34"/>
        <v>0</v>
      </c>
      <c r="J424" s="83">
        <f t="shared" si="34"/>
        <v>0</v>
      </c>
      <c r="K424" s="42"/>
    </row>
    <row r="425" spans="1:11" s="43" customFormat="1" ht="15.75">
      <c r="A425" s="77"/>
      <c r="B425" s="78"/>
      <c r="C425" s="221"/>
      <c r="D425" s="185"/>
      <c r="E425" s="126">
        <f t="shared" si="33"/>
        <v>0</v>
      </c>
      <c r="F425" s="87"/>
      <c r="G425" s="87"/>
      <c r="H425" s="87"/>
      <c r="I425" s="83">
        <f t="shared" si="34"/>
        <v>0</v>
      </c>
      <c r="J425" s="83">
        <f t="shared" si="34"/>
        <v>0</v>
      </c>
      <c r="K425" s="42"/>
    </row>
    <row r="426" spans="1:11" s="81" customFormat="1" ht="15.75">
      <c r="A426" s="70">
        <v>3</v>
      </c>
      <c r="B426" s="79" t="s">
        <v>304</v>
      </c>
      <c r="C426" s="222"/>
      <c r="D426" s="186"/>
      <c r="E426" s="126">
        <f t="shared" si="33"/>
        <v>0</v>
      </c>
      <c r="F426" s="89"/>
      <c r="G426" s="87"/>
      <c r="H426" s="87"/>
      <c r="I426" s="83">
        <f t="shared" si="34"/>
        <v>0</v>
      </c>
      <c r="J426" s="83">
        <f t="shared" si="34"/>
        <v>0</v>
      </c>
      <c r="K426" s="80"/>
    </row>
    <row r="427" spans="1:11" s="43" customFormat="1" ht="39" customHeight="1">
      <c r="A427" s="82">
        <f t="shared" ref="A427:A430" si="35">A426+0.1</f>
        <v>3.1</v>
      </c>
      <c r="B427" s="78" t="s">
        <v>305</v>
      </c>
      <c r="C427" s="221">
        <f>SUM(C417:C419)*20</f>
        <v>300</v>
      </c>
      <c r="D427" s="185"/>
      <c r="E427" s="126">
        <f t="shared" si="33"/>
        <v>300</v>
      </c>
      <c r="F427" s="87" t="s">
        <v>310</v>
      </c>
      <c r="G427" s="87"/>
      <c r="H427" s="87"/>
      <c r="I427" s="83">
        <f t="shared" si="34"/>
        <v>0</v>
      </c>
      <c r="J427" s="83">
        <f t="shared" si="34"/>
        <v>0</v>
      </c>
      <c r="K427" s="42"/>
    </row>
    <row r="428" spans="1:11" s="43" customFormat="1" ht="39" customHeight="1">
      <c r="A428" s="82">
        <f t="shared" si="35"/>
        <v>3.2</v>
      </c>
      <c r="B428" s="78" t="s">
        <v>306</v>
      </c>
      <c r="C428" s="221">
        <v>80</v>
      </c>
      <c r="D428" s="185"/>
      <c r="E428" s="126">
        <f t="shared" si="33"/>
        <v>80</v>
      </c>
      <c r="F428" s="87" t="s">
        <v>310</v>
      </c>
      <c r="G428" s="87"/>
      <c r="H428" s="87"/>
      <c r="I428" s="83">
        <f t="shared" si="34"/>
        <v>0</v>
      </c>
      <c r="J428" s="83">
        <f t="shared" si="34"/>
        <v>0</v>
      </c>
      <c r="K428" s="42"/>
    </row>
    <row r="429" spans="1:11" s="43" customFormat="1" ht="31.5">
      <c r="A429" s="82">
        <f t="shared" si="35"/>
        <v>3.3000000000000003</v>
      </c>
      <c r="B429" s="78" t="s">
        <v>307</v>
      </c>
      <c r="C429" s="221">
        <v>100</v>
      </c>
      <c r="D429" s="185"/>
      <c r="E429" s="126">
        <f t="shared" si="33"/>
        <v>100</v>
      </c>
      <c r="F429" s="87" t="s">
        <v>310</v>
      </c>
      <c r="G429" s="87"/>
      <c r="H429" s="87"/>
      <c r="I429" s="83">
        <f t="shared" si="34"/>
        <v>0</v>
      </c>
      <c r="J429" s="83">
        <f t="shared" si="34"/>
        <v>0</v>
      </c>
      <c r="K429" s="42"/>
    </row>
    <row r="430" spans="1:11" s="43" customFormat="1" ht="31.5">
      <c r="A430" s="82">
        <f t="shared" si="35"/>
        <v>3.4000000000000004</v>
      </c>
      <c r="B430" s="78" t="s">
        <v>308</v>
      </c>
      <c r="C430" s="221">
        <v>80</v>
      </c>
      <c r="D430" s="185"/>
      <c r="E430" s="126">
        <f t="shared" si="33"/>
        <v>80</v>
      </c>
      <c r="F430" s="87" t="s">
        <v>310</v>
      </c>
      <c r="G430" s="87"/>
      <c r="H430" s="87"/>
      <c r="I430" s="83">
        <f t="shared" si="34"/>
        <v>0</v>
      </c>
      <c r="J430" s="83">
        <f t="shared" si="34"/>
        <v>0</v>
      </c>
      <c r="K430" s="42"/>
    </row>
    <row r="431" spans="1:11" s="42" customFormat="1" ht="15.75">
      <c r="A431" s="82"/>
      <c r="B431" s="78"/>
      <c r="C431" s="221"/>
      <c r="D431" s="185"/>
      <c r="E431" s="87"/>
      <c r="F431" s="87"/>
      <c r="G431" s="87"/>
      <c r="H431" s="87"/>
      <c r="I431" s="83">
        <f t="shared" si="34"/>
        <v>0</v>
      </c>
      <c r="J431" s="83">
        <f t="shared" si="34"/>
        <v>0</v>
      </c>
    </row>
    <row r="432" spans="1:11" s="23" customFormat="1" ht="20.45" customHeight="1">
      <c r="A432" s="25"/>
      <c r="B432" s="75" t="s">
        <v>309</v>
      </c>
      <c r="C432" s="212"/>
      <c r="D432" s="183"/>
      <c r="E432" s="96"/>
      <c r="F432" s="96"/>
      <c r="G432" s="96"/>
      <c r="H432" s="96"/>
      <c r="I432" s="96">
        <f>SUM(I416:I430)</f>
        <v>0</v>
      </c>
      <c r="J432" s="96">
        <f>SUM(J416:J430)</f>
        <v>0</v>
      </c>
    </row>
    <row r="433" spans="1:11" s="76" customFormat="1" ht="20.100000000000001" customHeight="1">
      <c r="A433" s="29"/>
      <c r="B433" s="29"/>
      <c r="C433" s="223"/>
      <c r="D433" s="187"/>
      <c r="E433" s="85"/>
      <c r="F433" s="85"/>
      <c r="G433" s="91"/>
      <c r="H433" s="91"/>
      <c r="I433" s="111">
        <f>+I432+I412+I378+I354+I244+I233+I73</f>
        <v>0</v>
      </c>
      <c r="J433" s="111">
        <f>+J432+J412+J378+J354+J244+J233+J73</f>
        <v>0</v>
      </c>
      <c r="K433" s="23"/>
    </row>
    <row r="434" spans="1:11" s="76" customFormat="1" ht="20.100000000000001" customHeight="1">
      <c r="A434" s="29"/>
      <c r="B434" s="29"/>
      <c r="C434" s="223"/>
      <c r="D434" s="187"/>
      <c r="E434" s="85"/>
      <c r="F434" s="85"/>
      <c r="G434" s="91"/>
      <c r="H434" s="91"/>
      <c r="I434" s="111"/>
      <c r="J434" s="111">
        <f>+SUM(I433:J433)</f>
        <v>0</v>
      </c>
      <c r="K434" s="23"/>
    </row>
  </sheetData>
  <customSheetViews>
    <customSheetView guid="{5ADA983C-1EDC-4645-AD8A-3535C65F44D6}" scale="70" showPageBreaks="1" showGridLines="0" fitToPage="1" printArea="1" view="pageBreakPreview">
      <pane xSplit="3" ySplit="3" topLeftCell="D370" activePane="bottomRight" state="frozen"/>
      <selection pane="bottomRight" activeCell="E84" sqref="E84"/>
      <rowBreaks count="13" manualBreakCount="13">
        <brk id="25" max="52" man="1"/>
        <brk id="86" max="52" man="1"/>
        <brk id="109" max="52" man="1"/>
        <brk id="113" max="52" man="1"/>
        <brk id="148" max="52" man="1"/>
        <brk id="181" max="52" man="1"/>
        <brk id="229" max="52" man="1"/>
        <brk id="247" max="52" man="1"/>
        <brk id="284" max="52" man="1"/>
        <brk id="317" max="52" man="1"/>
        <brk id="325" max="52" man="1"/>
        <brk id="341" max="52" man="1"/>
        <brk id="365" max="52" man="1"/>
      </rowBreaks>
      <pageMargins left="0.59055118110236227" right="0.59055118110236227" top="0.43307086614173229" bottom="0.43307086614173229" header="0.31496062992125984" footer="0.31496062992125984"/>
      <printOptions horizontalCentered="1"/>
      <pageSetup paperSize="9" scale="22" fitToHeight="0" orientation="landscape" r:id="rId1"/>
    </customSheetView>
    <customSheetView guid="{4C187252-7A52-4DAC-BB2D-0644DF2E09B0}" scale="70" showPageBreaks="1" showGridLines="0" fitToPage="1" printArea="1" view="pageBreakPreview">
      <pane xSplit="3" ySplit="3" topLeftCell="X379" activePane="bottomRight" state="frozen"/>
      <selection pane="bottomRight" activeCell="AO387" sqref="AO387"/>
      <rowBreaks count="13" manualBreakCount="13">
        <brk id="25" max="47" man="1"/>
        <brk id="86" max="47" man="1"/>
        <brk id="109" max="47" man="1"/>
        <brk id="113" max="47" man="1"/>
        <brk id="148" max="47" man="1"/>
        <brk id="181" max="47" man="1"/>
        <brk id="229" max="47" man="1"/>
        <brk id="247" max="47" man="1"/>
        <brk id="284" max="47" man="1"/>
        <brk id="317" max="47" man="1"/>
        <brk id="325" max="47" man="1"/>
        <brk id="341" max="47" man="1"/>
        <brk id="365" max="47" man="1"/>
      </rowBreaks>
      <pageMargins left="0.59055118110236227" right="0.59055118110236227" top="0.43307086614173229" bottom="0.43307086614173229" header="0.31496062992125984" footer="0.31496062992125984"/>
      <printOptions horizontalCentered="1"/>
      <pageSetup paperSize="9" scale="23" fitToHeight="0" orientation="landscape" r:id="rId2"/>
    </customSheetView>
    <customSheetView guid="{F44FFE0D-EF1F-43C0-ACC8-2B26582A55BA}" scale="70" showPageBreaks="1" showGridLines="0" fitToPage="1" printArea="1" view="pageBreakPreview">
      <pane xSplit="3" ySplit="3" topLeftCell="D370" activePane="bottomRight" state="frozen"/>
      <selection pane="bottomRight" activeCell="E84" sqref="E84"/>
      <rowBreaks count="13" manualBreakCount="13">
        <brk id="25" max="52" man="1"/>
        <brk id="86" max="52" man="1"/>
        <brk id="109" max="52" man="1"/>
        <brk id="113" max="52" man="1"/>
        <brk id="148" max="52" man="1"/>
        <brk id="181" max="52" man="1"/>
        <brk id="229" max="52" man="1"/>
        <brk id="247" max="52" man="1"/>
        <brk id="284" max="52" man="1"/>
        <brk id="317" max="52" man="1"/>
        <brk id="325" max="52" man="1"/>
        <brk id="341" max="52" man="1"/>
        <brk id="365" max="52" man="1"/>
      </rowBreaks>
      <pageMargins left="0.59055118110236227" right="0.59055118110236227" top="0.43307086614173229" bottom="0.43307086614173229" header="0.31496062992125984" footer="0.31496062992125984"/>
      <printOptions horizontalCentered="1"/>
      <pageSetup paperSize="9" scale="21" fitToHeight="0" orientation="landscape" r:id="rId3"/>
    </customSheetView>
    <customSheetView guid="{80C18858-2264-40D8-89B1-43CC91AE6872}" scale="70" showPageBreaks="1" showGridLines="0" fitToPage="1" printArea="1" view="pageBreakPreview">
      <pane xSplit="3" ySplit="3" topLeftCell="X379" activePane="bottomRight" state="frozen"/>
      <selection pane="bottomRight" activeCell="AO387" sqref="AO387"/>
      <rowBreaks count="13" manualBreakCount="13">
        <brk id="25" max="47" man="1"/>
        <brk id="86" max="47" man="1"/>
        <brk id="109" max="47" man="1"/>
        <brk id="113" max="47" man="1"/>
        <brk id="148" max="47" man="1"/>
        <brk id="181" max="47" man="1"/>
        <brk id="229" max="47" man="1"/>
        <brk id="247" max="47" man="1"/>
        <brk id="284" max="47" man="1"/>
        <brk id="317" max="47" man="1"/>
        <brk id="325" max="47" man="1"/>
        <brk id="341" max="47" man="1"/>
        <brk id="365" max="47" man="1"/>
      </rowBreaks>
      <pageMargins left="0.59055118110236227" right="0.59055118110236227" top="0.43307086614173229" bottom="0.43307086614173229" header="0.31496062992125984" footer="0.31496062992125984"/>
      <printOptions horizontalCentered="1"/>
      <pageSetup paperSize="9" scale="23" fitToHeight="0" orientation="landscape" r:id="rId4"/>
    </customSheetView>
    <customSheetView guid="{F4A7CA8E-98F3-454B-9E7A-4BC18859A193}" scale="70" showPageBreaks="1" showGridLines="0" fitToPage="1" printArea="1" view="pageBreakPreview">
      <pane xSplit="3" ySplit="3" topLeftCell="X379" activePane="bottomRight" state="frozen"/>
      <selection pane="bottomRight" activeCell="AO387" sqref="AO387"/>
      <rowBreaks count="13" manualBreakCount="13">
        <brk id="25" max="47" man="1"/>
        <brk id="86" max="47" man="1"/>
        <brk id="109" max="47" man="1"/>
        <brk id="113" max="47" man="1"/>
        <brk id="148" max="47" man="1"/>
        <brk id="181" max="47" man="1"/>
        <brk id="229" max="47" man="1"/>
        <brk id="247" max="47" man="1"/>
        <brk id="284" max="47" man="1"/>
        <brk id="317" max="47" man="1"/>
        <brk id="325" max="47" man="1"/>
        <brk id="341" max="47" man="1"/>
        <brk id="365" max="47" man="1"/>
      </rowBreaks>
      <pageMargins left="0.59055118110236227" right="0.59055118110236227" top="0.43307086614173229" bottom="0.43307086614173229" header="0.31496062992125984" footer="0.31496062992125984"/>
      <printOptions horizontalCentered="1"/>
      <pageSetup paperSize="9" scale="23" fitToHeight="0" orientation="landscape" r:id="rId5"/>
    </customSheetView>
  </customSheetViews>
  <mergeCells count="3">
    <mergeCell ref="G2:H2"/>
    <mergeCell ref="I2:J2"/>
    <mergeCell ref="C3:E3"/>
  </mergeCells>
  <printOptions horizontalCentered="1"/>
  <pageMargins left="0.59055118110236227" right="0.59055118110236227" top="0.43307086614173229" bottom="0.43307086614173229" header="0.31496062992125984" footer="0.31496062992125984"/>
  <pageSetup paperSize="9" scale="10" fitToHeight="0" orientation="landscape" r:id="rId6"/>
  <rowBreaks count="13" manualBreakCount="13">
    <brk id="23" max="47" man="1"/>
    <brk id="86" max="47" man="1"/>
    <brk id="114" max="47" man="1"/>
    <brk id="118" max="47" man="1"/>
    <brk id="153" max="47" man="1"/>
    <brk id="188" max="47" man="1"/>
    <brk id="240" max="47" man="1"/>
    <brk id="282" max="47" man="1"/>
    <brk id="320" max="47" man="1"/>
    <brk id="354" max="47" man="1"/>
    <brk id="362" max="47" man="1"/>
    <brk id="378" max="47" man="1"/>
    <brk id="402" max="4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HVAC SUMMARY</vt:lpstr>
      <vt:lpstr>HVAC LOW SIDE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Nasim Ahmed</cp:lastModifiedBy>
  <cp:revision>1</cp:revision>
  <cp:lastPrinted>2025-08-01T13:47:00Z</cp:lastPrinted>
  <dcterms:created xsi:type="dcterms:W3CDTF">2025-05-14T06:08:49Z</dcterms:created>
  <dcterms:modified xsi:type="dcterms:W3CDTF">2026-05-04T04:31:35Z</dcterms:modified>
  <cp:category/>
  <cp:contentStatus/>
</cp:coreProperties>
</file>